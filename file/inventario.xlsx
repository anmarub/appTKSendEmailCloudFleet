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4db79aa914f23c/Project/pySgcWeb/CloudFleet/file/"/>
    </mc:Choice>
  </mc:AlternateContent>
  <xr:revisionPtr revIDLastSave="28" documentId="8_{65EACD0E-7C47-4A4A-A02B-6BF3676D9461}" xr6:coauthVersionLast="47" xr6:coauthVersionMax="47" xr10:uidLastSave="{363B1681-83AF-402F-8F5C-C31423599142}"/>
  <bookViews>
    <workbookView xWindow="-120" yWindow="-120" windowWidth="20730" windowHeight="11160" xr2:uid="{CE40E979-BAA6-463E-8A71-E141791AEFAB}"/>
  </bookViews>
  <sheets>
    <sheet name="Inventario Vehiculos" sheetId="1" r:id="rId1"/>
  </sheets>
  <externalReferences>
    <externalReference r:id="rId2"/>
    <externalReference r:id="rId3"/>
  </externalReferences>
  <definedNames>
    <definedName name="_xlnm._FilterDatabase" localSheetId="0" hidden="1">'Inventario Vehiculos'!$A$1:$AQ$816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17" i="1" l="1"/>
  <c r="Y817" i="1"/>
  <c r="X817" i="1"/>
  <c r="W817" i="1"/>
  <c r="V817" i="1"/>
  <c r="T817" i="1"/>
  <c r="R817" i="1"/>
  <c r="Q817" i="1"/>
  <c r="AU816" i="1"/>
  <c r="AV816" i="1" s="1"/>
  <c r="AP816" i="1"/>
  <c r="AN816" i="1"/>
  <c r="AM816" i="1"/>
  <c r="AK816" i="1"/>
  <c r="AJ816" i="1"/>
  <c r="AI816" i="1"/>
  <c r="AH816" i="1"/>
  <c r="AG816" i="1"/>
  <c r="AL816" i="1" s="1"/>
  <c r="AE816" i="1"/>
  <c r="AA816" i="1"/>
  <c r="AB816" i="1" s="1"/>
  <c r="AU815" i="1"/>
  <c r="AV815" i="1" s="1"/>
  <c r="AP815" i="1"/>
  <c r="AN815" i="1"/>
  <c r="AO815" i="1" s="1"/>
  <c r="AM815" i="1"/>
  <c r="AK815" i="1"/>
  <c r="AJ815" i="1"/>
  <c r="AI815" i="1"/>
  <c r="AH815" i="1"/>
  <c r="AG815" i="1"/>
  <c r="AL815" i="1" s="1"/>
  <c r="AE815" i="1"/>
  <c r="AB815" i="1"/>
  <c r="AA815" i="1"/>
  <c r="AV814" i="1"/>
  <c r="AU814" i="1"/>
  <c r="AP814" i="1"/>
  <c r="AN814" i="1"/>
  <c r="AO814" i="1" s="1"/>
  <c r="AM814" i="1"/>
  <c r="AK814" i="1"/>
  <c r="AJ814" i="1"/>
  <c r="AI814" i="1"/>
  <c r="AH814" i="1"/>
  <c r="AG814" i="1"/>
  <c r="AL814" i="1" s="1"/>
  <c r="AE814" i="1"/>
  <c r="AB814" i="1"/>
  <c r="AA814" i="1"/>
  <c r="AU813" i="1"/>
  <c r="AV813" i="1" s="1"/>
  <c r="AP813" i="1"/>
  <c r="AN813" i="1"/>
  <c r="AM813" i="1"/>
  <c r="AO813" i="1" s="1"/>
  <c r="AK813" i="1"/>
  <c r="AJ813" i="1"/>
  <c r="AI813" i="1"/>
  <c r="AH813" i="1"/>
  <c r="AG813" i="1"/>
  <c r="AL813" i="1" s="1"/>
  <c r="AE813" i="1"/>
  <c r="AB813" i="1"/>
  <c r="AA813" i="1"/>
  <c r="AV812" i="1"/>
  <c r="AU812" i="1"/>
  <c r="AP812" i="1"/>
  <c r="AN812" i="1"/>
  <c r="AM812" i="1"/>
  <c r="AL812" i="1"/>
  <c r="AK812" i="1"/>
  <c r="AJ812" i="1"/>
  <c r="AI812" i="1"/>
  <c r="AH812" i="1"/>
  <c r="AG812" i="1"/>
  <c r="AE812" i="1"/>
  <c r="AA812" i="1"/>
  <c r="AB812" i="1" s="1"/>
  <c r="AU811" i="1"/>
  <c r="AV811" i="1" s="1"/>
  <c r="AP811" i="1"/>
  <c r="AN811" i="1"/>
  <c r="AO811" i="1" s="1"/>
  <c r="AM811" i="1"/>
  <c r="AK811" i="1"/>
  <c r="AJ811" i="1"/>
  <c r="AI811" i="1"/>
  <c r="AH811" i="1"/>
  <c r="AG811" i="1"/>
  <c r="AL811" i="1" s="1"/>
  <c r="AE811" i="1"/>
  <c r="AB811" i="1"/>
  <c r="AA811" i="1"/>
  <c r="AV810" i="1"/>
  <c r="AU810" i="1"/>
  <c r="AP810" i="1"/>
  <c r="AN810" i="1"/>
  <c r="AO810" i="1" s="1"/>
  <c r="AM810" i="1"/>
  <c r="AK810" i="1"/>
  <c r="AJ810" i="1"/>
  <c r="AI810" i="1"/>
  <c r="AH810" i="1"/>
  <c r="AG810" i="1"/>
  <c r="AL810" i="1" s="1"/>
  <c r="AE810" i="1"/>
  <c r="AA810" i="1"/>
  <c r="AB810" i="1" s="1"/>
  <c r="AU809" i="1"/>
  <c r="AV809" i="1" s="1"/>
  <c r="AP809" i="1"/>
  <c r="AN809" i="1"/>
  <c r="AM809" i="1"/>
  <c r="AK809" i="1"/>
  <c r="AJ809" i="1"/>
  <c r="AI809" i="1"/>
  <c r="AH809" i="1"/>
  <c r="AG809" i="1"/>
  <c r="AL809" i="1" s="1"/>
  <c r="AE809" i="1"/>
  <c r="AB809" i="1"/>
  <c r="AA809" i="1"/>
  <c r="AV808" i="1"/>
  <c r="AU808" i="1"/>
  <c r="AP808" i="1"/>
  <c r="AN808" i="1"/>
  <c r="AM808" i="1"/>
  <c r="AL808" i="1"/>
  <c r="AK808" i="1"/>
  <c r="AJ808" i="1"/>
  <c r="AI808" i="1"/>
  <c r="AH808" i="1"/>
  <c r="AG808" i="1"/>
  <c r="AE808" i="1"/>
  <c r="AA808" i="1"/>
  <c r="AB808" i="1" s="1"/>
  <c r="AU807" i="1"/>
  <c r="AV807" i="1" s="1"/>
  <c r="AP807" i="1"/>
  <c r="AN807" i="1"/>
  <c r="AM807" i="1"/>
  <c r="AK807" i="1"/>
  <c r="AJ807" i="1"/>
  <c r="AI807" i="1"/>
  <c r="AH807" i="1"/>
  <c r="AG807" i="1"/>
  <c r="AL807" i="1" s="1"/>
  <c r="AE807" i="1"/>
  <c r="AB807" i="1"/>
  <c r="AA807" i="1"/>
  <c r="AV806" i="1"/>
  <c r="AU806" i="1"/>
  <c r="AP806" i="1"/>
  <c r="AN806" i="1"/>
  <c r="AO806" i="1" s="1"/>
  <c r="AM806" i="1"/>
  <c r="AK806" i="1"/>
  <c r="AJ806" i="1"/>
  <c r="AI806" i="1"/>
  <c r="AH806" i="1"/>
  <c r="AG806" i="1"/>
  <c r="AL806" i="1" s="1"/>
  <c r="AE806" i="1"/>
  <c r="AA806" i="1"/>
  <c r="AB806" i="1" s="1"/>
  <c r="AU805" i="1"/>
  <c r="AV805" i="1" s="1"/>
  <c r="AP805" i="1"/>
  <c r="AN805" i="1"/>
  <c r="AM805" i="1"/>
  <c r="AK805" i="1"/>
  <c r="AJ805" i="1"/>
  <c r="AI805" i="1"/>
  <c r="AH805" i="1"/>
  <c r="AG805" i="1"/>
  <c r="AL805" i="1" s="1"/>
  <c r="AE805" i="1"/>
  <c r="AB805" i="1"/>
  <c r="AA805" i="1"/>
  <c r="AV804" i="1"/>
  <c r="AU804" i="1"/>
  <c r="AP804" i="1"/>
  <c r="AN804" i="1"/>
  <c r="AO804" i="1" s="1"/>
  <c r="AM804" i="1"/>
  <c r="AL804" i="1"/>
  <c r="AK804" i="1"/>
  <c r="AJ804" i="1"/>
  <c r="AI804" i="1"/>
  <c r="AH804" i="1"/>
  <c r="AG804" i="1"/>
  <c r="AE804" i="1"/>
  <c r="AA804" i="1"/>
  <c r="AB804" i="1" s="1"/>
  <c r="AU803" i="1"/>
  <c r="AV803" i="1" s="1"/>
  <c r="AP803" i="1"/>
  <c r="AN803" i="1"/>
  <c r="AM803" i="1"/>
  <c r="AO803" i="1" s="1"/>
  <c r="AK803" i="1"/>
  <c r="AJ803" i="1"/>
  <c r="AI803" i="1"/>
  <c r="AH803" i="1"/>
  <c r="AG803" i="1"/>
  <c r="AL803" i="1" s="1"/>
  <c r="AE803" i="1"/>
  <c r="AB803" i="1"/>
  <c r="AA803" i="1"/>
  <c r="AV802" i="1"/>
  <c r="AU802" i="1"/>
  <c r="AP802" i="1"/>
  <c r="AN802" i="1"/>
  <c r="AM802" i="1"/>
  <c r="AL802" i="1"/>
  <c r="AK802" i="1"/>
  <c r="AJ802" i="1"/>
  <c r="AI802" i="1"/>
  <c r="AH802" i="1"/>
  <c r="AG802" i="1"/>
  <c r="AE802" i="1"/>
  <c r="AA802" i="1"/>
  <c r="AB802" i="1" s="1"/>
  <c r="AU801" i="1"/>
  <c r="AV801" i="1" s="1"/>
  <c r="AP801" i="1"/>
  <c r="AN801" i="1"/>
  <c r="AM801" i="1"/>
  <c r="AO801" i="1" s="1"/>
  <c r="AK801" i="1"/>
  <c r="AJ801" i="1"/>
  <c r="AI801" i="1"/>
  <c r="AH801" i="1"/>
  <c r="AG801" i="1"/>
  <c r="AL801" i="1" s="1"/>
  <c r="AE801" i="1"/>
  <c r="AB801" i="1"/>
  <c r="AA801" i="1"/>
  <c r="AV800" i="1"/>
  <c r="AU800" i="1"/>
  <c r="AP800" i="1"/>
  <c r="AN800" i="1"/>
  <c r="AO800" i="1" s="1"/>
  <c r="AM800" i="1"/>
  <c r="AK800" i="1"/>
  <c r="AJ800" i="1"/>
  <c r="AI800" i="1"/>
  <c r="AH800" i="1"/>
  <c r="AG800" i="1"/>
  <c r="AL800" i="1" s="1"/>
  <c r="AE800" i="1"/>
  <c r="AA800" i="1"/>
  <c r="AB800" i="1" s="1"/>
  <c r="AU799" i="1"/>
  <c r="AV799" i="1" s="1"/>
  <c r="AP799" i="1"/>
  <c r="AO799" i="1"/>
  <c r="AN799" i="1"/>
  <c r="AM799" i="1"/>
  <c r="AK799" i="1"/>
  <c r="AJ799" i="1"/>
  <c r="AI799" i="1"/>
  <c r="AH799" i="1"/>
  <c r="AG799" i="1"/>
  <c r="AL799" i="1" s="1"/>
  <c r="AE799" i="1"/>
  <c r="AB799" i="1"/>
  <c r="AA799" i="1"/>
  <c r="AV798" i="1"/>
  <c r="AU798" i="1"/>
  <c r="AP798" i="1"/>
  <c r="AN798" i="1"/>
  <c r="AM798" i="1"/>
  <c r="AL798" i="1"/>
  <c r="AK798" i="1"/>
  <c r="AJ798" i="1"/>
  <c r="AI798" i="1"/>
  <c r="AH798" i="1"/>
  <c r="AG798" i="1"/>
  <c r="AE798" i="1"/>
  <c r="AA798" i="1"/>
  <c r="AB798" i="1" s="1"/>
  <c r="AU797" i="1"/>
  <c r="AV797" i="1" s="1"/>
  <c r="AP797" i="1"/>
  <c r="AN797" i="1"/>
  <c r="AM797" i="1"/>
  <c r="AO797" i="1" s="1"/>
  <c r="AL797" i="1"/>
  <c r="AK797" i="1"/>
  <c r="AJ797" i="1"/>
  <c r="AI797" i="1"/>
  <c r="AH797" i="1"/>
  <c r="AG797" i="1"/>
  <c r="AE797" i="1"/>
  <c r="AB797" i="1"/>
  <c r="AA797" i="1"/>
  <c r="AV796" i="1"/>
  <c r="AU796" i="1"/>
  <c r="AP796" i="1"/>
  <c r="AO796" i="1"/>
  <c r="AN796" i="1"/>
  <c r="AM796" i="1"/>
  <c r="AK796" i="1"/>
  <c r="AJ796" i="1"/>
  <c r="AI796" i="1"/>
  <c r="AH796" i="1"/>
  <c r="AG796" i="1"/>
  <c r="AL796" i="1" s="1"/>
  <c r="AE796" i="1"/>
  <c r="AA796" i="1"/>
  <c r="AB796" i="1" s="1"/>
  <c r="AV795" i="1"/>
  <c r="AU795" i="1"/>
  <c r="AP795" i="1"/>
  <c r="AN795" i="1"/>
  <c r="AM795" i="1"/>
  <c r="AK795" i="1"/>
  <c r="AJ795" i="1"/>
  <c r="AI795" i="1"/>
  <c r="AH795" i="1"/>
  <c r="AG795" i="1"/>
  <c r="AL795" i="1" s="1"/>
  <c r="AE795" i="1"/>
  <c r="AB795" i="1"/>
  <c r="AA795" i="1"/>
  <c r="AV794" i="1"/>
  <c r="AU794" i="1"/>
  <c r="AP794" i="1"/>
  <c r="AN794" i="1"/>
  <c r="AO794" i="1" s="1"/>
  <c r="AM794" i="1"/>
  <c r="AK794" i="1"/>
  <c r="AJ794" i="1"/>
  <c r="AI794" i="1"/>
  <c r="AH794" i="1"/>
  <c r="AG794" i="1"/>
  <c r="AL794" i="1" s="1"/>
  <c r="AE794" i="1"/>
  <c r="AB794" i="1"/>
  <c r="AA794" i="1"/>
  <c r="AU793" i="1"/>
  <c r="AV793" i="1" s="1"/>
  <c r="AP793" i="1"/>
  <c r="AN793" i="1"/>
  <c r="AM793" i="1"/>
  <c r="AL793" i="1"/>
  <c r="AK793" i="1"/>
  <c r="AJ793" i="1"/>
  <c r="AI793" i="1"/>
  <c r="AH793" i="1"/>
  <c r="AG793" i="1"/>
  <c r="AE793" i="1"/>
  <c r="AB793" i="1"/>
  <c r="AA793" i="1"/>
  <c r="AV792" i="1"/>
  <c r="AU792" i="1"/>
  <c r="AP792" i="1"/>
  <c r="AO792" i="1"/>
  <c r="AN792" i="1"/>
  <c r="AM792" i="1"/>
  <c r="AK792" i="1"/>
  <c r="AJ792" i="1"/>
  <c r="AI792" i="1"/>
  <c r="AH792" i="1"/>
  <c r="AG792" i="1"/>
  <c r="AL792" i="1" s="1"/>
  <c r="AE792" i="1"/>
  <c r="AA792" i="1"/>
  <c r="AB792" i="1" s="1"/>
  <c r="AV791" i="1"/>
  <c r="AU791" i="1"/>
  <c r="AP791" i="1"/>
  <c r="AN791" i="1"/>
  <c r="AM791" i="1"/>
  <c r="AO791" i="1" s="1"/>
  <c r="AK791" i="1"/>
  <c r="AJ791" i="1"/>
  <c r="AI791" i="1"/>
  <c r="AH791" i="1"/>
  <c r="AG791" i="1"/>
  <c r="AL791" i="1" s="1"/>
  <c r="AE791" i="1"/>
  <c r="AB791" i="1"/>
  <c r="AA791" i="1"/>
  <c r="AV790" i="1"/>
  <c r="AU790" i="1"/>
  <c r="AP790" i="1"/>
  <c r="AN790" i="1"/>
  <c r="AM790" i="1"/>
  <c r="AL790" i="1"/>
  <c r="AK790" i="1"/>
  <c r="AJ790" i="1"/>
  <c r="AI790" i="1"/>
  <c r="AH790" i="1"/>
  <c r="AG790" i="1"/>
  <c r="AE790" i="1"/>
  <c r="AB790" i="1"/>
  <c r="AA790" i="1"/>
  <c r="AU789" i="1"/>
  <c r="AV789" i="1" s="1"/>
  <c r="AP789" i="1"/>
  <c r="AN789" i="1"/>
  <c r="AM789" i="1"/>
  <c r="AK789" i="1"/>
  <c r="AJ789" i="1"/>
  <c r="AI789" i="1"/>
  <c r="AH789" i="1"/>
  <c r="AG789" i="1"/>
  <c r="AL789" i="1" s="1"/>
  <c r="AE789" i="1"/>
  <c r="AB789" i="1"/>
  <c r="AA789" i="1"/>
  <c r="AV788" i="1"/>
  <c r="AU788" i="1"/>
  <c r="AP788" i="1"/>
  <c r="AN788" i="1"/>
  <c r="AO788" i="1" s="1"/>
  <c r="AM788" i="1"/>
  <c r="AL788" i="1"/>
  <c r="AK788" i="1"/>
  <c r="AJ788" i="1"/>
  <c r="AI788" i="1"/>
  <c r="AH788" i="1"/>
  <c r="AG788" i="1"/>
  <c r="AE788" i="1"/>
  <c r="AA788" i="1"/>
  <c r="AB788" i="1" s="1"/>
  <c r="AV787" i="1"/>
  <c r="AU787" i="1"/>
  <c r="AP787" i="1"/>
  <c r="AO787" i="1"/>
  <c r="AN787" i="1"/>
  <c r="AM787" i="1"/>
  <c r="AK787" i="1"/>
  <c r="AJ787" i="1"/>
  <c r="AI787" i="1"/>
  <c r="AH787" i="1"/>
  <c r="AG787" i="1"/>
  <c r="AL787" i="1" s="1"/>
  <c r="AE787" i="1"/>
  <c r="AB787" i="1"/>
  <c r="AA787" i="1"/>
  <c r="AV786" i="1"/>
  <c r="AU786" i="1"/>
  <c r="AP786" i="1"/>
  <c r="AN786" i="1"/>
  <c r="AM786" i="1"/>
  <c r="AL786" i="1"/>
  <c r="AK786" i="1"/>
  <c r="AJ786" i="1"/>
  <c r="AI786" i="1"/>
  <c r="AH786" i="1"/>
  <c r="AG786" i="1"/>
  <c r="AE786" i="1"/>
  <c r="AB786" i="1"/>
  <c r="AA786" i="1"/>
  <c r="AU785" i="1"/>
  <c r="AV785" i="1" s="1"/>
  <c r="AP785" i="1"/>
  <c r="AN785" i="1"/>
  <c r="AM785" i="1"/>
  <c r="AK785" i="1"/>
  <c r="AJ785" i="1"/>
  <c r="AI785" i="1"/>
  <c r="AH785" i="1"/>
  <c r="AG785" i="1"/>
  <c r="AL785" i="1" s="1"/>
  <c r="AE785" i="1"/>
  <c r="AB785" i="1"/>
  <c r="AA785" i="1"/>
  <c r="AV784" i="1"/>
  <c r="AU784" i="1"/>
  <c r="AP784" i="1"/>
  <c r="AN784" i="1"/>
  <c r="AM784" i="1"/>
  <c r="AL784" i="1"/>
  <c r="AK784" i="1"/>
  <c r="AJ784" i="1"/>
  <c r="AI784" i="1"/>
  <c r="AH784" i="1"/>
  <c r="AG784" i="1"/>
  <c r="AE784" i="1"/>
  <c r="AA784" i="1"/>
  <c r="AB784" i="1" s="1"/>
  <c r="AV783" i="1"/>
  <c r="AU783" i="1"/>
  <c r="AP783" i="1"/>
  <c r="AN783" i="1"/>
  <c r="AO783" i="1" s="1"/>
  <c r="AM783" i="1"/>
  <c r="AK783" i="1"/>
  <c r="AJ783" i="1"/>
  <c r="AI783" i="1"/>
  <c r="AH783" i="1"/>
  <c r="AG783" i="1"/>
  <c r="AL783" i="1" s="1"/>
  <c r="AE783" i="1"/>
  <c r="AB783" i="1"/>
  <c r="AA783" i="1"/>
  <c r="AV782" i="1"/>
  <c r="AU782" i="1"/>
  <c r="AP782" i="1"/>
  <c r="AN782" i="1"/>
  <c r="AM782" i="1"/>
  <c r="AK782" i="1"/>
  <c r="AJ782" i="1"/>
  <c r="AI782" i="1"/>
  <c r="AH782" i="1"/>
  <c r="AG782" i="1"/>
  <c r="AL782" i="1" s="1"/>
  <c r="AE782" i="1"/>
  <c r="AB782" i="1"/>
  <c r="AA782" i="1"/>
  <c r="AU781" i="1"/>
  <c r="AV781" i="1" s="1"/>
  <c r="AP781" i="1"/>
  <c r="AN781" i="1"/>
  <c r="AM781" i="1"/>
  <c r="AO781" i="1" s="1"/>
  <c r="AL781" i="1"/>
  <c r="AK781" i="1"/>
  <c r="AJ781" i="1"/>
  <c r="AI781" i="1"/>
  <c r="AH781" i="1"/>
  <c r="AG781" i="1"/>
  <c r="AE781" i="1"/>
  <c r="AB781" i="1"/>
  <c r="AA781" i="1"/>
  <c r="AV780" i="1"/>
  <c r="AU780" i="1"/>
  <c r="AP780" i="1"/>
  <c r="AO780" i="1"/>
  <c r="AN780" i="1"/>
  <c r="AM780" i="1"/>
  <c r="AK780" i="1"/>
  <c r="AJ780" i="1"/>
  <c r="AI780" i="1"/>
  <c r="AH780" i="1"/>
  <c r="AG780" i="1"/>
  <c r="AL780" i="1" s="1"/>
  <c r="AE780" i="1"/>
  <c r="AA780" i="1"/>
  <c r="AB780" i="1" s="1"/>
  <c r="AV779" i="1"/>
  <c r="AU779" i="1"/>
  <c r="AP779" i="1"/>
  <c r="AN779" i="1"/>
  <c r="AM779" i="1"/>
  <c r="AK779" i="1"/>
  <c r="AJ779" i="1"/>
  <c r="AI779" i="1"/>
  <c r="AH779" i="1"/>
  <c r="AG779" i="1"/>
  <c r="AL779" i="1" s="1"/>
  <c r="AE779" i="1"/>
  <c r="AB779" i="1"/>
  <c r="AA779" i="1"/>
  <c r="AU778" i="1"/>
  <c r="AV778" i="1" s="1"/>
  <c r="AP778" i="1"/>
  <c r="AN778" i="1"/>
  <c r="AM778" i="1"/>
  <c r="AK778" i="1"/>
  <c r="AJ778" i="1"/>
  <c r="AI778" i="1"/>
  <c r="AH778" i="1"/>
  <c r="AG778" i="1"/>
  <c r="AL778" i="1" s="1"/>
  <c r="AE778" i="1"/>
  <c r="AB778" i="1"/>
  <c r="AA778" i="1"/>
  <c r="AU777" i="1"/>
  <c r="AV777" i="1" s="1"/>
  <c r="AP777" i="1"/>
  <c r="AN777" i="1"/>
  <c r="AM777" i="1"/>
  <c r="AK777" i="1"/>
  <c r="AJ777" i="1"/>
  <c r="AI777" i="1"/>
  <c r="AH777" i="1"/>
  <c r="AG777" i="1"/>
  <c r="AL777" i="1" s="1"/>
  <c r="AE777" i="1"/>
  <c r="AA777" i="1"/>
  <c r="AB777" i="1" s="1"/>
  <c r="AV776" i="1"/>
  <c r="AU776" i="1"/>
  <c r="AP776" i="1"/>
  <c r="AN776" i="1"/>
  <c r="AM776" i="1"/>
  <c r="AO776" i="1" s="1"/>
  <c r="AK776" i="1"/>
  <c r="AJ776" i="1"/>
  <c r="AI776" i="1"/>
  <c r="AH776" i="1"/>
  <c r="AG776" i="1"/>
  <c r="AL776" i="1" s="1"/>
  <c r="AE776" i="1"/>
  <c r="AB776" i="1"/>
  <c r="AA776" i="1"/>
  <c r="AV775" i="1"/>
  <c r="AU775" i="1"/>
  <c r="AP775" i="1"/>
  <c r="AN775" i="1"/>
  <c r="AM775" i="1"/>
  <c r="AK775" i="1"/>
  <c r="AJ775" i="1"/>
  <c r="AI775" i="1"/>
  <c r="AH775" i="1"/>
  <c r="AG775" i="1"/>
  <c r="AL775" i="1" s="1"/>
  <c r="AE775" i="1"/>
  <c r="AB775" i="1"/>
  <c r="AA775" i="1"/>
  <c r="AU774" i="1"/>
  <c r="AV774" i="1" s="1"/>
  <c r="AP774" i="1"/>
  <c r="AN774" i="1"/>
  <c r="AM774" i="1"/>
  <c r="AL774" i="1"/>
  <c r="AK774" i="1"/>
  <c r="AJ774" i="1"/>
  <c r="AI774" i="1"/>
  <c r="AH774" i="1"/>
  <c r="AG774" i="1"/>
  <c r="AE774" i="1"/>
  <c r="AB774" i="1"/>
  <c r="AA774" i="1"/>
  <c r="AU773" i="1"/>
  <c r="AV773" i="1" s="1"/>
  <c r="AP773" i="1"/>
  <c r="AN773" i="1"/>
  <c r="AM773" i="1"/>
  <c r="AK773" i="1"/>
  <c r="AJ773" i="1"/>
  <c r="AI773" i="1"/>
  <c r="AH773" i="1"/>
  <c r="AG773" i="1"/>
  <c r="AL773" i="1" s="1"/>
  <c r="AE773" i="1"/>
  <c r="AA773" i="1"/>
  <c r="AB773" i="1" s="1"/>
  <c r="AV772" i="1"/>
  <c r="AU772" i="1"/>
  <c r="AP772" i="1"/>
  <c r="AN772" i="1"/>
  <c r="AM772" i="1"/>
  <c r="AO772" i="1" s="1"/>
  <c r="AK772" i="1"/>
  <c r="AJ772" i="1"/>
  <c r="AI772" i="1"/>
  <c r="AH772" i="1"/>
  <c r="AG772" i="1"/>
  <c r="AL772" i="1" s="1"/>
  <c r="AE772" i="1"/>
  <c r="AA772" i="1"/>
  <c r="AB772" i="1" s="1"/>
  <c r="AV771" i="1"/>
  <c r="AU771" i="1"/>
  <c r="AP771" i="1"/>
  <c r="AN771" i="1"/>
  <c r="AM771" i="1"/>
  <c r="AK771" i="1"/>
  <c r="AJ771" i="1"/>
  <c r="AI771" i="1"/>
  <c r="AH771" i="1"/>
  <c r="AG771" i="1"/>
  <c r="AL771" i="1" s="1"/>
  <c r="AE771" i="1"/>
  <c r="AB771" i="1"/>
  <c r="AA771" i="1"/>
  <c r="AV770" i="1"/>
  <c r="AU770" i="1"/>
  <c r="AP770" i="1"/>
  <c r="AN770" i="1"/>
  <c r="AO770" i="1" s="1"/>
  <c r="AM770" i="1"/>
  <c r="AL770" i="1"/>
  <c r="AK770" i="1"/>
  <c r="AJ770" i="1"/>
  <c r="AI770" i="1"/>
  <c r="AH770" i="1"/>
  <c r="AG770" i="1"/>
  <c r="AE770" i="1"/>
  <c r="AB770" i="1"/>
  <c r="AA770" i="1"/>
  <c r="AU769" i="1"/>
  <c r="AV769" i="1" s="1"/>
  <c r="AP769" i="1"/>
  <c r="AN769" i="1"/>
  <c r="AM769" i="1"/>
  <c r="AK769" i="1"/>
  <c r="AJ769" i="1"/>
  <c r="AI769" i="1"/>
  <c r="AH769" i="1"/>
  <c r="AG769" i="1"/>
  <c r="AL769" i="1" s="1"/>
  <c r="AE769" i="1"/>
  <c r="AA769" i="1"/>
  <c r="AB769" i="1" s="1"/>
  <c r="AV768" i="1"/>
  <c r="AU768" i="1"/>
  <c r="AP768" i="1"/>
  <c r="AN768" i="1"/>
  <c r="AM768" i="1"/>
  <c r="AO768" i="1" s="1"/>
  <c r="AK768" i="1"/>
  <c r="AJ768" i="1"/>
  <c r="AI768" i="1"/>
  <c r="AH768" i="1"/>
  <c r="AG768" i="1"/>
  <c r="AL768" i="1" s="1"/>
  <c r="AE768" i="1"/>
  <c r="AA768" i="1"/>
  <c r="AB768" i="1" s="1"/>
  <c r="AV767" i="1"/>
  <c r="AU767" i="1"/>
  <c r="AP767" i="1"/>
  <c r="AN767" i="1"/>
  <c r="AM767" i="1"/>
  <c r="AK767" i="1"/>
  <c r="AJ767" i="1"/>
  <c r="AI767" i="1"/>
  <c r="AH767" i="1"/>
  <c r="AG767" i="1"/>
  <c r="AL767" i="1" s="1"/>
  <c r="AE767" i="1"/>
  <c r="AB767" i="1"/>
  <c r="AA767" i="1"/>
  <c r="AV766" i="1"/>
  <c r="AU766" i="1"/>
  <c r="AP766" i="1"/>
  <c r="AN766" i="1"/>
  <c r="AM766" i="1"/>
  <c r="AK766" i="1"/>
  <c r="AJ766" i="1"/>
  <c r="AI766" i="1"/>
  <c r="AH766" i="1"/>
  <c r="AG766" i="1"/>
  <c r="AL766" i="1" s="1"/>
  <c r="AE766" i="1"/>
  <c r="AB766" i="1"/>
  <c r="AA766" i="1"/>
  <c r="AU765" i="1"/>
  <c r="AV765" i="1" s="1"/>
  <c r="AP765" i="1"/>
  <c r="AN765" i="1"/>
  <c r="AM765" i="1"/>
  <c r="AL765" i="1"/>
  <c r="AK765" i="1"/>
  <c r="AJ765" i="1"/>
  <c r="AI765" i="1"/>
  <c r="AH765" i="1"/>
  <c r="AG765" i="1"/>
  <c r="AE765" i="1"/>
  <c r="AB765" i="1"/>
  <c r="AA765" i="1"/>
  <c r="AV764" i="1"/>
  <c r="AU764" i="1"/>
  <c r="AP764" i="1"/>
  <c r="AO764" i="1"/>
  <c r="AN764" i="1"/>
  <c r="AM764" i="1"/>
  <c r="AK764" i="1"/>
  <c r="AJ764" i="1"/>
  <c r="AI764" i="1"/>
  <c r="AH764" i="1"/>
  <c r="AG764" i="1"/>
  <c r="AL764" i="1" s="1"/>
  <c r="AE764" i="1"/>
  <c r="AA764" i="1"/>
  <c r="AB764" i="1" s="1"/>
  <c r="AV763" i="1"/>
  <c r="AU763" i="1"/>
  <c r="AP763" i="1"/>
  <c r="AN763" i="1"/>
  <c r="AM763" i="1"/>
  <c r="AO763" i="1" s="1"/>
  <c r="AK763" i="1"/>
  <c r="AJ763" i="1"/>
  <c r="AI763" i="1"/>
  <c r="AH763" i="1"/>
  <c r="AG763" i="1"/>
  <c r="AL763" i="1" s="1"/>
  <c r="AE763" i="1"/>
  <c r="AB763" i="1"/>
  <c r="AA763" i="1"/>
  <c r="AU762" i="1"/>
  <c r="AV762" i="1" s="1"/>
  <c r="AP762" i="1"/>
  <c r="AN762" i="1"/>
  <c r="AM762" i="1"/>
  <c r="AL762" i="1"/>
  <c r="AK762" i="1"/>
  <c r="AJ762" i="1"/>
  <c r="AI762" i="1"/>
  <c r="AH762" i="1"/>
  <c r="AG762" i="1"/>
  <c r="AE762" i="1"/>
  <c r="AB762" i="1"/>
  <c r="AA762" i="1"/>
  <c r="AU761" i="1"/>
  <c r="AV761" i="1" s="1"/>
  <c r="AP761" i="1"/>
  <c r="AN761" i="1"/>
  <c r="AM761" i="1"/>
  <c r="AO761" i="1" s="1"/>
  <c r="AL761" i="1"/>
  <c r="AK761" i="1"/>
  <c r="AJ761" i="1"/>
  <c r="AI761" i="1"/>
  <c r="AH761" i="1"/>
  <c r="AG761" i="1"/>
  <c r="AE761" i="1"/>
  <c r="AB761" i="1"/>
  <c r="AA761" i="1"/>
  <c r="AU760" i="1"/>
  <c r="AV760" i="1" s="1"/>
  <c r="AP760" i="1"/>
  <c r="AO760" i="1"/>
  <c r="AN760" i="1"/>
  <c r="AM760" i="1"/>
  <c r="AK760" i="1"/>
  <c r="AJ760" i="1"/>
  <c r="AI760" i="1"/>
  <c r="AH760" i="1"/>
  <c r="AG760" i="1"/>
  <c r="AL760" i="1" s="1"/>
  <c r="AE760" i="1"/>
  <c r="AA760" i="1"/>
  <c r="AB760" i="1" s="1"/>
  <c r="AV759" i="1"/>
  <c r="AU759" i="1"/>
  <c r="AP759" i="1"/>
  <c r="AN759" i="1"/>
  <c r="AO759" i="1" s="1"/>
  <c r="AM759" i="1"/>
  <c r="AK759" i="1"/>
  <c r="AJ759" i="1"/>
  <c r="AI759" i="1"/>
  <c r="AH759" i="1"/>
  <c r="AG759" i="1"/>
  <c r="AL759" i="1" s="1"/>
  <c r="AE759" i="1"/>
  <c r="AA759" i="1"/>
  <c r="AB759" i="1" s="1"/>
  <c r="AV758" i="1"/>
  <c r="AU758" i="1"/>
  <c r="AP758" i="1"/>
  <c r="AN758" i="1"/>
  <c r="AM758" i="1"/>
  <c r="AK758" i="1"/>
  <c r="AJ758" i="1"/>
  <c r="AI758" i="1"/>
  <c r="AH758" i="1"/>
  <c r="AG758" i="1"/>
  <c r="AL758" i="1" s="1"/>
  <c r="AE758" i="1"/>
  <c r="AB758" i="1"/>
  <c r="AA758" i="1"/>
  <c r="AU757" i="1"/>
  <c r="AV757" i="1" s="1"/>
  <c r="AP757" i="1"/>
  <c r="AN757" i="1"/>
  <c r="AM757" i="1"/>
  <c r="AK757" i="1"/>
  <c r="AJ757" i="1"/>
  <c r="AI757" i="1"/>
  <c r="AH757" i="1"/>
  <c r="AG757" i="1"/>
  <c r="AL757" i="1" s="1"/>
  <c r="AE757" i="1"/>
  <c r="AB757" i="1"/>
  <c r="AA757" i="1"/>
  <c r="AU756" i="1"/>
  <c r="AV756" i="1" s="1"/>
  <c r="AP756" i="1"/>
  <c r="AN756" i="1"/>
  <c r="AM756" i="1"/>
  <c r="AK756" i="1"/>
  <c r="AJ756" i="1"/>
  <c r="AI756" i="1"/>
  <c r="AH756" i="1"/>
  <c r="AG756" i="1"/>
  <c r="AL756" i="1" s="1"/>
  <c r="AE756" i="1"/>
  <c r="AA756" i="1"/>
  <c r="AB756" i="1" s="1"/>
  <c r="AV755" i="1"/>
  <c r="AU755" i="1"/>
  <c r="AP755" i="1"/>
  <c r="AN755" i="1"/>
  <c r="AM755" i="1"/>
  <c r="AK755" i="1"/>
  <c r="AJ755" i="1"/>
  <c r="AI755" i="1"/>
  <c r="AH755" i="1"/>
  <c r="AG755" i="1"/>
  <c r="AL755" i="1" s="1"/>
  <c r="AE755" i="1"/>
  <c r="AB755" i="1"/>
  <c r="AA755" i="1"/>
  <c r="AV754" i="1"/>
  <c r="AU754" i="1"/>
  <c r="AP754" i="1"/>
  <c r="AN754" i="1"/>
  <c r="AO754" i="1" s="1"/>
  <c r="AM754" i="1"/>
  <c r="AK754" i="1"/>
  <c r="AJ754" i="1"/>
  <c r="AI754" i="1"/>
  <c r="AH754" i="1"/>
  <c r="AG754" i="1"/>
  <c r="AL754" i="1" s="1"/>
  <c r="AE754" i="1"/>
  <c r="AB754" i="1"/>
  <c r="AA754" i="1"/>
  <c r="AU753" i="1"/>
  <c r="AV753" i="1" s="1"/>
  <c r="AP753" i="1"/>
  <c r="AN753" i="1"/>
  <c r="AO753" i="1" s="1"/>
  <c r="AM753" i="1"/>
  <c r="AK753" i="1"/>
  <c r="AJ753" i="1"/>
  <c r="AI753" i="1"/>
  <c r="AH753" i="1"/>
  <c r="AG753" i="1"/>
  <c r="AL753" i="1" s="1"/>
  <c r="AE753" i="1"/>
  <c r="AB753" i="1"/>
  <c r="AA753" i="1"/>
  <c r="AU752" i="1"/>
  <c r="AV752" i="1" s="1"/>
  <c r="AP752" i="1"/>
  <c r="AN752" i="1"/>
  <c r="AM752" i="1"/>
  <c r="AO752" i="1" s="1"/>
  <c r="AL752" i="1"/>
  <c r="AK752" i="1"/>
  <c r="AJ752" i="1"/>
  <c r="AI752" i="1"/>
  <c r="AH752" i="1"/>
  <c r="AG752" i="1"/>
  <c r="AE752" i="1"/>
  <c r="AA752" i="1"/>
  <c r="AB752" i="1" s="1"/>
  <c r="AV751" i="1"/>
  <c r="AU751" i="1"/>
  <c r="AP751" i="1"/>
  <c r="AN751" i="1"/>
  <c r="AM751" i="1"/>
  <c r="AK751" i="1"/>
  <c r="AJ751" i="1"/>
  <c r="AI751" i="1"/>
  <c r="AH751" i="1"/>
  <c r="AG751" i="1"/>
  <c r="AL751" i="1" s="1"/>
  <c r="AE751" i="1"/>
  <c r="AA751" i="1"/>
  <c r="AB751" i="1" s="1"/>
  <c r="AV750" i="1"/>
  <c r="AU750" i="1"/>
  <c r="AP750" i="1"/>
  <c r="AN750" i="1"/>
  <c r="AM750" i="1"/>
  <c r="AK750" i="1"/>
  <c r="AJ750" i="1"/>
  <c r="AI750" i="1"/>
  <c r="AH750" i="1"/>
  <c r="AG750" i="1"/>
  <c r="AL750" i="1" s="1"/>
  <c r="AE750" i="1"/>
  <c r="AB750" i="1"/>
  <c r="AA750" i="1"/>
  <c r="AU749" i="1"/>
  <c r="AV749" i="1" s="1"/>
  <c r="AP749" i="1"/>
  <c r="AN749" i="1"/>
  <c r="AM749" i="1"/>
  <c r="AK749" i="1"/>
  <c r="AJ749" i="1"/>
  <c r="AI749" i="1"/>
  <c r="AH749" i="1"/>
  <c r="AG749" i="1"/>
  <c r="AL749" i="1" s="1"/>
  <c r="AE749" i="1"/>
  <c r="AB749" i="1"/>
  <c r="AA749" i="1"/>
  <c r="AU748" i="1"/>
  <c r="AV748" i="1" s="1"/>
  <c r="AP748" i="1"/>
  <c r="AO748" i="1"/>
  <c r="AN748" i="1"/>
  <c r="AM748" i="1"/>
  <c r="AK748" i="1"/>
  <c r="AJ748" i="1"/>
  <c r="AI748" i="1"/>
  <c r="AH748" i="1"/>
  <c r="AG748" i="1"/>
  <c r="AL748" i="1" s="1"/>
  <c r="AE748" i="1"/>
  <c r="AA748" i="1"/>
  <c r="AB748" i="1" s="1"/>
  <c r="AV747" i="1"/>
  <c r="AU747" i="1"/>
  <c r="AP747" i="1"/>
  <c r="AN747" i="1"/>
  <c r="AM747" i="1"/>
  <c r="AK747" i="1"/>
  <c r="AJ747" i="1"/>
  <c r="AI747" i="1"/>
  <c r="AH747" i="1"/>
  <c r="AG747" i="1"/>
  <c r="AL747" i="1" s="1"/>
  <c r="AE747" i="1"/>
  <c r="AB747" i="1"/>
  <c r="AA747" i="1"/>
  <c r="AU746" i="1"/>
  <c r="AV746" i="1" s="1"/>
  <c r="AP746" i="1"/>
  <c r="AN746" i="1"/>
  <c r="AM746" i="1"/>
  <c r="AK746" i="1"/>
  <c r="AJ746" i="1"/>
  <c r="AI746" i="1"/>
  <c r="AH746" i="1"/>
  <c r="AG746" i="1"/>
  <c r="AL746" i="1" s="1"/>
  <c r="AE746" i="1"/>
  <c r="AB746" i="1"/>
  <c r="AA746" i="1"/>
  <c r="AU745" i="1"/>
  <c r="AV745" i="1" s="1"/>
  <c r="AP745" i="1"/>
  <c r="AN745" i="1"/>
  <c r="AM745" i="1"/>
  <c r="AL745" i="1"/>
  <c r="AK745" i="1"/>
  <c r="AJ745" i="1"/>
  <c r="AI745" i="1"/>
  <c r="AH745" i="1"/>
  <c r="AG745" i="1"/>
  <c r="AE745" i="1"/>
  <c r="AA745" i="1"/>
  <c r="AB745" i="1" s="1"/>
  <c r="AU744" i="1"/>
  <c r="AV744" i="1" s="1"/>
  <c r="AP744" i="1"/>
  <c r="AN744" i="1"/>
  <c r="AM744" i="1"/>
  <c r="AK744" i="1"/>
  <c r="AJ744" i="1"/>
  <c r="AI744" i="1"/>
  <c r="AH744" i="1"/>
  <c r="AG744" i="1"/>
  <c r="AL744" i="1" s="1"/>
  <c r="AE744" i="1"/>
  <c r="AA744" i="1"/>
  <c r="AB744" i="1" s="1"/>
  <c r="AV743" i="1"/>
  <c r="AU743" i="1"/>
  <c r="AP743" i="1"/>
  <c r="AO743" i="1"/>
  <c r="AN743" i="1"/>
  <c r="AM743" i="1"/>
  <c r="AK743" i="1"/>
  <c r="AJ743" i="1"/>
  <c r="AI743" i="1"/>
  <c r="AH743" i="1"/>
  <c r="AG743" i="1"/>
  <c r="AL743" i="1" s="1"/>
  <c r="AE743" i="1"/>
  <c r="AA743" i="1"/>
  <c r="AB743" i="1" s="1"/>
  <c r="AU742" i="1"/>
  <c r="AV742" i="1" s="1"/>
  <c r="AP742" i="1"/>
  <c r="AN742" i="1"/>
  <c r="AO742" i="1" s="1"/>
  <c r="AM742" i="1"/>
  <c r="AK742" i="1"/>
  <c r="AJ742" i="1"/>
  <c r="AI742" i="1"/>
  <c r="AH742" i="1"/>
  <c r="AG742" i="1"/>
  <c r="AL742" i="1" s="1"/>
  <c r="AE742" i="1"/>
  <c r="AB742" i="1"/>
  <c r="AA742" i="1"/>
  <c r="AU741" i="1"/>
  <c r="AV741" i="1" s="1"/>
  <c r="AP741" i="1"/>
  <c r="AN741" i="1"/>
  <c r="AO741" i="1" s="1"/>
  <c r="AM741" i="1"/>
  <c r="AK741" i="1"/>
  <c r="AJ741" i="1"/>
  <c r="AI741" i="1"/>
  <c r="AH741" i="1"/>
  <c r="AG741" i="1"/>
  <c r="AL741" i="1" s="1"/>
  <c r="AE741" i="1"/>
  <c r="AA741" i="1"/>
  <c r="AB741" i="1" s="1"/>
  <c r="AU740" i="1"/>
  <c r="AV740" i="1" s="1"/>
  <c r="AP740" i="1"/>
  <c r="AO740" i="1"/>
  <c r="AN740" i="1"/>
  <c r="AM740" i="1"/>
  <c r="AK740" i="1"/>
  <c r="AJ740" i="1"/>
  <c r="AI740" i="1"/>
  <c r="AH740" i="1"/>
  <c r="AG740" i="1"/>
  <c r="AL740" i="1" s="1"/>
  <c r="AE740" i="1"/>
  <c r="AB740" i="1"/>
  <c r="AA740" i="1"/>
  <c r="AV739" i="1"/>
  <c r="AU739" i="1"/>
  <c r="AP739" i="1"/>
  <c r="AN739" i="1"/>
  <c r="AO739" i="1" s="1"/>
  <c r="AM739" i="1"/>
  <c r="AK739" i="1"/>
  <c r="AJ739" i="1"/>
  <c r="AI739" i="1"/>
  <c r="AH739" i="1"/>
  <c r="AG739" i="1"/>
  <c r="AL739" i="1" s="1"/>
  <c r="AE739" i="1"/>
  <c r="AB739" i="1"/>
  <c r="AA739" i="1"/>
  <c r="AV738" i="1"/>
  <c r="AU738" i="1"/>
  <c r="AP738" i="1"/>
  <c r="AN738" i="1"/>
  <c r="AM738" i="1"/>
  <c r="AK738" i="1"/>
  <c r="AJ738" i="1"/>
  <c r="AI738" i="1"/>
  <c r="AH738" i="1"/>
  <c r="AG738" i="1"/>
  <c r="AL738" i="1" s="1"/>
  <c r="AE738" i="1"/>
  <c r="AB738" i="1"/>
  <c r="AA738" i="1"/>
  <c r="AU737" i="1"/>
  <c r="AV737" i="1" s="1"/>
  <c r="AP737" i="1"/>
  <c r="AN737" i="1"/>
  <c r="AM737" i="1"/>
  <c r="AK737" i="1"/>
  <c r="AJ737" i="1"/>
  <c r="AI737" i="1"/>
  <c r="AH737" i="1"/>
  <c r="AG737" i="1"/>
  <c r="AL737" i="1" s="1"/>
  <c r="AE737" i="1"/>
  <c r="AB737" i="1"/>
  <c r="AA737" i="1"/>
  <c r="AU736" i="1"/>
  <c r="AV736" i="1" s="1"/>
  <c r="AP736" i="1"/>
  <c r="AN736" i="1"/>
  <c r="AM736" i="1"/>
  <c r="AK736" i="1"/>
  <c r="AJ736" i="1"/>
  <c r="AI736" i="1"/>
  <c r="AH736" i="1"/>
  <c r="AG736" i="1"/>
  <c r="AL736" i="1" s="1"/>
  <c r="AE736" i="1"/>
  <c r="AA736" i="1"/>
  <c r="AB736" i="1" s="1"/>
  <c r="AV735" i="1"/>
  <c r="AU735" i="1"/>
  <c r="AP735" i="1"/>
  <c r="AN735" i="1"/>
  <c r="AM735" i="1"/>
  <c r="AK735" i="1"/>
  <c r="AJ735" i="1"/>
  <c r="AI735" i="1"/>
  <c r="AH735" i="1"/>
  <c r="AG735" i="1"/>
  <c r="AL735" i="1" s="1"/>
  <c r="AE735" i="1"/>
  <c r="AA735" i="1"/>
  <c r="AB735" i="1" s="1"/>
  <c r="AV734" i="1"/>
  <c r="AU734" i="1"/>
  <c r="AP734" i="1"/>
  <c r="AN734" i="1"/>
  <c r="AM734" i="1"/>
  <c r="AK734" i="1"/>
  <c r="AJ734" i="1"/>
  <c r="AI734" i="1"/>
  <c r="AH734" i="1"/>
  <c r="AG734" i="1"/>
  <c r="AL734" i="1" s="1"/>
  <c r="AE734" i="1"/>
  <c r="AB734" i="1"/>
  <c r="AA734" i="1"/>
  <c r="AU733" i="1"/>
  <c r="AV733" i="1" s="1"/>
  <c r="AP733" i="1"/>
  <c r="AN733" i="1"/>
  <c r="AM733" i="1"/>
  <c r="AK733" i="1"/>
  <c r="AJ733" i="1"/>
  <c r="AI733" i="1"/>
  <c r="AH733" i="1"/>
  <c r="AG733" i="1"/>
  <c r="AL733" i="1" s="1"/>
  <c r="AE733" i="1"/>
  <c r="AB733" i="1"/>
  <c r="AA733" i="1"/>
  <c r="AU732" i="1"/>
  <c r="AV732" i="1" s="1"/>
  <c r="AP732" i="1"/>
  <c r="AO732" i="1"/>
  <c r="AN732" i="1"/>
  <c r="AM732" i="1"/>
  <c r="AK732" i="1"/>
  <c r="AJ732" i="1"/>
  <c r="AI732" i="1"/>
  <c r="AH732" i="1"/>
  <c r="AG732" i="1"/>
  <c r="AL732" i="1" s="1"/>
  <c r="AE732" i="1"/>
  <c r="AA732" i="1"/>
  <c r="AB732" i="1" s="1"/>
  <c r="AV731" i="1"/>
  <c r="AU731" i="1"/>
  <c r="AP731" i="1"/>
  <c r="AN731" i="1"/>
  <c r="AO731" i="1" s="1"/>
  <c r="AM731" i="1"/>
  <c r="AK731" i="1"/>
  <c r="AJ731" i="1"/>
  <c r="AI731" i="1"/>
  <c r="AH731" i="1"/>
  <c r="AG731" i="1"/>
  <c r="AL731" i="1" s="1"/>
  <c r="AE731" i="1"/>
  <c r="AB731" i="1"/>
  <c r="AA731" i="1"/>
  <c r="AU730" i="1"/>
  <c r="AV730" i="1" s="1"/>
  <c r="AP730" i="1"/>
  <c r="AN730" i="1"/>
  <c r="AM730" i="1"/>
  <c r="AO730" i="1" s="1"/>
  <c r="AK730" i="1"/>
  <c r="AJ730" i="1"/>
  <c r="AI730" i="1"/>
  <c r="AH730" i="1"/>
  <c r="AG730" i="1"/>
  <c r="AL730" i="1" s="1"/>
  <c r="AE730" i="1"/>
  <c r="AB730" i="1"/>
  <c r="AA730" i="1"/>
  <c r="AV729" i="1"/>
  <c r="AU729" i="1"/>
  <c r="AP729" i="1"/>
  <c r="AN729" i="1"/>
  <c r="AM729" i="1"/>
  <c r="AL729" i="1"/>
  <c r="AK729" i="1"/>
  <c r="AJ729" i="1"/>
  <c r="AI729" i="1"/>
  <c r="AH729" i="1"/>
  <c r="AG729" i="1"/>
  <c r="AE729" i="1"/>
  <c r="AB729" i="1"/>
  <c r="AA729" i="1"/>
  <c r="AU728" i="1"/>
  <c r="AV728" i="1" s="1"/>
  <c r="AP728" i="1"/>
  <c r="AO728" i="1"/>
  <c r="AN728" i="1"/>
  <c r="AM728" i="1"/>
  <c r="AK728" i="1"/>
  <c r="AJ728" i="1"/>
  <c r="AI728" i="1"/>
  <c r="AH728" i="1"/>
  <c r="AG728" i="1"/>
  <c r="AL728" i="1" s="1"/>
  <c r="AE728" i="1"/>
  <c r="AA728" i="1"/>
  <c r="AB728" i="1" s="1"/>
  <c r="AV727" i="1"/>
  <c r="AU727" i="1"/>
  <c r="AP727" i="1"/>
  <c r="AN727" i="1"/>
  <c r="AO727" i="1" s="1"/>
  <c r="AM727" i="1"/>
  <c r="AK727" i="1"/>
  <c r="AJ727" i="1"/>
  <c r="AI727" i="1"/>
  <c r="AH727" i="1"/>
  <c r="AG727" i="1"/>
  <c r="AL727" i="1" s="1"/>
  <c r="AE727" i="1"/>
  <c r="AA727" i="1"/>
  <c r="AB727" i="1" s="1"/>
  <c r="AU726" i="1"/>
  <c r="AV726" i="1" s="1"/>
  <c r="AP726" i="1"/>
  <c r="AN726" i="1"/>
  <c r="AM726" i="1"/>
  <c r="AO726" i="1" s="1"/>
  <c r="AK726" i="1"/>
  <c r="AJ726" i="1"/>
  <c r="AI726" i="1"/>
  <c r="AH726" i="1"/>
  <c r="AG726" i="1"/>
  <c r="AL726" i="1" s="1"/>
  <c r="AE726" i="1"/>
  <c r="AB726" i="1"/>
  <c r="AA726" i="1"/>
  <c r="AV725" i="1"/>
  <c r="AU725" i="1"/>
  <c r="AP725" i="1"/>
  <c r="AN725" i="1"/>
  <c r="AO725" i="1" s="1"/>
  <c r="AM725" i="1"/>
  <c r="AL725" i="1"/>
  <c r="AK725" i="1"/>
  <c r="AJ725" i="1"/>
  <c r="AI725" i="1"/>
  <c r="AH725" i="1"/>
  <c r="AG725" i="1"/>
  <c r="AE725" i="1"/>
  <c r="AB725" i="1"/>
  <c r="AA725" i="1"/>
  <c r="AU724" i="1"/>
  <c r="AV724" i="1" s="1"/>
  <c r="AP724" i="1"/>
  <c r="AN724" i="1"/>
  <c r="AM724" i="1"/>
  <c r="AK724" i="1"/>
  <c r="AJ724" i="1"/>
  <c r="AI724" i="1"/>
  <c r="AH724" i="1"/>
  <c r="AG724" i="1"/>
  <c r="AL724" i="1" s="1"/>
  <c r="AE724" i="1"/>
  <c r="AB724" i="1"/>
  <c r="AA724" i="1"/>
  <c r="AV723" i="1"/>
  <c r="AU723" i="1"/>
  <c r="AP723" i="1"/>
  <c r="AN723" i="1"/>
  <c r="AM723" i="1"/>
  <c r="AL723" i="1"/>
  <c r="AK723" i="1"/>
  <c r="AJ723" i="1"/>
  <c r="AI723" i="1"/>
  <c r="AH723" i="1"/>
  <c r="AG723" i="1"/>
  <c r="AE723" i="1"/>
  <c r="AA723" i="1"/>
  <c r="AB723" i="1" s="1"/>
  <c r="AU722" i="1"/>
  <c r="AV722" i="1" s="1"/>
  <c r="AP722" i="1"/>
  <c r="AN722" i="1"/>
  <c r="AM722" i="1"/>
  <c r="AK722" i="1"/>
  <c r="AJ722" i="1"/>
  <c r="AI722" i="1"/>
  <c r="AH722" i="1"/>
  <c r="AG722" i="1"/>
  <c r="AL722" i="1" s="1"/>
  <c r="AE722" i="1"/>
  <c r="AB722" i="1"/>
  <c r="AA722" i="1"/>
  <c r="AV721" i="1"/>
  <c r="AU721" i="1"/>
  <c r="AP721" i="1"/>
  <c r="AN721" i="1"/>
  <c r="AO721" i="1" s="1"/>
  <c r="AM721" i="1"/>
  <c r="AK721" i="1"/>
  <c r="AJ721" i="1"/>
  <c r="AI721" i="1"/>
  <c r="AH721" i="1"/>
  <c r="AG721" i="1"/>
  <c r="AL721" i="1" s="1"/>
  <c r="AE721" i="1"/>
  <c r="AB721" i="1"/>
  <c r="AA721" i="1"/>
  <c r="AU720" i="1"/>
  <c r="AV720" i="1" s="1"/>
  <c r="AP720" i="1"/>
  <c r="AN720" i="1"/>
  <c r="AM720" i="1"/>
  <c r="AK720" i="1"/>
  <c r="AJ720" i="1"/>
  <c r="AI720" i="1"/>
  <c r="AH720" i="1"/>
  <c r="AG720" i="1"/>
  <c r="AL720" i="1" s="1"/>
  <c r="AE720" i="1"/>
  <c r="AB720" i="1"/>
  <c r="AA720" i="1"/>
  <c r="AV719" i="1"/>
  <c r="AU719" i="1"/>
  <c r="AP719" i="1"/>
  <c r="AN719" i="1"/>
  <c r="AM719" i="1"/>
  <c r="AL719" i="1"/>
  <c r="AK719" i="1"/>
  <c r="AJ719" i="1"/>
  <c r="AI719" i="1"/>
  <c r="AH719" i="1"/>
  <c r="AG719" i="1"/>
  <c r="AE719" i="1"/>
  <c r="AA719" i="1"/>
  <c r="AB719" i="1" s="1"/>
  <c r="AU718" i="1"/>
  <c r="AV718" i="1" s="1"/>
  <c r="AP718" i="1"/>
  <c r="AN718" i="1"/>
  <c r="AO718" i="1" s="1"/>
  <c r="AM718" i="1"/>
  <c r="AK718" i="1"/>
  <c r="AJ718" i="1"/>
  <c r="AI718" i="1"/>
  <c r="AH718" i="1"/>
  <c r="AG718" i="1"/>
  <c r="AL718" i="1" s="1"/>
  <c r="AE718" i="1"/>
  <c r="AB718" i="1"/>
  <c r="AA718" i="1"/>
  <c r="AV717" i="1"/>
  <c r="AU717" i="1"/>
  <c r="AP717" i="1"/>
  <c r="AN717" i="1"/>
  <c r="AO717" i="1" s="1"/>
  <c r="AM717" i="1"/>
  <c r="AK717" i="1"/>
  <c r="AJ717" i="1"/>
  <c r="AI717" i="1"/>
  <c r="AH717" i="1"/>
  <c r="AG717" i="1"/>
  <c r="AL717" i="1" s="1"/>
  <c r="AE717" i="1"/>
  <c r="AA717" i="1"/>
  <c r="AB717" i="1" s="1"/>
  <c r="AU716" i="1"/>
  <c r="AV716" i="1" s="1"/>
  <c r="AP716" i="1"/>
  <c r="AN716" i="1"/>
  <c r="AM716" i="1"/>
  <c r="AK716" i="1"/>
  <c r="AJ716" i="1"/>
  <c r="AI716" i="1"/>
  <c r="AH716" i="1"/>
  <c r="AG716" i="1"/>
  <c r="AL716" i="1" s="1"/>
  <c r="AE716" i="1"/>
  <c r="AB716" i="1"/>
  <c r="AA716" i="1"/>
  <c r="AV715" i="1"/>
  <c r="AU715" i="1"/>
  <c r="AP715" i="1"/>
  <c r="AN715" i="1"/>
  <c r="AM715" i="1"/>
  <c r="AK715" i="1"/>
  <c r="AJ715" i="1"/>
  <c r="AI715" i="1"/>
  <c r="AH715" i="1"/>
  <c r="AG715" i="1"/>
  <c r="AL715" i="1" s="1"/>
  <c r="AE715" i="1"/>
  <c r="AA715" i="1"/>
  <c r="AB715" i="1" s="1"/>
  <c r="AU714" i="1"/>
  <c r="AV714" i="1" s="1"/>
  <c r="AP714" i="1"/>
  <c r="AN714" i="1"/>
  <c r="AM714" i="1"/>
  <c r="AO714" i="1" s="1"/>
  <c r="AK714" i="1"/>
  <c r="AJ714" i="1"/>
  <c r="AI714" i="1"/>
  <c r="AH714" i="1"/>
  <c r="AG714" i="1"/>
  <c r="AL714" i="1" s="1"/>
  <c r="AE714" i="1"/>
  <c r="AB714" i="1"/>
  <c r="AA714" i="1"/>
  <c r="AV713" i="1"/>
  <c r="AU713" i="1"/>
  <c r="AP713" i="1"/>
  <c r="AN713" i="1"/>
  <c r="AM713" i="1"/>
  <c r="AL713" i="1"/>
  <c r="AK713" i="1"/>
  <c r="AJ713" i="1"/>
  <c r="AI713" i="1"/>
  <c r="AH713" i="1"/>
  <c r="AG713" i="1"/>
  <c r="AE713" i="1"/>
  <c r="AA713" i="1"/>
  <c r="AB713" i="1" s="1"/>
  <c r="AU712" i="1"/>
  <c r="AV712" i="1" s="1"/>
  <c r="AP712" i="1"/>
  <c r="AN712" i="1"/>
  <c r="AM712" i="1"/>
  <c r="AO712" i="1" s="1"/>
  <c r="AK712" i="1"/>
  <c r="AJ712" i="1"/>
  <c r="AI712" i="1"/>
  <c r="AH712" i="1"/>
  <c r="AG712" i="1"/>
  <c r="AL712" i="1" s="1"/>
  <c r="AE712" i="1"/>
  <c r="AB712" i="1"/>
  <c r="AA712" i="1"/>
  <c r="AV711" i="1"/>
  <c r="AU711" i="1"/>
  <c r="AP711" i="1"/>
  <c r="AN711" i="1"/>
  <c r="AO711" i="1" s="1"/>
  <c r="AM711" i="1"/>
  <c r="AK711" i="1"/>
  <c r="AJ711" i="1"/>
  <c r="AI711" i="1"/>
  <c r="AH711" i="1"/>
  <c r="AG711" i="1"/>
  <c r="AL711" i="1" s="1"/>
  <c r="AE711" i="1"/>
  <c r="AA711" i="1"/>
  <c r="AB711" i="1" s="1"/>
  <c r="AU710" i="1"/>
  <c r="AV710" i="1" s="1"/>
  <c r="AP710" i="1"/>
  <c r="AO710" i="1"/>
  <c r="AN710" i="1"/>
  <c r="AM710" i="1"/>
  <c r="AK710" i="1"/>
  <c r="AJ710" i="1"/>
  <c r="AI710" i="1"/>
  <c r="AH710" i="1"/>
  <c r="AG710" i="1"/>
  <c r="AL710" i="1" s="1"/>
  <c r="AE710" i="1"/>
  <c r="AB710" i="1"/>
  <c r="AA710" i="1"/>
  <c r="AV709" i="1"/>
  <c r="AU709" i="1"/>
  <c r="AP709" i="1"/>
  <c r="AN709" i="1"/>
  <c r="AM709" i="1"/>
  <c r="AL709" i="1"/>
  <c r="AK709" i="1"/>
  <c r="AJ709" i="1"/>
  <c r="AI709" i="1"/>
  <c r="AH709" i="1"/>
  <c r="AG709" i="1"/>
  <c r="AE709" i="1"/>
  <c r="AA709" i="1"/>
  <c r="AB709" i="1" s="1"/>
  <c r="AU708" i="1"/>
  <c r="AV708" i="1" s="1"/>
  <c r="AP708" i="1"/>
  <c r="AN708" i="1"/>
  <c r="AM708" i="1"/>
  <c r="AO708" i="1" s="1"/>
  <c r="AK708" i="1"/>
  <c r="AJ708" i="1"/>
  <c r="AI708" i="1"/>
  <c r="AH708" i="1"/>
  <c r="AG708" i="1"/>
  <c r="AL708" i="1" s="1"/>
  <c r="AE708" i="1"/>
  <c r="AB708" i="1"/>
  <c r="AA708" i="1"/>
  <c r="AV707" i="1"/>
  <c r="AU707" i="1"/>
  <c r="AP707" i="1"/>
  <c r="AN707" i="1"/>
  <c r="AM707" i="1"/>
  <c r="AK707" i="1"/>
  <c r="AJ707" i="1"/>
  <c r="AI707" i="1"/>
  <c r="AH707" i="1"/>
  <c r="AG707" i="1"/>
  <c r="AL707" i="1" s="1"/>
  <c r="AE707" i="1"/>
  <c r="AA707" i="1"/>
  <c r="AB707" i="1" s="1"/>
  <c r="AU706" i="1"/>
  <c r="AV706" i="1" s="1"/>
  <c r="AP706" i="1"/>
  <c r="AO706" i="1"/>
  <c r="AN706" i="1"/>
  <c r="AM706" i="1"/>
  <c r="AK706" i="1"/>
  <c r="AJ706" i="1"/>
  <c r="AI706" i="1"/>
  <c r="AH706" i="1"/>
  <c r="AG706" i="1"/>
  <c r="AL706" i="1" s="1"/>
  <c r="AE706" i="1"/>
  <c r="AB706" i="1"/>
  <c r="AA706" i="1"/>
  <c r="AV705" i="1"/>
  <c r="AU705" i="1"/>
  <c r="AP705" i="1"/>
  <c r="AN705" i="1"/>
  <c r="AM705" i="1"/>
  <c r="AL705" i="1"/>
  <c r="AK705" i="1"/>
  <c r="AJ705" i="1"/>
  <c r="AI705" i="1"/>
  <c r="AH705" i="1"/>
  <c r="AG705" i="1"/>
  <c r="AE705" i="1"/>
  <c r="AA705" i="1"/>
  <c r="AB705" i="1" s="1"/>
  <c r="AU704" i="1"/>
  <c r="AV704" i="1" s="1"/>
  <c r="AP704" i="1"/>
  <c r="AN704" i="1"/>
  <c r="AM704" i="1"/>
  <c r="AO704" i="1" s="1"/>
  <c r="AK704" i="1"/>
  <c r="AJ704" i="1"/>
  <c r="AI704" i="1"/>
  <c r="AH704" i="1"/>
  <c r="AG704" i="1"/>
  <c r="AL704" i="1" s="1"/>
  <c r="AE704" i="1"/>
  <c r="AB704" i="1"/>
  <c r="AA704" i="1"/>
  <c r="AV703" i="1"/>
  <c r="AU703" i="1"/>
  <c r="AP703" i="1"/>
  <c r="AN703" i="1"/>
  <c r="AM703" i="1"/>
  <c r="AL703" i="1"/>
  <c r="AK703" i="1"/>
  <c r="AJ703" i="1"/>
  <c r="AI703" i="1"/>
  <c r="AH703" i="1"/>
  <c r="AG703" i="1"/>
  <c r="AE703" i="1"/>
  <c r="AA703" i="1"/>
  <c r="AB703" i="1" s="1"/>
  <c r="AU702" i="1"/>
  <c r="AV702" i="1" s="1"/>
  <c r="AP702" i="1"/>
  <c r="AN702" i="1"/>
  <c r="AM702" i="1"/>
  <c r="AK702" i="1"/>
  <c r="AJ702" i="1"/>
  <c r="AI702" i="1"/>
  <c r="AH702" i="1"/>
  <c r="AG702" i="1"/>
  <c r="AL702" i="1" s="1"/>
  <c r="AE702" i="1"/>
  <c r="AB702" i="1"/>
  <c r="AA702" i="1"/>
  <c r="AV701" i="1"/>
  <c r="AU701" i="1"/>
  <c r="AP701" i="1"/>
  <c r="AN701" i="1"/>
  <c r="AO701" i="1" s="1"/>
  <c r="AM701" i="1"/>
  <c r="AK701" i="1"/>
  <c r="AJ701" i="1"/>
  <c r="AI701" i="1"/>
  <c r="AH701" i="1"/>
  <c r="AG701" i="1"/>
  <c r="AL701" i="1" s="1"/>
  <c r="AE701" i="1"/>
  <c r="AB701" i="1"/>
  <c r="AA701" i="1"/>
  <c r="AU700" i="1"/>
  <c r="AV700" i="1" s="1"/>
  <c r="AP700" i="1"/>
  <c r="AN700" i="1"/>
  <c r="AM700" i="1"/>
  <c r="AO700" i="1" s="1"/>
  <c r="AK700" i="1"/>
  <c r="AJ700" i="1"/>
  <c r="AI700" i="1"/>
  <c r="AH700" i="1"/>
  <c r="AG700" i="1"/>
  <c r="AL700" i="1" s="1"/>
  <c r="AE700" i="1"/>
  <c r="AB700" i="1"/>
  <c r="AA700" i="1"/>
  <c r="AV699" i="1"/>
  <c r="AU699" i="1"/>
  <c r="AP699" i="1"/>
  <c r="AN699" i="1"/>
  <c r="AM699" i="1"/>
  <c r="AL699" i="1"/>
  <c r="AK699" i="1"/>
  <c r="AJ699" i="1"/>
  <c r="AI699" i="1"/>
  <c r="AH699" i="1"/>
  <c r="AG699" i="1"/>
  <c r="AE699" i="1"/>
  <c r="AA699" i="1"/>
  <c r="AB699" i="1" s="1"/>
  <c r="AU698" i="1"/>
  <c r="AV698" i="1" s="1"/>
  <c r="AP698" i="1"/>
  <c r="AN698" i="1"/>
  <c r="AM698" i="1"/>
  <c r="AK698" i="1"/>
  <c r="AJ698" i="1"/>
  <c r="AI698" i="1"/>
  <c r="AH698" i="1"/>
  <c r="AG698" i="1"/>
  <c r="AL698" i="1" s="1"/>
  <c r="AE698" i="1"/>
  <c r="AB698" i="1"/>
  <c r="AA698" i="1"/>
  <c r="AV697" i="1"/>
  <c r="AU697" i="1"/>
  <c r="AP697" i="1"/>
  <c r="AN697" i="1"/>
  <c r="AO697" i="1" s="1"/>
  <c r="AM697" i="1"/>
  <c r="AK697" i="1"/>
  <c r="AJ697" i="1"/>
  <c r="AI697" i="1"/>
  <c r="AH697" i="1"/>
  <c r="AG697" i="1"/>
  <c r="AL697" i="1" s="1"/>
  <c r="AE697" i="1"/>
  <c r="AA697" i="1"/>
  <c r="AB697" i="1" s="1"/>
  <c r="AU696" i="1"/>
  <c r="AV696" i="1" s="1"/>
  <c r="AP696" i="1"/>
  <c r="AN696" i="1"/>
  <c r="AM696" i="1"/>
  <c r="AK696" i="1"/>
  <c r="AJ696" i="1"/>
  <c r="AI696" i="1"/>
  <c r="AH696" i="1"/>
  <c r="AG696" i="1"/>
  <c r="AL696" i="1" s="1"/>
  <c r="AE696" i="1"/>
  <c r="AB696" i="1"/>
  <c r="AA696" i="1"/>
  <c r="AV695" i="1"/>
  <c r="AU695" i="1"/>
  <c r="AP695" i="1"/>
  <c r="AN695" i="1"/>
  <c r="AM695" i="1"/>
  <c r="AL695" i="1"/>
  <c r="AK695" i="1"/>
  <c r="AJ695" i="1"/>
  <c r="AI695" i="1"/>
  <c r="AH695" i="1"/>
  <c r="AG695" i="1"/>
  <c r="AE695" i="1"/>
  <c r="AA695" i="1"/>
  <c r="AB695" i="1" s="1"/>
  <c r="AU694" i="1"/>
  <c r="AV694" i="1" s="1"/>
  <c r="AP694" i="1"/>
  <c r="AN694" i="1"/>
  <c r="AM694" i="1"/>
  <c r="AK694" i="1"/>
  <c r="AJ694" i="1"/>
  <c r="AI694" i="1"/>
  <c r="AH694" i="1"/>
  <c r="AG694" i="1"/>
  <c r="AL694" i="1" s="1"/>
  <c r="AE694" i="1"/>
  <c r="AB694" i="1"/>
  <c r="AA694" i="1"/>
  <c r="AV693" i="1"/>
  <c r="AU693" i="1"/>
  <c r="AP693" i="1"/>
  <c r="AN693" i="1"/>
  <c r="AM693" i="1"/>
  <c r="AK693" i="1"/>
  <c r="AJ693" i="1"/>
  <c r="AI693" i="1"/>
  <c r="AH693" i="1"/>
  <c r="AG693" i="1"/>
  <c r="AL693" i="1" s="1"/>
  <c r="AE693" i="1"/>
  <c r="AA693" i="1"/>
  <c r="AB693" i="1" s="1"/>
  <c r="AU692" i="1"/>
  <c r="AV692" i="1" s="1"/>
  <c r="AP692" i="1"/>
  <c r="AN692" i="1"/>
  <c r="AM692" i="1"/>
  <c r="AO692" i="1" s="1"/>
  <c r="AK692" i="1"/>
  <c r="AJ692" i="1"/>
  <c r="AI692" i="1"/>
  <c r="AH692" i="1"/>
  <c r="AG692" i="1"/>
  <c r="AL692" i="1" s="1"/>
  <c r="AE692" i="1"/>
  <c r="AB692" i="1"/>
  <c r="AA692" i="1"/>
  <c r="AV691" i="1"/>
  <c r="AU691" i="1"/>
  <c r="AP691" i="1"/>
  <c r="AN691" i="1"/>
  <c r="AO691" i="1" s="1"/>
  <c r="AM691" i="1"/>
  <c r="AK691" i="1"/>
  <c r="AJ691" i="1"/>
  <c r="AI691" i="1"/>
  <c r="AH691" i="1"/>
  <c r="AG691" i="1"/>
  <c r="AL691" i="1" s="1"/>
  <c r="AE691" i="1"/>
  <c r="AB691" i="1"/>
  <c r="AA691" i="1"/>
  <c r="AU690" i="1"/>
  <c r="AV690" i="1" s="1"/>
  <c r="AP690" i="1"/>
  <c r="AN690" i="1"/>
  <c r="AM690" i="1"/>
  <c r="AO690" i="1" s="1"/>
  <c r="AK690" i="1"/>
  <c r="AJ690" i="1"/>
  <c r="AI690" i="1"/>
  <c r="AH690" i="1"/>
  <c r="AG690" i="1"/>
  <c r="AL690" i="1" s="1"/>
  <c r="AE690" i="1"/>
  <c r="AB690" i="1"/>
  <c r="AA690" i="1"/>
  <c r="AV689" i="1"/>
  <c r="AU689" i="1"/>
  <c r="AP689" i="1"/>
  <c r="AN689" i="1"/>
  <c r="AM689" i="1"/>
  <c r="AK689" i="1"/>
  <c r="AJ689" i="1"/>
  <c r="AI689" i="1"/>
  <c r="AH689" i="1"/>
  <c r="AG689" i="1"/>
  <c r="AL689" i="1" s="1"/>
  <c r="AE689" i="1"/>
  <c r="AA689" i="1"/>
  <c r="AB689" i="1" s="1"/>
  <c r="AU688" i="1"/>
  <c r="AV688" i="1" s="1"/>
  <c r="AP688" i="1"/>
  <c r="AN688" i="1"/>
  <c r="AM688" i="1"/>
  <c r="AO688" i="1" s="1"/>
  <c r="AK688" i="1"/>
  <c r="AJ688" i="1"/>
  <c r="AI688" i="1"/>
  <c r="AH688" i="1"/>
  <c r="AG688" i="1"/>
  <c r="AL688" i="1" s="1"/>
  <c r="AE688" i="1"/>
  <c r="AB688" i="1"/>
  <c r="AA688" i="1"/>
  <c r="AV687" i="1"/>
  <c r="AU687" i="1"/>
  <c r="AP687" i="1"/>
  <c r="AN687" i="1"/>
  <c r="AO687" i="1" s="1"/>
  <c r="AM687" i="1"/>
  <c r="AK687" i="1"/>
  <c r="AJ687" i="1"/>
  <c r="AI687" i="1"/>
  <c r="AH687" i="1"/>
  <c r="AG687" i="1"/>
  <c r="AL687" i="1" s="1"/>
  <c r="AE687" i="1"/>
  <c r="AA687" i="1"/>
  <c r="AB687" i="1" s="1"/>
  <c r="AU686" i="1"/>
  <c r="AV686" i="1" s="1"/>
  <c r="AP686" i="1"/>
  <c r="AO686" i="1"/>
  <c r="AN686" i="1"/>
  <c r="AM686" i="1"/>
  <c r="AK686" i="1"/>
  <c r="AJ686" i="1"/>
  <c r="AI686" i="1"/>
  <c r="AH686" i="1"/>
  <c r="AG686" i="1"/>
  <c r="AL686" i="1" s="1"/>
  <c r="AE686" i="1"/>
  <c r="AB686" i="1"/>
  <c r="AA686" i="1"/>
  <c r="AV685" i="1"/>
  <c r="AU685" i="1"/>
  <c r="AP685" i="1"/>
  <c r="AN685" i="1"/>
  <c r="AM685" i="1"/>
  <c r="AL685" i="1"/>
  <c r="AK685" i="1"/>
  <c r="AJ685" i="1"/>
  <c r="AI685" i="1"/>
  <c r="AH685" i="1"/>
  <c r="AG685" i="1"/>
  <c r="AE685" i="1"/>
  <c r="AA685" i="1"/>
  <c r="AB685" i="1" s="1"/>
  <c r="AU684" i="1"/>
  <c r="AV684" i="1" s="1"/>
  <c r="AP684" i="1"/>
  <c r="AN684" i="1"/>
  <c r="AM684" i="1"/>
  <c r="AO684" i="1" s="1"/>
  <c r="AK684" i="1"/>
  <c r="AJ684" i="1"/>
  <c r="AI684" i="1"/>
  <c r="AH684" i="1"/>
  <c r="AG684" i="1"/>
  <c r="AL684" i="1" s="1"/>
  <c r="AE684" i="1"/>
  <c r="AB684" i="1"/>
  <c r="AA684" i="1"/>
  <c r="AV683" i="1"/>
  <c r="AU683" i="1"/>
  <c r="AP683" i="1"/>
  <c r="AN683" i="1"/>
  <c r="AM683" i="1"/>
  <c r="AK683" i="1"/>
  <c r="AJ683" i="1"/>
  <c r="AI683" i="1"/>
  <c r="AH683" i="1"/>
  <c r="AG683" i="1"/>
  <c r="AL683" i="1" s="1"/>
  <c r="AE683" i="1"/>
  <c r="AA683" i="1"/>
  <c r="AB683" i="1" s="1"/>
  <c r="AU682" i="1"/>
  <c r="AV682" i="1" s="1"/>
  <c r="AP682" i="1"/>
  <c r="AN682" i="1"/>
  <c r="AM682" i="1"/>
  <c r="AK682" i="1"/>
  <c r="AJ682" i="1"/>
  <c r="AI682" i="1"/>
  <c r="AH682" i="1"/>
  <c r="AG682" i="1"/>
  <c r="AL682" i="1" s="1"/>
  <c r="AE682" i="1"/>
  <c r="AB682" i="1"/>
  <c r="AA682" i="1"/>
  <c r="AV681" i="1"/>
  <c r="AU681" i="1"/>
  <c r="AP681" i="1"/>
  <c r="AN681" i="1"/>
  <c r="AO681" i="1" s="1"/>
  <c r="AM681" i="1"/>
  <c r="AK681" i="1"/>
  <c r="AJ681" i="1"/>
  <c r="AI681" i="1"/>
  <c r="AH681" i="1"/>
  <c r="AG681" i="1"/>
  <c r="AL681" i="1" s="1"/>
  <c r="AE681" i="1"/>
  <c r="AA681" i="1"/>
  <c r="AB681" i="1" s="1"/>
  <c r="AU680" i="1"/>
  <c r="AV680" i="1" s="1"/>
  <c r="AP680" i="1"/>
  <c r="AN680" i="1"/>
  <c r="AM680" i="1"/>
  <c r="AO680" i="1" s="1"/>
  <c r="AK680" i="1"/>
  <c r="AJ680" i="1"/>
  <c r="AI680" i="1"/>
  <c r="AH680" i="1"/>
  <c r="AG680" i="1"/>
  <c r="AL680" i="1" s="1"/>
  <c r="AE680" i="1"/>
  <c r="AB680" i="1"/>
  <c r="AA680" i="1"/>
  <c r="AV679" i="1"/>
  <c r="AU679" i="1"/>
  <c r="AP679" i="1"/>
  <c r="AN679" i="1"/>
  <c r="AO679" i="1" s="1"/>
  <c r="AM679" i="1"/>
  <c r="AK679" i="1"/>
  <c r="AJ679" i="1"/>
  <c r="AI679" i="1"/>
  <c r="AH679" i="1"/>
  <c r="AG679" i="1"/>
  <c r="AL679" i="1" s="1"/>
  <c r="AE679" i="1"/>
  <c r="AB679" i="1"/>
  <c r="AA679" i="1"/>
  <c r="AU678" i="1"/>
  <c r="AV678" i="1" s="1"/>
  <c r="AP678" i="1"/>
  <c r="AN678" i="1"/>
  <c r="AO678" i="1" s="1"/>
  <c r="AM678" i="1"/>
  <c r="AK678" i="1"/>
  <c r="AJ678" i="1"/>
  <c r="AI678" i="1"/>
  <c r="AH678" i="1"/>
  <c r="AG678" i="1"/>
  <c r="AL678" i="1" s="1"/>
  <c r="AE678" i="1"/>
  <c r="AB678" i="1"/>
  <c r="AA678" i="1"/>
  <c r="AV677" i="1"/>
  <c r="AU677" i="1"/>
  <c r="AP677" i="1"/>
  <c r="AN677" i="1"/>
  <c r="AM677" i="1"/>
  <c r="AK677" i="1"/>
  <c r="AJ677" i="1"/>
  <c r="AI677" i="1"/>
  <c r="AH677" i="1"/>
  <c r="AG677" i="1"/>
  <c r="AL677" i="1" s="1"/>
  <c r="AE677" i="1"/>
  <c r="AB677" i="1"/>
  <c r="AA677" i="1"/>
  <c r="AU676" i="1"/>
  <c r="AV676" i="1" s="1"/>
  <c r="AP676" i="1"/>
  <c r="AN676" i="1"/>
  <c r="AM676" i="1"/>
  <c r="AO676" i="1" s="1"/>
  <c r="AK676" i="1"/>
  <c r="AJ676" i="1"/>
  <c r="AI676" i="1"/>
  <c r="AH676" i="1"/>
  <c r="AG676" i="1"/>
  <c r="AL676" i="1" s="1"/>
  <c r="AE676" i="1"/>
  <c r="AB676" i="1"/>
  <c r="AA676" i="1"/>
  <c r="AV675" i="1"/>
  <c r="AU675" i="1"/>
  <c r="AP675" i="1"/>
  <c r="AN675" i="1"/>
  <c r="AM675" i="1"/>
  <c r="AK675" i="1"/>
  <c r="AJ675" i="1"/>
  <c r="AI675" i="1"/>
  <c r="AH675" i="1"/>
  <c r="AG675" i="1"/>
  <c r="AL675" i="1" s="1"/>
  <c r="AE675" i="1"/>
  <c r="AA675" i="1"/>
  <c r="AB675" i="1" s="1"/>
  <c r="AU674" i="1"/>
  <c r="AV674" i="1" s="1"/>
  <c r="AP674" i="1"/>
  <c r="AN674" i="1"/>
  <c r="AM674" i="1"/>
  <c r="AK674" i="1"/>
  <c r="AJ674" i="1"/>
  <c r="AI674" i="1"/>
  <c r="AH674" i="1"/>
  <c r="AG674" i="1"/>
  <c r="AL674" i="1" s="1"/>
  <c r="AE674" i="1"/>
  <c r="AB674" i="1"/>
  <c r="AA674" i="1"/>
  <c r="AV673" i="1"/>
  <c r="AU673" i="1"/>
  <c r="AP673" i="1"/>
  <c r="AN673" i="1"/>
  <c r="AO673" i="1" s="1"/>
  <c r="AM673" i="1"/>
  <c r="AK673" i="1"/>
  <c r="AJ673" i="1"/>
  <c r="AI673" i="1"/>
  <c r="AH673" i="1"/>
  <c r="AG673" i="1"/>
  <c r="AL673" i="1" s="1"/>
  <c r="AE673" i="1"/>
  <c r="AA673" i="1"/>
  <c r="AB673" i="1" s="1"/>
  <c r="AU672" i="1"/>
  <c r="AV672" i="1" s="1"/>
  <c r="AP672" i="1"/>
  <c r="AN672" i="1"/>
  <c r="AM672" i="1"/>
  <c r="AO672" i="1" s="1"/>
  <c r="AK672" i="1"/>
  <c r="AJ672" i="1"/>
  <c r="AI672" i="1"/>
  <c r="AH672" i="1"/>
  <c r="AG672" i="1"/>
  <c r="AL672" i="1" s="1"/>
  <c r="AE672" i="1"/>
  <c r="AB672" i="1"/>
  <c r="AA672" i="1"/>
  <c r="AV671" i="1"/>
  <c r="AU671" i="1"/>
  <c r="AP671" i="1"/>
  <c r="AN671" i="1"/>
  <c r="AO671" i="1" s="1"/>
  <c r="AM671" i="1"/>
  <c r="AK671" i="1"/>
  <c r="AJ671" i="1"/>
  <c r="AI671" i="1"/>
  <c r="AH671" i="1"/>
  <c r="AG671" i="1"/>
  <c r="AL671" i="1" s="1"/>
  <c r="AE671" i="1"/>
  <c r="AB671" i="1"/>
  <c r="AA671" i="1"/>
  <c r="AU670" i="1"/>
  <c r="AV670" i="1" s="1"/>
  <c r="AP670" i="1"/>
  <c r="AN670" i="1"/>
  <c r="AO670" i="1" s="1"/>
  <c r="AM670" i="1"/>
  <c r="AK670" i="1"/>
  <c r="AJ670" i="1"/>
  <c r="AI670" i="1"/>
  <c r="AH670" i="1"/>
  <c r="AG670" i="1"/>
  <c r="AL670" i="1" s="1"/>
  <c r="AE670" i="1"/>
  <c r="AB670" i="1"/>
  <c r="AA670" i="1"/>
  <c r="AV669" i="1"/>
  <c r="AU669" i="1"/>
  <c r="AP669" i="1"/>
  <c r="AN669" i="1"/>
  <c r="AM669" i="1"/>
  <c r="AK669" i="1"/>
  <c r="AJ669" i="1"/>
  <c r="AI669" i="1"/>
  <c r="AH669" i="1"/>
  <c r="AG669" i="1"/>
  <c r="AL669" i="1" s="1"/>
  <c r="AE669" i="1"/>
  <c r="AA669" i="1"/>
  <c r="AB669" i="1" s="1"/>
  <c r="AU668" i="1"/>
  <c r="AV668" i="1" s="1"/>
  <c r="AP668" i="1"/>
  <c r="AN668" i="1"/>
  <c r="AM668" i="1"/>
  <c r="AO668" i="1" s="1"/>
  <c r="AK668" i="1"/>
  <c r="AJ668" i="1"/>
  <c r="AI668" i="1"/>
  <c r="AH668" i="1"/>
  <c r="AG668" i="1"/>
  <c r="AL668" i="1" s="1"/>
  <c r="AE668" i="1"/>
  <c r="AB668" i="1"/>
  <c r="AA668" i="1"/>
  <c r="AV667" i="1"/>
  <c r="AU667" i="1"/>
  <c r="AP667" i="1"/>
  <c r="AN667" i="1"/>
  <c r="AM667" i="1"/>
  <c r="AL667" i="1"/>
  <c r="AK667" i="1"/>
  <c r="AJ667" i="1"/>
  <c r="AI667" i="1"/>
  <c r="AH667" i="1"/>
  <c r="AG667" i="1"/>
  <c r="AE667" i="1"/>
  <c r="AA667" i="1"/>
  <c r="AB667" i="1" s="1"/>
  <c r="AU666" i="1"/>
  <c r="AV666" i="1" s="1"/>
  <c r="AP666" i="1"/>
  <c r="AN666" i="1"/>
  <c r="AM666" i="1"/>
  <c r="AO666" i="1" s="1"/>
  <c r="AK666" i="1"/>
  <c r="AJ666" i="1"/>
  <c r="AI666" i="1"/>
  <c r="AH666" i="1"/>
  <c r="AG666" i="1"/>
  <c r="AL666" i="1" s="1"/>
  <c r="AE666" i="1"/>
  <c r="AB666" i="1"/>
  <c r="AA666" i="1"/>
  <c r="AV665" i="1"/>
  <c r="AU665" i="1"/>
  <c r="AP665" i="1"/>
  <c r="AN665" i="1"/>
  <c r="AM665" i="1"/>
  <c r="AK665" i="1"/>
  <c r="AJ665" i="1"/>
  <c r="AI665" i="1"/>
  <c r="AH665" i="1"/>
  <c r="AG665" i="1"/>
  <c r="AL665" i="1" s="1"/>
  <c r="AE665" i="1"/>
  <c r="AA665" i="1"/>
  <c r="AB665" i="1" s="1"/>
  <c r="AU664" i="1"/>
  <c r="AV664" i="1" s="1"/>
  <c r="AP664" i="1"/>
  <c r="AN664" i="1"/>
  <c r="AM664" i="1"/>
  <c r="AK664" i="1"/>
  <c r="AJ664" i="1"/>
  <c r="AI664" i="1"/>
  <c r="AH664" i="1"/>
  <c r="AG664" i="1"/>
  <c r="AL664" i="1" s="1"/>
  <c r="AE664" i="1"/>
  <c r="AB664" i="1"/>
  <c r="AA664" i="1"/>
  <c r="AV663" i="1"/>
  <c r="AU663" i="1"/>
  <c r="AP663" i="1"/>
  <c r="AN663" i="1"/>
  <c r="AO663" i="1" s="1"/>
  <c r="AM663" i="1"/>
  <c r="AK663" i="1"/>
  <c r="AJ663" i="1"/>
  <c r="AI663" i="1"/>
  <c r="AH663" i="1"/>
  <c r="AG663" i="1"/>
  <c r="AL663" i="1" s="1"/>
  <c r="AE663" i="1"/>
  <c r="AA663" i="1"/>
  <c r="AB663" i="1" s="1"/>
  <c r="AU662" i="1"/>
  <c r="AV662" i="1" s="1"/>
  <c r="AP662" i="1"/>
  <c r="AN662" i="1"/>
  <c r="AO662" i="1" s="1"/>
  <c r="AM662" i="1"/>
  <c r="AK662" i="1"/>
  <c r="AJ662" i="1"/>
  <c r="AI662" i="1"/>
  <c r="AH662" i="1"/>
  <c r="AG662" i="1"/>
  <c r="AL662" i="1" s="1"/>
  <c r="AE662" i="1"/>
  <c r="AB662" i="1"/>
  <c r="AA662" i="1"/>
  <c r="AV661" i="1"/>
  <c r="AU661" i="1"/>
  <c r="AP661" i="1"/>
  <c r="AN661" i="1"/>
  <c r="AM661" i="1"/>
  <c r="AK661" i="1"/>
  <c r="AJ661" i="1"/>
  <c r="AI661" i="1"/>
  <c r="AH661" i="1"/>
  <c r="AG661" i="1"/>
  <c r="AL661" i="1" s="1"/>
  <c r="AE661" i="1"/>
  <c r="AA661" i="1"/>
  <c r="AB661" i="1" s="1"/>
  <c r="AU660" i="1"/>
  <c r="AV660" i="1" s="1"/>
  <c r="AP660" i="1"/>
  <c r="AN660" i="1"/>
  <c r="AO660" i="1" s="1"/>
  <c r="AM660" i="1"/>
  <c r="AK660" i="1"/>
  <c r="AJ660" i="1"/>
  <c r="AI660" i="1"/>
  <c r="AH660" i="1"/>
  <c r="AG660" i="1"/>
  <c r="AL660" i="1" s="1"/>
  <c r="AE660" i="1"/>
  <c r="AB660" i="1"/>
  <c r="AA660" i="1"/>
  <c r="AV659" i="1"/>
  <c r="AU659" i="1"/>
  <c r="AP659" i="1"/>
  <c r="AN659" i="1"/>
  <c r="AM659" i="1"/>
  <c r="AK659" i="1"/>
  <c r="AJ659" i="1"/>
  <c r="AI659" i="1"/>
  <c r="AH659" i="1"/>
  <c r="AG659" i="1"/>
  <c r="AL659" i="1" s="1"/>
  <c r="AE659" i="1"/>
  <c r="AB659" i="1"/>
  <c r="AA659" i="1"/>
  <c r="AU658" i="1"/>
  <c r="AV658" i="1" s="1"/>
  <c r="AP658" i="1"/>
  <c r="AN658" i="1"/>
  <c r="AM658" i="1"/>
  <c r="AK658" i="1"/>
  <c r="AJ658" i="1"/>
  <c r="AI658" i="1"/>
  <c r="AH658" i="1"/>
  <c r="AG658" i="1"/>
  <c r="AL658" i="1" s="1"/>
  <c r="AE658" i="1"/>
  <c r="AA658" i="1"/>
  <c r="AB658" i="1" s="1"/>
  <c r="AU657" i="1"/>
  <c r="AV657" i="1" s="1"/>
  <c r="AP657" i="1"/>
  <c r="AN657" i="1"/>
  <c r="AO657" i="1" s="1"/>
  <c r="AM657" i="1"/>
  <c r="AK657" i="1"/>
  <c r="AJ657" i="1"/>
  <c r="AI657" i="1"/>
  <c r="AH657" i="1"/>
  <c r="AG657" i="1"/>
  <c r="AL657" i="1" s="1"/>
  <c r="AE657" i="1"/>
  <c r="AA657" i="1"/>
  <c r="AB657" i="1" s="1"/>
  <c r="AV656" i="1"/>
  <c r="AU656" i="1"/>
  <c r="AP656" i="1"/>
  <c r="AN656" i="1"/>
  <c r="AO656" i="1" s="1"/>
  <c r="AM656" i="1"/>
  <c r="AK656" i="1"/>
  <c r="AJ656" i="1"/>
  <c r="AI656" i="1"/>
  <c r="AH656" i="1"/>
  <c r="AG656" i="1"/>
  <c r="AL656" i="1" s="1"/>
  <c r="AE656" i="1"/>
  <c r="AA656" i="1"/>
  <c r="AB656" i="1" s="1"/>
  <c r="AU655" i="1"/>
  <c r="AV655" i="1" s="1"/>
  <c r="AP655" i="1"/>
  <c r="AN655" i="1"/>
  <c r="AM655" i="1"/>
  <c r="AK655" i="1"/>
  <c r="AJ655" i="1"/>
  <c r="AI655" i="1"/>
  <c r="AH655" i="1"/>
  <c r="AG655" i="1"/>
  <c r="AL655" i="1" s="1"/>
  <c r="AE655" i="1"/>
  <c r="AB655" i="1"/>
  <c r="AA655" i="1"/>
  <c r="AU654" i="1"/>
  <c r="AV654" i="1" s="1"/>
  <c r="AP654" i="1"/>
  <c r="AN654" i="1"/>
  <c r="AM654" i="1"/>
  <c r="AK654" i="1"/>
  <c r="AJ654" i="1"/>
  <c r="AI654" i="1"/>
  <c r="AH654" i="1"/>
  <c r="AG654" i="1"/>
  <c r="AL654" i="1" s="1"/>
  <c r="AE654" i="1"/>
  <c r="AA654" i="1"/>
  <c r="AB654" i="1" s="1"/>
  <c r="AU653" i="1"/>
  <c r="AV653" i="1" s="1"/>
  <c r="AP653" i="1"/>
  <c r="AN653" i="1"/>
  <c r="AO653" i="1" s="1"/>
  <c r="AM653" i="1"/>
  <c r="AK653" i="1"/>
  <c r="AJ653" i="1"/>
  <c r="AI653" i="1"/>
  <c r="AH653" i="1"/>
  <c r="AG653" i="1"/>
  <c r="AL653" i="1" s="1"/>
  <c r="AE653" i="1"/>
  <c r="AB653" i="1"/>
  <c r="AA653" i="1"/>
  <c r="AV652" i="1"/>
  <c r="AU652" i="1"/>
  <c r="AP652" i="1"/>
  <c r="AN652" i="1"/>
  <c r="AO652" i="1" s="1"/>
  <c r="AM652" i="1"/>
  <c r="AK652" i="1"/>
  <c r="AJ652" i="1"/>
  <c r="AI652" i="1"/>
  <c r="AH652" i="1"/>
  <c r="AG652" i="1"/>
  <c r="AL652" i="1" s="1"/>
  <c r="AE652" i="1"/>
  <c r="AA652" i="1"/>
  <c r="AB652" i="1" s="1"/>
  <c r="AU651" i="1"/>
  <c r="AV651" i="1" s="1"/>
  <c r="AP651" i="1"/>
  <c r="AN651" i="1"/>
  <c r="AO651" i="1" s="1"/>
  <c r="AM651" i="1"/>
  <c r="AK651" i="1"/>
  <c r="AJ651" i="1"/>
  <c r="AI651" i="1"/>
  <c r="AH651" i="1"/>
  <c r="AG651" i="1"/>
  <c r="AL651" i="1" s="1"/>
  <c r="AE651" i="1"/>
  <c r="AB651" i="1"/>
  <c r="AA651" i="1"/>
  <c r="AU650" i="1"/>
  <c r="AV650" i="1" s="1"/>
  <c r="AP650" i="1"/>
  <c r="AN650" i="1"/>
  <c r="AO650" i="1" s="1"/>
  <c r="AM650" i="1"/>
  <c r="AK650" i="1"/>
  <c r="AJ650" i="1"/>
  <c r="AI650" i="1"/>
  <c r="AH650" i="1"/>
  <c r="AG650" i="1"/>
  <c r="AL650" i="1" s="1"/>
  <c r="AE650" i="1"/>
  <c r="AA650" i="1"/>
  <c r="AB650" i="1" s="1"/>
  <c r="AU649" i="1"/>
  <c r="AV649" i="1" s="1"/>
  <c r="AP649" i="1"/>
  <c r="AO649" i="1"/>
  <c r="AN649" i="1"/>
  <c r="AM649" i="1"/>
  <c r="AK649" i="1"/>
  <c r="AJ649" i="1"/>
  <c r="AI649" i="1"/>
  <c r="AH649" i="1"/>
  <c r="AG649" i="1"/>
  <c r="AL649" i="1" s="1"/>
  <c r="AE649" i="1"/>
  <c r="AB649" i="1"/>
  <c r="AA649" i="1"/>
  <c r="AV648" i="1"/>
  <c r="AU648" i="1"/>
  <c r="AP648" i="1"/>
  <c r="AN648" i="1"/>
  <c r="AM648" i="1"/>
  <c r="AK648" i="1"/>
  <c r="AJ648" i="1"/>
  <c r="AI648" i="1"/>
  <c r="AH648" i="1"/>
  <c r="AG648" i="1"/>
  <c r="AL648" i="1" s="1"/>
  <c r="AE648" i="1"/>
  <c r="AA648" i="1"/>
  <c r="AB648" i="1" s="1"/>
  <c r="AU647" i="1"/>
  <c r="AV647" i="1" s="1"/>
  <c r="AP647" i="1"/>
  <c r="AN647" i="1"/>
  <c r="AO647" i="1" s="1"/>
  <c r="AM647" i="1"/>
  <c r="AK647" i="1"/>
  <c r="AJ647" i="1"/>
  <c r="AI647" i="1"/>
  <c r="AH647" i="1"/>
  <c r="AG647" i="1"/>
  <c r="AL647" i="1" s="1"/>
  <c r="AE647" i="1"/>
  <c r="AB647" i="1"/>
  <c r="AA647" i="1"/>
  <c r="AU646" i="1"/>
  <c r="AV646" i="1" s="1"/>
  <c r="AP646" i="1"/>
  <c r="AN646" i="1"/>
  <c r="AO646" i="1" s="1"/>
  <c r="AM646" i="1"/>
  <c r="AK646" i="1"/>
  <c r="AJ646" i="1"/>
  <c r="AI646" i="1"/>
  <c r="AH646" i="1"/>
  <c r="AG646" i="1"/>
  <c r="AL646" i="1" s="1"/>
  <c r="AE646" i="1"/>
  <c r="AA646" i="1"/>
  <c r="AB646" i="1" s="1"/>
  <c r="AU645" i="1"/>
  <c r="AV645" i="1" s="1"/>
  <c r="AP645" i="1"/>
  <c r="AO645" i="1"/>
  <c r="AN645" i="1"/>
  <c r="AM645" i="1"/>
  <c r="AK645" i="1"/>
  <c r="AJ645" i="1"/>
  <c r="AI645" i="1"/>
  <c r="AH645" i="1"/>
  <c r="AG645" i="1"/>
  <c r="AL645" i="1" s="1"/>
  <c r="AE645" i="1"/>
  <c r="AB645" i="1"/>
  <c r="AA645" i="1"/>
  <c r="AV644" i="1"/>
  <c r="AU644" i="1"/>
  <c r="AP644" i="1"/>
  <c r="AN644" i="1"/>
  <c r="AM644" i="1"/>
  <c r="AK644" i="1"/>
  <c r="AJ644" i="1"/>
  <c r="AI644" i="1"/>
  <c r="AH644" i="1"/>
  <c r="AG644" i="1"/>
  <c r="AL644" i="1" s="1"/>
  <c r="AE644" i="1"/>
  <c r="AA644" i="1"/>
  <c r="AB644" i="1" s="1"/>
  <c r="AU643" i="1"/>
  <c r="AV643" i="1" s="1"/>
  <c r="AP643" i="1"/>
  <c r="AN643" i="1"/>
  <c r="AO643" i="1" s="1"/>
  <c r="AM643" i="1"/>
  <c r="AK643" i="1"/>
  <c r="AJ643" i="1"/>
  <c r="AI643" i="1"/>
  <c r="AH643" i="1"/>
  <c r="AG643" i="1"/>
  <c r="AL643" i="1" s="1"/>
  <c r="AE643" i="1"/>
  <c r="AB643" i="1"/>
  <c r="AA643" i="1"/>
  <c r="AU642" i="1"/>
  <c r="AV642" i="1" s="1"/>
  <c r="AP642" i="1"/>
  <c r="AN642" i="1"/>
  <c r="AO642" i="1" s="1"/>
  <c r="AM642" i="1"/>
  <c r="AK642" i="1"/>
  <c r="AJ642" i="1"/>
  <c r="AI642" i="1"/>
  <c r="AH642" i="1"/>
  <c r="AG642" i="1"/>
  <c r="AL642" i="1" s="1"/>
  <c r="AE642" i="1"/>
  <c r="AA642" i="1"/>
  <c r="AB642" i="1" s="1"/>
  <c r="AU641" i="1"/>
  <c r="AV641" i="1" s="1"/>
  <c r="AP641" i="1"/>
  <c r="AN641" i="1"/>
  <c r="AM641" i="1"/>
  <c r="AK641" i="1"/>
  <c r="AJ641" i="1"/>
  <c r="AI641" i="1"/>
  <c r="AH641" i="1"/>
  <c r="AG641" i="1"/>
  <c r="AL641" i="1" s="1"/>
  <c r="AE641" i="1"/>
  <c r="AA641" i="1"/>
  <c r="AB641" i="1" s="1"/>
  <c r="AV640" i="1"/>
  <c r="AU640" i="1"/>
  <c r="AP640" i="1"/>
  <c r="AN640" i="1"/>
  <c r="AM640" i="1"/>
  <c r="AK640" i="1"/>
  <c r="AJ640" i="1"/>
  <c r="AI640" i="1"/>
  <c r="AH640" i="1"/>
  <c r="AG640" i="1"/>
  <c r="AL640" i="1" s="1"/>
  <c r="AE640" i="1"/>
  <c r="AA640" i="1"/>
  <c r="AB640" i="1" s="1"/>
  <c r="AU639" i="1"/>
  <c r="AV639" i="1" s="1"/>
  <c r="AP639" i="1"/>
  <c r="AN639" i="1"/>
  <c r="AO639" i="1" s="1"/>
  <c r="AM639" i="1"/>
  <c r="AK639" i="1"/>
  <c r="AJ639" i="1"/>
  <c r="AI639" i="1"/>
  <c r="AH639" i="1"/>
  <c r="AG639" i="1"/>
  <c r="AL639" i="1" s="1"/>
  <c r="AE639" i="1"/>
  <c r="AB639" i="1"/>
  <c r="AA639" i="1"/>
  <c r="AU638" i="1"/>
  <c r="AV638" i="1" s="1"/>
  <c r="AP638" i="1"/>
  <c r="AN638" i="1"/>
  <c r="AO638" i="1" s="1"/>
  <c r="AM638" i="1"/>
  <c r="AK638" i="1"/>
  <c r="AJ638" i="1"/>
  <c r="AI638" i="1"/>
  <c r="AH638" i="1"/>
  <c r="AG638" i="1"/>
  <c r="AL638" i="1" s="1"/>
  <c r="AE638" i="1"/>
  <c r="AA638" i="1"/>
  <c r="AB638" i="1" s="1"/>
  <c r="AU637" i="1"/>
  <c r="AV637" i="1" s="1"/>
  <c r="AP637" i="1"/>
  <c r="AN637" i="1"/>
  <c r="AM637" i="1"/>
  <c r="AK637" i="1"/>
  <c r="AJ637" i="1"/>
  <c r="AI637" i="1"/>
  <c r="AH637" i="1"/>
  <c r="AG637" i="1"/>
  <c r="AL637" i="1" s="1"/>
  <c r="AE637" i="1"/>
  <c r="AA637" i="1"/>
  <c r="AB637" i="1" s="1"/>
  <c r="AV636" i="1"/>
  <c r="AU636" i="1"/>
  <c r="AP636" i="1"/>
  <c r="AN636" i="1"/>
  <c r="AM636" i="1"/>
  <c r="AK636" i="1"/>
  <c r="AJ636" i="1"/>
  <c r="AI636" i="1"/>
  <c r="AH636" i="1"/>
  <c r="AG636" i="1"/>
  <c r="AL636" i="1" s="1"/>
  <c r="AE636" i="1"/>
  <c r="AA636" i="1"/>
  <c r="AB636" i="1" s="1"/>
  <c r="AU635" i="1"/>
  <c r="AV635" i="1" s="1"/>
  <c r="AP635" i="1"/>
  <c r="AN635" i="1"/>
  <c r="AM635" i="1"/>
  <c r="AK635" i="1"/>
  <c r="AJ635" i="1"/>
  <c r="AI635" i="1"/>
  <c r="AH635" i="1"/>
  <c r="AG635" i="1"/>
  <c r="AL635" i="1" s="1"/>
  <c r="AE635" i="1"/>
  <c r="AB635" i="1"/>
  <c r="AA635" i="1"/>
  <c r="AU634" i="1"/>
  <c r="AV634" i="1" s="1"/>
  <c r="AP634" i="1"/>
  <c r="AN634" i="1"/>
  <c r="AM634" i="1"/>
  <c r="AK634" i="1"/>
  <c r="AJ634" i="1"/>
  <c r="AI634" i="1"/>
  <c r="AH634" i="1"/>
  <c r="AG634" i="1"/>
  <c r="AL634" i="1" s="1"/>
  <c r="AE634" i="1"/>
  <c r="AA634" i="1"/>
  <c r="AB634" i="1" s="1"/>
  <c r="AU633" i="1"/>
  <c r="AV633" i="1" s="1"/>
  <c r="AP633" i="1"/>
  <c r="AN633" i="1"/>
  <c r="AM633" i="1"/>
  <c r="AO633" i="1" s="1"/>
  <c r="AK633" i="1"/>
  <c r="AJ633" i="1"/>
  <c r="AI633" i="1"/>
  <c r="AH633" i="1"/>
  <c r="AG633" i="1"/>
  <c r="AL633" i="1" s="1"/>
  <c r="AE633" i="1"/>
  <c r="AA633" i="1"/>
  <c r="AB633" i="1" s="1"/>
  <c r="AV632" i="1"/>
  <c r="AU632" i="1"/>
  <c r="AP632" i="1"/>
  <c r="AN632" i="1"/>
  <c r="AM632" i="1"/>
  <c r="AK632" i="1"/>
  <c r="AJ632" i="1"/>
  <c r="AI632" i="1"/>
  <c r="AH632" i="1"/>
  <c r="AG632" i="1"/>
  <c r="AL632" i="1" s="1"/>
  <c r="AE632" i="1"/>
  <c r="AA632" i="1"/>
  <c r="AB632" i="1" s="1"/>
  <c r="AU631" i="1"/>
  <c r="AV631" i="1" s="1"/>
  <c r="AP631" i="1"/>
  <c r="AN631" i="1"/>
  <c r="AM631" i="1"/>
  <c r="AK631" i="1"/>
  <c r="AJ631" i="1"/>
  <c r="AI631" i="1"/>
  <c r="AH631" i="1"/>
  <c r="AG631" i="1"/>
  <c r="AL631" i="1" s="1"/>
  <c r="AE631" i="1"/>
  <c r="AB631" i="1"/>
  <c r="AA631" i="1"/>
  <c r="AU630" i="1"/>
  <c r="AV630" i="1" s="1"/>
  <c r="AP630" i="1"/>
  <c r="AN630" i="1"/>
  <c r="AM630" i="1"/>
  <c r="AL630" i="1"/>
  <c r="AK630" i="1"/>
  <c r="AJ630" i="1"/>
  <c r="AI630" i="1"/>
  <c r="AH630" i="1"/>
  <c r="AG630" i="1"/>
  <c r="AE630" i="1"/>
  <c r="AA630" i="1"/>
  <c r="AB630" i="1" s="1"/>
  <c r="AU629" i="1"/>
  <c r="AV629" i="1" s="1"/>
  <c r="AP629" i="1"/>
  <c r="AN629" i="1"/>
  <c r="AM629" i="1"/>
  <c r="AO629" i="1" s="1"/>
  <c r="AK629" i="1"/>
  <c r="AJ629" i="1"/>
  <c r="AI629" i="1"/>
  <c r="AH629" i="1"/>
  <c r="AG629" i="1"/>
  <c r="AL629" i="1" s="1"/>
  <c r="AE629" i="1"/>
  <c r="AA629" i="1"/>
  <c r="AB629" i="1" s="1"/>
  <c r="AV628" i="1"/>
  <c r="AU628" i="1"/>
  <c r="AP628" i="1"/>
  <c r="AN628" i="1"/>
  <c r="AM628" i="1"/>
  <c r="AK628" i="1"/>
  <c r="AJ628" i="1"/>
  <c r="AI628" i="1"/>
  <c r="AH628" i="1"/>
  <c r="AG628" i="1"/>
  <c r="AL628" i="1" s="1"/>
  <c r="AE628" i="1"/>
  <c r="AA628" i="1"/>
  <c r="AB628" i="1" s="1"/>
  <c r="AU627" i="1"/>
  <c r="AV627" i="1" s="1"/>
  <c r="AP627" i="1"/>
  <c r="AN627" i="1"/>
  <c r="AM627" i="1"/>
  <c r="AK627" i="1"/>
  <c r="AJ627" i="1"/>
  <c r="AI627" i="1"/>
  <c r="AH627" i="1"/>
  <c r="AG627" i="1"/>
  <c r="AL627" i="1" s="1"/>
  <c r="AE627" i="1"/>
  <c r="AB627" i="1"/>
  <c r="AA627" i="1"/>
  <c r="AU626" i="1"/>
  <c r="AV626" i="1" s="1"/>
  <c r="AP626" i="1"/>
  <c r="AN626" i="1"/>
  <c r="AM626" i="1"/>
  <c r="AL626" i="1"/>
  <c r="AK626" i="1"/>
  <c r="AJ626" i="1"/>
  <c r="AI626" i="1"/>
  <c r="AH626" i="1"/>
  <c r="AG626" i="1"/>
  <c r="AE626" i="1"/>
  <c r="AA626" i="1"/>
  <c r="AB626" i="1" s="1"/>
  <c r="AU625" i="1"/>
  <c r="AV625" i="1" s="1"/>
  <c r="AP625" i="1"/>
  <c r="AN625" i="1"/>
  <c r="AM625" i="1"/>
  <c r="AK625" i="1"/>
  <c r="AJ625" i="1"/>
  <c r="AI625" i="1"/>
  <c r="AH625" i="1"/>
  <c r="AG625" i="1"/>
  <c r="AL625" i="1" s="1"/>
  <c r="AE625" i="1"/>
  <c r="AA625" i="1"/>
  <c r="AB625" i="1" s="1"/>
  <c r="AV624" i="1"/>
  <c r="AU624" i="1"/>
  <c r="AP624" i="1"/>
  <c r="AN624" i="1"/>
  <c r="AM624" i="1"/>
  <c r="AK624" i="1"/>
  <c r="AJ624" i="1"/>
  <c r="AI624" i="1"/>
  <c r="AH624" i="1"/>
  <c r="AG624" i="1"/>
  <c r="AL624" i="1" s="1"/>
  <c r="AE624" i="1"/>
  <c r="AB624" i="1"/>
  <c r="AA624" i="1"/>
  <c r="AU623" i="1"/>
  <c r="AV623" i="1" s="1"/>
  <c r="AP623" i="1"/>
  <c r="AN623" i="1"/>
  <c r="AM623" i="1"/>
  <c r="AK623" i="1"/>
  <c r="AJ623" i="1"/>
  <c r="AI623" i="1"/>
  <c r="AH623" i="1"/>
  <c r="AG623" i="1"/>
  <c r="AL623" i="1" s="1"/>
  <c r="AE623" i="1"/>
  <c r="AA623" i="1"/>
  <c r="AB623" i="1" s="1"/>
  <c r="AU622" i="1"/>
  <c r="AV622" i="1" s="1"/>
  <c r="AP622" i="1"/>
  <c r="AN622" i="1"/>
  <c r="AM622" i="1"/>
  <c r="AK622" i="1"/>
  <c r="AJ622" i="1"/>
  <c r="AI622" i="1"/>
  <c r="AH622" i="1"/>
  <c r="AG622" i="1"/>
  <c r="AL622" i="1" s="1"/>
  <c r="AE622" i="1"/>
  <c r="AA622" i="1"/>
  <c r="AB622" i="1" s="1"/>
  <c r="AV621" i="1"/>
  <c r="AU621" i="1"/>
  <c r="AP621" i="1"/>
  <c r="AN621" i="1"/>
  <c r="AO621" i="1" s="1"/>
  <c r="AM621" i="1"/>
  <c r="AK621" i="1"/>
  <c r="AJ621" i="1"/>
  <c r="AI621" i="1"/>
  <c r="AH621" i="1"/>
  <c r="AG621" i="1"/>
  <c r="AL621" i="1" s="1"/>
  <c r="AE621" i="1"/>
  <c r="AA621" i="1"/>
  <c r="AB621" i="1" s="1"/>
  <c r="AU620" i="1"/>
  <c r="AV620" i="1" s="1"/>
  <c r="AP620" i="1"/>
  <c r="AN620" i="1"/>
  <c r="AM620" i="1"/>
  <c r="AK620" i="1"/>
  <c r="AJ620" i="1"/>
  <c r="AI620" i="1"/>
  <c r="AH620" i="1"/>
  <c r="AG620" i="1"/>
  <c r="AL620" i="1" s="1"/>
  <c r="AE620" i="1"/>
  <c r="AB620" i="1"/>
  <c r="AA620" i="1"/>
  <c r="AU619" i="1"/>
  <c r="AV619" i="1" s="1"/>
  <c r="AP619" i="1"/>
  <c r="AN619" i="1"/>
  <c r="AM619" i="1"/>
  <c r="AK619" i="1"/>
  <c r="AJ619" i="1"/>
  <c r="AI619" i="1"/>
  <c r="AH619" i="1"/>
  <c r="AG619" i="1"/>
  <c r="AL619" i="1" s="1"/>
  <c r="AE619" i="1"/>
  <c r="AA619" i="1"/>
  <c r="AB619" i="1" s="1"/>
  <c r="AU618" i="1"/>
  <c r="AV618" i="1" s="1"/>
  <c r="AP618" i="1"/>
  <c r="AN618" i="1"/>
  <c r="AO618" i="1" s="1"/>
  <c r="AM618" i="1"/>
  <c r="AK618" i="1"/>
  <c r="AJ618" i="1"/>
  <c r="AI618" i="1"/>
  <c r="AH618" i="1"/>
  <c r="AG618" i="1"/>
  <c r="AL618" i="1" s="1"/>
  <c r="AE618" i="1"/>
  <c r="AA618" i="1"/>
  <c r="AB618" i="1" s="1"/>
  <c r="AV617" i="1"/>
  <c r="AU617" i="1"/>
  <c r="AP617" i="1"/>
  <c r="AN617" i="1"/>
  <c r="AO617" i="1" s="1"/>
  <c r="AM617" i="1"/>
  <c r="AK617" i="1"/>
  <c r="AJ617" i="1"/>
  <c r="AI617" i="1"/>
  <c r="AH617" i="1"/>
  <c r="AG617" i="1"/>
  <c r="AL617" i="1" s="1"/>
  <c r="AE617" i="1"/>
  <c r="AB617" i="1"/>
  <c r="AA617" i="1"/>
  <c r="AU616" i="1"/>
  <c r="AV616" i="1" s="1"/>
  <c r="AP616" i="1"/>
  <c r="AN616" i="1"/>
  <c r="AO616" i="1" s="1"/>
  <c r="AM616" i="1"/>
  <c r="AK616" i="1"/>
  <c r="AJ616" i="1"/>
  <c r="AI616" i="1"/>
  <c r="AH616" i="1"/>
  <c r="AG616" i="1"/>
  <c r="AL616" i="1" s="1"/>
  <c r="AE616" i="1"/>
  <c r="AB616" i="1"/>
  <c r="AA616" i="1"/>
  <c r="AU615" i="1"/>
  <c r="AV615" i="1" s="1"/>
  <c r="AP615" i="1"/>
  <c r="AN615" i="1"/>
  <c r="AO615" i="1" s="1"/>
  <c r="AM615" i="1"/>
  <c r="AK615" i="1"/>
  <c r="AJ615" i="1"/>
  <c r="AI615" i="1"/>
  <c r="AH615" i="1"/>
  <c r="AG615" i="1"/>
  <c r="AL615" i="1" s="1"/>
  <c r="AE615" i="1"/>
  <c r="AB615" i="1"/>
  <c r="AA615" i="1"/>
  <c r="AU614" i="1"/>
  <c r="AV614" i="1" s="1"/>
  <c r="AP614" i="1"/>
  <c r="AN614" i="1"/>
  <c r="AM614" i="1"/>
  <c r="AK614" i="1"/>
  <c r="AJ614" i="1"/>
  <c r="AI614" i="1"/>
  <c r="AH614" i="1"/>
  <c r="AG614" i="1"/>
  <c r="AL614" i="1" s="1"/>
  <c r="AE614" i="1"/>
  <c r="AA614" i="1"/>
  <c r="AB614" i="1" s="1"/>
  <c r="AV613" i="1"/>
  <c r="AU613" i="1"/>
  <c r="AP613" i="1"/>
  <c r="AN613" i="1"/>
  <c r="AM613" i="1"/>
  <c r="AK613" i="1"/>
  <c r="AJ613" i="1"/>
  <c r="AI613" i="1"/>
  <c r="AH613" i="1"/>
  <c r="AG613" i="1"/>
  <c r="AL613" i="1" s="1"/>
  <c r="AE613" i="1"/>
  <c r="AA613" i="1"/>
  <c r="AB613" i="1" s="1"/>
  <c r="AU612" i="1"/>
  <c r="AV612" i="1" s="1"/>
  <c r="AP612" i="1"/>
  <c r="AN612" i="1"/>
  <c r="AO612" i="1" s="1"/>
  <c r="AM612" i="1"/>
  <c r="AK612" i="1"/>
  <c r="AJ612" i="1"/>
  <c r="AI612" i="1"/>
  <c r="AH612" i="1"/>
  <c r="AG612" i="1"/>
  <c r="AL612" i="1" s="1"/>
  <c r="AE612" i="1"/>
  <c r="AB612" i="1"/>
  <c r="AA612" i="1"/>
  <c r="AU611" i="1"/>
  <c r="AV611" i="1" s="1"/>
  <c r="AP611" i="1"/>
  <c r="AN611" i="1"/>
  <c r="AO611" i="1" s="1"/>
  <c r="AM611" i="1"/>
  <c r="AK611" i="1"/>
  <c r="AJ611" i="1"/>
  <c r="AI611" i="1"/>
  <c r="AH611" i="1"/>
  <c r="AG611" i="1"/>
  <c r="AL611" i="1" s="1"/>
  <c r="AE611" i="1"/>
  <c r="AA611" i="1"/>
  <c r="AB611" i="1" s="1"/>
  <c r="AU610" i="1"/>
  <c r="AV610" i="1" s="1"/>
  <c r="AP610" i="1"/>
  <c r="AN610" i="1"/>
  <c r="AM610" i="1"/>
  <c r="AO610" i="1" s="1"/>
  <c r="AK610" i="1"/>
  <c r="AJ610" i="1"/>
  <c r="AI610" i="1"/>
  <c r="AH610" i="1"/>
  <c r="AG610" i="1"/>
  <c r="AL610" i="1" s="1"/>
  <c r="AE610" i="1"/>
  <c r="AA610" i="1"/>
  <c r="AB610" i="1" s="1"/>
  <c r="AV609" i="1"/>
  <c r="AU609" i="1"/>
  <c r="AP609" i="1"/>
  <c r="AN609" i="1"/>
  <c r="AM609" i="1"/>
  <c r="AK609" i="1"/>
  <c r="AJ609" i="1"/>
  <c r="AI609" i="1"/>
  <c r="AH609" i="1"/>
  <c r="AG609" i="1"/>
  <c r="AL609" i="1" s="1"/>
  <c r="AE609" i="1"/>
  <c r="AA609" i="1"/>
  <c r="AB609" i="1" s="1"/>
  <c r="AU608" i="1"/>
  <c r="AV608" i="1" s="1"/>
  <c r="AP608" i="1"/>
  <c r="AN608" i="1"/>
  <c r="AO608" i="1" s="1"/>
  <c r="AM608" i="1"/>
  <c r="AK608" i="1"/>
  <c r="AJ608" i="1"/>
  <c r="AI608" i="1"/>
  <c r="AH608" i="1"/>
  <c r="AG608" i="1"/>
  <c r="AL608" i="1" s="1"/>
  <c r="AE608" i="1"/>
  <c r="AB608" i="1"/>
  <c r="AA608" i="1"/>
  <c r="AU607" i="1"/>
  <c r="AV607" i="1" s="1"/>
  <c r="AP607" i="1"/>
  <c r="AN607" i="1"/>
  <c r="AO607" i="1" s="1"/>
  <c r="AM607" i="1"/>
  <c r="AK607" i="1"/>
  <c r="AJ607" i="1"/>
  <c r="AI607" i="1"/>
  <c r="AH607" i="1"/>
  <c r="AG607" i="1"/>
  <c r="AL607" i="1" s="1"/>
  <c r="AE607" i="1"/>
  <c r="AA607" i="1"/>
  <c r="AB607" i="1" s="1"/>
  <c r="AU606" i="1"/>
  <c r="AV606" i="1" s="1"/>
  <c r="AP606" i="1"/>
  <c r="AN606" i="1"/>
  <c r="AM606" i="1"/>
  <c r="AK606" i="1"/>
  <c r="AJ606" i="1"/>
  <c r="AI606" i="1"/>
  <c r="AH606" i="1"/>
  <c r="AG606" i="1"/>
  <c r="AL606" i="1" s="1"/>
  <c r="AE606" i="1"/>
  <c r="AA606" i="1"/>
  <c r="AB606" i="1" s="1"/>
  <c r="AV605" i="1"/>
  <c r="AU605" i="1"/>
  <c r="AP605" i="1"/>
  <c r="AN605" i="1"/>
  <c r="AM605" i="1"/>
  <c r="AK605" i="1"/>
  <c r="AJ605" i="1"/>
  <c r="AI605" i="1"/>
  <c r="AH605" i="1"/>
  <c r="AG605" i="1"/>
  <c r="AL605" i="1" s="1"/>
  <c r="AE605" i="1"/>
  <c r="AA605" i="1"/>
  <c r="AB605" i="1" s="1"/>
  <c r="AU604" i="1"/>
  <c r="AV604" i="1" s="1"/>
  <c r="AP604" i="1"/>
  <c r="AN604" i="1"/>
  <c r="AO604" i="1" s="1"/>
  <c r="AM604" i="1"/>
  <c r="AK604" i="1"/>
  <c r="AJ604" i="1"/>
  <c r="AI604" i="1"/>
  <c r="AH604" i="1"/>
  <c r="AG604" i="1"/>
  <c r="AL604" i="1" s="1"/>
  <c r="AE604" i="1"/>
  <c r="AB604" i="1"/>
  <c r="AA604" i="1"/>
  <c r="AU603" i="1"/>
  <c r="AV603" i="1" s="1"/>
  <c r="AP603" i="1"/>
  <c r="AN603" i="1"/>
  <c r="AO603" i="1" s="1"/>
  <c r="AM603" i="1"/>
  <c r="AK603" i="1"/>
  <c r="AJ603" i="1"/>
  <c r="AI603" i="1"/>
  <c r="AH603" i="1"/>
  <c r="AG603" i="1"/>
  <c r="AL603" i="1" s="1"/>
  <c r="AE603" i="1"/>
  <c r="AA603" i="1"/>
  <c r="AB603" i="1" s="1"/>
  <c r="AU602" i="1"/>
  <c r="AV602" i="1" s="1"/>
  <c r="AP602" i="1"/>
  <c r="AN602" i="1"/>
  <c r="AM602" i="1"/>
  <c r="AO602" i="1" s="1"/>
  <c r="AK602" i="1"/>
  <c r="AJ602" i="1"/>
  <c r="AI602" i="1"/>
  <c r="AH602" i="1"/>
  <c r="AG602" i="1"/>
  <c r="AL602" i="1" s="1"/>
  <c r="AE602" i="1"/>
  <c r="AA602" i="1"/>
  <c r="AB602" i="1" s="1"/>
  <c r="AV601" i="1"/>
  <c r="AU601" i="1"/>
  <c r="AP601" i="1"/>
  <c r="AN601" i="1"/>
  <c r="AM601" i="1"/>
  <c r="AK601" i="1"/>
  <c r="AJ601" i="1"/>
  <c r="AI601" i="1"/>
  <c r="AH601" i="1"/>
  <c r="AG601" i="1"/>
  <c r="AL601" i="1" s="1"/>
  <c r="AE601" i="1"/>
  <c r="AB601" i="1"/>
  <c r="AA601" i="1"/>
  <c r="AU600" i="1"/>
  <c r="AV600" i="1" s="1"/>
  <c r="AP600" i="1"/>
  <c r="AN600" i="1"/>
  <c r="AM600" i="1"/>
  <c r="AK600" i="1"/>
  <c r="AJ600" i="1"/>
  <c r="AI600" i="1"/>
  <c r="AH600" i="1"/>
  <c r="AG600" i="1"/>
  <c r="AL600" i="1" s="1"/>
  <c r="AE600" i="1"/>
  <c r="AB600" i="1"/>
  <c r="AA600" i="1"/>
  <c r="AU599" i="1"/>
  <c r="AV599" i="1" s="1"/>
  <c r="AP599" i="1"/>
  <c r="AN599" i="1"/>
  <c r="AM599" i="1"/>
  <c r="AL599" i="1"/>
  <c r="AK599" i="1"/>
  <c r="AJ599" i="1"/>
  <c r="AI599" i="1"/>
  <c r="AH599" i="1"/>
  <c r="AG599" i="1"/>
  <c r="AE599" i="1"/>
  <c r="AA599" i="1"/>
  <c r="AB599" i="1" s="1"/>
  <c r="AU598" i="1"/>
  <c r="AV598" i="1" s="1"/>
  <c r="AP598" i="1"/>
  <c r="AN598" i="1"/>
  <c r="AM598" i="1"/>
  <c r="AK598" i="1"/>
  <c r="AJ598" i="1"/>
  <c r="AI598" i="1"/>
  <c r="AH598" i="1"/>
  <c r="AG598" i="1"/>
  <c r="AL598" i="1" s="1"/>
  <c r="AE598" i="1"/>
  <c r="AA598" i="1"/>
  <c r="AB598" i="1" s="1"/>
  <c r="AV597" i="1"/>
  <c r="AU597" i="1"/>
  <c r="AP597" i="1"/>
  <c r="AN597" i="1"/>
  <c r="AM597" i="1"/>
  <c r="AK597" i="1"/>
  <c r="AJ597" i="1"/>
  <c r="AI597" i="1"/>
  <c r="AH597" i="1"/>
  <c r="AG597" i="1"/>
  <c r="AL597" i="1" s="1"/>
  <c r="AE597" i="1"/>
  <c r="AA597" i="1"/>
  <c r="AB597" i="1" s="1"/>
  <c r="AU596" i="1"/>
  <c r="AV596" i="1" s="1"/>
  <c r="AP596" i="1"/>
  <c r="AN596" i="1"/>
  <c r="AM596" i="1"/>
  <c r="AK596" i="1"/>
  <c r="AJ596" i="1"/>
  <c r="AI596" i="1"/>
  <c r="AH596" i="1"/>
  <c r="AG596" i="1"/>
  <c r="AL596" i="1" s="1"/>
  <c r="AE596" i="1"/>
  <c r="AB596" i="1"/>
  <c r="AA596" i="1"/>
  <c r="AU595" i="1"/>
  <c r="AV595" i="1" s="1"/>
  <c r="AP595" i="1"/>
  <c r="AN595" i="1"/>
  <c r="AM595" i="1"/>
  <c r="AL595" i="1"/>
  <c r="AK595" i="1"/>
  <c r="AJ595" i="1"/>
  <c r="AI595" i="1"/>
  <c r="AH595" i="1"/>
  <c r="AG595" i="1"/>
  <c r="AE595" i="1"/>
  <c r="AA595" i="1"/>
  <c r="AB595" i="1" s="1"/>
  <c r="AU594" i="1"/>
  <c r="AV594" i="1" s="1"/>
  <c r="AP594" i="1"/>
  <c r="AN594" i="1"/>
  <c r="AO594" i="1" s="1"/>
  <c r="AM594" i="1"/>
  <c r="AK594" i="1"/>
  <c r="AJ594" i="1"/>
  <c r="AI594" i="1"/>
  <c r="AH594" i="1"/>
  <c r="AG594" i="1"/>
  <c r="AL594" i="1" s="1"/>
  <c r="AE594" i="1"/>
  <c r="AA594" i="1"/>
  <c r="AB594" i="1" s="1"/>
  <c r="AV593" i="1"/>
  <c r="AU593" i="1"/>
  <c r="AP593" i="1"/>
  <c r="AN593" i="1"/>
  <c r="AM593" i="1"/>
  <c r="AK593" i="1"/>
  <c r="AJ593" i="1"/>
  <c r="AI593" i="1"/>
  <c r="AH593" i="1"/>
  <c r="AG593" i="1"/>
  <c r="AL593" i="1" s="1"/>
  <c r="AE593" i="1"/>
  <c r="AA593" i="1"/>
  <c r="AB593" i="1" s="1"/>
  <c r="AU592" i="1"/>
  <c r="AV592" i="1" s="1"/>
  <c r="AP592" i="1"/>
  <c r="AN592" i="1"/>
  <c r="AM592" i="1"/>
  <c r="AK592" i="1"/>
  <c r="AJ592" i="1"/>
  <c r="AI592" i="1"/>
  <c r="AH592" i="1"/>
  <c r="AG592" i="1"/>
  <c r="AL592" i="1" s="1"/>
  <c r="AE592" i="1"/>
  <c r="AB592" i="1"/>
  <c r="AA592" i="1"/>
  <c r="AU591" i="1"/>
  <c r="AV591" i="1" s="1"/>
  <c r="AP591" i="1"/>
  <c r="AN591" i="1"/>
  <c r="AM591" i="1"/>
  <c r="AK591" i="1"/>
  <c r="AJ591" i="1"/>
  <c r="AI591" i="1"/>
  <c r="AH591" i="1"/>
  <c r="AG591" i="1"/>
  <c r="AL591" i="1" s="1"/>
  <c r="AE591" i="1"/>
  <c r="AA591" i="1"/>
  <c r="AB591" i="1" s="1"/>
  <c r="AU590" i="1"/>
  <c r="AV590" i="1" s="1"/>
  <c r="AP590" i="1"/>
  <c r="AN590" i="1"/>
  <c r="AO590" i="1" s="1"/>
  <c r="AM590" i="1"/>
  <c r="AK590" i="1"/>
  <c r="AJ590" i="1"/>
  <c r="AI590" i="1"/>
  <c r="AH590" i="1"/>
  <c r="AG590" i="1"/>
  <c r="AL590" i="1" s="1"/>
  <c r="AE590" i="1"/>
  <c r="AB590" i="1"/>
  <c r="AA590" i="1"/>
  <c r="AV589" i="1"/>
  <c r="AU589" i="1"/>
  <c r="AP589" i="1"/>
  <c r="AN589" i="1"/>
  <c r="AO589" i="1" s="1"/>
  <c r="AM589" i="1"/>
  <c r="AK589" i="1"/>
  <c r="AJ589" i="1"/>
  <c r="AI589" i="1"/>
  <c r="AH589" i="1"/>
  <c r="AG589" i="1"/>
  <c r="AL589" i="1" s="1"/>
  <c r="AE589" i="1"/>
  <c r="AA589" i="1"/>
  <c r="AB589" i="1" s="1"/>
  <c r="AU588" i="1"/>
  <c r="AV588" i="1" s="1"/>
  <c r="AP588" i="1"/>
  <c r="AN588" i="1"/>
  <c r="AM588" i="1"/>
  <c r="AK588" i="1"/>
  <c r="AJ588" i="1"/>
  <c r="AI588" i="1"/>
  <c r="AH588" i="1"/>
  <c r="AG588" i="1"/>
  <c r="AL588" i="1" s="1"/>
  <c r="AE588" i="1"/>
  <c r="AB588" i="1"/>
  <c r="AA588" i="1"/>
  <c r="AU587" i="1"/>
  <c r="AV587" i="1" s="1"/>
  <c r="AP587" i="1"/>
  <c r="AN587" i="1"/>
  <c r="AM587" i="1"/>
  <c r="AK587" i="1"/>
  <c r="AJ587" i="1"/>
  <c r="AI587" i="1"/>
  <c r="AH587" i="1"/>
  <c r="AG587" i="1"/>
  <c r="AL587" i="1" s="1"/>
  <c r="AE587" i="1"/>
  <c r="AA587" i="1"/>
  <c r="AB587" i="1" s="1"/>
  <c r="AU586" i="1"/>
  <c r="AV586" i="1" s="1"/>
  <c r="AP586" i="1"/>
  <c r="AN586" i="1"/>
  <c r="AO586" i="1" s="1"/>
  <c r="AM586" i="1"/>
  <c r="AK586" i="1"/>
  <c r="AJ586" i="1"/>
  <c r="AI586" i="1"/>
  <c r="AH586" i="1"/>
  <c r="AG586" i="1"/>
  <c r="AL586" i="1" s="1"/>
  <c r="AE586" i="1"/>
  <c r="AA586" i="1"/>
  <c r="AB586" i="1" s="1"/>
  <c r="AV585" i="1"/>
  <c r="AU585" i="1"/>
  <c r="AP585" i="1"/>
  <c r="AN585" i="1"/>
  <c r="AO585" i="1" s="1"/>
  <c r="AM585" i="1"/>
  <c r="AK585" i="1"/>
  <c r="AJ585" i="1"/>
  <c r="AI585" i="1"/>
  <c r="AH585" i="1"/>
  <c r="AG585" i="1"/>
  <c r="AL585" i="1" s="1"/>
  <c r="AE585" i="1"/>
  <c r="AA585" i="1"/>
  <c r="AB585" i="1" s="1"/>
  <c r="AU584" i="1"/>
  <c r="AV584" i="1" s="1"/>
  <c r="AP584" i="1"/>
  <c r="AN584" i="1"/>
  <c r="AM584" i="1"/>
  <c r="AK584" i="1"/>
  <c r="AJ584" i="1"/>
  <c r="AI584" i="1"/>
  <c r="AH584" i="1"/>
  <c r="AG584" i="1"/>
  <c r="AL584" i="1" s="1"/>
  <c r="AE584" i="1"/>
  <c r="AB584" i="1"/>
  <c r="AA584" i="1"/>
  <c r="AU583" i="1"/>
  <c r="AV583" i="1" s="1"/>
  <c r="AP583" i="1"/>
  <c r="AN583" i="1"/>
  <c r="AM583" i="1"/>
  <c r="AK583" i="1"/>
  <c r="AJ583" i="1"/>
  <c r="AI583" i="1"/>
  <c r="AH583" i="1"/>
  <c r="AG583" i="1"/>
  <c r="AL583" i="1" s="1"/>
  <c r="AE583" i="1"/>
  <c r="AB583" i="1"/>
  <c r="AA583" i="1"/>
  <c r="AU582" i="1"/>
  <c r="AV582" i="1" s="1"/>
  <c r="AP582" i="1"/>
  <c r="AN582" i="1"/>
  <c r="AM582" i="1"/>
  <c r="AO582" i="1" s="1"/>
  <c r="AL582" i="1"/>
  <c r="AK582" i="1"/>
  <c r="AJ582" i="1"/>
  <c r="AI582" i="1"/>
  <c r="AH582" i="1"/>
  <c r="AG582" i="1"/>
  <c r="AE582" i="1"/>
  <c r="AA582" i="1"/>
  <c r="AB582" i="1" s="1"/>
  <c r="AV581" i="1"/>
  <c r="AU581" i="1"/>
  <c r="AP581" i="1"/>
  <c r="AN581" i="1"/>
  <c r="AM581" i="1"/>
  <c r="AK581" i="1"/>
  <c r="AJ581" i="1"/>
  <c r="AI581" i="1"/>
  <c r="AH581" i="1"/>
  <c r="AG581" i="1"/>
  <c r="AL581" i="1" s="1"/>
  <c r="AE581" i="1"/>
  <c r="AA581" i="1"/>
  <c r="AB581" i="1" s="1"/>
  <c r="AV580" i="1"/>
  <c r="AU580" i="1"/>
  <c r="AP580" i="1"/>
  <c r="AN580" i="1"/>
  <c r="AM580" i="1"/>
  <c r="AK580" i="1"/>
  <c r="AJ580" i="1"/>
  <c r="AI580" i="1"/>
  <c r="AH580" i="1"/>
  <c r="AG580" i="1"/>
  <c r="AL580" i="1" s="1"/>
  <c r="AE580" i="1"/>
  <c r="AB580" i="1"/>
  <c r="AA580" i="1"/>
  <c r="AU579" i="1"/>
  <c r="AV579" i="1" s="1"/>
  <c r="AP579" i="1"/>
  <c r="AN579" i="1"/>
  <c r="AM579" i="1"/>
  <c r="AK579" i="1"/>
  <c r="AJ579" i="1"/>
  <c r="AI579" i="1"/>
  <c r="AH579" i="1"/>
  <c r="AG579" i="1"/>
  <c r="AL579" i="1" s="1"/>
  <c r="AE579" i="1"/>
  <c r="AB579" i="1"/>
  <c r="AA579" i="1"/>
  <c r="AU578" i="1"/>
  <c r="AV578" i="1" s="1"/>
  <c r="AP578" i="1"/>
  <c r="AN578" i="1"/>
  <c r="AM578" i="1"/>
  <c r="AO578" i="1" s="1"/>
  <c r="AK578" i="1"/>
  <c r="AJ578" i="1"/>
  <c r="AI578" i="1"/>
  <c r="AH578" i="1"/>
  <c r="AG578" i="1"/>
  <c r="AL578" i="1" s="1"/>
  <c r="AE578" i="1"/>
  <c r="AA578" i="1"/>
  <c r="AB578" i="1" s="1"/>
  <c r="AV577" i="1"/>
  <c r="AU577" i="1"/>
  <c r="AP577" i="1"/>
  <c r="AN577" i="1"/>
  <c r="AM577" i="1"/>
  <c r="AK577" i="1"/>
  <c r="AJ577" i="1"/>
  <c r="AI577" i="1"/>
  <c r="AH577" i="1"/>
  <c r="AG577" i="1"/>
  <c r="AL577" i="1" s="1"/>
  <c r="AE577" i="1"/>
  <c r="AA577" i="1"/>
  <c r="AB577" i="1" s="1"/>
  <c r="AV576" i="1"/>
  <c r="AU576" i="1"/>
  <c r="AP576" i="1"/>
  <c r="AN576" i="1"/>
  <c r="AM576" i="1"/>
  <c r="AK576" i="1"/>
  <c r="AJ576" i="1"/>
  <c r="AI576" i="1"/>
  <c r="AH576" i="1"/>
  <c r="AG576" i="1"/>
  <c r="AL576" i="1" s="1"/>
  <c r="AE576" i="1"/>
  <c r="AB576" i="1"/>
  <c r="AA576" i="1"/>
  <c r="AU575" i="1"/>
  <c r="AV575" i="1" s="1"/>
  <c r="AP575" i="1"/>
  <c r="AN575" i="1"/>
  <c r="AM575" i="1"/>
  <c r="AL575" i="1"/>
  <c r="AK575" i="1"/>
  <c r="AJ575" i="1"/>
  <c r="AI575" i="1"/>
  <c r="AH575" i="1"/>
  <c r="AG575" i="1"/>
  <c r="AE575" i="1"/>
  <c r="AB575" i="1"/>
  <c r="AA575" i="1"/>
  <c r="AU574" i="1"/>
  <c r="AV574" i="1" s="1"/>
  <c r="AP574" i="1"/>
  <c r="AN574" i="1"/>
  <c r="AM574" i="1"/>
  <c r="AK574" i="1"/>
  <c r="AJ574" i="1"/>
  <c r="AI574" i="1"/>
  <c r="AH574" i="1"/>
  <c r="AG574" i="1"/>
  <c r="AL574" i="1" s="1"/>
  <c r="AE574" i="1"/>
  <c r="AA574" i="1"/>
  <c r="AB574" i="1" s="1"/>
  <c r="AV573" i="1"/>
  <c r="AU573" i="1"/>
  <c r="AP573" i="1"/>
  <c r="AO573" i="1"/>
  <c r="AN573" i="1"/>
  <c r="AM573" i="1"/>
  <c r="AK573" i="1"/>
  <c r="AJ573" i="1"/>
  <c r="AI573" i="1"/>
  <c r="AH573" i="1"/>
  <c r="AG573" i="1"/>
  <c r="AL573" i="1" s="1"/>
  <c r="AE573" i="1"/>
  <c r="AA573" i="1"/>
  <c r="AB573" i="1" s="1"/>
  <c r="AU572" i="1"/>
  <c r="AV572" i="1" s="1"/>
  <c r="AP572" i="1"/>
  <c r="AN572" i="1"/>
  <c r="AO572" i="1" s="1"/>
  <c r="AM572" i="1"/>
  <c r="AK572" i="1"/>
  <c r="AJ572" i="1"/>
  <c r="AI572" i="1"/>
  <c r="AH572" i="1"/>
  <c r="AG572" i="1"/>
  <c r="AL572" i="1" s="1"/>
  <c r="AE572" i="1"/>
  <c r="AB572" i="1"/>
  <c r="AA572" i="1"/>
  <c r="AV571" i="1"/>
  <c r="AU571" i="1"/>
  <c r="AP571" i="1"/>
  <c r="AN571" i="1"/>
  <c r="AM571" i="1"/>
  <c r="AK571" i="1"/>
  <c r="AJ571" i="1"/>
  <c r="AI571" i="1"/>
  <c r="AH571" i="1"/>
  <c r="AG571" i="1"/>
  <c r="AL571" i="1" s="1"/>
  <c r="AE571" i="1"/>
  <c r="AB571" i="1"/>
  <c r="AA571" i="1"/>
  <c r="AU570" i="1"/>
  <c r="AV570" i="1" s="1"/>
  <c r="AP570" i="1"/>
  <c r="AN570" i="1"/>
  <c r="AM570" i="1"/>
  <c r="AK570" i="1"/>
  <c r="AJ570" i="1"/>
  <c r="AI570" i="1"/>
  <c r="AH570" i="1"/>
  <c r="AG570" i="1"/>
  <c r="AL570" i="1" s="1"/>
  <c r="AE570" i="1"/>
  <c r="AB570" i="1"/>
  <c r="AA570" i="1"/>
  <c r="AU569" i="1"/>
  <c r="AV569" i="1" s="1"/>
  <c r="AP569" i="1"/>
  <c r="AN569" i="1"/>
  <c r="AM569" i="1"/>
  <c r="AO569" i="1" s="1"/>
  <c r="AK569" i="1"/>
  <c r="AJ569" i="1"/>
  <c r="AI569" i="1"/>
  <c r="AH569" i="1"/>
  <c r="AG569" i="1"/>
  <c r="AL569" i="1" s="1"/>
  <c r="AE569" i="1"/>
  <c r="AA569" i="1"/>
  <c r="AB569" i="1" s="1"/>
  <c r="AV568" i="1"/>
  <c r="AU568" i="1"/>
  <c r="AP568" i="1"/>
  <c r="AN568" i="1"/>
  <c r="AM568" i="1"/>
  <c r="AK568" i="1"/>
  <c r="AJ568" i="1"/>
  <c r="AI568" i="1"/>
  <c r="AH568" i="1"/>
  <c r="AG568" i="1"/>
  <c r="AL568" i="1" s="1"/>
  <c r="AE568" i="1"/>
  <c r="AA568" i="1"/>
  <c r="AB568" i="1" s="1"/>
  <c r="AV567" i="1"/>
  <c r="AU567" i="1"/>
  <c r="AP567" i="1"/>
  <c r="AN567" i="1"/>
  <c r="AM567" i="1"/>
  <c r="AK567" i="1"/>
  <c r="AJ567" i="1"/>
  <c r="AI567" i="1"/>
  <c r="AH567" i="1"/>
  <c r="AG567" i="1"/>
  <c r="AL567" i="1" s="1"/>
  <c r="AE567" i="1"/>
  <c r="AB567" i="1"/>
  <c r="AA567" i="1"/>
  <c r="AU566" i="1"/>
  <c r="AV566" i="1" s="1"/>
  <c r="AP566" i="1"/>
  <c r="AN566" i="1"/>
  <c r="AM566" i="1"/>
  <c r="AK566" i="1"/>
  <c r="AJ566" i="1"/>
  <c r="AI566" i="1"/>
  <c r="AH566" i="1"/>
  <c r="AG566" i="1"/>
  <c r="AL566" i="1" s="1"/>
  <c r="AE566" i="1"/>
  <c r="AB566" i="1"/>
  <c r="AA566" i="1"/>
  <c r="AU565" i="1"/>
  <c r="AV565" i="1" s="1"/>
  <c r="AP565" i="1"/>
  <c r="AN565" i="1"/>
  <c r="AM565" i="1"/>
  <c r="AK565" i="1"/>
  <c r="AJ565" i="1"/>
  <c r="AI565" i="1"/>
  <c r="AH565" i="1"/>
  <c r="AG565" i="1"/>
  <c r="AL565" i="1" s="1"/>
  <c r="AE565" i="1"/>
  <c r="AA565" i="1"/>
  <c r="AB565" i="1" s="1"/>
  <c r="AV564" i="1"/>
  <c r="AU564" i="1"/>
  <c r="AP564" i="1"/>
  <c r="AN564" i="1"/>
  <c r="AM564" i="1"/>
  <c r="AK564" i="1"/>
  <c r="AJ564" i="1"/>
  <c r="AI564" i="1"/>
  <c r="AH564" i="1"/>
  <c r="AG564" i="1"/>
  <c r="AL564" i="1" s="1"/>
  <c r="AE564" i="1"/>
  <c r="AA564" i="1"/>
  <c r="AB564" i="1" s="1"/>
  <c r="AV563" i="1"/>
  <c r="AU563" i="1"/>
  <c r="AP563" i="1"/>
  <c r="AN563" i="1"/>
  <c r="AM563" i="1"/>
  <c r="AK563" i="1"/>
  <c r="AJ563" i="1"/>
  <c r="AI563" i="1"/>
  <c r="AH563" i="1"/>
  <c r="AG563" i="1"/>
  <c r="AL563" i="1" s="1"/>
  <c r="AE563" i="1"/>
  <c r="AB563" i="1"/>
  <c r="AA563" i="1"/>
  <c r="AU562" i="1"/>
  <c r="AV562" i="1" s="1"/>
  <c r="AP562" i="1"/>
  <c r="AN562" i="1"/>
  <c r="AM562" i="1"/>
  <c r="AL562" i="1"/>
  <c r="AK562" i="1"/>
  <c r="AJ562" i="1"/>
  <c r="AI562" i="1"/>
  <c r="AH562" i="1"/>
  <c r="AG562" i="1"/>
  <c r="AE562" i="1"/>
  <c r="AB562" i="1"/>
  <c r="AA562" i="1"/>
  <c r="AU561" i="1"/>
  <c r="AV561" i="1" s="1"/>
  <c r="AP561" i="1"/>
  <c r="AN561" i="1"/>
  <c r="AM561" i="1"/>
  <c r="AK561" i="1"/>
  <c r="AJ561" i="1"/>
  <c r="AI561" i="1"/>
  <c r="AH561" i="1"/>
  <c r="AG561" i="1"/>
  <c r="AL561" i="1" s="1"/>
  <c r="AE561" i="1"/>
  <c r="AA561" i="1"/>
  <c r="AB561" i="1" s="1"/>
  <c r="AV560" i="1"/>
  <c r="AU560" i="1"/>
  <c r="AP560" i="1"/>
  <c r="AN560" i="1"/>
  <c r="AM560" i="1"/>
  <c r="AO560" i="1" s="1"/>
  <c r="AK560" i="1"/>
  <c r="AJ560" i="1"/>
  <c r="AI560" i="1"/>
  <c r="AH560" i="1"/>
  <c r="AG560" i="1"/>
  <c r="AL560" i="1" s="1"/>
  <c r="AE560" i="1"/>
  <c r="AA560" i="1"/>
  <c r="AB560" i="1" s="1"/>
  <c r="AV559" i="1"/>
  <c r="AU559" i="1"/>
  <c r="AP559" i="1"/>
  <c r="AN559" i="1"/>
  <c r="AM559" i="1"/>
  <c r="AK559" i="1"/>
  <c r="AJ559" i="1"/>
  <c r="AI559" i="1"/>
  <c r="AH559" i="1"/>
  <c r="AG559" i="1"/>
  <c r="AL559" i="1" s="1"/>
  <c r="AE559" i="1"/>
  <c r="AB559" i="1"/>
  <c r="AA559" i="1"/>
  <c r="AU558" i="1"/>
  <c r="AV558" i="1" s="1"/>
  <c r="AP558" i="1"/>
  <c r="AN558" i="1"/>
  <c r="AM558" i="1"/>
  <c r="AK558" i="1"/>
  <c r="AJ558" i="1"/>
  <c r="AI558" i="1"/>
  <c r="AH558" i="1"/>
  <c r="AG558" i="1"/>
  <c r="AL558" i="1" s="1"/>
  <c r="AE558" i="1"/>
  <c r="AB558" i="1"/>
  <c r="AA558" i="1"/>
  <c r="AU557" i="1"/>
  <c r="AV557" i="1" s="1"/>
  <c r="AP557" i="1"/>
  <c r="AN557" i="1"/>
  <c r="AM557" i="1"/>
  <c r="AK557" i="1"/>
  <c r="AJ557" i="1"/>
  <c r="AI557" i="1"/>
  <c r="AH557" i="1"/>
  <c r="AG557" i="1"/>
  <c r="AL557" i="1" s="1"/>
  <c r="AE557" i="1"/>
  <c r="AA557" i="1"/>
  <c r="AB557" i="1" s="1"/>
  <c r="AV556" i="1"/>
  <c r="AU556" i="1"/>
  <c r="AP556" i="1"/>
  <c r="AN556" i="1"/>
  <c r="AM556" i="1"/>
  <c r="AK556" i="1"/>
  <c r="AJ556" i="1"/>
  <c r="AI556" i="1"/>
  <c r="AH556" i="1"/>
  <c r="AG556" i="1"/>
  <c r="AL556" i="1" s="1"/>
  <c r="AE556" i="1"/>
  <c r="AA556" i="1"/>
  <c r="AB556" i="1" s="1"/>
  <c r="AV555" i="1"/>
  <c r="AU555" i="1"/>
  <c r="AP555" i="1"/>
  <c r="AN555" i="1"/>
  <c r="AM555" i="1"/>
  <c r="AK555" i="1"/>
  <c r="AJ555" i="1"/>
  <c r="AI555" i="1"/>
  <c r="AH555" i="1"/>
  <c r="AG555" i="1"/>
  <c r="AL555" i="1" s="1"/>
  <c r="AE555" i="1"/>
  <c r="AB555" i="1"/>
  <c r="AA555" i="1"/>
  <c r="AU554" i="1"/>
  <c r="AV554" i="1" s="1"/>
  <c r="AP554" i="1"/>
  <c r="AN554" i="1"/>
  <c r="AM554" i="1"/>
  <c r="AK554" i="1"/>
  <c r="AJ554" i="1"/>
  <c r="AI554" i="1"/>
  <c r="AH554" i="1"/>
  <c r="AG554" i="1"/>
  <c r="AL554" i="1" s="1"/>
  <c r="AE554" i="1"/>
  <c r="AB554" i="1"/>
  <c r="AA554" i="1"/>
  <c r="AU553" i="1"/>
  <c r="AV553" i="1" s="1"/>
  <c r="AP553" i="1"/>
  <c r="AN553" i="1"/>
  <c r="AM553" i="1"/>
  <c r="AO553" i="1" s="1"/>
  <c r="AL553" i="1"/>
  <c r="AK553" i="1"/>
  <c r="AJ553" i="1"/>
  <c r="AI553" i="1"/>
  <c r="AH553" i="1"/>
  <c r="AG553" i="1"/>
  <c r="AE553" i="1"/>
  <c r="AA553" i="1"/>
  <c r="AB553" i="1" s="1"/>
  <c r="AV552" i="1"/>
  <c r="AU552" i="1"/>
  <c r="AP552" i="1"/>
  <c r="AN552" i="1"/>
  <c r="AO552" i="1" s="1"/>
  <c r="AM552" i="1"/>
  <c r="AK552" i="1"/>
  <c r="AJ552" i="1"/>
  <c r="AI552" i="1"/>
  <c r="AH552" i="1"/>
  <c r="AG552" i="1"/>
  <c r="AL552" i="1" s="1"/>
  <c r="AE552" i="1"/>
  <c r="AA552" i="1"/>
  <c r="AB552" i="1" s="1"/>
  <c r="AV551" i="1"/>
  <c r="AU551" i="1"/>
  <c r="AP551" i="1"/>
  <c r="AN551" i="1"/>
  <c r="AO551" i="1" s="1"/>
  <c r="AM551" i="1"/>
  <c r="AK551" i="1"/>
  <c r="AJ551" i="1"/>
  <c r="AI551" i="1"/>
  <c r="AH551" i="1"/>
  <c r="AG551" i="1"/>
  <c r="AL551" i="1" s="1"/>
  <c r="AE551" i="1"/>
  <c r="AB551" i="1"/>
  <c r="AA551" i="1"/>
  <c r="AU550" i="1"/>
  <c r="AV550" i="1" s="1"/>
  <c r="AP550" i="1"/>
  <c r="AN550" i="1"/>
  <c r="AO550" i="1" s="1"/>
  <c r="AM550" i="1"/>
  <c r="AK550" i="1"/>
  <c r="AJ550" i="1"/>
  <c r="AI550" i="1"/>
  <c r="AH550" i="1"/>
  <c r="AG550" i="1"/>
  <c r="AL550" i="1" s="1"/>
  <c r="AE550" i="1"/>
  <c r="AB550" i="1"/>
  <c r="AA550" i="1"/>
  <c r="AU549" i="1"/>
  <c r="AV549" i="1" s="1"/>
  <c r="AP549" i="1"/>
  <c r="AN549" i="1"/>
  <c r="AM549" i="1"/>
  <c r="AK549" i="1"/>
  <c r="AJ549" i="1"/>
  <c r="AI549" i="1"/>
  <c r="AH549" i="1"/>
  <c r="AG549" i="1"/>
  <c r="AL549" i="1" s="1"/>
  <c r="AE549" i="1"/>
  <c r="AA549" i="1"/>
  <c r="AB549" i="1" s="1"/>
  <c r="AV548" i="1"/>
  <c r="AU548" i="1"/>
  <c r="AP548" i="1"/>
  <c r="AN548" i="1"/>
  <c r="AM548" i="1"/>
  <c r="AK548" i="1"/>
  <c r="AJ548" i="1"/>
  <c r="AI548" i="1"/>
  <c r="AH548" i="1"/>
  <c r="AG548" i="1"/>
  <c r="AL548" i="1" s="1"/>
  <c r="AE548" i="1"/>
  <c r="AA548" i="1"/>
  <c r="AB548" i="1" s="1"/>
  <c r="AV547" i="1"/>
  <c r="AU547" i="1"/>
  <c r="AP547" i="1"/>
  <c r="AN547" i="1"/>
  <c r="AM547" i="1"/>
  <c r="AK547" i="1"/>
  <c r="AJ547" i="1"/>
  <c r="AI547" i="1"/>
  <c r="AH547" i="1"/>
  <c r="AG547" i="1"/>
  <c r="AL547" i="1" s="1"/>
  <c r="AE547" i="1"/>
  <c r="AB547" i="1"/>
  <c r="AA547" i="1"/>
  <c r="AU546" i="1"/>
  <c r="AV546" i="1" s="1"/>
  <c r="AP546" i="1"/>
  <c r="AN546" i="1"/>
  <c r="AM546" i="1"/>
  <c r="AK546" i="1"/>
  <c r="AJ546" i="1"/>
  <c r="AI546" i="1"/>
  <c r="AH546" i="1"/>
  <c r="AG546" i="1"/>
  <c r="AL546" i="1" s="1"/>
  <c r="AE546" i="1"/>
  <c r="AB546" i="1"/>
  <c r="AA546" i="1"/>
  <c r="AU545" i="1"/>
  <c r="AV545" i="1" s="1"/>
  <c r="AP545" i="1"/>
  <c r="AN545" i="1"/>
  <c r="AM545" i="1"/>
  <c r="AK545" i="1"/>
  <c r="AJ545" i="1"/>
  <c r="AI545" i="1"/>
  <c r="AH545" i="1"/>
  <c r="AG545" i="1"/>
  <c r="AL545" i="1" s="1"/>
  <c r="AE545" i="1"/>
  <c r="AA545" i="1"/>
  <c r="AB545" i="1" s="1"/>
  <c r="AV544" i="1"/>
  <c r="AU544" i="1"/>
  <c r="AP544" i="1"/>
  <c r="AN544" i="1"/>
  <c r="AM544" i="1"/>
  <c r="AK544" i="1"/>
  <c r="AJ544" i="1"/>
  <c r="AI544" i="1"/>
  <c r="AH544" i="1"/>
  <c r="AG544" i="1"/>
  <c r="AL544" i="1" s="1"/>
  <c r="AE544" i="1"/>
  <c r="AA544" i="1"/>
  <c r="AB544" i="1" s="1"/>
  <c r="AV543" i="1"/>
  <c r="AU543" i="1"/>
  <c r="AP543" i="1"/>
  <c r="AN543" i="1"/>
  <c r="AM543" i="1"/>
  <c r="AK543" i="1"/>
  <c r="AJ543" i="1"/>
  <c r="AI543" i="1"/>
  <c r="AH543" i="1"/>
  <c r="AG543" i="1"/>
  <c r="AL543" i="1" s="1"/>
  <c r="AE543" i="1"/>
  <c r="AB543" i="1"/>
  <c r="AA543" i="1"/>
  <c r="AU542" i="1"/>
  <c r="AV542" i="1" s="1"/>
  <c r="AP542" i="1"/>
  <c r="AN542" i="1"/>
  <c r="AM542" i="1"/>
  <c r="AK542" i="1"/>
  <c r="AJ542" i="1"/>
  <c r="AI542" i="1"/>
  <c r="AH542" i="1"/>
  <c r="AG542" i="1"/>
  <c r="AL542" i="1" s="1"/>
  <c r="AE542" i="1"/>
  <c r="AB542" i="1"/>
  <c r="AA542" i="1"/>
  <c r="AU541" i="1"/>
  <c r="AV541" i="1" s="1"/>
  <c r="AP541" i="1"/>
  <c r="AN541" i="1"/>
  <c r="AM541" i="1"/>
  <c r="AO541" i="1" s="1"/>
  <c r="AK541" i="1"/>
  <c r="AJ541" i="1"/>
  <c r="AI541" i="1"/>
  <c r="AH541" i="1"/>
  <c r="AG541" i="1"/>
  <c r="AL541" i="1" s="1"/>
  <c r="AE541" i="1"/>
  <c r="AA541" i="1"/>
  <c r="AB541" i="1" s="1"/>
  <c r="AV540" i="1"/>
  <c r="AU540" i="1"/>
  <c r="AP540" i="1"/>
  <c r="AN540" i="1"/>
  <c r="AM540" i="1"/>
  <c r="AK540" i="1"/>
  <c r="AJ540" i="1"/>
  <c r="AI540" i="1"/>
  <c r="AH540" i="1"/>
  <c r="AG540" i="1"/>
  <c r="AL540" i="1" s="1"/>
  <c r="AE540" i="1"/>
  <c r="AB540" i="1"/>
  <c r="AA540" i="1"/>
  <c r="AV539" i="1"/>
  <c r="AU539" i="1"/>
  <c r="AP539" i="1"/>
  <c r="AN539" i="1"/>
  <c r="AM539" i="1"/>
  <c r="AK539" i="1"/>
  <c r="AJ539" i="1"/>
  <c r="AI539" i="1"/>
  <c r="AH539" i="1"/>
  <c r="AG539" i="1"/>
  <c r="AL539" i="1" s="1"/>
  <c r="AE539" i="1"/>
  <c r="AB539" i="1"/>
  <c r="AA539" i="1"/>
  <c r="AU538" i="1"/>
  <c r="AV538" i="1" s="1"/>
  <c r="AP538" i="1"/>
  <c r="AN538" i="1"/>
  <c r="AM538" i="1"/>
  <c r="AK538" i="1"/>
  <c r="AJ538" i="1"/>
  <c r="AI538" i="1"/>
  <c r="AH538" i="1"/>
  <c r="AG538" i="1"/>
  <c r="AL538" i="1" s="1"/>
  <c r="AE538" i="1"/>
  <c r="AB538" i="1"/>
  <c r="AA538" i="1"/>
  <c r="AU537" i="1"/>
  <c r="AV537" i="1" s="1"/>
  <c r="AP537" i="1"/>
  <c r="AN537" i="1"/>
  <c r="AM537" i="1"/>
  <c r="AO537" i="1" s="1"/>
  <c r="AL537" i="1"/>
  <c r="AK537" i="1"/>
  <c r="AJ537" i="1"/>
  <c r="AI537" i="1"/>
  <c r="AH537" i="1"/>
  <c r="AG537" i="1"/>
  <c r="AE537" i="1"/>
  <c r="AA537" i="1"/>
  <c r="AB537" i="1" s="1"/>
  <c r="AV536" i="1"/>
  <c r="AU536" i="1"/>
  <c r="AP536" i="1"/>
  <c r="AN536" i="1"/>
  <c r="AM536" i="1"/>
  <c r="AK536" i="1"/>
  <c r="AJ536" i="1"/>
  <c r="AI536" i="1"/>
  <c r="AH536" i="1"/>
  <c r="AG536" i="1"/>
  <c r="AL536" i="1" s="1"/>
  <c r="AE536" i="1"/>
  <c r="AB536" i="1"/>
  <c r="AA536" i="1"/>
  <c r="AV535" i="1"/>
  <c r="AU535" i="1"/>
  <c r="AP535" i="1"/>
  <c r="AN535" i="1"/>
  <c r="AM535" i="1"/>
  <c r="AK535" i="1"/>
  <c r="AJ535" i="1"/>
  <c r="AI535" i="1"/>
  <c r="AH535" i="1"/>
  <c r="AG535" i="1"/>
  <c r="AL535" i="1" s="1"/>
  <c r="AE535" i="1"/>
  <c r="AB535" i="1"/>
  <c r="AA535" i="1"/>
  <c r="AU534" i="1"/>
  <c r="AV534" i="1" s="1"/>
  <c r="AP534" i="1"/>
  <c r="AN534" i="1"/>
  <c r="AM534" i="1"/>
  <c r="AK534" i="1"/>
  <c r="AJ534" i="1"/>
  <c r="AI534" i="1"/>
  <c r="AH534" i="1"/>
  <c r="AG534" i="1"/>
  <c r="AL534" i="1" s="1"/>
  <c r="AE534" i="1"/>
  <c r="AB534" i="1"/>
  <c r="AA534" i="1"/>
  <c r="AU533" i="1"/>
  <c r="AV533" i="1" s="1"/>
  <c r="AP533" i="1"/>
  <c r="AN533" i="1"/>
  <c r="AM533" i="1"/>
  <c r="AO533" i="1" s="1"/>
  <c r="AK533" i="1"/>
  <c r="AJ533" i="1"/>
  <c r="AI533" i="1"/>
  <c r="AH533" i="1"/>
  <c r="AG533" i="1"/>
  <c r="AL533" i="1" s="1"/>
  <c r="AE533" i="1"/>
  <c r="AB533" i="1"/>
  <c r="AA533" i="1"/>
  <c r="AV532" i="1"/>
  <c r="AU532" i="1"/>
  <c r="AP532" i="1"/>
  <c r="AN532" i="1"/>
  <c r="AM532" i="1"/>
  <c r="AO532" i="1" s="1"/>
  <c r="AK532" i="1"/>
  <c r="AJ532" i="1"/>
  <c r="AI532" i="1"/>
  <c r="AH532" i="1"/>
  <c r="AG532" i="1"/>
  <c r="AL532" i="1" s="1"/>
  <c r="AE532" i="1"/>
  <c r="AB532" i="1"/>
  <c r="AA532" i="1"/>
  <c r="AV531" i="1"/>
  <c r="AU531" i="1"/>
  <c r="AP531" i="1"/>
  <c r="AN531" i="1"/>
  <c r="AM531" i="1"/>
  <c r="AK531" i="1"/>
  <c r="AJ531" i="1"/>
  <c r="AI531" i="1"/>
  <c r="AH531" i="1"/>
  <c r="AG531" i="1"/>
  <c r="AL531" i="1" s="1"/>
  <c r="AE531" i="1"/>
  <c r="AB531" i="1"/>
  <c r="AA531" i="1"/>
  <c r="AU530" i="1"/>
  <c r="AV530" i="1" s="1"/>
  <c r="AP530" i="1"/>
  <c r="AN530" i="1"/>
  <c r="AM530" i="1"/>
  <c r="AK530" i="1"/>
  <c r="AJ530" i="1"/>
  <c r="AI530" i="1"/>
  <c r="AH530" i="1"/>
  <c r="AG530" i="1"/>
  <c r="AL530" i="1" s="1"/>
  <c r="AE530" i="1"/>
  <c r="AB530" i="1"/>
  <c r="AA530" i="1"/>
  <c r="AU529" i="1"/>
  <c r="AV529" i="1" s="1"/>
  <c r="AP529" i="1"/>
  <c r="AN529" i="1"/>
  <c r="AM529" i="1"/>
  <c r="AK529" i="1"/>
  <c r="AJ529" i="1"/>
  <c r="AI529" i="1"/>
  <c r="AH529" i="1"/>
  <c r="AG529" i="1"/>
  <c r="AL529" i="1" s="1"/>
  <c r="AE529" i="1"/>
  <c r="AB529" i="1"/>
  <c r="AA529" i="1"/>
  <c r="AV528" i="1"/>
  <c r="AU528" i="1"/>
  <c r="AP528" i="1"/>
  <c r="AN528" i="1"/>
  <c r="AM528" i="1"/>
  <c r="AK528" i="1"/>
  <c r="AJ528" i="1"/>
  <c r="AI528" i="1"/>
  <c r="AH528" i="1"/>
  <c r="AG528" i="1"/>
  <c r="AL528" i="1" s="1"/>
  <c r="AE528" i="1"/>
  <c r="AB528" i="1"/>
  <c r="AA528" i="1"/>
  <c r="AV527" i="1"/>
  <c r="AU527" i="1"/>
  <c r="AP527" i="1"/>
  <c r="AN527" i="1"/>
  <c r="AM527" i="1"/>
  <c r="AK527" i="1"/>
  <c r="AJ527" i="1"/>
  <c r="AI527" i="1"/>
  <c r="AH527" i="1"/>
  <c r="AG527" i="1"/>
  <c r="AL527" i="1" s="1"/>
  <c r="AE527" i="1"/>
  <c r="AB527" i="1"/>
  <c r="AA527" i="1"/>
  <c r="AU526" i="1"/>
  <c r="AV526" i="1" s="1"/>
  <c r="AP526" i="1"/>
  <c r="AN526" i="1"/>
  <c r="AM526" i="1"/>
  <c r="AK526" i="1"/>
  <c r="AJ526" i="1"/>
  <c r="AI526" i="1"/>
  <c r="AH526" i="1"/>
  <c r="AG526" i="1"/>
  <c r="AL526" i="1" s="1"/>
  <c r="AE526" i="1"/>
  <c r="AB526" i="1"/>
  <c r="AA526" i="1"/>
  <c r="AU525" i="1"/>
  <c r="AV525" i="1" s="1"/>
  <c r="AP525" i="1"/>
  <c r="AN525" i="1"/>
  <c r="AM525" i="1"/>
  <c r="AK525" i="1"/>
  <c r="AJ525" i="1"/>
  <c r="AI525" i="1"/>
  <c r="AH525" i="1"/>
  <c r="AG525" i="1"/>
  <c r="AL525" i="1" s="1"/>
  <c r="AE525" i="1"/>
  <c r="AA525" i="1"/>
  <c r="AB525" i="1" s="1"/>
  <c r="AV524" i="1"/>
  <c r="AU524" i="1"/>
  <c r="AP524" i="1"/>
  <c r="AN524" i="1"/>
  <c r="AM524" i="1"/>
  <c r="AK524" i="1"/>
  <c r="AJ524" i="1"/>
  <c r="AI524" i="1"/>
  <c r="AH524" i="1"/>
  <c r="AG524" i="1"/>
  <c r="AL524" i="1" s="1"/>
  <c r="AE524" i="1"/>
  <c r="AB524" i="1"/>
  <c r="AA524" i="1"/>
  <c r="AV523" i="1"/>
  <c r="AU523" i="1"/>
  <c r="AP523" i="1"/>
  <c r="AN523" i="1"/>
  <c r="AO523" i="1" s="1"/>
  <c r="AM523" i="1"/>
  <c r="AK523" i="1"/>
  <c r="AJ523" i="1"/>
  <c r="AI523" i="1"/>
  <c r="AH523" i="1"/>
  <c r="AG523" i="1"/>
  <c r="AL523" i="1" s="1"/>
  <c r="AE523" i="1"/>
  <c r="AB523" i="1"/>
  <c r="AA523" i="1"/>
  <c r="AU522" i="1"/>
  <c r="AV522" i="1" s="1"/>
  <c r="AP522" i="1"/>
  <c r="AN522" i="1"/>
  <c r="AO522" i="1" s="1"/>
  <c r="AM522" i="1"/>
  <c r="AK522" i="1"/>
  <c r="AJ522" i="1"/>
  <c r="AI522" i="1"/>
  <c r="AH522" i="1"/>
  <c r="AG522" i="1"/>
  <c r="AL522" i="1" s="1"/>
  <c r="AE522" i="1"/>
  <c r="AB522" i="1"/>
  <c r="AA522" i="1"/>
  <c r="AU521" i="1"/>
  <c r="AV521" i="1" s="1"/>
  <c r="AP521" i="1"/>
  <c r="AN521" i="1"/>
  <c r="AM521" i="1"/>
  <c r="AK521" i="1"/>
  <c r="AJ521" i="1"/>
  <c r="AI521" i="1"/>
  <c r="AH521" i="1"/>
  <c r="AG521" i="1"/>
  <c r="AL521" i="1" s="1"/>
  <c r="AE521" i="1"/>
  <c r="AA521" i="1"/>
  <c r="AB521" i="1" s="1"/>
  <c r="AV520" i="1"/>
  <c r="AU520" i="1"/>
  <c r="AP520" i="1"/>
  <c r="AN520" i="1"/>
  <c r="AO520" i="1" s="1"/>
  <c r="AM520" i="1"/>
  <c r="AK520" i="1"/>
  <c r="AJ520" i="1"/>
  <c r="AI520" i="1"/>
  <c r="AH520" i="1"/>
  <c r="AG520" i="1"/>
  <c r="AL520" i="1" s="1"/>
  <c r="AE520" i="1"/>
  <c r="AB520" i="1"/>
  <c r="AA520" i="1"/>
  <c r="AV519" i="1"/>
  <c r="AU519" i="1"/>
  <c r="AP519" i="1"/>
  <c r="AN519" i="1"/>
  <c r="AM519" i="1"/>
  <c r="AK519" i="1"/>
  <c r="AJ519" i="1"/>
  <c r="AI519" i="1"/>
  <c r="AH519" i="1"/>
  <c r="AG519" i="1"/>
  <c r="AL519" i="1" s="1"/>
  <c r="AE519" i="1"/>
  <c r="AB519" i="1"/>
  <c r="AA519" i="1"/>
  <c r="AU518" i="1"/>
  <c r="AV518" i="1" s="1"/>
  <c r="AP518" i="1"/>
  <c r="AN518" i="1"/>
  <c r="AM518" i="1"/>
  <c r="AK518" i="1"/>
  <c r="AJ518" i="1"/>
  <c r="AI518" i="1"/>
  <c r="AH518" i="1"/>
  <c r="AG518" i="1"/>
  <c r="AL518" i="1" s="1"/>
  <c r="AE518" i="1"/>
  <c r="AB518" i="1"/>
  <c r="AA518" i="1"/>
  <c r="AU517" i="1"/>
  <c r="AV517" i="1" s="1"/>
  <c r="AP517" i="1"/>
  <c r="AN517" i="1"/>
  <c r="AM517" i="1"/>
  <c r="AK517" i="1"/>
  <c r="AJ517" i="1"/>
  <c r="AI517" i="1"/>
  <c r="AH517" i="1"/>
  <c r="AG517" i="1"/>
  <c r="AL517" i="1" s="1"/>
  <c r="AE517" i="1"/>
  <c r="AB517" i="1"/>
  <c r="AA517" i="1"/>
  <c r="AV516" i="1"/>
  <c r="AU516" i="1"/>
  <c r="AP516" i="1"/>
  <c r="AN516" i="1"/>
  <c r="AM516" i="1"/>
  <c r="AK516" i="1"/>
  <c r="AJ516" i="1"/>
  <c r="AI516" i="1"/>
  <c r="AH516" i="1"/>
  <c r="AG516" i="1"/>
  <c r="AL516" i="1" s="1"/>
  <c r="AE516" i="1"/>
  <c r="AA516" i="1"/>
  <c r="AB516" i="1" s="1"/>
  <c r="AV515" i="1"/>
  <c r="AU515" i="1"/>
  <c r="AP515" i="1"/>
  <c r="AN515" i="1"/>
  <c r="AM515" i="1"/>
  <c r="AK515" i="1"/>
  <c r="AJ515" i="1"/>
  <c r="AI515" i="1"/>
  <c r="AH515" i="1"/>
  <c r="AG515" i="1"/>
  <c r="AL515" i="1" s="1"/>
  <c r="AE515" i="1"/>
  <c r="AB515" i="1"/>
  <c r="AA515" i="1"/>
  <c r="AU514" i="1"/>
  <c r="AV514" i="1" s="1"/>
  <c r="AP514" i="1"/>
  <c r="AN514" i="1"/>
  <c r="AO514" i="1" s="1"/>
  <c r="AM514" i="1"/>
  <c r="AK514" i="1"/>
  <c r="AJ514" i="1"/>
  <c r="AI514" i="1"/>
  <c r="AH514" i="1"/>
  <c r="AG514" i="1"/>
  <c r="AL514" i="1" s="1"/>
  <c r="AE514" i="1"/>
  <c r="AB514" i="1"/>
  <c r="AA514" i="1"/>
  <c r="AU513" i="1"/>
  <c r="AV513" i="1" s="1"/>
  <c r="AP513" i="1"/>
  <c r="AN513" i="1"/>
  <c r="AM513" i="1"/>
  <c r="AK513" i="1"/>
  <c r="AJ513" i="1"/>
  <c r="AI513" i="1"/>
  <c r="AH513" i="1"/>
  <c r="AG513" i="1"/>
  <c r="AL513" i="1" s="1"/>
  <c r="AE513" i="1"/>
  <c r="AA513" i="1"/>
  <c r="AB513" i="1" s="1"/>
  <c r="AV512" i="1"/>
  <c r="AU512" i="1"/>
  <c r="AP512" i="1"/>
  <c r="AN512" i="1"/>
  <c r="AO512" i="1" s="1"/>
  <c r="AM512" i="1"/>
  <c r="AK512" i="1"/>
  <c r="AJ512" i="1"/>
  <c r="AI512" i="1"/>
  <c r="AH512" i="1"/>
  <c r="AG512" i="1"/>
  <c r="AL512" i="1" s="1"/>
  <c r="AE512" i="1"/>
  <c r="AA512" i="1"/>
  <c r="AB512" i="1" s="1"/>
  <c r="AV511" i="1"/>
  <c r="AU511" i="1"/>
  <c r="AP511" i="1"/>
  <c r="AN511" i="1"/>
  <c r="AM511" i="1"/>
  <c r="AK511" i="1"/>
  <c r="AJ511" i="1"/>
  <c r="AI511" i="1"/>
  <c r="AH511" i="1"/>
  <c r="AG511" i="1"/>
  <c r="AL511" i="1" s="1"/>
  <c r="AE511" i="1"/>
  <c r="AB511" i="1"/>
  <c r="AA511" i="1"/>
  <c r="AU510" i="1"/>
  <c r="AV510" i="1" s="1"/>
  <c r="AP510" i="1"/>
  <c r="AN510" i="1"/>
  <c r="AM510" i="1"/>
  <c r="AL510" i="1"/>
  <c r="AK510" i="1"/>
  <c r="AJ510" i="1"/>
  <c r="AI510" i="1"/>
  <c r="AH510" i="1"/>
  <c r="AG510" i="1"/>
  <c r="AE510" i="1"/>
  <c r="AB510" i="1"/>
  <c r="AA510" i="1"/>
  <c r="AU509" i="1"/>
  <c r="AV509" i="1" s="1"/>
  <c r="AP509" i="1"/>
  <c r="AN509" i="1"/>
  <c r="AM509" i="1"/>
  <c r="AK509" i="1"/>
  <c r="AJ509" i="1"/>
  <c r="AI509" i="1"/>
  <c r="AH509" i="1"/>
  <c r="AG509" i="1"/>
  <c r="AL509" i="1" s="1"/>
  <c r="AE509" i="1"/>
  <c r="AA509" i="1"/>
  <c r="AB509" i="1" s="1"/>
  <c r="AV508" i="1"/>
  <c r="AU508" i="1"/>
  <c r="AP508" i="1"/>
  <c r="AN508" i="1"/>
  <c r="AM508" i="1"/>
  <c r="AO508" i="1" s="1"/>
  <c r="AK508" i="1"/>
  <c r="AJ508" i="1"/>
  <c r="AI508" i="1"/>
  <c r="AH508" i="1"/>
  <c r="AG508" i="1"/>
  <c r="AL508" i="1" s="1"/>
  <c r="AE508" i="1"/>
  <c r="AB508" i="1"/>
  <c r="AA508" i="1"/>
  <c r="AV507" i="1"/>
  <c r="AU507" i="1"/>
  <c r="AP507" i="1"/>
  <c r="AN507" i="1"/>
  <c r="AM507" i="1"/>
  <c r="AK507" i="1"/>
  <c r="AJ507" i="1"/>
  <c r="AI507" i="1"/>
  <c r="AH507" i="1"/>
  <c r="AG507" i="1"/>
  <c r="AL507" i="1" s="1"/>
  <c r="AE507" i="1"/>
  <c r="AB507" i="1"/>
  <c r="AA507" i="1"/>
  <c r="AU506" i="1"/>
  <c r="AV506" i="1" s="1"/>
  <c r="AP506" i="1"/>
  <c r="AN506" i="1"/>
  <c r="AM506" i="1"/>
  <c r="AL506" i="1"/>
  <c r="AK506" i="1"/>
  <c r="AJ506" i="1"/>
  <c r="AI506" i="1"/>
  <c r="AH506" i="1"/>
  <c r="AG506" i="1"/>
  <c r="AE506" i="1"/>
  <c r="AB506" i="1"/>
  <c r="AA506" i="1"/>
  <c r="AU505" i="1"/>
  <c r="AV505" i="1" s="1"/>
  <c r="AP505" i="1"/>
  <c r="AN505" i="1"/>
  <c r="AM505" i="1"/>
  <c r="AK505" i="1"/>
  <c r="AJ505" i="1"/>
  <c r="AI505" i="1"/>
  <c r="AH505" i="1"/>
  <c r="AG505" i="1"/>
  <c r="AL505" i="1" s="1"/>
  <c r="AE505" i="1"/>
  <c r="AB505" i="1"/>
  <c r="AA505" i="1"/>
  <c r="AV504" i="1"/>
  <c r="AU504" i="1"/>
  <c r="AP504" i="1"/>
  <c r="AN504" i="1"/>
  <c r="AO504" i="1" s="1"/>
  <c r="AM504" i="1"/>
  <c r="AK504" i="1"/>
  <c r="AJ504" i="1"/>
  <c r="AI504" i="1"/>
  <c r="AH504" i="1"/>
  <c r="AG504" i="1"/>
  <c r="AL504" i="1" s="1"/>
  <c r="AE504" i="1"/>
  <c r="AB504" i="1"/>
  <c r="AA504" i="1"/>
  <c r="AV503" i="1"/>
  <c r="AU503" i="1"/>
  <c r="AP503" i="1"/>
  <c r="AN503" i="1"/>
  <c r="AM503" i="1"/>
  <c r="AK503" i="1"/>
  <c r="AJ503" i="1"/>
  <c r="AI503" i="1"/>
  <c r="AH503" i="1"/>
  <c r="AG503" i="1"/>
  <c r="AL503" i="1" s="1"/>
  <c r="AE503" i="1"/>
  <c r="AB503" i="1"/>
  <c r="AA503" i="1"/>
  <c r="AU502" i="1"/>
  <c r="AV502" i="1" s="1"/>
  <c r="AP502" i="1"/>
  <c r="AN502" i="1"/>
  <c r="AM502" i="1"/>
  <c r="AK502" i="1"/>
  <c r="AJ502" i="1"/>
  <c r="AI502" i="1"/>
  <c r="AH502" i="1"/>
  <c r="AG502" i="1"/>
  <c r="AL502" i="1" s="1"/>
  <c r="AE502" i="1"/>
  <c r="AB502" i="1"/>
  <c r="AA502" i="1"/>
  <c r="AU501" i="1"/>
  <c r="AV501" i="1" s="1"/>
  <c r="AP501" i="1"/>
  <c r="AN501" i="1"/>
  <c r="AM501" i="1"/>
  <c r="AK501" i="1"/>
  <c r="AJ501" i="1"/>
  <c r="AI501" i="1"/>
  <c r="AH501" i="1"/>
  <c r="AG501" i="1"/>
  <c r="AL501" i="1" s="1"/>
  <c r="AE501" i="1"/>
  <c r="AB501" i="1"/>
  <c r="AA501" i="1"/>
  <c r="AV500" i="1"/>
  <c r="AU500" i="1"/>
  <c r="AP500" i="1"/>
  <c r="AN500" i="1"/>
  <c r="AO500" i="1" s="1"/>
  <c r="AM500" i="1"/>
  <c r="AK500" i="1"/>
  <c r="AJ500" i="1"/>
  <c r="AI500" i="1"/>
  <c r="AH500" i="1"/>
  <c r="AG500" i="1"/>
  <c r="AL500" i="1" s="1"/>
  <c r="AE500" i="1"/>
  <c r="AB500" i="1"/>
  <c r="AA500" i="1"/>
  <c r="AV499" i="1"/>
  <c r="AU499" i="1"/>
  <c r="AP499" i="1"/>
  <c r="AN499" i="1"/>
  <c r="AM499" i="1"/>
  <c r="AK499" i="1"/>
  <c r="AJ499" i="1"/>
  <c r="AI499" i="1"/>
  <c r="AH499" i="1"/>
  <c r="AG499" i="1"/>
  <c r="AL499" i="1" s="1"/>
  <c r="AE499" i="1"/>
  <c r="AB499" i="1"/>
  <c r="AA499" i="1"/>
  <c r="AU498" i="1"/>
  <c r="AV498" i="1" s="1"/>
  <c r="AP498" i="1"/>
  <c r="AN498" i="1"/>
  <c r="AM498" i="1"/>
  <c r="AK498" i="1"/>
  <c r="AJ498" i="1"/>
  <c r="AI498" i="1"/>
  <c r="AH498" i="1"/>
  <c r="AG498" i="1"/>
  <c r="AL498" i="1" s="1"/>
  <c r="AE498" i="1"/>
  <c r="AB498" i="1"/>
  <c r="AA498" i="1"/>
  <c r="AU497" i="1"/>
  <c r="AV497" i="1" s="1"/>
  <c r="AP497" i="1"/>
  <c r="AN497" i="1"/>
  <c r="AM497" i="1"/>
  <c r="AO497" i="1" s="1"/>
  <c r="AK497" i="1"/>
  <c r="AJ497" i="1"/>
  <c r="AI497" i="1"/>
  <c r="AH497" i="1"/>
  <c r="AG497" i="1"/>
  <c r="AL497" i="1" s="1"/>
  <c r="AE497" i="1"/>
  <c r="AA497" i="1"/>
  <c r="AB497" i="1" s="1"/>
  <c r="AV496" i="1"/>
  <c r="AU496" i="1"/>
  <c r="AP496" i="1"/>
  <c r="AN496" i="1"/>
  <c r="AO496" i="1" s="1"/>
  <c r="AM496" i="1"/>
  <c r="AK496" i="1"/>
  <c r="AJ496" i="1"/>
  <c r="AI496" i="1"/>
  <c r="AH496" i="1"/>
  <c r="AG496" i="1"/>
  <c r="AL496" i="1" s="1"/>
  <c r="AE496" i="1"/>
  <c r="AA496" i="1"/>
  <c r="AB496" i="1" s="1"/>
  <c r="AV495" i="1"/>
  <c r="AU495" i="1"/>
  <c r="AP495" i="1"/>
  <c r="AN495" i="1"/>
  <c r="AO495" i="1" s="1"/>
  <c r="AM495" i="1"/>
  <c r="AK495" i="1"/>
  <c r="AJ495" i="1"/>
  <c r="AI495" i="1"/>
  <c r="AH495" i="1"/>
  <c r="AG495" i="1"/>
  <c r="AL495" i="1" s="1"/>
  <c r="AE495" i="1"/>
  <c r="AB495" i="1"/>
  <c r="AA495" i="1"/>
  <c r="AU494" i="1"/>
  <c r="AV494" i="1" s="1"/>
  <c r="AP494" i="1"/>
  <c r="AN494" i="1"/>
  <c r="AO494" i="1" s="1"/>
  <c r="AM494" i="1"/>
  <c r="AK494" i="1"/>
  <c r="AJ494" i="1"/>
  <c r="AI494" i="1"/>
  <c r="AH494" i="1"/>
  <c r="AG494" i="1"/>
  <c r="AL494" i="1" s="1"/>
  <c r="AE494" i="1"/>
  <c r="AB494" i="1"/>
  <c r="AA494" i="1"/>
  <c r="AU493" i="1"/>
  <c r="AV493" i="1" s="1"/>
  <c r="AP493" i="1"/>
  <c r="AN493" i="1"/>
  <c r="AM493" i="1"/>
  <c r="AK493" i="1"/>
  <c r="AJ493" i="1"/>
  <c r="AI493" i="1"/>
  <c r="AH493" i="1"/>
  <c r="AG493" i="1"/>
  <c r="AL493" i="1" s="1"/>
  <c r="AE493" i="1"/>
  <c r="AA493" i="1"/>
  <c r="AB493" i="1" s="1"/>
  <c r="AV492" i="1"/>
  <c r="AU492" i="1"/>
  <c r="AP492" i="1"/>
  <c r="AN492" i="1"/>
  <c r="AO492" i="1" s="1"/>
  <c r="AM492" i="1"/>
  <c r="AK492" i="1"/>
  <c r="AJ492" i="1"/>
  <c r="AI492" i="1"/>
  <c r="AH492" i="1"/>
  <c r="AG492" i="1"/>
  <c r="AL492" i="1" s="1"/>
  <c r="AE492" i="1"/>
  <c r="AA492" i="1"/>
  <c r="AB492" i="1" s="1"/>
  <c r="AV491" i="1"/>
  <c r="AU491" i="1"/>
  <c r="AP491" i="1"/>
  <c r="AN491" i="1"/>
  <c r="AM491" i="1"/>
  <c r="AK491" i="1"/>
  <c r="AJ491" i="1"/>
  <c r="AI491" i="1"/>
  <c r="AH491" i="1"/>
  <c r="AG491" i="1"/>
  <c r="AL491" i="1" s="1"/>
  <c r="AE491" i="1"/>
  <c r="AB491" i="1"/>
  <c r="AA491" i="1"/>
  <c r="AU490" i="1"/>
  <c r="AV490" i="1" s="1"/>
  <c r="AP490" i="1"/>
  <c r="AN490" i="1"/>
  <c r="AM490" i="1"/>
  <c r="AL490" i="1"/>
  <c r="AK490" i="1"/>
  <c r="AJ490" i="1"/>
  <c r="AI490" i="1"/>
  <c r="AH490" i="1"/>
  <c r="AG490" i="1"/>
  <c r="AE490" i="1"/>
  <c r="AB490" i="1"/>
  <c r="AA490" i="1"/>
  <c r="AU489" i="1"/>
  <c r="AV489" i="1" s="1"/>
  <c r="AP489" i="1"/>
  <c r="AN489" i="1"/>
  <c r="AM489" i="1"/>
  <c r="AK489" i="1"/>
  <c r="AJ489" i="1"/>
  <c r="AI489" i="1"/>
  <c r="AH489" i="1"/>
  <c r="AG489" i="1"/>
  <c r="AL489" i="1" s="1"/>
  <c r="AE489" i="1"/>
  <c r="AA489" i="1"/>
  <c r="AB489" i="1" s="1"/>
  <c r="AV488" i="1"/>
  <c r="AU488" i="1"/>
  <c r="AP488" i="1"/>
  <c r="AN488" i="1"/>
  <c r="AM488" i="1"/>
  <c r="AO488" i="1" s="1"/>
  <c r="AK488" i="1"/>
  <c r="AJ488" i="1"/>
  <c r="AI488" i="1"/>
  <c r="AH488" i="1"/>
  <c r="AG488" i="1"/>
  <c r="AL488" i="1" s="1"/>
  <c r="AE488" i="1"/>
  <c r="AA488" i="1"/>
  <c r="AB488" i="1" s="1"/>
  <c r="AV487" i="1"/>
  <c r="AU487" i="1"/>
  <c r="AP487" i="1"/>
  <c r="AN487" i="1"/>
  <c r="AM487" i="1"/>
  <c r="AK487" i="1"/>
  <c r="AJ487" i="1"/>
  <c r="AI487" i="1"/>
  <c r="AH487" i="1"/>
  <c r="AG487" i="1"/>
  <c r="AL487" i="1" s="1"/>
  <c r="AE487" i="1"/>
  <c r="AB487" i="1"/>
  <c r="AA487" i="1"/>
  <c r="AU486" i="1"/>
  <c r="AV486" i="1" s="1"/>
  <c r="AP486" i="1"/>
  <c r="AN486" i="1"/>
  <c r="AM486" i="1"/>
  <c r="AK486" i="1"/>
  <c r="AJ486" i="1"/>
  <c r="AI486" i="1"/>
  <c r="AH486" i="1"/>
  <c r="AG486" i="1"/>
  <c r="AL486" i="1" s="1"/>
  <c r="AE486" i="1"/>
  <c r="AB486" i="1"/>
  <c r="AA486" i="1"/>
  <c r="AU485" i="1"/>
  <c r="AV485" i="1" s="1"/>
  <c r="AP485" i="1"/>
  <c r="AN485" i="1"/>
  <c r="AM485" i="1"/>
  <c r="AK485" i="1"/>
  <c r="AJ485" i="1"/>
  <c r="AI485" i="1"/>
  <c r="AH485" i="1"/>
  <c r="AG485" i="1"/>
  <c r="AL485" i="1" s="1"/>
  <c r="AE485" i="1"/>
  <c r="AA485" i="1"/>
  <c r="AB485" i="1" s="1"/>
  <c r="AV484" i="1"/>
  <c r="AU484" i="1"/>
  <c r="AP484" i="1"/>
  <c r="AN484" i="1"/>
  <c r="AM484" i="1"/>
  <c r="AK484" i="1"/>
  <c r="AJ484" i="1"/>
  <c r="AI484" i="1"/>
  <c r="AH484" i="1"/>
  <c r="AG484" i="1"/>
  <c r="AL484" i="1" s="1"/>
  <c r="AE484" i="1"/>
  <c r="AA484" i="1"/>
  <c r="AB484" i="1" s="1"/>
  <c r="AV483" i="1"/>
  <c r="AU483" i="1"/>
  <c r="AP483" i="1"/>
  <c r="AN483" i="1"/>
  <c r="AM483" i="1"/>
  <c r="AK483" i="1"/>
  <c r="AJ483" i="1"/>
  <c r="AI483" i="1"/>
  <c r="AH483" i="1"/>
  <c r="AG483" i="1"/>
  <c r="AL483" i="1" s="1"/>
  <c r="AE483" i="1"/>
  <c r="AB483" i="1"/>
  <c r="AA483" i="1"/>
  <c r="AU482" i="1"/>
  <c r="AV482" i="1" s="1"/>
  <c r="AP482" i="1"/>
  <c r="AN482" i="1"/>
  <c r="AM482" i="1"/>
  <c r="AK482" i="1"/>
  <c r="AJ482" i="1"/>
  <c r="AI482" i="1"/>
  <c r="AH482" i="1"/>
  <c r="AG482" i="1"/>
  <c r="AL482" i="1" s="1"/>
  <c r="AE482" i="1"/>
  <c r="AB482" i="1"/>
  <c r="AA482" i="1"/>
  <c r="AU481" i="1"/>
  <c r="AV481" i="1" s="1"/>
  <c r="AP481" i="1"/>
  <c r="AN481" i="1"/>
  <c r="AM481" i="1"/>
  <c r="AO481" i="1" s="1"/>
  <c r="AL481" i="1"/>
  <c r="AK481" i="1"/>
  <c r="AJ481" i="1"/>
  <c r="AI481" i="1"/>
  <c r="AH481" i="1"/>
  <c r="AG481" i="1"/>
  <c r="AE481" i="1"/>
  <c r="AA481" i="1"/>
  <c r="AB481" i="1" s="1"/>
  <c r="AV480" i="1"/>
  <c r="AU480" i="1"/>
  <c r="AP480" i="1"/>
  <c r="AN480" i="1"/>
  <c r="AM480" i="1"/>
  <c r="AK480" i="1"/>
  <c r="AJ480" i="1"/>
  <c r="AI480" i="1"/>
  <c r="AH480" i="1"/>
  <c r="AG480" i="1"/>
  <c r="AL480" i="1" s="1"/>
  <c r="AE480" i="1"/>
  <c r="AB480" i="1"/>
  <c r="AA480" i="1"/>
  <c r="AV479" i="1"/>
  <c r="AU479" i="1"/>
  <c r="AP479" i="1"/>
  <c r="AN479" i="1"/>
  <c r="AO479" i="1" s="1"/>
  <c r="AM479" i="1"/>
  <c r="AK479" i="1"/>
  <c r="AJ479" i="1"/>
  <c r="AI479" i="1"/>
  <c r="AH479" i="1"/>
  <c r="AG479" i="1"/>
  <c r="AL479" i="1" s="1"/>
  <c r="AE479" i="1"/>
  <c r="AB479" i="1"/>
  <c r="AA479" i="1"/>
  <c r="AU478" i="1"/>
  <c r="AV478" i="1" s="1"/>
  <c r="AP478" i="1"/>
  <c r="AN478" i="1"/>
  <c r="AO478" i="1" s="1"/>
  <c r="AM478" i="1"/>
  <c r="AK478" i="1"/>
  <c r="AJ478" i="1"/>
  <c r="AI478" i="1"/>
  <c r="AH478" i="1"/>
  <c r="AG478" i="1"/>
  <c r="AL478" i="1" s="1"/>
  <c r="AE478" i="1"/>
  <c r="AB478" i="1"/>
  <c r="AA478" i="1"/>
  <c r="AU477" i="1"/>
  <c r="AV477" i="1" s="1"/>
  <c r="AP477" i="1"/>
  <c r="AN477" i="1"/>
  <c r="AM477" i="1"/>
  <c r="AK477" i="1"/>
  <c r="AJ477" i="1"/>
  <c r="AI477" i="1"/>
  <c r="AH477" i="1"/>
  <c r="AG477" i="1"/>
  <c r="AL477" i="1" s="1"/>
  <c r="AE477" i="1"/>
  <c r="AB477" i="1"/>
  <c r="AA477" i="1"/>
  <c r="AV476" i="1"/>
  <c r="AU476" i="1"/>
  <c r="AP476" i="1"/>
  <c r="AN476" i="1"/>
  <c r="AM476" i="1"/>
  <c r="AK476" i="1"/>
  <c r="AJ476" i="1"/>
  <c r="AI476" i="1"/>
  <c r="AH476" i="1"/>
  <c r="AG476" i="1"/>
  <c r="AL476" i="1" s="1"/>
  <c r="AE476" i="1"/>
  <c r="AB476" i="1"/>
  <c r="AA476" i="1"/>
  <c r="AV475" i="1"/>
  <c r="AU475" i="1"/>
  <c r="AP475" i="1"/>
  <c r="AN475" i="1"/>
  <c r="AM475" i="1"/>
  <c r="AK475" i="1"/>
  <c r="AJ475" i="1"/>
  <c r="AI475" i="1"/>
  <c r="AH475" i="1"/>
  <c r="AG475" i="1"/>
  <c r="AL475" i="1" s="1"/>
  <c r="AE475" i="1"/>
  <c r="AB475" i="1"/>
  <c r="AA475" i="1"/>
  <c r="AU474" i="1"/>
  <c r="AV474" i="1" s="1"/>
  <c r="AP474" i="1"/>
  <c r="AN474" i="1"/>
  <c r="AM474" i="1"/>
  <c r="AK474" i="1"/>
  <c r="AJ474" i="1"/>
  <c r="AI474" i="1"/>
  <c r="AH474" i="1"/>
  <c r="AG474" i="1"/>
  <c r="AL474" i="1" s="1"/>
  <c r="AE474" i="1"/>
  <c r="AB474" i="1"/>
  <c r="AA474" i="1"/>
  <c r="AU473" i="1"/>
  <c r="AV473" i="1" s="1"/>
  <c r="AP473" i="1"/>
  <c r="AN473" i="1"/>
  <c r="AM473" i="1"/>
  <c r="AO473" i="1" s="1"/>
  <c r="AL473" i="1"/>
  <c r="AK473" i="1"/>
  <c r="AJ473" i="1"/>
  <c r="AI473" i="1"/>
  <c r="AH473" i="1"/>
  <c r="AG473" i="1"/>
  <c r="AE473" i="1"/>
  <c r="AA473" i="1"/>
  <c r="AB473" i="1" s="1"/>
  <c r="AV472" i="1"/>
  <c r="AU472" i="1"/>
  <c r="AP472" i="1"/>
  <c r="AN472" i="1"/>
  <c r="AM472" i="1"/>
  <c r="AK472" i="1"/>
  <c r="AJ472" i="1"/>
  <c r="AI472" i="1"/>
  <c r="AH472" i="1"/>
  <c r="AG472" i="1"/>
  <c r="AL472" i="1" s="1"/>
  <c r="AE472" i="1"/>
  <c r="AB472" i="1"/>
  <c r="AA472" i="1"/>
  <c r="AV471" i="1"/>
  <c r="AU471" i="1"/>
  <c r="AP471" i="1"/>
  <c r="AN471" i="1"/>
  <c r="AM471" i="1"/>
  <c r="AK471" i="1"/>
  <c r="AJ471" i="1"/>
  <c r="AI471" i="1"/>
  <c r="AH471" i="1"/>
  <c r="AG471" i="1"/>
  <c r="AL471" i="1" s="1"/>
  <c r="AE471" i="1"/>
  <c r="AB471" i="1"/>
  <c r="AA471" i="1"/>
  <c r="AU470" i="1"/>
  <c r="AV470" i="1" s="1"/>
  <c r="AP470" i="1"/>
  <c r="AN470" i="1"/>
  <c r="AM470" i="1"/>
  <c r="AK470" i="1"/>
  <c r="AJ470" i="1"/>
  <c r="AI470" i="1"/>
  <c r="AH470" i="1"/>
  <c r="AG470" i="1"/>
  <c r="AL470" i="1" s="1"/>
  <c r="AE470" i="1"/>
  <c r="AB470" i="1"/>
  <c r="AA470" i="1"/>
  <c r="AU469" i="1"/>
  <c r="AV469" i="1" s="1"/>
  <c r="AP469" i="1"/>
  <c r="AN469" i="1"/>
  <c r="AM469" i="1"/>
  <c r="AO469" i="1" s="1"/>
  <c r="AK469" i="1"/>
  <c r="AJ469" i="1"/>
  <c r="AI469" i="1"/>
  <c r="AH469" i="1"/>
  <c r="AG469" i="1"/>
  <c r="AL469" i="1" s="1"/>
  <c r="AE469" i="1"/>
  <c r="AA469" i="1"/>
  <c r="AB469" i="1" s="1"/>
  <c r="AV468" i="1"/>
  <c r="AU468" i="1"/>
  <c r="AP468" i="1"/>
  <c r="AN468" i="1"/>
  <c r="AM468" i="1"/>
  <c r="AK468" i="1"/>
  <c r="AJ468" i="1"/>
  <c r="AI468" i="1"/>
  <c r="AH468" i="1"/>
  <c r="AG468" i="1"/>
  <c r="AL468" i="1" s="1"/>
  <c r="AE468" i="1"/>
  <c r="AA468" i="1"/>
  <c r="AB468" i="1" s="1"/>
  <c r="AV467" i="1"/>
  <c r="AU467" i="1"/>
  <c r="AP467" i="1"/>
  <c r="AN467" i="1"/>
  <c r="AM467" i="1"/>
  <c r="AK467" i="1"/>
  <c r="AJ467" i="1"/>
  <c r="AI467" i="1"/>
  <c r="AH467" i="1"/>
  <c r="AG467" i="1"/>
  <c r="AL467" i="1" s="1"/>
  <c r="AE467" i="1"/>
  <c r="AB467" i="1"/>
  <c r="AA467" i="1"/>
  <c r="AU466" i="1"/>
  <c r="AV466" i="1" s="1"/>
  <c r="AP466" i="1"/>
  <c r="AN466" i="1"/>
  <c r="AM466" i="1"/>
  <c r="AK466" i="1"/>
  <c r="AJ466" i="1"/>
  <c r="AI466" i="1"/>
  <c r="AH466" i="1"/>
  <c r="AG466" i="1"/>
  <c r="AL466" i="1" s="1"/>
  <c r="AE466" i="1"/>
  <c r="AB466" i="1"/>
  <c r="AA466" i="1"/>
  <c r="AU465" i="1"/>
  <c r="AV465" i="1" s="1"/>
  <c r="AP465" i="1"/>
  <c r="AN465" i="1"/>
  <c r="AM465" i="1"/>
  <c r="AO465" i="1" s="1"/>
  <c r="AK465" i="1"/>
  <c r="AJ465" i="1"/>
  <c r="AI465" i="1"/>
  <c r="AH465" i="1"/>
  <c r="AG465" i="1"/>
  <c r="AL465" i="1" s="1"/>
  <c r="AE465" i="1"/>
  <c r="AA465" i="1"/>
  <c r="AB465" i="1" s="1"/>
  <c r="AV464" i="1"/>
  <c r="AU464" i="1"/>
  <c r="AP464" i="1"/>
  <c r="AN464" i="1"/>
  <c r="AM464" i="1"/>
  <c r="AK464" i="1"/>
  <c r="AJ464" i="1"/>
  <c r="AI464" i="1"/>
  <c r="AH464" i="1"/>
  <c r="AG464" i="1"/>
  <c r="AL464" i="1" s="1"/>
  <c r="AE464" i="1"/>
  <c r="AB464" i="1"/>
  <c r="AA464" i="1"/>
  <c r="AV463" i="1"/>
  <c r="AU463" i="1"/>
  <c r="AP463" i="1"/>
  <c r="AN463" i="1"/>
  <c r="AO463" i="1" s="1"/>
  <c r="AM463" i="1"/>
  <c r="AK463" i="1"/>
  <c r="AJ463" i="1"/>
  <c r="AI463" i="1"/>
  <c r="AH463" i="1"/>
  <c r="AG463" i="1"/>
  <c r="AL463" i="1" s="1"/>
  <c r="AE463" i="1"/>
  <c r="AB463" i="1"/>
  <c r="AA463" i="1"/>
  <c r="AU462" i="1"/>
  <c r="AV462" i="1" s="1"/>
  <c r="AP462" i="1"/>
  <c r="AN462" i="1"/>
  <c r="AO462" i="1" s="1"/>
  <c r="AM462" i="1"/>
  <c r="AK462" i="1"/>
  <c r="AJ462" i="1"/>
  <c r="AI462" i="1"/>
  <c r="AH462" i="1"/>
  <c r="AG462" i="1"/>
  <c r="AL462" i="1" s="1"/>
  <c r="AE462" i="1"/>
  <c r="AB462" i="1"/>
  <c r="AA462" i="1"/>
  <c r="AU461" i="1"/>
  <c r="AV461" i="1" s="1"/>
  <c r="AP461" i="1"/>
  <c r="AN461" i="1"/>
  <c r="AM461" i="1"/>
  <c r="AK461" i="1"/>
  <c r="AJ461" i="1"/>
  <c r="AI461" i="1"/>
  <c r="AH461" i="1"/>
  <c r="AG461" i="1"/>
  <c r="AL461" i="1" s="1"/>
  <c r="AE461" i="1"/>
  <c r="AA461" i="1"/>
  <c r="AB461" i="1" s="1"/>
  <c r="AV460" i="1"/>
  <c r="AU460" i="1"/>
  <c r="AP460" i="1"/>
  <c r="AN460" i="1"/>
  <c r="AM460" i="1"/>
  <c r="AK460" i="1"/>
  <c r="AJ460" i="1"/>
  <c r="AI460" i="1"/>
  <c r="AH460" i="1"/>
  <c r="AG460" i="1"/>
  <c r="AL460" i="1" s="1"/>
  <c r="AE460" i="1"/>
  <c r="AB460" i="1"/>
  <c r="AA460" i="1"/>
  <c r="AV459" i="1"/>
  <c r="AU459" i="1"/>
  <c r="AP459" i="1"/>
  <c r="AN459" i="1"/>
  <c r="AM459" i="1"/>
  <c r="AK459" i="1"/>
  <c r="AJ459" i="1"/>
  <c r="AI459" i="1"/>
  <c r="AH459" i="1"/>
  <c r="AG459" i="1"/>
  <c r="AL459" i="1" s="1"/>
  <c r="AE459" i="1"/>
  <c r="AB459" i="1"/>
  <c r="AA459" i="1"/>
  <c r="AU458" i="1"/>
  <c r="AV458" i="1" s="1"/>
  <c r="AP458" i="1"/>
  <c r="AN458" i="1"/>
  <c r="AM458" i="1"/>
  <c r="AK458" i="1"/>
  <c r="AJ458" i="1"/>
  <c r="AI458" i="1"/>
  <c r="AH458" i="1"/>
  <c r="AG458" i="1"/>
  <c r="AL458" i="1" s="1"/>
  <c r="AE458" i="1"/>
  <c r="AB458" i="1"/>
  <c r="AA458" i="1"/>
  <c r="AU457" i="1"/>
  <c r="AV457" i="1" s="1"/>
  <c r="AP457" i="1"/>
  <c r="AN457" i="1"/>
  <c r="AM457" i="1"/>
  <c r="AO457" i="1" s="1"/>
  <c r="AK457" i="1"/>
  <c r="AJ457" i="1"/>
  <c r="AI457" i="1"/>
  <c r="AH457" i="1"/>
  <c r="AG457" i="1"/>
  <c r="AL457" i="1" s="1"/>
  <c r="AE457" i="1"/>
  <c r="AA457" i="1"/>
  <c r="AB457" i="1" s="1"/>
  <c r="AV456" i="1"/>
  <c r="AU456" i="1"/>
  <c r="AP456" i="1"/>
  <c r="AN456" i="1"/>
  <c r="AM456" i="1"/>
  <c r="AK456" i="1"/>
  <c r="AJ456" i="1"/>
  <c r="AI456" i="1"/>
  <c r="AH456" i="1"/>
  <c r="AG456" i="1"/>
  <c r="AL456" i="1" s="1"/>
  <c r="AE456" i="1"/>
  <c r="AB456" i="1"/>
  <c r="AA456" i="1"/>
  <c r="AV455" i="1"/>
  <c r="AU455" i="1"/>
  <c r="AP455" i="1"/>
  <c r="AN455" i="1"/>
  <c r="AO455" i="1" s="1"/>
  <c r="AM455" i="1"/>
  <c r="AK455" i="1"/>
  <c r="AJ455" i="1"/>
  <c r="AI455" i="1"/>
  <c r="AH455" i="1"/>
  <c r="AG455" i="1"/>
  <c r="AL455" i="1" s="1"/>
  <c r="AE455" i="1"/>
  <c r="AB455" i="1"/>
  <c r="AA455" i="1"/>
  <c r="AU454" i="1"/>
  <c r="AV454" i="1" s="1"/>
  <c r="AP454" i="1"/>
  <c r="AN454" i="1"/>
  <c r="AO454" i="1" s="1"/>
  <c r="AM454" i="1"/>
  <c r="AK454" i="1"/>
  <c r="AJ454" i="1"/>
  <c r="AI454" i="1"/>
  <c r="AH454" i="1"/>
  <c r="AG454" i="1"/>
  <c r="AL454" i="1" s="1"/>
  <c r="AE454" i="1"/>
  <c r="AB454" i="1"/>
  <c r="AA454" i="1"/>
  <c r="AU453" i="1"/>
  <c r="AV453" i="1" s="1"/>
  <c r="AP453" i="1"/>
  <c r="AN453" i="1"/>
  <c r="AM453" i="1"/>
  <c r="AK453" i="1"/>
  <c r="AJ453" i="1"/>
  <c r="AI453" i="1"/>
  <c r="AH453" i="1"/>
  <c r="AG453" i="1"/>
  <c r="AL453" i="1" s="1"/>
  <c r="AE453" i="1"/>
  <c r="AB453" i="1"/>
  <c r="AA453" i="1"/>
  <c r="AV452" i="1"/>
  <c r="AU452" i="1"/>
  <c r="AP452" i="1"/>
  <c r="AN452" i="1"/>
  <c r="AO452" i="1" s="1"/>
  <c r="AM452" i="1"/>
  <c r="AK452" i="1"/>
  <c r="AJ452" i="1"/>
  <c r="AI452" i="1"/>
  <c r="AH452" i="1"/>
  <c r="AG452" i="1"/>
  <c r="AL452" i="1" s="1"/>
  <c r="AE452" i="1"/>
  <c r="AA452" i="1"/>
  <c r="AB452" i="1" s="1"/>
  <c r="AV451" i="1"/>
  <c r="AU451" i="1"/>
  <c r="AP451" i="1"/>
  <c r="AN451" i="1"/>
  <c r="AO451" i="1" s="1"/>
  <c r="AM451" i="1"/>
  <c r="AK451" i="1"/>
  <c r="AJ451" i="1"/>
  <c r="AI451" i="1"/>
  <c r="AH451" i="1"/>
  <c r="AG451" i="1"/>
  <c r="AL451" i="1" s="1"/>
  <c r="AE451" i="1"/>
  <c r="AB451" i="1"/>
  <c r="AA451" i="1"/>
  <c r="AU450" i="1"/>
  <c r="AV450" i="1" s="1"/>
  <c r="AP450" i="1"/>
  <c r="AN450" i="1"/>
  <c r="AO450" i="1" s="1"/>
  <c r="AM450" i="1"/>
  <c r="AK450" i="1"/>
  <c r="AJ450" i="1"/>
  <c r="AI450" i="1"/>
  <c r="AH450" i="1"/>
  <c r="AG450" i="1"/>
  <c r="AL450" i="1" s="1"/>
  <c r="AE450" i="1"/>
  <c r="AB450" i="1"/>
  <c r="AA450" i="1"/>
  <c r="AU449" i="1"/>
  <c r="AV449" i="1" s="1"/>
  <c r="AP449" i="1"/>
  <c r="AN449" i="1"/>
  <c r="AM449" i="1"/>
  <c r="AL449" i="1"/>
  <c r="AK449" i="1"/>
  <c r="AJ449" i="1"/>
  <c r="AI449" i="1"/>
  <c r="AH449" i="1"/>
  <c r="AG449" i="1"/>
  <c r="AE449" i="1"/>
  <c r="AB449" i="1"/>
  <c r="AA449" i="1"/>
  <c r="AV448" i="1"/>
  <c r="AU448" i="1"/>
  <c r="AP448" i="1"/>
  <c r="AN448" i="1"/>
  <c r="AM448" i="1"/>
  <c r="AO448" i="1" s="1"/>
  <c r="AK448" i="1"/>
  <c r="AJ448" i="1"/>
  <c r="AI448" i="1"/>
  <c r="AH448" i="1"/>
  <c r="AG448" i="1"/>
  <c r="AL448" i="1" s="1"/>
  <c r="AE448" i="1"/>
  <c r="AB448" i="1"/>
  <c r="AA448" i="1"/>
  <c r="AV447" i="1"/>
  <c r="AU447" i="1"/>
  <c r="AP447" i="1"/>
  <c r="AN447" i="1"/>
  <c r="AM447" i="1"/>
  <c r="AK447" i="1"/>
  <c r="AJ447" i="1"/>
  <c r="AI447" i="1"/>
  <c r="AH447" i="1"/>
  <c r="AG447" i="1"/>
  <c r="AL447" i="1" s="1"/>
  <c r="AE447" i="1"/>
  <c r="AB447" i="1"/>
  <c r="AA447" i="1"/>
  <c r="AU446" i="1"/>
  <c r="AV446" i="1" s="1"/>
  <c r="AP446" i="1"/>
  <c r="AN446" i="1"/>
  <c r="AM446" i="1"/>
  <c r="AL446" i="1"/>
  <c r="AK446" i="1"/>
  <c r="AJ446" i="1"/>
  <c r="AI446" i="1"/>
  <c r="AH446" i="1"/>
  <c r="AG446" i="1"/>
  <c r="AE446" i="1"/>
  <c r="AB446" i="1"/>
  <c r="AA446" i="1"/>
  <c r="AU445" i="1"/>
  <c r="AV445" i="1" s="1"/>
  <c r="AP445" i="1"/>
  <c r="AN445" i="1"/>
  <c r="AM445" i="1"/>
  <c r="AO445" i="1" s="1"/>
  <c r="AK445" i="1"/>
  <c r="AJ445" i="1"/>
  <c r="AI445" i="1"/>
  <c r="AH445" i="1"/>
  <c r="AG445" i="1"/>
  <c r="AL445" i="1" s="1"/>
  <c r="AE445" i="1"/>
  <c r="AB445" i="1"/>
  <c r="AA445" i="1"/>
  <c r="AV444" i="1"/>
  <c r="AU444" i="1"/>
  <c r="AP444" i="1"/>
  <c r="AN444" i="1"/>
  <c r="AM444" i="1"/>
  <c r="AK444" i="1"/>
  <c r="AJ444" i="1"/>
  <c r="AI444" i="1"/>
  <c r="AH444" i="1"/>
  <c r="AG444" i="1"/>
  <c r="AL444" i="1" s="1"/>
  <c r="AE444" i="1"/>
  <c r="AB444" i="1"/>
  <c r="AA444" i="1"/>
  <c r="AV443" i="1"/>
  <c r="AU443" i="1"/>
  <c r="AP443" i="1"/>
  <c r="AN443" i="1"/>
  <c r="AM443" i="1"/>
  <c r="AK443" i="1"/>
  <c r="AJ443" i="1"/>
  <c r="AI443" i="1"/>
  <c r="AH443" i="1"/>
  <c r="AG443" i="1"/>
  <c r="AL443" i="1" s="1"/>
  <c r="AE443" i="1"/>
  <c r="AB443" i="1"/>
  <c r="AA443" i="1"/>
  <c r="AU442" i="1"/>
  <c r="AV442" i="1" s="1"/>
  <c r="AP442" i="1"/>
  <c r="AN442" i="1"/>
  <c r="AM442" i="1"/>
  <c r="AK442" i="1"/>
  <c r="AJ442" i="1"/>
  <c r="AI442" i="1"/>
  <c r="AH442" i="1"/>
  <c r="AG442" i="1"/>
  <c r="AL442" i="1" s="1"/>
  <c r="AE442" i="1"/>
  <c r="AB442" i="1"/>
  <c r="AA442" i="1"/>
  <c r="AU441" i="1"/>
  <c r="AV441" i="1" s="1"/>
  <c r="AP441" i="1"/>
  <c r="AN441" i="1"/>
  <c r="AM441" i="1"/>
  <c r="AK441" i="1"/>
  <c r="AJ441" i="1"/>
  <c r="AI441" i="1"/>
  <c r="AH441" i="1"/>
  <c r="AG441" i="1"/>
  <c r="AL441" i="1" s="1"/>
  <c r="AE441" i="1"/>
  <c r="AB441" i="1"/>
  <c r="AA441" i="1"/>
  <c r="AV440" i="1"/>
  <c r="AU440" i="1"/>
  <c r="AP440" i="1"/>
  <c r="AN440" i="1"/>
  <c r="AM440" i="1"/>
  <c r="AK440" i="1"/>
  <c r="AJ440" i="1"/>
  <c r="AI440" i="1"/>
  <c r="AH440" i="1"/>
  <c r="AG440" i="1"/>
  <c r="AL440" i="1" s="1"/>
  <c r="AE440" i="1"/>
  <c r="AB440" i="1"/>
  <c r="AA440" i="1"/>
  <c r="AV439" i="1"/>
  <c r="AU439" i="1"/>
  <c r="AP439" i="1"/>
  <c r="AN439" i="1"/>
  <c r="AM439" i="1"/>
  <c r="AK439" i="1"/>
  <c r="AJ439" i="1"/>
  <c r="AI439" i="1"/>
  <c r="AH439" i="1"/>
  <c r="AG439" i="1"/>
  <c r="AL439" i="1" s="1"/>
  <c r="AE439" i="1"/>
  <c r="AB439" i="1"/>
  <c r="AA439" i="1"/>
  <c r="AU438" i="1"/>
  <c r="AV438" i="1" s="1"/>
  <c r="AP438" i="1"/>
  <c r="AN438" i="1"/>
  <c r="AM438" i="1"/>
  <c r="AK438" i="1"/>
  <c r="AJ438" i="1"/>
  <c r="AI438" i="1"/>
  <c r="AH438" i="1"/>
  <c r="AG438" i="1"/>
  <c r="AL438" i="1" s="1"/>
  <c r="AE438" i="1"/>
  <c r="AB438" i="1"/>
  <c r="AA438" i="1"/>
  <c r="AU437" i="1"/>
  <c r="AV437" i="1" s="1"/>
  <c r="AP437" i="1"/>
  <c r="AN437" i="1"/>
  <c r="AM437" i="1"/>
  <c r="AL437" i="1"/>
  <c r="AK437" i="1"/>
  <c r="AJ437" i="1"/>
  <c r="AI437" i="1"/>
  <c r="AH437" i="1"/>
  <c r="AG437" i="1"/>
  <c r="AE437" i="1"/>
  <c r="AB437" i="1"/>
  <c r="AA437" i="1"/>
  <c r="AV436" i="1"/>
  <c r="AU436" i="1"/>
  <c r="AP436" i="1"/>
  <c r="AO436" i="1"/>
  <c r="AN436" i="1"/>
  <c r="AM436" i="1"/>
  <c r="AK436" i="1"/>
  <c r="AJ436" i="1"/>
  <c r="AI436" i="1"/>
  <c r="AH436" i="1"/>
  <c r="AG436" i="1"/>
  <c r="AL436" i="1" s="1"/>
  <c r="AE436" i="1"/>
  <c r="AB436" i="1"/>
  <c r="AA436" i="1"/>
  <c r="AV435" i="1"/>
  <c r="AU435" i="1"/>
  <c r="AP435" i="1"/>
  <c r="AN435" i="1"/>
  <c r="AM435" i="1"/>
  <c r="AK435" i="1"/>
  <c r="AJ435" i="1"/>
  <c r="AI435" i="1"/>
  <c r="AH435" i="1"/>
  <c r="AG435" i="1"/>
  <c r="AL435" i="1" s="1"/>
  <c r="AE435" i="1"/>
  <c r="AB435" i="1"/>
  <c r="AA435" i="1"/>
  <c r="AU434" i="1"/>
  <c r="AV434" i="1" s="1"/>
  <c r="AP434" i="1"/>
  <c r="AN434" i="1"/>
  <c r="AM434" i="1"/>
  <c r="AL434" i="1"/>
  <c r="AK434" i="1"/>
  <c r="AJ434" i="1"/>
  <c r="AI434" i="1"/>
  <c r="AH434" i="1"/>
  <c r="AG434" i="1"/>
  <c r="AE434" i="1"/>
  <c r="AB434" i="1"/>
  <c r="AA434" i="1"/>
  <c r="AU433" i="1"/>
  <c r="AV433" i="1" s="1"/>
  <c r="AP433" i="1"/>
  <c r="AN433" i="1"/>
  <c r="AM433" i="1"/>
  <c r="AO433" i="1" s="1"/>
  <c r="AK433" i="1"/>
  <c r="AJ433" i="1"/>
  <c r="AI433" i="1"/>
  <c r="AH433" i="1"/>
  <c r="AG433" i="1"/>
  <c r="AL433" i="1" s="1"/>
  <c r="AE433" i="1"/>
  <c r="AB433" i="1"/>
  <c r="AA433" i="1"/>
  <c r="AV432" i="1"/>
  <c r="AU432" i="1"/>
  <c r="AP432" i="1"/>
  <c r="AN432" i="1"/>
  <c r="AM432" i="1"/>
  <c r="AK432" i="1"/>
  <c r="AJ432" i="1"/>
  <c r="AI432" i="1"/>
  <c r="AH432" i="1"/>
  <c r="AG432" i="1"/>
  <c r="AL432" i="1" s="1"/>
  <c r="AE432" i="1"/>
  <c r="AB432" i="1"/>
  <c r="AA432" i="1"/>
  <c r="AV431" i="1"/>
  <c r="AU431" i="1"/>
  <c r="AP431" i="1"/>
  <c r="AN431" i="1"/>
  <c r="AM431" i="1"/>
  <c r="AK431" i="1"/>
  <c r="AJ431" i="1"/>
  <c r="AI431" i="1"/>
  <c r="AH431" i="1"/>
  <c r="AG431" i="1"/>
  <c r="AL431" i="1" s="1"/>
  <c r="AE431" i="1"/>
  <c r="AB431" i="1"/>
  <c r="AA431" i="1"/>
  <c r="AU430" i="1"/>
  <c r="AV430" i="1" s="1"/>
  <c r="AP430" i="1"/>
  <c r="AN430" i="1"/>
  <c r="AM430" i="1"/>
  <c r="AK430" i="1"/>
  <c r="AJ430" i="1"/>
  <c r="AI430" i="1"/>
  <c r="AH430" i="1"/>
  <c r="AG430" i="1"/>
  <c r="AL430" i="1" s="1"/>
  <c r="AE430" i="1"/>
  <c r="AB430" i="1"/>
  <c r="AA430" i="1"/>
  <c r="AU429" i="1"/>
  <c r="AV429" i="1" s="1"/>
  <c r="AP429" i="1"/>
  <c r="AN429" i="1"/>
  <c r="AM429" i="1"/>
  <c r="AK429" i="1"/>
  <c r="AJ429" i="1"/>
  <c r="AI429" i="1"/>
  <c r="AH429" i="1"/>
  <c r="AG429" i="1"/>
  <c r="AL429" i="1" s="1"/>
  <c r="AE429" i="1"/>
  <c r="AB429" i="1"/>
  <c r="AA429" i="1"/>
  <c r="AV428" i="1"/>
  <c r="AU428" i="1"/>
  <c r="AP428" i="1"/>
  <c r="AN428" i="1"/>
  <c r="AM428" i="1"/>
  <c r="AO428" i="1" s="1"/>
  <c r="AK428" i="1"/>
  <c r="AJ428" i="1"/>
  <c r="AI428" i="1"/>
  <c r="AH428" i="1"/>
  <c r="AG428" i="1"/>
  <c r="AL428" i="1" s="1"/>
  <c r="AE428" i="1"/>
  <c r="AB428" i="1"/>
  <c r="AA428" i="1"/>
  <c r="AV427" i="1"/>
  <c r="AU427" i="1"/>
  <c r="AP427" i="1"/>
  <c r="AN427" i="1"/>
  <c r="AM427" i="1"/>
  <c r="AK427" i="1"/>
  <c r="AJ427" i="1"/>
  <c r="AI427" i="1"/>
  <c r="AH427" i="1"/>
  <c r="AG427" i="1"/>
  <c r="AL427" i="1" s="1"/>
  <c r="AE427" i="1"/>
  <c r="AB427" i="1"/>
  <c r="AA427" i="1"/>
  <c r="AU426" i="1"/>
  <c r="AV426" i="1" s="1"/>
  <c r="AP426" i="1"/>
  <c r="AN426" i="1"/>
  <c r="AM426" i="1"/>
  <c r="AK426" i="1"/>
  <c r="AJ426" i="1"/>
  <c r="AI426" i="1"/>
  <c r="AH426" i="1"/>
  <c r="AG426" i="1"/>
  <c r="AL426" i="1" s="1"/>
  <c r="AE426" i="1"/>
  <c r="AB426" i="1"/>
  <c r="AA426" i="1"/>
  <c r="AU425" i="1"/>
  <c r="AV425" i="1" s="1"/>
  <c r="AP425" i="1"/>
  <c r="AN425" i="1"/>
  <c r="AM425" i="1"/>
  <c r="AK425" i="1"/>
  <c r="AJ425" i="1"/>
  <c r="AI425" i="1"/>
  <c r="AH425" i="1"/>
  <c r="AG425" i="1"/>
  <c r="AL425" i="1" s="1"/>
  <c r="AE425" i="1"/>
  <c r="AB425" i="1"/>
  <c r="AA425" i="1"/>
  <c r="AV424" i="1"/>
  <c r="AU424" i="1"/>
  <c r="AP424" i="1"/>
  <c r="AN424" i="1"/>
  <c r="AM424" i="1"/>
  <c r="AK424" i="1"/>
  <c r="AJ424" i="1"/>
  <c r="AI424" i="1"/>
  <c r="AH424" i="1"/>
  <c r="AG424" i="1"/>
  <c r="AL424" i="1" s="1"/>
  <c r="AE424" i="1"/>
  <c r="AB424" i="1"/>
  <c r="AA424" i="1"/>
  <c r="AV423" i="1"/>
  <c r="AU423" i="1"/>
  <c r="AP423" i="1"/>
  <c r="AN423" i="1"/>
  <c r="AM423" i="1"/>
  <c r="AK423" i="1"/>
  <c r="AJ423" i="1"/>
  <c r="AI423" i="1"/>
  <c r="AH423" i="1"/>
  <c r="AG423" i="1"/>
  <c r="AL423" i="1" s="1"/>
  <c r="AE423" i="1"/>
  <c r="AB423" i="1"/>
  <c r="AA423" i="1"/>
  <c r="AU422" i="1"/>
  <c r="AV422" i="1" s="1"/>
  <c r="AP422" i="1"/>
  <c r="AN422" i="1"/>
  <c r="AM422" i="1"/>
  <c r="AK422" i="1"/>
  <c r="AJ422" i="1"/>
  <c r="AI422" i="1"/>
  <c r="AH422" i="1"/>
  <c r="AG422" i="1"/>
  <c r="AL422" i="1" s="1"/>
  <c r="AE422" i="1"/>
  <c r="AB422" i="1"/>
  <c r="AA422" i="1"/>
  <c r="AU421" i="1"/>
  <c r="AV421" i="1" s="1"/>
  <c r="AP421" i="1"/>
  <c r="AN421" i="1"/>
  <c r="AM421" i="1"/>
  <c r="AL421" i="1"/>
  <c r="AK421" i="1"/>
  <c r="AJ421" i="1"/>
  <c r="AI421" i="1"/>
  <c r="AH421" i="1"/>
  <c r="AG421" i="1"/>
  <c r="AE421" i="1"/>
  <c r="AA421" i="1"/>
  <c r="AB421" i="1" s="1"/>
  <c r="AV420" i="1"/>
  <c r="AU420" i="1"/>
  <c r="AP420" i="1"/>
  <c r="AN420" i="1"/>
  <c r="AM420" i="1"/>
  <c r="AK420" i="1"/>
  <c r="AJ420" i="1"/>
  <c r="AI420" i="1"/>
  <c r="AH420" i="1"/>
  <c r="AG420" i="1"/>
  <c r="AL420" i="1" s="1"/>
  <c r="AE420" i="1"/>
  <c r="AA420" i="1"/>
  <c r="AB420" i="1" s="1"/>
  <c r="AV419" i="1"/>
  <c r="AU419" i="1"/>
  <c r="AP419" i="1"/>
  <c r="AN419" i="1"/>
  <c r="AM419" i="1"/>
  <c r="AK419" i="1"/>
  <c r="AJ419" i="1"/>
  <c r="AI419" i="1"/>
  <c r="AH419" i="1"/>
  <c r="AG419" i="1"/>
  <c r="AL419" i="1" s="1"/>
  <c r="AE419" i="1"/>
  <c r="AB419" i="1"/>
  <c r="AA419" i="1"/>
  <c r="AU418" i="1"/>
  <c r="AV418" i="1" s="1"/>
  <c r="AP418" i="1"/>
  <c r="AN418" i="1"/>
  <c r="AO418" i="1" s="1"/>
  <c r="AM418" i="1"/>
  <c r="AK418" i="1"/>
  <c r="AJ418" i="1"/>
  <c r="AI418" i="1"/>
  <c r="AH418" i="1"/>
  <c r="AG418" i="1"/>
  <c r="AL418" i="1" s="1"/>
  <c r="AE418" i="1"/>
  <c r="AB418" i="1"/>
  <c r="AA418" i="1"/>
  <c r="AU417" i="1"/>
  <c r="AV417" i="1" s="1"/>
  <c r="AP417" i="1"/>
  <c r="AN417" i="1"/>
  <c r="AM417" i="1"/>
  <c r="AK417" i="1"/>
  <c r="AJ417" i="1"/>
  <c r="AI417" i="1"/>
  <c r="AH417" i="1"/>
  <c r="AG417" i="1"/>
  <c r="AL417" i="1" s="1"/>
  <c r="AE417" i="1"/>
  <c r="AA417" i="1"/>
  <c r="AB417" i="1" s="1"/>
  <c r="AV416" i="1"/>
  <c r="AU416" i="1"/>
  <c r="AP416" i="1"/>
  <c r="AO416" i="1"/>
  <c r="AN416" i="1"/>
  <c r="AM416" i="1"/>
  <c r="AK416" i="1"/>
  <c r="AJ416" i="1"/>
  <c r="AI416" i="1"/>
  <c r="AH416" i="1"/>
  <c r="AG416" i="1"/>
  <c r="AL416" i="1" s="1"/>
  <c r="AE416" i="1"/>
  <c r="AA416" i="1"/>
  <c r="AB416" i="1" s="1"/>
  <c r="AV415" i="1"/>
  <c r="AU415" i="1"/>
  <c r="AP415" i="1"/>
  <c r="AN415" i="1"/>
  <c r="AM415" i="1"/>
  <c r="AK415" i="1"/>
  <c r="AJ415" i="1"/>
  <c r="AI415" i="1"/>
  <c r="AH415" i="1"/>
  <c r="AG415" i="1"/>
  <c r="AL415" i="1" s="1"/>
  <c r="AE415" i="1"/>
  <c r="AB415" i="1"/>
  <c r="AA415" i="1"/>
  <c r="AU414" i="1"/>
  <c r="AV414" i="1" s="1"/>
  <c r="AP414" i="1"/>
  <c r="AN414" i="1"/>
  <c r="AM414" i="1"/>
  <c r="AL414" i="1"/>
  <c r="AK414" i="1"/>
  <c r="AJ414" i="1"/>
  <c r="AI414" i="1"/>
  <c r="AH414" i="1"/>
  <c r="AG414" i="1"/>
  <c r="AE414" i="1"/>
  <c r="AB414" i="1"/>
  <c r="AA414" i="1"/>
  <c r="AU413" i="1"/>
  <c r="AV413" i="1" s="1"/>
  <c r="AP413" i="1"/>
  <c r="AN413" i="1"/>
  <c r="AM413" i="1"/>
  <c r="AO413" i="1" s="1"/>
  <c r="AL413" i="1"/>
  <c r="AK413" i="1"/>
  <c r="AJ413" i="1"/>
  <c r="AI413" i="1"/>
  <c r="AH413" i="1"/>
  <c r="AG413" i="1"/>
  <c r="AE413" i="1"/>
  <c r="AA413" i="1"/>
  <c r="AB413" i="1" s="1"/>
  <c r="AV412" i="1"/>
  <c r="AU412" i="1"/>
  <c r="AP412" i="1"/>
  <c r="AO412" i="1"/>
  <c r="AN412" i="1"/>
  <c r="AM412" i="1"/>
  <c r="AK412" i="1"/>
  <c r="AJ412" i="1"/>
  <c r="AI412" i="1"/>
  <c r="AH412" i="1"/>
  <c r="AG412" i="1"/>
  <c r="AL412" i="1" s="1"/>
  <c r="AE412" i="1"/>
  <c r="AA412" i="1"/>
  <c r="AB412" i="1" s="1"/>
  <c r="AV411" i="1"/>
  <c r="AU411" i="1"/>
  <c r="AP411" i="1"/>
  <c r="AN411" i="1"/>
  <c r="AO411" i="1" s="1"/>
  <c r="AM411" i="1"/>
  <c r="AK411" i="1"/>
  <c r="AJ411" i="1"/>
  <c r="AI411" i="1"/>
  <c r="AH411" i="1"/>
  <c r="AG411" i="1"/>
  <c r="AL411" i="1" s="1"/>
  <c r="AE411" i="1"/>
  <c r="AB411" i="1"/>
  <c r="AA411" i="1"/>
  <c r="AU410" i="1"/>
  <c r="AV410" i="1" s="1"/>
  <c r="AP410" i="1"/>
  <c r="AN410" i="1"/>
  <c r="AO410" i="1" s="1"/>
  <c r="AM410" i="1"/>
  <c r="AK410" i="1"/>
  <c r="AJ410" i="1"/>
  <c r="AI410" i="1"/>
  <c r="AH410" i="1"/>
  <c r="AG410" i="1"/>
  <c r="AL410" i="1" s="1"/>
  <c r="AE410" i="1"/>
  <c r="AB410" i="1"/>
  <c r="AA410" i="1"/>
  <c r="AU409" i="1"/>
  <c r="AV409" i="1" s="1"/>
  <c r="AP409" i="1"/>
  <c r="AN409" i="1"/>
  <c r="AM409" i="1"/>
  <c r="AK409" i="1"/>
  <c r="AJ409" i="1"/>
  <c r="AI409" i="1"/>
  <c r="AH409" i="1"/>
  <c r="AG409" i="1"/>
  <c r="AL409" i="1" s="1"/>
  <c r="AE409" i="1"/>
  <c r="AA409" i="1"/>
  <c r="AB409" i="1" s="1"/>
  <c r="AV408" i="1"/>
  <c r="AU408" i="1"/>
  <c r="AP408" i="1"/>
  <c r="AN408" i="1"/>
  <c r="AM408" i="1"/>
  <c r="AK408" i="1"/>
  <c r="AJ408" i="1"/>
  <c r="AI408" i="1"/>
  <c r="AH408" i="1"/>
  <c r="AG408" i="1"/>
  <c r="AL408" i="1" s="1"/>
  <c r="AE408" i="1"/>
  <c r="AA408" i="1"/>
  <c r="AB408" i="1" s="1"/>
  <c r="AV407" i="1"/>
  <c r="AU407" i="1"/>
  <c r="AP407" i="1"/>
  <c r="AN407" i="1"/>
  <c r="AM407" i="1"/>
  <c r="AK407" i="1"/>
  <c r="AJ407" i="1"/>
  <c r="AI407" i="1"/>
  <c r="AH407" i="1"/>
  <c r="AG407" i="1"/>
  <c r="AL407" i="1" s="1"/>
  <c r="AE407" i="1"/>
  <c r="AB407" i="1"/>
  <c r="AA407" i="1"/>
  <c r="AU406" i="1"/>
  <c r="AV406" i="1" s="1"/>
  <c r="AP406" i="1"/>
  <c r="AN406" i="1"/>
  <c r="AM406" i="1"/>
  <c r="AK406" i="1"/>
  <c r="AJ406" i="1"/>
  <c r="AI406" i="1"/>
  <c r="AH406" i="1"/>
  <c r="AG406" i="1"/>
  <c r="AL406" i="1" s="1"/>
  <c r="AE406" i="1"/>
  <c r="AB406" i="1"/>
  <c r="AA406" i="1"/>
  <c r="AU405" i="1"/>
  <c r="AV405" i="1" s="1"/>
  <c r="AP405" i="1"/>
  <c r="AN405" i="1"/>
  <c r="AM405" i="1"/>
  <c r="AK405" i="1"/>
  <c r="AJ405" i="1"/>
  <c r="AI405" i="1"/>
  <c r="AH405" i="1"/>
  <c r="AG405" i="1"/>
  <c r="AL405" i="1" s="1"/>
  <c r="AE405" i="1"/>
  <c r="AA405" i="1"/>
  <c r="AB405" i="1" s="1"/>
  <c r="AV404" i="1"/>
  <c r="AU404" i="1"/>
  <c r="AP404" i="1"/>
  <c r="AN404" i="1"/>
  <c r="AO404" i="1" s="1"/>
  <c r="AM404" i="1"/>
  <c r="AK404" i="1"/>
  <c r="AJ404" i="1"/>
  <c r="AI404" i="1"/>
  <c r="AH404" i="1"/>
  <c r="AG404" i="1"/>
  <c r="AL404" i="1" s="1"/>
  <c r="AE404" i="1"/>
  <c r="AA404" i="1"/>
  <c r="AB404" i="1" s="1"/>
  <c r="AV403" i="1"/>
  <c r="AU403" i="1"/>
  <c r="AP403" i="1"/>
  <c r="AN403" i="1"/>
  <c r="AM403" i="1"/>
  <c r="AK403" i="1"/>
  <c r="AJ403" i="1"/>
  <c r="AI403" i="1"/>
  <c r="AH403" i="1"/>
  <c r="AG403" i="1"/>
  <c r="AL403" i="1" s="1"/>
  <c r="AE403" i="1"/>
  <c r="AB403" i="1"/>
  <c r="AA403" i="1"/>
  <c r="AU402" i="1"/>
  <c r="AV402" i="1" s="1"/>
  <c r="AP402" i="1"/>
  <c r="AN402" i="1"/>
  <c r="AM402" i="1"/>
  <c r="AL402" i="1"/>
  <c r="AK402" i="1"/>
  <c r="AJ402" i="1"/>
  <c r="AI402" i="1"/>
  <c r="AH402" i="1"/>
  <c r="AG402" i="1"/>
  <c r="AE402" i="1"/>
  <c r="AB402" i="1"/>
  <c r="AA402" i="1"/>
  <c r="AU401" i="1"/>
  <c r="AV401" i="1" s="1"/>
  <c r="AP401" i="1"/>
  <c r="AN401" i="1"/>
  <c r="AM401" i="1"/>
  <c r="AO401" i="1" s="1"/>
  <c r="AK401" i="1"/>
  <c r="AJ401" i="1"/>
  <c r="AI401" i="1"/>
  <c r="AH401" i="1"/>
  <c r="AG401" i="1"/>
  <c r="AL401" i="1" s="1"/>
  <c r="AE401" i="1"/>
  <c r="AA401" i="1"/>
  <c r="AB401" i="1" s="1"/>
  <c r="AV400" i="1"/>
  <c r="AU400" i="1"/>
  <c r="AP400" i="1"/>
  <c r="AO400" i="1"/>
  <c r="AN400" i="1"/>
  <c r="AM400" i="1"/>
  <c r="AK400" i="1"/>
  <c r="AJ400" i="1"/>
  <c r="AI400" i="1"/>
  <c r="AH400" i="1"/>
  <c r="AG400" i="1"/>
  <c r="AL400" i="1" s="1"/>
  <c r="AE400" i="1"/>
  <c r="AA400" i="1"/>
  <c r="AB400" i="1" s="1"/>
  <c r="AV399" i="1"/>
  <c r="AU399" i="1"/>
  <c r="AP399" i="1"/>
  <c r="AN399" i="1"/>
  <c r="AM399" i="1"/>
  <c r="AK399" i="1"/>
  <c r="AJ399" i="1"/>
  <c r="AI399" i="1"/>
  <c r="AH399" i="1"/>
  <c r="AG399" i="1"/>
  <c r="AL399" i="1" s="1"/>
  <c r="AE399" i="1"/>
  <c r="AB399" i="1"/>
  <c r="AA399" i="1"/>
  <c r="AU398" i="1"/>
  <c r="AV398" i="1" s="1"/>
  <c r="AP398" i="1"/>
  <c r="AN398" i="1"/>
  <c r="AM398" i="1"/>
  <c r="AK398" i="1"/>
  <c r="AJ398" i="1"/>
  <c r="AI398" i="1"/>
  <c r="AH398" i="1"/>
  <c r="AG398" i="1"/>
  <c r="AL398" i="1" s="1"/>
  <c r="AE398" i="1"/>
  <c r="AB398" i="1"/>
  <c r="AA398" i="1"/>
  <c r="AU397" i="1"/>
  <c r="AV397" i="1" s="1"/>
  <c r="AP397" i="1"/>
  <c r="AN397" i="1"/>
  <c r="AM397" i="1"/>
  <c r="AO397" i="1" s="1"/>
  <c r="AL397" i="1"/>
  <c r="AK397" i="1"/>
  <c r="AJ397" i="1"/>
  <c r="AI397" i="1"/>
  <c r="AH397" i="1"/>
  <c r="AG397" i="1"/>
  <c r="AE397" i="1"/>
  <c r="AB397" i="1"/>
  <c r="AA397" i="1"/>
  <c r="AV396" i="1"/>
  <c r="AU396" i="1"/>
  <c r="AP396" i="1"/>
  <c r="AO396" i="1"/>
  <c r="AN396" i="1"/>
  <c r="AM396" i="1"/>
  <c r="AK396" i="1"/>
  <c r="AJ396" i="1"/>
  <c r="AI396" i="1"/>
  <c r="AH396" i="1"/>
  <c r="AG396" i="1"/>
  <c r="AL396" i="1" s="1"/>
  <c r="AE396" i="1"/>
  <c r="AA396" i="1"/>
  <c r="AB396" i="1" s="1"/>
  <c r="AV395" i="1"/>
  <c r="AU395" i="1"/>
  <c r="AP395" i="1"/>
  <c r="AN395" i="1"/>
  <c r="AO395" i="1" s="1"/>
  <c r="AM395" i="1"/>
  <c r="AK395" i="1"/>
  <c r="AJ395" i="1"/>
  <c r="AI395" i="1"/>
  <c r="AH395" i="1"/>
  <c r="AG395" i="1"/>
  <c r="AL395" i="1" s="1"/>
  <c r="AE395" i="1"/>
  <c r="AB395" i="1"/>
  <c r="AA395" i="1"/>
  <c r="AU394" i="1"/>
  <c r="AV394" i="1" s="1"/>
  <c r="AP394" i="1"/>
  <c r="AN394" i="1"/>
  <c r="AO394" i="1" s="1"/>
  <c r="AM394" i="1"/>
  <c r="AL394" i="1"/>
  <c r="AK394" i="1"/>
  <c r="AJ394" i="1"/>
  <c r="AI394" i="1"/>
  <c r="AH394" i="1"/>
  <c r="AG394" i="1"/>
  <c r="AE394" i="1"/>
  <c r="AB394" i="1"/>
  <c r="AA394" i="1"/>
  <c r="AU393" i="1"/>
  <c r="AV393" i="1" s="1"/>
  <c r="AP393" i="1"/>
  <c r="AN393" i="1"/>
  <c r="AM393" i="1"/>
  <c r="AO393" i="1" s="1"/>
  <c r="AL393" i="1"/>
  <c r="AK393" i="1"/>
  <c r="AJ393" i="1"/>
  <c r="AI393" i="1"/>
  <c r="AH393" i="1"/>
  <c r="AG393" i="1"/>
  <c r="AE393" i="1"/>
  <c r="AA393" i="1"/>
  <c r="AB393" i="1" s="1"/>
  <c r="AV392" i="1"/>
  <c r="AU392" i="1"/>
  <c r="AP392" i="1"/>
  <c r="AO392" i="1"/>
  <c r="AN392" i="1"/>
  <c r="AM392" i="1"/>
  <c r="AK392" i="1"/>
  <c r="AJ392" i="1"/>
  <c r="AI392" i="1"/>
  <c r="AH392" i="1"/>
  <c r="AG392" i="1"/>
  <c r="AL392" i="1" s="1"/>
  <c r="AE392" i="1"/>
  <c r="AB392" i="1"/>
  <c r="AA392" i="1"/>
  <c r="AV391" i="1"/>
  <c r="AU391" i="1"/>
  <c r="AP391" i="1"/>
  <c r="AN391" i="1"/>
  <c r="AO391" i="1" s="1"/>
  <c r="AM391" i="1"/>
  <c r="AK391" i="1"/>
  <c r="AJ391" i="1"/>
  <c r="AI391" i="1"/>
  <c r="AH391" i="1"/>
  <c r="AG391" i="1"/>
  <c r="AL391" i="1" s="1"/>
  <c r="AE391" i="1"/>
  <c r="AB391" i="1"/>
  <c r="AA391" i="1"/>
  <c r="AU390" i="1"/>
  <c r="AV390" i="1" s="1"/>
  <c r="AP390" i="1"/>
  <c r="AN390" i="1"/>
  <c r="AO390" i="1" s="1"/>
  <c r="AM390" i="1"/>
  <c r="AL390" i="1"/>
  <c r="AK390" i="1"/>
  <c r="AJ390" i="1"/>
  <c r="AI390" i="1"/>
  <c r="AH390" i="1"/>
  <c r="AG390" i="1"/>
  <c r="AE390" i="1"/>
  <c r="AB390" i="1"/>
  <c r="AA390" i="1"/>
  <c r="AU389" i="1"/>
  <c r="AV389" i="1" s="1"/>
  <c r="AP389" i="1"/>
  <c r="AN389" i="1"/>
  <c r="AM389" i="1"/>
  <c r="AO389" i="1" s="1"/>
  <c r="AL389" i="1"/>
  <c r="AK389" i="1"/>
  <c r="AJ389" i="1"/>
  <c r="AI389" i="1"/>
  <c r="AH389" i="1"/>
  <c r="AG389" i="1"/>
  <c r="AE389" i="1"/>
  <c r="AB389" i="1"/>
  <c r="AA389" i="1"/>
  <c r="AV388" i="1"/>
  <c r="AU388" i="1"/>
  <c r="AP388" i="1"/>
  <c r="AO388" i="1"/>
  <c r="AN388" i="1"/>
  <c r="AM388" i="1"/>
  <c r="AL388" i="1"/>
  <c r="AK388" i="1"/>
  <c r="AJ388" i="1"/>
  <c r="AI388" i="1"/>
  <c r="AH388" i="1"/>
  <c r="AG388" i="1"/>
  <c r="AE388" i="1"/>
  <c r="AB388" i="1"/>
  <c r="AA388" i="1"/>
  <c r="AV387" i="1"/>
  <c r="AU387" i="1"/>
  <c r="AP387" i="1"/>
  <c r="AO387" i="1"/>
  <c r="AN387" i="1"/>
  <c r="AM387" i="1"/>
  <c r="AK387" i="1"/>
  <c r="AJ387" i="1"/>
  <c r="AI387" i="1"/>
  <c r="AH387" i="1"/>
  <c r="AG387" i="1"/>
  <c r="AL387" i="1" s="1"/>
  <c r="AE387" i="1"/>
  <c r="AB387" i="1"/>
  <c r="AA387" i="1"/>
  <c r="AU386" i="1"/>
  <c r="AV386" i="1" s="1"/>
  <c r="AP386" i="1"/>
  <c r="AN386" i="1"/>
  <c r="AO386" i="1" s="1"/>
  <c r="AM386" i="1"/>
  <c r="AK386" i="1"/>
  <c r="AJ386" i="1"/>
  <c r="AI386" i="1"/>
  <c r="AH386" i="1"/>
  <c r="AG386" i="1"/>
  <c r="AL386" i="1" s="1"/>
  <c r="AE386" i="1"/>
  <c r="AA386" i="1"/>
  <c r="AB386" i="1" s="1"/>
  <c r="AU385" i="1"/>
  <c r="AV385" i="1" s="1"/>
  <c r="AP385" i="1"/>
  <c r="AN385" i="1"/>
  <c r="AM385" i="1"/>
  <c r="AK385" i="1"/>
  <c r="AJ385" i="1"/>
  <c r="AI385" i="1"/>
  <c r="AH385" i="1"/>
  <c r="AG385" i="1"/>
  <c r="AL385" i="1" s="1"/>
  <c r="AE385" i="1"/>
  <c r="AB385" i="1"/>
  <c r="AA385" i="1"/>
  <c r="AV384" i="1"/>
  <c r="AU384" i="1"/>
  <c r="AP384" i="1"/>
  <c r="AN384" i="1"/>
  <c r="AO384" i="1" s="1"/>
  <c r="AM384" i="1"/>
  <c r="AK384" i="1"/>
  <c r="AJ384" i="1"/>
  <c r="AI384" i="1"/>
  <c r="AH384" i="1"/>
  <c r="AG384" i="1"/>
  <c r="AL384" i="1" s="1"/>
  <c r="AE384" i="1"/>
  <c r="AA384" i="1"/>
  <c r="AB384" i="1" s="1"/>
  <c r="AV383" i="1"/>
  <c r="AU383" i="1"/>
  <c r="AP383" i="1"/>
  <c r="AN383" i="1"/>
  <c r="AM383" i="1"/>
  <c r="AO383" i="1" s="1"/>
  <c r="AK383" i="1"/>
  <c r="AJ383" i="1"/>
  <c r="AI383" i="1"/>
  <c r="AH383" i="1"/>
  <c r="AG383" i="1"/>
  <c r="AL383" i="1" s="1"/>
  <c r="AE383" i="1"/>
  <c r="AB383" i="1"/>
  <c r="AA383" i="1"/>
  <c r="AU382" i="1"/>
  <c r="AV382" i="1" s="1"/>
  <c r="AP382" i="1"/>
  <c r="AN382" i="1"/>
  <c r="AM382" i="1"/>
  <c r="AL382" i="1"/>
  <c r="AK382" i="1"/>
  <c r="AJ382" i="1"/>
  <c r="AI382" i="1"/>
  <c r="AH382" i="1"/>
  <c r="AG382" i="1"/>
  <c r="AE382" i="1"/>
  <c r="AA382" i="1"/>
  <c r="AB382" i="1" s="1"/>
  <c r="AU381" i="1"/>
  <c r="AV381" i="1" s="1"/>
  <c r="AP381" i="1"/>
  <c r="AN381" i="1"/>
  <c r="AM381" i="1"/>
  <c r="AK381" i="1"/>
  <c r="AJ381" i="1"/>
  <c r="AI381" i="1"/>
  <c r="AH381" i="1"/>
  <c r="AG381" i="1"/>
  <c r="AL381" i="1" s="1"/>
  <c r="AE381" i="1"/>
  <c r="AB381" i="1"/>
  <c r="AA381" i="1"/>
  <c r="AV380" i="1"/>
  <c r="AU380" i="1"/>
  <c r="AP380" i="1"/>
  <c r="AN380" i="1"/>
  <c r="AM380" i="1"/>
  <c r="AL380" i="1"/>
  <c r="AK380" i="1"/>
  <c r="AJ380" i="1"/>
  <c r="AI380" i="1"/>
  <c r="AH380" i="1"/>
  <c r="AG380" i="1"/>
  <c r="AE380" i="1"/>
  <c r="AA380" i="1"/>
  <c r="AB380" i="1" s="1"/>
  <c r="AV379" i="1"/>
  <c r="AU379" i="1"/>
  <c r="AP379" i="1"/>
  <c r="AO379" i="1"/>
  <c r="AN379" i="1"/>
  <c r="AM379" i="1"/>
  <c r="AK379" i="1"/>
  <c r="AJ379" i="1"/>
  <c r="AI379" i="1"/>
  <c r="AH379" i="1"/>
  <c r="AG379" i="1"/>
  <c r="AL379" i="1" s="1"/>
  <c r="AE379" i="1"/>
  <c r="AB379" i="1"/>
  <c r="AA379" i="1"/>
  <c r="AU378" i="1"/>
  <c r="AV378" i="1" s="1"/>
  <c r="AP378" i="1"/>
  <c r="AN378" i="1"/>
  <c r="AO378" i="1" s="1"/>
  <c r="AM378" i="1"/>
  <c r="AK378" i="1"/>
  <c r="AJ378" i="1"/>
  <c r="AI378" i="1"/>
  <c r="AH378" i="1"/>
  <c r="AG378" i="1"/>
  <c r="AL378" i="1" s="1"/>
  <c r="AE378" i="1"/>
  <c r="AB378" i="1"/>
  <c r="AA378" i="1"/>
  <c r="AU377" i="1"/>
  <c r="AV377" i="1" s="1"/>
  <c r="AP377" i="1"/>
  <c r="AN377" i="1"/>
  <c r="AM377" i="1"/>
  <c r="AK377" i="1"/>
  <c r="AJ377" i="1"/>
  <c r="AI377" i="1"/>
  <c r="AH377" i="1"/>
  <c r="AG377" i="1"/>
  <c r="AL377" i="1" s="1"/>
  <c r="AE377" i="1"/>
  <c r="AB377" i="1"/>
  <c r="AA377" i="1"/>
  <c r="AV376" i="1"/>
  <c r="AU376" i="1"/>
  <c r="AP376" i="1"/>
  <c r="AN376" i="1"/>
  <c r="AO376" i="1" s="1"/>
  <c r="AM376" i="1"/>
  <c r="AK376" i="1"/>
  <c r="AJ376" i="1"/>
  <c r="AI376" i="1"/>
  <c r="AH376" i="1"/>
  <c r="AG376" i="1"/>
  <c r="AL376" i="1" s="1"/>
  <c r="AE376" i="1"/>
  <c r="AA376" i="1"/>
  <c r="AB376" i="1" s="1"/>
  <c r="AV375" i="1"/>
  <c r="AU375" i="1"/>
  <c r="AP375" i="1"/>
  <c r="AN375" i="1"/>
  <c r="AO375" i="1" s="1"/>
  <c r="AM375" i="1"/>
  <c r="AK375" i="1"/>
  <c r="AJ375" i="1"/>
  <c r="AI375" i="1"/>
  <c r="AH375" i="1"/>
  <c r="AG375" i="1"/>
  <c r="AL375" i="1" s="1"/>
  <c r="AE375" i="1"/>
  <c r="AB375" i="1"/>
  <c r="AA375" i="1"/>
  <c r="AU374" i="1"/>
  <c r="AV374" i="1" s="1"/>
  <c r="AP374" i="1"/>
  <c r="AN374" i="1"/>
  <c r="AO374" i="1" s="1"/>
  <c r="AM374" i="1"/>
  <c r="AK374" i="1"/>
  <c r="AJ374" i="1"/>
  <c r="AI374" i="1"/>
  <c r="AH374" i="1"/>
  <c r="AG374" i="1"/>
  <c r="AL374" i="1" s="1"/>
  <c r="AE374" i="1"/>
  <c r="AB374" i="1"/>
  <c r="AA374" i="1"/>
  <c r="AU373" i="1"/>
  <c r="AV373" i="1" s="1"/>
  <c r="AP373" i="1"/>
  <c r="AN373" i="1"/>
  <c r="AO373" i="1" s="1"/>
  <c r="AM373" i="1"/>
  <c r="AK373" i="1"/>
  <c r="AJ373" i="1"/>
  <c r="AI373" i="1"/>
  <c r="AH373" i="1"/>
  <c r="AG373" i="1"/>
  <c r="AL373" i="1" s="1"/>
  <c r="AE373" i="1"/>
  <c r="AA373" i="1"/>
  <c r="AB373" i="1" s="1"/>
  <c r="AV372" i="1"/>
  <c r="AU372" i="1"/>
  <c r="AP372" i="1"/>
  <c r="AN372" i="1"/>
  <c r="AM372" i="1"/>
  <c r="AK372" i="1"/>
  <c r="AJ372" i="1"/>
  <c r="AI372" i="1"/>
  <c r="AH372" i="1"/>
  <c r="AG372" i="1"/>
  <c r="AL372" i="1" s="1"/>
  <c r="AE372" i="1"/>
  <c r="AB372" i="1"/>
  <c r="AA372" i="1"/>
  <c r="AV371" i="1"/>
  <c r="AU371" i="1"/>
  <c r="AP371" i="1"/>
  <c r="AN371" i="1"/>
  <c r="AM371" i="1"/>
  <c r="AK371" i="1"/>
  <c r="AJ371" i="1"/>
  <c r="AI371" i="1"/>
  <c r="AH371" i="1"/>
  <c r="AG371" i="1"/>
  <c r="AL371" i="1" s="1"/>
  <c r="AE371" i="1"/>
  <c r="AB371" i="1"/>
  <c r="AA371" i="1"/>
  <c r="AU370" i="1"/>
  <c r="AV370" i="1" s="1"/>
  <c r="AP370" i="1"/>
  <c r="AN370" i="1"/>
  <c r="AM370" i="1"/>
  <c r="AK370" i="1"/>
  <c r="AJ370" i="1"/>
  <c r="AI370" i="1"/>
  <c r="AH370" i="1"/>
  <c r="AG370" i="1"/>
  <c r="AL370" i="1" s="1"/>
  <c r="AE370" i="1"/>
  <c r="AB370" i="1"/>
  <c r="AA370" i="1"/>
  <c r="AU369" i="1"/>
  <c r="AV369" i="1" s="1"/>
  <c r="AP369" i="1"/>
  <c r="AN369" i="1"/>
  <c r="AM369" i="1"/>
  <c r="AO369" i="1" s="1"/>
  <c r="AK369" i="1"/>
  <c r="AJ369" i="1"/>
  <c r="AI369" i="1"/>
  <c r="AH369" i="1"/>
  <c r="AG369" i="1"/>
  <c r="AL369" i="1" s="1"/>
  <c r="AE369" i="1"/>
  <c r="AB369" i="1"/>
  <c r="AA369" i="1"/>
  <c r="AV368" i="1"/>
  <c r="AU368" i="1"/>
  <c r="AP368" i="1"/>
  <c r="AN368" i="1"/>
  <c r="AM368" i="1"/>
  <c r="AK368" i="1"/>
  <c r="AJ368" i="1"/>
  <c r="AI368" i="1"/>
  <c r="AH368" i="1"/>
  <c r="AG368" i="1"/>
  <c r="AL368" i="1" s="1"/>
  <c r="AE368" i="1"/>
  <c r="AA368" i="1"/>
  <c r="AB368" i="1" s="1"/>
  <c r="AV367" i="1"/>
  <c r="AU367" i="1"/>
  <c r="AP367" i="1"/>
  <c r="AN367" i="1"/>
  <c r="AM367" i="1"/>
  <c r="AK367" i="1"/>
  <c r="AJ367" i="1"/>
  <c r="AI367" i="1"/>
  <c r="AH367" i="1"/>
  <c r="AG367" i="1"/>
  <c r="AL367" i="1" s="1"/>
  <c r="AE367" i="1"/>
  <c r="AB367" i="1"/>
  <c r="AA367" i="1"/>
  <c r="AU366" i="1"/>
  <c r="AV366" i="1" s="1"/>
  <c r="AP366" i="1"/>
  <c r="AN366" i="1"/>
  <c r="AM366" i="1"/>
  <c r="AK366" i="1"/>
  <c r="AJ366" i="1"/>
  <c r="AI366" i="1"/>
  <c r="AH366" i="1"/>
  <c r="AG366" i="1"/>
  <c r="AL366" i="1" s="1"/>
  <c r="AE366" i="1"/>
  <c r="AA366" i="1"/>
  <c r="AB366" i="1" s="1"/>
  <c r="AU365" i="1"/>
  <c r="AV365" i="1" s="1"/>
  <c r="AP365" i="1"/>
  <c r="AN365" i="1"/>
  <c r="AM365" i="1"/>
  <c r="AO365" i="1" s="1"/>
  <c r="AK365" i="1"/>
  <c r="AJ365" i="1"/>
  <c r="AI365" i="1"/>
  <c r="AH365" i="1"/>
  <c r="AG365" i="1"/>
  <c r="AL365" i="1" s="1"/>
  <c r="AE365" i="1"/>
  <c r="AA365" i="1"/>
  <c r="AB365" i="1" s="1"/>
  <c r="AV364" i="1"/>
  <c r="AU364" i="1"/>
  <c r="AP364" i="1"/>
  <c r="AN364" i="1"/>
  <c r="AM364" i="1"/>
  <c r="AO364" i="1" s="1"/>
  <c r="AK364" i="1"/>
  <c r="AJ364" i="1"/>
  <c r="AI364" i="1"/>
  <c r="AH364" i="1"/>
  <c r="AG364" i="1"/>
  <c r="AL364" i="1" s="1"/>
  <c r="AE364" i="1"/>
  <c r="AA364" i="1"/>
  <c r="AB364" i="1" s="1"/>
  <c r="AV363" i="1"/>
  <c r="AU363" i="1"/>
  <c r="AP363" i="1"/>
  <c r="AN363" i="1"/>
  <c r="AM363" i="1"/>
  <c r="AK363" i="1"/>
  <c r="AJ363" i="1"/>
  <c r="AI363" i="1"/>
  <c r="AH363" i="1"/>
  <c r="AG363" i="1"/>
  <c r="AL363" i="1" s="1"/>
  <c r="AE363" i="1"/>
  <c r="AB363" i="1"/>
  <c r="AA363" i="1"/>
  <c r="AU362" i="1"/>
  <c r="AV362" i="1" s="1"/>
  <c r="AP362" i="1"/>
  <c r="AN362" i="1"/>
  <c r="AM362" i="1"/>
  <c r="AK362" i="1"/>
  <c r="AJ362" i="1"/>
  <c r="AI362" i="1"/>
  <c r="AH362" i="1"/>
  <c r="AG362" i="1"/>
  <c r="AL362" i="1" s="1"/>
  <c r="AE362" i="1"/>
  <c r="AB362" i="1"/>
  <c r="AA362" i="1"/>
  <c r="AU361" i="1"/>
  <c r="AV361" i="1" s="1"/>
  <c r="AP361" i="1"/>
  <c r="AN361" i="1"/>
  <c r="AM361" i="1"/>
  <c r="AO361" i="1" s="1"/>
  <c r="AK361" i="1"/>
  <c r="AJ361" i="1"/>
  <c r="AI361" i="1"/>
  <c r="AH361" i="1"/>
  <c r="AG361" i="1"/>
  <c r="AL361" i="1" s="1"/>
  <c r="AE361" i="1"/>
  <c r="AA361" i="1"/>
  <c r="AB361" i="1" s="1"/>
  <c r="AV360" i="1"/>
  <c r="AU360" i="1"/>
  <c r="AP360" i="1"/>
  <c r="AN360" i="1"/>
  <c r="AM360" i="1"/>
  <c r="AO360" i="1" s="1"/>
  <c r="AK360" i="1"/>
  <c r="AJ360" i="1"/>
  <c r="AI360" i="1"/>
  <c r="AH360" i="1"/>
  <c r="AG360" i="1"/>
  <c r="AL360" i="1" s="1"/>
  <c r="AE360" i="1"/>
  <c r="AB360" i="1"/>
  <c r="AA360" i="1"/>
  <c r="AV359" i="1"/>
  <c r="AU359" i="1"/>
  <c r="AP359" i="1"/>
  <c r="AN359" i="1"/>
  <c r="AO359" i="1" s="1"/>
  <c r="AM359" i="1"/>
  <c r="AK359" i="1"/>
  <c r="AJ359" i="1"/>
  <c r="AI359" i="1"/>
  <c r="AH359" i="1"/>
  <c r="AG359" i="1"/>
  <c r="AL359" i="1" s="1"/>
  <c r="AE359" i="1"/>
  <c r="AB359" i="1"/>
  <c r="AA359" i="1"/>
  <c r="AU358" i="1"/>
  <c r="AV358" i="1" s="1"/>
  <c r="AP358" i="1"/>
  <c r="AN358" i="1"/>
  <c r="AO358" i="1" s="1"/>
  <c r="AM358" i="1"/>
  <c r="AL358" i="1"/>
  <c r="AK358" i="1"/>
  <c r="AJ358" i="1"/>
  <c r="AI358" i="1"/>
  <c r="AH358" i="1"/>
  <c r="AG358" i="1"/>
  <c r="AE358" i="1"/>
  <c r="AB358" i="1"/>
  <c r="AA358" i="1"/>
  <c r="AU357" i="1"/>
  <c r="AV357" i="1" s="1"/>
  <c r="AP357" i="1"/>
  <c r="AN357" i="1"/>
  <c r="AM357" i="1"/>
  <c r="AK357" i="1"/>
  <c r="AJ357" i="1"/>
  <c r="AI357" i="1"/>
  <c r="AH357" i="1"/>
  <c r="AG357" i="1"/>
  <c r="AL357" i="1" s="1"/>
  <c r="AE357" i="1"/>
  <c r="AA357" i="1"/>
  <c r="AB357" i="1" s="1"/>
  <c r="AV356" i="1"/>
  <c r="AU356" i="1"/>
  <c r="AP356" i="1"/>
  <c r="AN356" i="1"/>
  <c r="AM356" i="1"/>
  <c r="AK356" i="1"/>
  <c r="AJ356" i="1"/>
  <c r="AI356" i="1"/>
  <c r="AH356" i="1"/>
  <c r="AG356" i="1"/>
  <c r="AL356" i="1" s="1"/>
  <c r="AE356" i="1"/>
  <c r="AB356" i="1"/>
  <c r="AA356" i="1"/>
  <c r="AU355" i="1"/>
  <c r="AV355" i="1" s="1"/>
  <c r="AP355" i="1"/>
  <c r="AN355" i="1"/>
  <c r="AM355" i="1"/>
  <c r="AK355" i="1"/>
  <c r="AJ355" i="1"/>
  <c r="AI355" i="1"/>
  <c r="AH355" i="1"/>
  <c r="AG355" i="1"/>
  <c r="AL355" i="1" s="1"/>
  <c r="AE355" i="1"/>
  <c r="AB355" i="1"/>
  <c r="AA355" i="1"/>
  <c r="AU354" i="1"/>
  <c r="AV354" i="1" s="1"/>
  <c r="AP354" i="1"/>
  <c r="AN354" i="1"/>
  <c r="AM354" i="1"/>
  <c r="AK354" i="1"/>
  <c r="AJ354" i="1"/>
  <c r="AI354" i="1"/>
  <c r="AH354" i="1"/>
  <c r="AG354" i="1"/>
  <c r="AL354" i="1" s="1"/>
  <c r="AE354" i="1"/>
  <c r="AB354" i="1"/>
  <c r="AA354" i="1"/>
  <c r="AU353" i="1"/>
  <c r="AV353" i="1" s="1"/>
  <c r="AP353" i="1"/>
  <c r="AN353" i="1"/>
  <c r="AM353" i="1"/>
  <c r="AK353" i="1"/>
  <c r="AJ353" i="1"/>
  <c r="AI353" i="1"/>
  <c r="AH353" i="1"/>
  <c r="AG353" i="1"/>
  <c r="AL353" i="1" s="1"/>
  <c r="AE353" i="1"/>
  <c r="AA353" i="1"/>
  <c r="AB353" i="1" s="1"/>
  <c r="AV352" i="1"/>
  <c r="AU352" i="1"/>
  <c r="AP352" i="1"/>
  <c r="AN352" i="1"/>
  <c r="AM352" i="1"/>
  <c r="AO352" i="1" s="1"/>
  <c r="AK352" i="1"/>
  <c r="AJ352" i="1"/>
  <c r="AI352" i="1"/>
  <c r="AH352" i="1"/>
  <c r="AG352" i="1"/>
  <c r="AL352" i="1" s="1"/>
  <c r="AE352" i="1"/>
  <c r="AA352" i="1"/>
  <c r="AB352" i="1" s="1"/>
  <c r="AV351" i="1"/>
  <c r="AU351" i="1"/>
  <c r="AP351" i="1"/>
  <c r="AN351" i="1"/>
  <c r="AM351" i="1"/>
  <c r="AK351" i="1"/>
  <c r="AJ351" i="1"/>
  <c r="AI351" i="1"/>
  <c r="AH351" i="1"/>
  <c r="AG351" i="1"/>
  <c r="AL351" i="1" s="1"/>
  <c r="AE351" i="1"/>
  <c r="AB351" i="1"/>
  <c r="AA351" i="1"/>
  <c r="AU350" i="1"/>
  <c r="AV350" i="1" s="1"/>
  <c r="AP350" i="1"/>
  <c r="AN350" i="1"/>
  <c r="AM350" i="1"/>
  <c r="AK350" i="1"/>
  <c r="AJ350" i="1"/>
  <c r="AI350" i="1"/>
  <c r="AH350" i="1"/>
  <c r="AG350" i="1"/>
  <c r="AL350" i="1" s="1"/>
  <c r="AE350" i="1"/>
  <c r="AB350" i="1"/>
  <c r="AA350" i="1"/>
  <c r="AU349" i="1"/>
  <c r="AV349" i="1" s="1"/>
  <c r="AP349" i="1"/>
  <c r="AN349" i="1"/>
  <c r="AM349" i="1"/>
  <c r="AO349" i="1" s="1"/>
  <c r="AK349" i="1"/>
  <c r="AJ349" i="1"/>
  <c r="AI349" i="1"/>
  <c r="AH349" i="1"/>
  <c r="AG349" i="1"/>
  <c r="AL349" i="1" s="1"/>
  <c r="AE349" i="1"/>
  <c r="AA349" i="1"/>
  <c r="AB349" i="1" s="1"/>
  <c r="AV348" i="1"/>
  <c r="AU348" i="1"/>
  <c r="AP348" i="1"/>
  <c r="AN348" i="1"/>
  <c r="AO348" i="1" s="1"/>
  <c r="AM348" i="1"/>
  <c r="AK348" i="1"/>
  <c r="AJ348" i="1"/>
  <c r="AI348" i="1"/>
  <c r="AH348" i="1"/>
  <c r="AG348" i="1"/>
  <c r="AL348" i="1" s="1"/>
  <c r="AE348" i="1"/>
  <c r="AA348" i="1"/>
  <c r="AB348" i="1" s="1"/>
  <c r="AV347" i="1"/>
  <c r="AU347" i="1"/>
  <c r="AP347" i="1"/>
  <c r="AN347" i="1"/>
  <c r="AM347" i="1"/>
  <c r="AK347" i="1"/>
  <c r="AJ347" i="1"/>
  <c r="AI347" i="1"/>
  <c r="AH347" i="1"/>
  <c r="AG347" i="1"/>
  <c r="AL347" i="1" s="1"/>
  <c r="AE347" i="1"/>
  <c r="AB347" i="1"/>
  <c r="AA347" i="1"/>
  <c r="AU346" i="1"/>
  <c r="AV346" i="1" s="1"/>
  <c r="AP346" i="1"/>
  <c r="AN346" i="1"/>
  <c r="AM346" i="1"/>
  <c r="AK346" i="1"/>
  <c r="AJ346" i="1"/>
  <c r="AI346" i="1"/>
  <c r="AH346" i="1"/>
  <c r="AG346" i="1"/>
  <c r="AL346" i="1" s="1"/>
  <c r="AE346" i="1"/>
  <c r="AB346" i="1"/>
  <c r="AA346" i="1"/>
  <c r="AU345" i="1"/>
  <c r="AV345" i="1" s="1"/>
  <c r="AP345" i="1"/>
  <c r="AN345" i="1"/>
  <c r="AM345" i="1"/>
  <c r="AK345" i="1"/>
  <c r="AJ345" i="1"/>
  <c r="AI345" i="1"/>
  <c r="AH345" i="1"/>
  <c r="AG345" i="1"/>
  <c r="AL345" i="1" s="1"/>
  <c r="AE345" i="1"/>
  <c r="AA345" i="1"/>
  <c r="AB345" i="1" s="1"/>
  <c r="AV344" i="1"/>
  <c r="AU344" i="1"/>
  <c r="AP344" i="1"/>
  <c r="AN344" i="1"/>
  <c r="AO344" i="1" s="1"/>
  <c r="AM344" i="1"/>
  <c r="AK344" i="1"/>
  <c r="AJ344" i="1"/>
  <c r="AI344" i="1"/>
  <c r="AH344" i="1"/>
  <c r="AG344" i="1"/>
  <c r="AL344" i="1" s="1"/>
  <c r="AE344" i="1"/>
  <c r="AA344" i="1"/>
  <c r="AB344" i="1" s="1"/>
  <c r="AU343" i="1"/>
  <c r="AV343" i="1" s="1"/>
  <c r="AP343" i="1"/>
  <c r="AN343" i="1"/>
  <c r="AM343" i="1"/>
  <c r="AK343" i="1"/>
  <c r="AJ343" i="1"/>
  <c r="AI343" i="1"/>
  <c r="AH343" i="1"/>
  <c r="AG343" i="1"/>
  <c r="AL343" i="1" s="1"/>
  <c r="AE343" i="1"/>
  <c r="AB343" i="1"/>
  <c r="AA343" i="1"/>
  <c r="AU342" i="1"/>
  <c r="AV342" i="1" s="1"/>
  <c r="AP342" i="1"/>
  <c r="AN342" i="1"/>
  <c r="AM342" i="1"/>
  <c r="AK342" i="1"/>
  <c r="AJ342" i="1"/>
  <c r="AI342" i="1"/>
  <c r="AH342" i="1"/>
  <c r="AG342" i="1"/>
  <c r="AL342" i="1" s="1"/>
  <c r="AE342" i="1"/>
  <c r="AB342" i="1"/>
  <c r="AA342" i="1"/>
  <c r="AU341" i="1"/>
  <c r="AV341" i="1" s="1"/>
  <c r="AP341" i="1"/>
  <c r="AN341" i="1"/>
  <c r="AO341" i="1" s="1"/>
  <c r="AM341" i="1"/>
  <c r="AK341" i="1"/>
  <c r="AJ341" i="1"/>
  <c r="AI341" i="1"/>
  <c r="AH341" i="1"/>
  <c r="AG341" i="1"/>
  <c r="AL341" i="1" s="1"/>
  <c r="AE341" i="1"/>
  <c r="AA341" i="1"/>
  <c r="AB341" i="1" s="1"/>
  <c r="AV340" i="1"/>
  <c r="AU340" i="1"/>
  <c r="AP340" i="1"/>
  <c r="AN340" i="1"/>
  <c r="AM340" i="1"/>
  <c r="AK340" i="1"/>
  <c r="AJ340" i="1"/>
  <c r="AI340" i="1"/>
  <c r="AH340" i="1"/>
  <c r="AG340" i="1"/>
  <c r="AL340" i="1" s="1"/>
  <c r="AE340" i="1"/>
  <c r="AA340" i="1"/>
  <c r="AB340" i="1" s="1"/>
  <c r="AU339" i="1"/>
  <c r="AV339" i="1" s="1"/>
  <c r="AP339" i="1"/>
  <c r="AN339" i="1"/>
  <c r="AM339" i="1"/>
  <c r="AK339" i="1"/>
  <c r="AJ339" i="1"/>
  <c r="AI339" i="1"/>
  <c r="AH339" i="1"/>
  <c r="AG339" i="1"/>
  <c r="AL339" i="1" s="1"/>
  <c r="AE339" i="1"/>
  <c r="AB339" i="1"/>
  <c r="AA339" i="1"/>
  <c r="AU338" i="1"/>
  <c r="AV338" i="1" s="1"/>
  <c r="AP338" i="1"/>
  <c r="AN338" i="1"/>
  <c r="AM338" i="1"/>
  <c r="AK338" i="1"/>
  <c r="AJ338" i="1"/>
  <c r="AI338" i="1"/>
  <c r="AH338" i="1"/>
  <c r="AG338" i="1"/>
  <c r="AL338" i="1" s="1"/>
  <c r="AE338" i="1"/>
  <c r="AB338" i="1"/>
  <c r="AA338" i="1"/>
  <c r="AU337" i="1"/>
  <c r="AV337" i="1" s="1"/>
  <c r="AP337" i="1"/>
  <c r="AN337" i="1"/>
  <c r="AO337" i="1" s="1"/>
  <c r="AM337" i="1"/>
  <c r="AK337" i="1"/>
  <c r="AJ337" i="1"/>
  <c r="AI337" i="1"/>
  <c r="AH337" i="1"/>
  <c r="AG337" i="1"/>
  <c r="AL337" i="1" s="1"/>
  <c r="AE337" i="1"/>
  <c r="AA337" i="1"/>
  <c r="AB337" i="1" s="1"/>
  <c r="AV336" i="1"/>
  <c r="AU336" i="1"/>
  <c r="AP336" i="1"/>
  <c r="AN336" i="1"/>
  <c r="AO336" i="1" s="1"/>
  <c r="AM336" i="1"/>
  <c r="AK336" i="1"/>
  <c r="AJ336" i="1"/>
  <c r="AI336" i="1"/>
  <c r="AH336" i="1"/>
  <c r="AG336" i="1"/>
  <c r="AL336" i="1" s="1"/>
  <c r="AE336" i="1"/>
  <c r="AA336" i="1"/>
  <c r="AB336" i="1" s="1"/>
  <c r="AU335" i="1"/>
  <c r="AV335" i="1" s="1"/>
  <c r="AP335" i="1"/>
  <c r="AN335" i="1"/>
  <c r="AM335" i="1"/>
  <c r="AK335" i="1"/>
  <c r="AJ335" i="1"/>
  <c r="AI335" i="1"/>
  <c r="AH335" i="1"/>
  <c r="AG335" i="1"/>
  <c r="AL335" i="1" s="1"/>
  <c r="AE335" i="1"/>
  <c r="AB335" i="1"/>
  <c r="AA335" i="1"/>
  <c r="AU334" i="1"/>
  <c r="AV334" i="1" s="1"/>
  <c r="AP334" i="1"/>
  <c r="AN334" i="1"/>
  <c r="AM334" i="1"/>
  <c r="AK334" i="1"/>
  <c r="AJ334" i="1"/>
  <c r="AI334" i="1"/>
  <c r="AH334" i="1"/>
  <c r="AG334" i="1"/>
  <c r="AL334" i="1" s="1"/>
  <c r="AE334" i="1"/>
  <c r="AB334" i="1"/>
  <c r="AA334" i="1"/>
  <c r="AU333" i="1"/>
  <c r="AV333" i="1" s="1"/>
  <c r="AP333" i="1"/>
  <c r="AN333" i="1"/>
  <c r="AM333" i="1"/>
  <c r="AK333" i="1"/>
  <c r="AJ333" i="1"/>
  <c r="AI333" i="1"/>
  <c r="AH333" i="1"/>
  <c r="AG333" i="1"/>
  <c r="AL333" i="1" s="1"/>
  <c r="AE333" i="1"/>
  <c r="AA333" i="1"/>
  <c r="AB333" i="1" s="1"/>
  <c r="AV332" i="1"/>
  <c r="AU332" i="1"/>
  <c r="AP332" i="1"/>
  <c r="AN332" i="1"/>
  <c r="AM332" i="1"/>
  <c r="AK332" i="1"/>
  <c r="AJ332" i="1"/>
  <c r="AI332" i="1"/>
  <c r="AH332" i="1"/>
  <c r="AG332" i="1"/>
  <c r="AL332" i="1" s="1"/>
  <c r="AE332" i="1"/>
  <c r="AA332" i="1"/>
  <c r="AB332" i="1" s="1"/>
  <c r="AU331" i="1"/>
  <c r="AV331" i="1" s="1"/>
  <c r="AP331" i="1"/>
  <c r="AN331" i="1"/>
  <c r="AO331" i="1" s="1"/>
  <c r="AM331" i="1"/>
  <c r="AK331" i="1"/>
  <c r="AJ331" i="1"/>
  <c r="AI331" i="1"/>
  <c r="AH331" i="1"/>
  <c r="AG331" i="1"/>
  <c r="AL331" i="1" s="1"/>
  <c r="AE331" i="1"/>
  <c r="AB331" i="1"/>
  <c r="AA331" i="1"/>
  <c r="AU330" i="1"/>
  <c r="AV330" i="1" s="1"/>
  <c r="AP330" i="1"/>
  <c r="AN330" i="1"/>
  <c r="AO330" i="1" s="1"/>
  <c r="AM330" i="1"/>
  <c r="AL330" i="1"/>
  <c r="AK330" i="1"/>
  <c r="AJ330" i="1"/>
  <c r="AI330" i="1"/>
  <c r="AH330" i="1"/>
  <c r="AG330" i="1"/>
  <c r="AE330" i="1"/>
  <c r="AB330" i="1"/>
  <c r="AA330" i="1"/>
  <c r="AU329" i="1"/>
  <c r="AV329" i="1" s="1"/>
  <c r="AP329" i="1"/>
  <c r="AN329" i="1"/>
  <c r="AO329" i="1" s="1"/>
  <c r="AM329" i="1"/>
  <c r="AK329" i="1"/>
  <c r="AJ329" i="1"/>
  <c r="AI329" i="1"/>
  <c r="AH329" i="1"/>
  <c r="AG329" i="1"/>
  <c r="AL329" i="1" s="1"/>
  <c r="AE329" i="1"/>
  <c r="AA329" i="1"/>
  <c r="AB329" i="1" s="1"/>
  <c r="AV328" i="1"/>
  <c r="AU328" i="1"/>
  <c r="AP328" i="1"/>
  <c r="AN328" i="1"/>
  <c r="AO328" i="1" s="1"/>
  <c r="AM328" i="1"/>
  <c r="AK328" i="1"/>
  <c r="AJ328" i="1"/>
  <c r="AI328" i="1"/>
  <c r="AH328" i="1"/>
  <c r="AG328" i="1"/>
  <c r="AL328" i="1" s="1"/>
  <c r="AE328" i="1"/>
  <c r="AA328" i="1"/>
  <c r="AB328" i="1" s="1"/>
  <c r="AU327" i="1"/>
  <c r="AV327" i="1" s="1"/>
  <c r="AP327" i="1"/>
  <c r="AN327" i="1"/>
  <c r="AM327" i="1"/>
  <c r="AK327" i="1"/>
  <c r="AJ327" i="1"/>
  <c r="AI327" i="1"/>
  <c r="AH327" i="1"/>
  <c r="AG327" i="1"/>
  <c r="AL327" i="1" s="1"/>
  <c r="AE327" i="1"/>
  <c r="AB327" i="1"/>
  <c r="AA327" i="1"/>
  <c r="AU326" i="1"/>
  <c r="AV326" i="1" s="1"/>
  <c r="AP326" i="1"/>
  <c r="AN326" i="1"/>
  <c r="AM326" i="1"/>
  <c r="AK326" i="1"/>
  <c r="AJ326" i="1"/>
  <c r="AI326" i="1"/>
  <c r="AH326" i="1"/>
  <c r="AG326" i="1"/>
  <c r="AL326" i="1" s="1"/>
  <c r="AE326" i="1"/>
  <c r="AB326" i="1"/>
  <c r="AA326" i="1"/>
  <c r="AU325" i="1"/>
  <c r="AV325" i="1" s="1"/>
  <c r="AP325" i="1"/>
  <c r="AO325" i="1"/>
  <c r="AN325" i="1"/>
  <c r="AM325" i="1"/>
  <c r="AK325" i="1"/>
  <c r="AJ325" i="1"/>
  <c r="AI325" i="1"/>
  <c r="AH325" i="1"/>
  <c r="AG325" i="1"/>
  <c r="AL325" i="1" s="1"/>
  <c r="AE325" i="1"/>
  <c r="AB325" i="1"/>
  <c r="AA325" i="1"/>
  <c r="AV324" i="1"/>
  <c r="AU324" i="1"/>
  <c r="AP324" i="1"/>
  <c r="AN324" i="1"/>
  <c r="AO324" i="1" s="1"/>
  <c r="AM324" i="1"/>
  <c r="AK324" i="1"/>
  <c r="AJ324" i="1"/>
  <c r="AI324" i="1"/>
  <c r="AH324" i="1"/>
  <c r="AG324" i="1"/>
  <c r="AL324" i="1" s="1"/>
  <c r="AE324" i="1"/>
  <c r="AB324" i="1"/>
  <c r="AA324" i="1"/>
  <c r="AU323" i="1"/>
  <c r="AV323" i="1" s="1"/>
  <c r="AP323" i="1"/>
  <c r="AN323" i="1"/>
  <c r="AO323" i="1" s="1"/>
  <c r="AM323" i="1"/>
  <c r="AK323" i="1"/>
  <c r="AJ323" i="1"/>
  <c r="AI323" i="1"/>
  <c r="AH323" i="1"/>
  <c r="AG323" i="1"/>
  <c r="AL323" i="1" s="1"/>
  <c r="AE323" i="1"/>
  <c r="AB323" i="1"/>
  <c r="AA323" i="1"/>
  <c r="AU322" i="1"/>
  <c r="AV322" i="1" s="1"/>
  <c r="AP322" i="1"/>
  <c r="AN322" i="1"/>
  <c r="AO322" i="1" s="1"/>
  <c r="AM322" i="1"/>
  <c r="AL322" i="1"/>
  <c r="AK322" i="1"/>
  <c r="AJ322" i="1"/>
  <c r="AI322" i="1"/>
  <c r="AH322" i="1"/>
  <c r="AG322" i="1"/>
  <c r="AE322" i="1"/>
  <c r="AA322" i="1"/>
  <c r="AB322" i="1" s="1"/>
  <c r="AU321" i="1"/>
  <c r="AV321" i="1" s="1"/>
  <c r="AP321" i="1"/>
  <c r="AN321" i="1"/>
  <c r="AM321" i="1"/>
  <c r="AK321" i="1"/>
  <c r="AJ321" i="1"/>
  <c r="AI321" i="1"/>
  <c r="AH321" i="1"/>
  <c r="AG321" i="1"/>
  <c r="AL321" i="1" s="1"/>
  <c r="AE321" i="1"/>
  <c r="AB321" i="1"/>
  <c r="AA321" i="1"/>
  <c r="AV320" i="1"/>
  <c r="AU320" i="1"/>
  <c r="AP320" i="1"/>
  <c r="AN320" i="1"/>
  <c r="AM320" i="1"/>
  <c r="AK320" i="1"/>
  <c r="AJ320" i="1"/>
  <c r="AI320" i="1"/>
  <c r="AH320" i="1"/>
  <c r="AG320" i="1"/>
  <c r="AL320" i="1" s="1"/>
  <c r="AE320" i="1"/>
  <c r="AB320" i="1"/>
  <c r="AA320" i="1"/>
  <c r="AU319" i="1"/>
  <c r="AV319" i="1" s="1"/>
  <c r="AP319" i="1"/>
  <c r="AN319" i="1"/>
  <c r="AM319" i="1"/>
  <c r="AK319" i="1"/>
  <c r="AJ319" i="1"/>
  <c r="AI319" i="1"/>
  <c r="AH319" i="1"/>
  <c r="AG319" i="1"/>
  <c r="AL319" i="1" s="1"/>
  <c r="AE319" i="1"/>
  <c r="AB319" i="1"/>
  <c r="AA319" i="1"/>
  <c r="AU318" i="1"/>
  <c r="AV318" i="1" s="1"/>
  <c r="AP318" i="1"/>
  <c r="AN318" i="1"/>
  <c r="AM318" i="1"/>
  <c r="AL318" i="1"/>
  <c r="AK318" i="1"/>
  <c r="AJ318" i="1"/>
  <c r="AI318" i="1"/>
  <c r="AH318" i="1"/>
  <c r="AG318" i="1"/>
  <c r="AE318" i="1"/>
  <c r="AB318" i="1"/>
  <c r="AA318" i="1"/>
  <c r="AU317" i="1"/>
  <c r="AV317" i="1" s="1"/>
  <c r="AP317" i="1"/>
  <c r="AN317" i="1"/>
  <c r="AO317" i="1" s="1"/>
  <c r="AM317" i="1"/>
  <c r="AK317" i="1"/>
  <c r="AJ317" i="1"/>
  <c r="AI317" i="1"/>
  <c r="AH317" i="1"/>
  <c r="AG317" i="1"/>
  <c r="AL317" i="1" s="1"/>
  <c r="AE317" i="1"/>
  <c r="AB317" i="1"/>
  <c r="AA317" i="1"/>
  <c r="AV316" i="1"/>
  <c r="AU316" i="1"/>
  <c r="AP316" i="1"/>
  <c r="AN316" i="1"/>
  <c r="AM316" i="1"/>
  <c r="AK316" i="1"/>
  <c r="AJ316" i="1"/>
  <c r="AI316" i="1"/>
  <c r="AH316" i="1"/>
  <c r="AG316" i="1"/>
  <c r="AL316" i="1" s="1"/>
  <c r="AE316" i="1"/>
  <c r="AA316" i="1"/>
  <c r="AB316" i="1" s="1"/>
  <c r="AU315" i="1"/>
  <c r="AV315" i="1" s="1"/>
  <c r="AP315" i="1"/>
  <c r="AN315" i="1"/>
  <c r="AO315" i="1" s="1"/>
  <c r="AM315" i="1"/>
  <c r="AK315" i="1"/>
  <c r="AJ315" i="1"/>
  <c r="AI315" i="1"/>
  <c r="AH315" i="1"/>
  <c r="AG315" i="1"/>
  <c r="AL315" i="1" s="1"/>
  <c r="AE315" i="1"/>
  <c r="AB315" i="1"/>
  <c r="AA315" i="1"/>
  <c r="AU314" i="1"/>
  <c r="AV314" i="1" s="1"/>
  <c r="AP314" i="1"/>
  <c r="AN314" i="1"/>
  <c r="AO314" i="1" s="1"/>
  <c r="AM314" i="1"/>
  <c r="AL314" i="1"/>
  <c r="AK314" i="1"/>
  <c r="AJ314" i="1"/>
  <c r="AI314" i="1"/>
  <c r="AH314" i="1"/>
  <c r="AG314" i="1"/>
  <c r="AE314" i="1"/>
  <c r="AA314" i="1"/>
  <c r="AB314" i="1" s="1"/>
  <c r="AU313" i="1"/>
  <c r="AV313" i="1" s="1"/>
  <c r="AP313" i="1"/>
  <c r="AN313" i="1"/>
  <c r="AM313" i="1"/>
  <c r="AK313" i="1"/>
  <c r="AJ313" i="1"/>
  <c r="AI313" i="1"/>
  <c r="AH313" i="1"/>
  <c r="AG313" i="1"/>
  <c r="AL313" i="1" s="1"/>
  <c r="AE313" i="1"/>
  <c r="AA313" i="1"/>
  <c r="AB313" i="1" s="1"/>
  <c r="AV312" i="1"/>
  <c r="AU312" i="1"/>
  <c r="AP312" i="1"/>
  <c r="AN312" i="1"/>
  <c r="AM312" i="1"/>
  <c r="AK312" i="1"/>
  <c r="AJ312" i="1"/>
  <c r="AI312" i="1"/>
  <c r="AH312" i="1"/>
  <c r="AG312" i="1"/>
  <c r="AL312" i="1" s="1"/>
  <c r="AE312" i="1"/>
  <c r="AA312" i="1"/>
  <c r="AB312" i="1" s="1"/>
  <c r="AU311" i="1"/>
  <c r="AV311" i="1" s="1"/>
  <c r="AP311" i="1"/>
  <c r="AN311" i="1"/>
  <c r="AM311" i="1"/>
  <c r="AK311" i="1"/>
  <c r="AJ311" i="1"/>
  <c r="AI311" i="1"/>
  <c r="AH311" i="1"/>
  <c r="AG311" i="1"/>
  <c r="AL311" i="1" s="1"/>
  <c r="AE311" i="1"/>
  <c r="AB311" i="1"/>
  <c r="AA311" i="1"/>
  <c r="AU310" i="1"/>
  <c r="AV310" i="1" s="1"/>
  <c r="AP310" i="1"/>
  <c r="AN310" i="1"/>
  <c r="AM310" i="1"/>
  <c r="AL310" i="1"/>
  <c r="AK310" i="1"/>
  <c r="AJ310" i="1"/>
  <c r="AI310" i="1"/>
  <c r="AH310" i="1"/>
  <c r="AG310" i="1"/>
  <c r="AE310" i="1"/>
  <c r="AA310" i="1"/>
  <c r="AB310" i="1" s="1"/>
  <c r="AU309" i="1"/>
  <c r="AV309" i="1" s="1"/>
  <c r="AP309" i="1"/>
  <c r="AN309" i="1"/>
  <c r="AM309" i="1"/>
  <c r="AO309" i="1" s="1"/>
  <c r="AK309" i="1"/>
  <c r="AJ309" i="1"/>
  <c r="AI309" i="1"/>
  <c r="AH309" i="1"/>
  <c r="AG309" i="1"/>
  <c r="AL309" i="1" s="1"/>
  <c r="AE309" i="1"/>
  <c r="AA309" i="1"/>
  <c r="AB309" i="1" s="1"/>
  <c r="AV308" i="1"/>
  <c r="AU308" i="1"/>
  <c r="AP308" i="1"/>
  <c r="AN308" i="1"/>
  <c r="AM308" i="1"/>
  <c r="AK308" i="1"/>
  <c r="AJ308" i="1"/>
  <c r="AI308" i="1"/>
  <c r="AH308" i="1"/>
  <c r="AG308" i="1"/>
  <c r="AL308" i="1" s="1"/>
  <c r="AE308" i="1"/>
  <c r="AA308" i="1"/>
  <c r="AB308" i="1" s="1"/>
  <c r="AU307" i="1"/>
  <c r="AV307" i="1" s="1"/>
  <c r="AP307" i="1"/>
  <c r="AN307" i="1"/>
  <c r="AO307" i="1" s="1"/>
  <c r="AM307" i="1"/>
  <c r="AK307" i="1"/>
  <c r="AJ307" i="1"/>
  <c r="AI307" i="1"/>
  <c r="AH307" i="1"/>
  <c r="AG307" i="1"/>
  <c r="AL307" i="1" s="1"/>
  <c r="AE307" i="1"/>
  <c r="AB307" i="1"/>
  <c r="AA307" i="1"/>
  <c r="AU306" i="1"/>
  <c r="AV306" i="1" s="1"/>
  <c r="AP306" i="1"/>
  <c r="AN306" i="1"/>
  <c r="AO306" i="1" s="1"/>
  <c r="AM306" i="1"/>
  <c r="AL306" i="1"/>
  <c r="AK306" i="1"/>
  <c r="AJ306" i="1"/>
  <c r="AI306" i="1"/>
  <c r="AH306" i="1"/>
  <c r="AG306" i="1"/>
  <c r="AE306" i="1"/>
  <c r="AB306" i="1"/>
  <c r="AA306" i="1"/>
  <c r="AU305" i="1"/>
  <c r="AV305" i="1" s="1"/>
  <c r="AP305" i="1"/>
  <c r="AN305" i="1"/>
  <c r="AM305" i="1"/>
  <c r="AK305" i="1"/>
  <c r="AJ305" i="1"/>
  <c r="AI305" i="1"/>
  <c r="AH305" i="1"/>
  <c r="AG305" i="1"/>
  <c r="AL305" i="1" s="1"/>
  <c r="AE305" i="1"/>
  <c r="AA305" i="1"/>
  <c r="AB305" i="1" s="1"/>
  <c r="AV304" i="1"/>
  <c r="AU304" i="1"/>
  <c r="AP304" i="1"/>
  <c r="AN304" i="1"/>
  <c r="AM304" i="1"/>
  <c r="AK304" i="1"/>
  <c r="AJ304" i="1"/>
  <c r="AI304" i="1"/>
  <c r="AH304" i="1"/>
  <c r="AG304" i="1"/>
  <c r="AL304" i="1" s="1"/>
  <c r="AE304" i="1"/>
  <c r="AA304" i="1"/>
  <c r="AB304" i="1" s="1"/>
  <c r="AU303" i="1"/>
  <c r="AV303" i="1" s="1"/>
  <c r="AP303" i="1"/>
  <c r="AN303" i="1"/>
  <c r="AM303" i="1"/>
  <c r="AK303" i="1"/>
  <c r="AJ303" i="1"/>
  <c r="AI303" i="1"/>
  <c r="AH303" i="1"/>
  <c r="AG303" i="1"/>
  <c r="AL303" i="1" s="1"/>
  <c r="AE303" i="1"/>
  <c r="AB303" i="1"/>
  <c r="AA303" i="1"/>
  <c r="AU302" i="1"/>
  <c r="AV302" i="1" s="1"/>
  <c r="AP302" i="1"/>
  <c r="AN302" i="1"/>
  <c r="AM302" i="1"/>
  <c r="AK302" i="1"/>
  <c r="AJ302" i="1"/>
  <c r="AI302" i="1"/>
  <c r="AH302" i="1"/>
  <c r="AG302" i="1"/>
  <c r="AL302" i="1" s="1"/>
  <c r="AE302" i="1"/>
  <c r="AA302" i="1"/>
  <c r="AB302" i="1" s="1"/>
  <c r="AU301" i="1"/>
  <c r="AV301" i="1" s="1"/>
  <c r="AP301" i="1"/>
  <c r="AN301" i="1"/>
  <c r="AO301" i="1" s="1"/>
  <c r="AM301" i="1"/>
  <c r="AK301" i="1"/>
  <c r="AJ301" i="1"/>
  <c r="AI301" i="1"/>
  <c r="AH301" i="1"/>
  <c r="AG301" i="1"/>
  <c r="AL301" i="1" s="1"/>
  <c r="AE301" i="1"/>
  <c r="AA301" i="1"/>
  <c r="AB301" i="1" s="1"/>
  <c r="AV300" i="1"/>
  <c r="AU300" i="1"/>
  <c r="AP300" i="1"/>
  <c r="AN300" i="1"/>
  <c r="AO300" i="1" s="1"/>
  <c r="AM300" i="1"/>
  <c r="AK300" i="1"/>
  <c r="AJ300" i="1"/>
  <c r="AI300" i="1"/>
  <c r="AH300" i="1"/>
  <c r="AG300" i="1"/>
  <c r="AL300" i="1" s="1"/>
  <c r="AE300" i="1"/>
  <c r="AA300" i="1"/>
  <c r="AB300" i="1" s="1"/>
  <c r="AU299" i="1"/>
  <c r="AV299" i="1" s="1"/>
  <c r="AP299" i="1"/>
  <c r="AN299" i="1"/>
  <c r="AM299" i="1"/>
  <c r="AK299" i="1"/>
  <c r="AJ299" i="1"/>
  <c r="AI299" i="1"/>
  <c r="AH299" i="1"/>
  <c r="AG299" i="1"/>
  <c r="AL299" i="1" s="1"/>
  <c r="AE299" i="1"/>
  <c r="AB299" i="1"/>
  <c r="AA299" i="1"/>
  <c r="AU298" i="1"/>
  <c r="AV298" i="1" s="1"/>
  <c r="AP298" i="1"/>
  <c r="AN298" i="1"/>
  <c r="AM298" i="1"/>
  <c r="AK298" i="1"/>
  <c r="AJ298" i="1"/>
  <c r="AI298" i="1"/>
  <c r="AH298" i="1"/>
  <c r="AG298" i="1"/>
  <c r="AL298" i="1" s="1"/>
  <c r="AE298" i="1"/>
  <c r="AB298" i="1"/>
  <c r="AA298" i="1"/>
  <c r="AU297" i="1"/>
  <c r="AV297" i="1" s="1"/>
  <c r="AP297" i="1"/>
  <c r="AN297" i="1"/>
  <c r="AM297" i="1"/>
  <c r="AK297" i="1"/>
  <c r="AJ297" i="1"/>
  <c r="AI297" i="1"/>
  <c r="AH297" i="1"/>
  <c r="AG297" i="1"/>
  <c r="AL297" i="1" s="1"/>
  <c r="AE297" i="1"/>
  <c r="AA297" i="1"/>
  <c r="AB297" i="1" s="1"/>
  <c r="AV296" i="1"/>
  <c r="AU296" i="1"/>
  <c r="AP296" i="1"/>
  <c r="AN296" i="1"/>
  <c r="AM296" i="1"/>
  <c r="AK296" i="1"/>
  <c r="AJ296" i="1"/>
  <c r="AI296" i="1"/>
  <c r="AH296" i="1"/>
  <c r="AG296" i="1"/>
  <c r="AL296" i="1" s="1"/>
  <c r="AE296" i="1"/>
  <c r="AA296" i="1"/>
  <c r="AB296" i="1" s="1"/>
  <c r="AU295" i="1"/>
  <c r="AV295" i="1" s="1"/>
  <c r="AP295" i="1"/>
  <c r="AN295" i="1"/>
  <c r="AM295" i="1"/>
  <c r="AK295" i="1"/>
  <c r="AJ295" i="1"/>
  <c r="AI295" i="1"/>
  <c r="AH295" i="1"/>
  <c r="AG295" i="1"/>
  <c r="AL295" i="1" s="1"/>
  <c r="AE295" i="1"/>
  <c r="AB295" i="1"/>
  <c r="AA295" i="1"/>
  <c r="AU294" i="1"/>
  <c r="AV294" i="1" s="1"/>
  <c r="AP294" i="1"/>
  <c r="AN294" i="1"/>
  <c r="AM294" i="1"/>
  <c r="AL294" i="1"/>
  <c r="AK294" i="1"/>
  <c r="AJ294" i="1"/>
  <c r="AI294" i="1"/>
  <c r="AH294" i="1"/>
  <c r="AG294" i="1"/>
  <c r="AE294" i="1"/>
  <c r="AB294" i="1"/>
  <c r="AA294" i="1"/>
  <c r="AU293" i="1"/>
  <c r="AV293" i="1" s="1"/>
  <c r="AP293" i="1"/>
  <c r="AN293" i="1"/>
  <c r="AO293" i="1" s="1"/>
  <c r="AM293" i="1"/>
  <c r="AK293" i="1"/>
  <c r="AJ293" i="1"/>
  <c r="AI293" i="1"/>
  <c r="AH293" i="1"/>
  <c r="AG293" i="1"/>
  <c r="AL293" i="1" s="1"/>
  <c r="AE293" i="1"/>
  <c r="AA293" i="1"/>
  <c r="AB293" i="1" s="1"/>
  <c r="AV292" i="1"/>
  <c r="AU292" i="1"/>
  <c r="AP292" i="1"/>
  <c r="AN292" i="1"/>
  <c r="AO292" i="1" s="1"/>
  <c r="AM292" i="1"/>
  <c r="AK292" i="1"/>
  <c r="AJ292" i="1"/>
  <c r="AI292" i="1"/>
  <c r="AH292" i="1"/>
  <c r="AG292" i="1"/>
  <c r="AL292" i="1" s="1"/>
  <c r="AE292" i="1"/>
  <c r="AA292" i="1"/>
  <c r="AB292" i="1" s="1"/>
  <c r="AU291" i="1"/>
  <c r="AV291" i="1" s="1"/>
  <c r="AP291" i="1"/>
  <c r="AN291" i="1"/>
  <c r="AM291" i="1"/>
  <c r="AK291" i="1"/>
  <c r="AJ291" i="1"/>
  <c r="AI291" i="1"/>
  <c r="AH291" i="1"/>
  <c r="AG291" i="1"/>
  <c r="AL291" i="1" s="1"/>
  <c r="AE291" i="1"/>
  <c r="AB291" i="1"/>
  <c r="AA291" i="1"/>
  <c r="AU290" i="1"/>
  <c r="AV290" i="1" s="1"/>
  <c r="AP290" i="1"/>
  <c r="AN290" i="1"/>
  <c r="AM290" i="1"/>
  <c r="AL290" i="1"/>
  <c r="AK290" i="1"/>
  <c r="AJ290" i="1"/>
  <c r="AI290" i="1"/>
  <c r="AH290" i="1"/>
  <c r="AG290" i="1"/>
  <c r="AE290" i="1"/>
  <c r="AA290" i="1"/>
  <c r="AB290" i="1" s="1"/>
  <c r="AV289" i="1"/>
  <c r="AU289" i="1"/>
  <c r="AP289" i="1"/>
  <c r="AN289" i="1"/>
  <c r="AO289" i="1" s="1"/>
  <c r="AM289" i="1"/>
  <c r="AK289" i="1"/>
  <c r="AJ289" i="1"/>
  <c r="AI289" i="1"/>
  <c r="AH289" i="1"/>
  <c r="AG289" i="1"/>
  <c r="AL289" i="1" s="1"/>
  <c r="AE289" i="1"/>
  <c r="AB289" i="1"/>
  <c r="AA289" i="1"/>
  <c r="AV288" i="1"/>
  <c r="AU288" i="1"/>
  <c r="AP288" i="1"/>
  <c r="AN288" i="1"/>
  <c r="AM288" i="1"/>
  <c r="AK288" i="1"/>
  <c r="AJ288" i="1"/>
  <c r="AI288" i="1"/>
  <c r="AH288" i="1"/>
  <c r="AG288" i="1"/>
  <c r="AL288" i="1" s="1"/>
  <c r="AE288" i="1"/>
  <c r="AB288" i="1"/>
  <c r="AA288" i="1"/>
  <c r="AU287" i="1"/>
  <c r="AV287" i="1" s="1"/>
  <c r="AP287" i="1"/>
  <c r="AN287" i="1"/>
  <c r="AM287" i="1"/>
  <c r="AK287" i="1"/>
  <c r="AJ287" i="1"/>
  <c r="AI287" i="1"/>
  <c r="AH287" i="1"/>
  <c r="AG287" i="1"/>
  <c r="AL287" i="1" s="1"/>
  <c r="AE287" i="1"/>
  <c r="AB287" i="1"/>
  <c r="AA287" i="1"/>
  <c r="AU286" i="1"/>
  <c r="AV286" i="1" s="1"/>
  <c r="AP286" i="1"/>
  <c r="AN286" i="1"/>
  <c r="AM286" i="1"/>
  <c r="AK286" i="1"/>
  <c r="AJ286" i="1"/>
  <c r="AI286" i="1"/>
  <c r="AH286" i="1"/>
  <c r="AG286" i="1"/>
  <c r="AL286" i="1" s="1"/>
  <c r="AE286" i="1"/>
  <c r="AB286" i="1"/>
  <c r="AA286" i="1"/>
  <c r="AU285" i="1"/>
  <c r="AV285" i="1" s="1"/>
  <c r="AP285" i="1"/>
  <c r="AN285" i="1"/>
  <c r="AM285" i="1"/>
  <c r="AK285" i="1"/>
  <c r="AJ285" i="1"/>
  <c r="AI285" i="1"/>
  <c r="AH285" i="1"/>
  <c r="AG285" i="1"/>
  <c r="AL285" i="1" s="1"/>
  <c r="AE285" i="1"/>
  <c r="AA285" i="1"/>
  <c r="AB285" i="1" s="1"/>
  <c r="AV284" i="1"/>
  <c r="AU284" i="1"/>
  <c r="AP284" i="1"/>
  <c r="AN284" i="1"/>
  <c r="AM284" i="1"/>
  <c r="AK284" i="1"/>
  <c r="AJ284" i="1"/>
  <c r="AI284" i="1"/>
  <c r="AH284" i="1"/>
  <c r="AG284" i="1"/>
  <c r="AL284" i="1" s="1"/>
  <c r="AE284" i="1"/>
  <c r="AA284" i="1"/>
  <c r="AB284" i="1" s="1"/>
  <c r="AU283" i="1"/>
  <c r="AV283" i="1" s="1"/>
  <c r="AP283" i="1"/>
  <c r="AN283" i="1"/>
  <c r="AO283" i="1" s="1"/>
  <c r="AM283" i="1"/>
  <c r="AK283" i="1"/>
  <c r="AJ283" i="1"/>
  <c r="AI283" i="1"/>
  <c r="AH283" i="1"/>
  <c r="AG283" i="1"/>
  <c r="AL283" i="1" s="1"/>
  <c r="AE283" i="1"/>
  <c r="AB283" i="1"/>
  <c r="AA283" i="1"/>
  <c r="AU282" i="1"/>
  <c r="AV282" i="1" s="1"/>
  <c r="AP282" i="1"/>
  <c r="AN282" i="1"/>
  <c r="AO282" i="1" s="1"/>
  <c r="AM282" i="1"/>
  <c r="AL282" i="1"/>
  <c r="AK282" i="1"/>
  <c r="AJ282" i="1"/>
  <c r="AI282" i="1"/>
  <c r="AH282" i="1"/>
  <c r="AG282" i="1"/>
  <c r="AE282" i="1"/>
  <c r="AA282" i="1"/>
  <c r="AB282" i="1" s="1"/>
  <c r="AU281" i="1"/>
  <c r="AV281" i="1" s="1"/>
  <c r="AP281" i="1"/>
  <c r="AO281" i="1"/>
  <c r="AN281" i="1"/>
  <c r="AM281" i="1"/>
  <c r="AK281" i="1"/>
  <c r="AJ281" i="1"/>
  <c r="AI281" i="1"/>
  <c r="AH281" i="1"/>
  <c r="AG281" i="1"/>
  <c r="AL281" i="1" s="1"/>
  <c r="AE281" i="1"/>
  <c r="AA281" i="1"/>
  <c r="AB281" i="1" s="1"/>
  <c r="AV280" i="1"/>
  <c r="AU280" i="1"/>
  <c r="AP280" i="1"/>
  <c r="AN280" i="1"/>
  <c r="AM280" i="1"/>
  <c r="AK280" i="1"/>
  <c r="AJ280" i="1"/>
  <c r="AI280" i="1"/>
  <c r="AH280" i="1"/>
  <c r="AG280" i="1"/>
  <c r="AL280" i="1" s="1"/>
  <c r="AE280" i="1"/>
  <c r="AB280" i="1"/>
  <c r="AA280" i="1"/>
  <c r="AU279" i="1"/>
  <c r="AV279" i="1" s="1"/>
  <c r="AP279" i="1"/>
  <c r="AN279" i="1"/>
  <c r="AM279" i="1"/>
  <c r="AK279" i="1"/>
  <c r="AJ279" i="1"/>
  <c r="AI279" i="1"/>
  <c r="AH279" i="1"/>
  <c r="AG279" i="1"/>
  <c r="AL279" i="1" s="1"/>
  <c r="AE279" i="1"/>
  <c r="AB279" i="1"/>
  <c r="AA279" i="1"/>
  <c r="AU278" i="1"/>
  <c r="AV278" i="1" s="1"/>
  <c r="AP278" i="1"/>
  <c r="AN278" i="1"/>
  <c r="AM278" i="1"/>
  <c r="AK278" i="1"/>
  <c r="AJ278" i="1"/>
  <c r="AI278" i="1"/>
  <c r="AH278" i="1"/>
  <c r="AG278" i="1"/>
  <c r="AL278" i="1" s="1"/>
  <c r="AE278" i="1"/>
  <c r="AB278" i="1"/>
  <c r="AA278" i="1"/>
  <c r="AU277" i="1"/>
  <c r="AV277" i="1" s="1"/>
  <c r="AP277" i="1"/>
  <c r="AN277" i="1"/>
  <c r="AM277" i="1"/>
  <c r="AK277" i="1"/>
  <c r="AJ277" i="1"/>
  <c r="AI277" i="1"/>
  <c r="AH277" i="1"/>
  <c r="AG277" i="1"/>
  <c r="AL277" i="1" s="1"/>
  <c r="AE277" i="1"/>
  <c r="AA277" i="1"/>
  <c r="AB277" i="1" s="1"/>
  <c r="AV276" i="1"/>
  <c r="AU276" i="1"/>
  <c r="AP276" i="1"/>
  <c r="AN276" i="1"/>
  <c r="AM276" i="1"/>
  <c r="AK276" i="1"/>
  <c r="AJ276" i="1"/>
  <c r="AI276" i="1"/>
  <c r="AH276" i="1"/>
  <c r="AG276" i="1"/>
  <c r="AL276" i="1" s="1"/>
  <c r="AE276" i="1"/>
  <c r="AB276" i="1"/>
  <c r="AA276" i="1"/>
  <c r="AU275" i="1"/>
  <c r="AV275" i="1" s="1"/>
  <c r="AP275" i="1"/>
  <c r="AN275" i="1"/>
  <c r="AM275" i="1"/>
  <c r="AK275" i="1"/>
  <c r="AJ275" i="1"/>
  <c r="AI275" i="1"/>
  <c r="AH275" i="1"/>
  <c r="AG275" i="1"/>
  <c r="AL275" i="1" s="1"/>
  <c r="AE275" i="1"/>
  <c r="AB275" i="1"/>
  <c r="AA275" i="1"/>
  <c r="AU274" i="1"/>
  <c r="AV274" i="1" s="1"/>
  <c r="AP274" i="1"/>
  <c r="AN274" i="1"/>
  <c r="AM274" i="1"/>
  <c r="AK274" i="1"/>
  <c r="AJ274" i="1"/>
  <c r="AI274" i="1"/>
  <c r="AH274" i="1"/>
  <c r="AG274" i="1"/>
  <c r="AL274" i="1" s="1"/>
  <c r="AE274" i="1"/>
  <c r="AB274" i="1"/>
  <c r="AA274" i="1"/>
  <c r="AU273" i="1"/>
  <c r="AV273" i="1" s="1"/>
  <c r="AP273" i="1"/>
  <c r="AO273" i="1"/>
  <c r="AN273" i="1"/>
  <c r="AM273" i="1"/>
  <c r="AK273" i="1"/>
  <c r="AJ273" i="1"/>
  <c r="AI273" i="1"/>
  <c r="AH273" i="1"/>
  <c r="AG273" i="1"/>
  <c r="AL273" i="1" s="1"/>
  <c r="AE273" i="1"/>
  <c r="AA273" i="1"/>
  <c r="AB273" i="1" s="1"/>
  <c r="AV272" i="1"/>
  <c r="AU272" i="1"/>
  <c r="AP272" i="1"/>
  <c r="AN272" i="1"/>
  <c r="AM272" i="1"/>
  <c r="AK272" i="1"/>
  <c r="AJ272" i="1"/>
  <c r="AI272" i="1"/>
  <c r="AH272" i="1"/>
  <c r="AG272" i="1"/>
  <c r="AL272" i="1" s="1"/>
  <c r="AE272" i="1"/>
  <c r="AB272" i="1"/>
  <c r="AA272" i="1"/>
  <c r="AU271" i="1"/>
  <c r="AV271" i="1" s="1"/>
  <c r="AP271" i="1"/>
  <c r="AN271" i="1"/>
  <c r="AM271" i="1"/>
  <c r="AK271" i="1"/>
  <c r="AJ271" i="1"/>
  <c r="AI271" i="1"/>
  <c r="AH271" i="1"/>
  <c r="AG271" i="1"/>
  <c r="AL271" i="1" s="1"/>
  <c r="AE271" i="1"/>
  <c r="AB271" i="1"/>
  <c r="AA271" i="1"/>
  <c r="AU270" i="1"/>
  <c r="AV270" i="1" s="1"/>
  <c r="AP270" i="1"/>
  <c r="AN270" i="1"/>
  <c r="AM270" i="1"/>
  <c r="AK270" i="1"/>
  <c r="AJ270" i="1"/>
  <c r="AI270" i="1"/>
  <c r="AH270" i="1"/>
  <c r="AG270" i="1"/>
  <c r="AL270" i="1" s="1"/>
  <c r="AE270" i="1"/>
  <c r="AA270" i="1"/>
  <c r="AB270" i="1" s="1"/>
  <c r="AU269" i="1"/>
  <c r="AV269" i="1" s="1"/>
  <c r="AP269" i="1"/>
  <c r="AN269" i="1"/>
  <c r="AO269" i="1" s="1"/>
  <c r="AM269" i="1"/>
  <c r="AK269" i="1"/>
  <c r="AJ269" i="1"/>
  <c r="AI269" i="1"/>
  <c r="AH269" i="1"/>
  <c r="AG269" i="1"/>
  <c r="AL269" i="1" s="1"/>
  <c r="AE269" i="1"/>
  <c r="AA269" i="1"/>
  <c r="AB269" i="1" s="1"/>
  <c r="AV268" i="1"/>
  <c r="AU268" i="1"/>
  <c r="AP268" i="1"/>
  <c r="AN268" i="1"/>
  <c r="AO268" i="1" s="1"/>
  <c r="AM268" i="1"/>
  <c r="AK268" i="1"/>
  <c r="AJ268" i="1"/>
  <c r="AI268" i="1"/>
  <c r="AH268" i="1"/>
  <c r="AG268" i="1"/>
  <c r="AL268" i="1" s="1"/>
  <c r="AE268" i="1"/>
  <c r="AA268" i="1"/>
  <c r="AB268" i="1" s="1"/>
  <c r="AU267" i="1"/>
  <c r="AV267" i="1" s="1"/>
  <c r="AP267" i="1"/>
  <c r="AN267" i="1"/>
  <c r="AM267" i="1"/>
  <c r="AK267" i="1"/>
  <c r="AJ267" i="1"/>
  <c r="AI267" i="1"/>
  <c r="AH267" i="1"/>
  <c r="AG267" i="1"/>
  <c r="AL267" i="1" s="1"/>
  <c r="AE267" i="1"/>
  <c r="AB267" i="1"/>
  <c r="AA267" i="1"/>
  <c r="AU266" i="1"/>
  <c r="AV266" i="1" s="1"/>
  <c r="AP266" i="1"/>
  <c r="AN266" i="1"/>
  <c r="AM266" i="1"/>
  <c r="AK266" i="1"/>
  <c r="AJ266" i="1"/>
  <c r="AI266" i="1"/>
  <c r="AH266" i="1"/>
  <c r="AG266" i="1"/>
  <c r="AL266" i="1" s="1"/>
  <c r="AE266" i="1"/>
  <c r="AB266" i="1"/>
  <c r="AA266" i="1"/>
  <c r="AU265" i="1"/>
  <c r="AV265" i="1" s="1"/>
  <c r="AP265" i="1"/>
  <c r="AN265" i="1"/>
  <c r="AM265" i="1"/>
  <c r="AK265" i="1"/>
  <c r="AJ265" i="1"/>
  <c r="AI265" i="1"/>
  <c r="AH265" i="1"/>
  <c r="AG265" i="1"/>
  <c r="AL265" i="1" s="1"/>
  <c r="AE265" i="1"/>
  <c r="AA265" i="1"/>
  <c r="AB265" i="1" s="1"/>
  <c r="AV264" i="1"/>
  <c r="AU264" i="1"/>
  <c r="AP264" i="1"/>
  <c r="AN264" i="1"/>
  <c r="AM264" i="1"/>
  <c r="AK264" i="1"/>
  <c r="AJ264" i="1"/>
  <c r="AI264" i="1"/>
  <c r="AH264" i="1"/>
  <c r="AG264" i="1"/>
  <c r="AL264" i="1" s="1"/>
  <c r="AE264" i="1"/>
  <c r="AB264" i="1"/>
  <c r="AA264" i="1"/>
  <c r="AU263" i="1"/>
  <c r="AV263" i="1" s="1"/>
  <c r="AP263" i="1"/>
  <c r="AN263" i="1"/>
  <c r="AM263" i="1"/>
  <c r="AK263" i="1"/>
  <c r="AJ263" i="1"/>
  <c r="AI263" i="1"/>
  <c r="AH263" i="1"/>
  <c r="AG263" i="1"/>
  <c r="AL263" i="1" s="1"/>
  <c r="AE263" i="1"/>
  <c r="AB263" i="1"/>
  <c r="AA263" i="1"/>
  <c r="AU262" i="1"/>
  <c r="AV262" i="1" s="1"/>
  <c r="AP262" i="1"/>
  <c r="AN262" i="1"/>
  <c r="AM262" i="1"/>
  <c r="AL262" i="1"/>
  <c r="AK262" i="1"/>
  <c r="AJ262" i="1"/>
  <c r="AI262" i="1"/>
  <c r="AH262" i="1"/>
  <c r="AG262" i="1"/>
  <c r="AE262" i="1"/>
  <c r="AB262" i="1"/>
  <c r="AA262" i="1"/>
  <c r="AU261" i="1"/>
  <c r="AV261" i="1" s="1"/>
  <c r="AP261" i="1"/>
  <c r="AN261" i="1"/>
  <c r="AM261" i="1"/>
  <c r="AK261" i="1"/>
  <c r="AJ261" i="1"/>
  <c r="AI261" i="1"/>
  <c r="AH261" i="1"/>
  <c r="AG261" i="1"/>
  <c r="AL261" i="1" s="1"/>
  <c r="AE261" i="1"/>
  <c r="AB261" i="1"/>
  <c r="AA261" i="1"/>
  <c r="AV260" i="1"/>
  <c r="AU260" i="1"/>
  <c r="AP260" i="1"/>
  <c r="AN260" i="1"/>
  <c r="AO260" i="1" s="1"/>
  <c r="AM260" i="1"/>
  <c r="AL260" i="1"/>
  <c r="AK260" i="1"/>
  <c r="AJ260" i="1"/>
  <c r="AI260" i="1"/>
  <c r="AH260" i="1"/>
  <c r="AG260" i="1"/>
  <c r="AE260" i="1"/>
  <c r="AB260" i="1"/>
  <c r="AA260" i="1"/>
  <c r="AU259" i="1"/>
  <c r="AV259" i="1" s="1"/>
  <c r="AP259" i="1"/>
  <c r="AN259" i="1"/>
  <c r="AM259" i="1"/>
  <c r="AK259" i="1"/>
  <c r="AJ259" i="1"/>
  <c r="AI259" i="1"/>
  <c r="AH259" i="1"/>
  <c r="AG259" i="1"/>
  <c r="AL259" i="1" s="1"/>
  <c r="AE259" i="1"/>
  <c r="AB259" i="1"/>
  <c r="AA259" i="1"/>
  <c r="AV258" i="1"/>
  <c r="AU258" i="1"/>
  <c r="AP258" i="1"/>
  <c r="AN258" i="1"/>
  <c r="AM258" i="1"/>
  <c r="AK258" i="1"/>
  <c r="AJ258" i="1"/>
  <c r="AI258" i="1"/>
  <c r="AH258" i="1"/>
  <c r="AG258" i="1"/>
  <c r="AL258" i="1" s="1"/>
  <c r="AE258" i="1"/>
  <c r="AA258" i="1"/>
  <c r="AB258" i="1" s="1"/>
  <c r="AU257" i="1"/>
  <c r="AV257" i="1" s="1"/>
  <c r="AP257" i="1"/>
  <c r="AN257" i="1"/>
  <c r="AM257" i="1"/>
  <c r="AO257" i="1" s="1"/>
  <c r="AK257" i="1"/>
  <c r="AJ257" i="1"/>
  <c r="AI257" i="1"/>
  <c r="AH257" i="1"/>
  <c r="AG257" i="1"/>
  <c r="AL257" i="1" s="1"/>
  <c r="AE257" i="1"/>
  <c r="AB257" i="1"/>
  <c r="AA257" i="1"/>
  <c r="AV256" i="1"/>
  <c r="AU256" i="1"/>
  <c r="AP256" i="1"/>
  <c r="AN256" i="1"/>
  <c r="AO256" i="1" s="1"/>
  <c r="AM256" i="1"/>
  <c r="AL256" i="1"/>
  <c r="AK256" i="1"/>
  <c r="AJ256" i="1"/>
  <c r="AI256" i="1"/>
  <c r="AH256" i="1"/>
  <c r="AG256" i="1"/>
  <c r="AE256" i="1"/>
  <c r="AA256" i="1"/>
  <c r="AB256" i="1" s="1"/>
  <c r="AU255" i="1"/>
  <c r="AV255" i="1" s="1"/>
  <c r="AP255" i="1"/>
  <c r="AN255" i="1"/>
  <c r="AM255" i="1"/>
  <c r="AK255" i="1"/>
  <c r="AJ255" i="1"/>
  <c r="AI255" i="1"/>
  <c r="AH255" i="1"/>
  <c r="AG255" i="1"/>
  <c r="AL255" i="1" s="1"/>
  <c r="AE255" i="1"/>
  <c r="AB255" i="1"/>
  <c r="AA255" i="1"/>
  <c r="AV254" i="1"/>
  <c r="AU254" i="1"/>
  <c r="AP254" i="1"/>
  <c r="AN254" i="1"/>
  <c r="AO254" i="1" s="1"/>
  <c r="AM254" i="1"/>
  <c r="AK254" i="1"/>
  <c r="AJ254" i="1"/>
  <c r="AI254" i="1"/>
  <c r="AH254" i="1"/>
  <c r="AG254" i="1"/>
  <c r="AL254" i="1" s="1"/>
  <c r="AE254" i="1"/>
  <c r="AA254" i="1"/>
  <c r="AB254" i="1" s="1"/>
  <c r="AU253" i="1"/>
  <c r="AV253" i="1" s="1"/>
  <c r="AP253" i="1"/>
  <c r="AN253" i="1"/>
  <c r="AM253" i="1"/>
  <c r="AK253" i="1"/>
  <c r="AJ253" i="1"/>
  <c r="AI253" i="1"/>
  <c r="AH253" i="1"/>
  <c r="AG253" i="1"/>
  <c r="AL253" i="1" s="1"/>
  <c r="AE253" i="1"/>
  <c r="AB253" i="1"/>
  <c r="AA253" i="1"/>
  <c r="AV252" i="1"/>
  <c r="AU252" i="1"/>
  <c r="AP252" i="1"/>
  <c r="AN252" i="1"/>
  <c r="AM252" i="1"/>
  <c r="AK252" i="1"/>
  <c r="AJ252" i="1"/>
  <c r="AI252" i="1"/>
  <c r="AH252" i="1"/>
  <c r="AG252" i="1"/>
  <c r="AL252" i="1" s="1"/>
  <c r="AE252" i="1"/>
  <c r="AA252" i="1"/>
  <c r="AB252" i="1" s="1"/>
  <c r="AU251" i="1"/>
  <c r="AV251" i="1" s="1"/>
  <c r="AP251" i="1"/>
  <c r="AN251" i="1"/>
  <c r="AO251" i="1" s="1"/>
  <c r="AM251" i="1"/>
  <c r="AK251" i="1"/>
  <c r="AJ251" i="1"/>
  <c r="AI251" i="1"/>
  <c r="AH251" i="1"/>
  <c r="AG251" i="1"/>
  <c r="AL251" i="1" s="1"/>
  <c r="AE251" i="1"/>
  <c r="AB251" i="1"/>
  <c r="AA251" i="1"/>
  <c r="AV250" i="1"/>
  <c r="AU250" i="1"/>
  <c r="AP250" i="1"/>
  <c r="AN250" i="1"/>
  <c r="AM250" i="1"/>
  <c r="AK250" i="1"/>
  <c r="AJ250" i="1"/>
  <c r="AI250" i="1"/>
  <c r="AH250" i="1"/>
  <c r="AG250" i="1"/>
  <c r="AL250" i="1" s="1"/>
  <c r="AE250" i="1"/>
  <c r="AA250" i="1"/>
  <c r="AB250" i="1" s="1"/>
  <c r="AU249" i="1"/>
  <c r="AV249" i="1" s="1"/>
  <c r="AP249" i="1"/>
  <c r="AN249" i="1"/>
  <c r="AM249" i="1"/>
  <c r="AK249" i="1"/>
  <c r="AJ249" i="1"/>
  <c r="AI249" i="1"/>
  <c r="AH249" i="1"/>
  <c r="AG249" i="1"/>
  <c r="AL249" i="1" s="1"/>
  <c r="AE249" i="1"/>
  <c r="AB249" i="1"/>
  <c r="AA249" i="1"/>
  <c r="AV248" i="1"/>
  <c r="AU248" i="1"/>
  <c r="AP248" i="1"/>
  <c r="AN248" i="1"/>
  <c r="AO248" i="1" s="1"/>
  <c r="AM248" i="1"/>
  <c r="AK248" i="1"/>
  <c r="AJ248" i="1"/>
  <c r="AI248" i="1"/>
  <c r="AH248" i="1"/>
  <c r="AG248" i="1"/>
  <c r="AL248" i="1" s="1"/>
  <c r="AE248" i="1"/>
  <c r="AA248" i="1"/>
  <c r="AB248" i="1" s="1"/>
  <c r="AU247" i="1"/>
  <c r="AV247" i="1" s="1"/>
  <c r="AP247" i="1"/>
  <c r="AN247" i="1"/>
  <c r="AM247" i="1"/>
  <c r="AO247" i="1" s="1"/>
  <c r="AK247" i="1"/>
  <c r="AJ247" i="1"/>
  <c r="AI247" i="1"/>
  <c r="AH247" i="1"/>
  <c r="AG247" i="1"/>
  <c r="AL247" i="1" s="1"/>
  <c r="AE247" i="1"/>
  <c r="AB247" i="1"/>
  <c r="AA247" i="1"/>
  <c r="AV246" i="1"/>
  <c r="AU246" i="1"/>
  <c r="AP246" i="1"/>
  <c r="AN246" i="1"/>
  <c r="AM246" i="1"/>
  <c r="AL246" i="1"/>
  <c r="AK246" i="1"/>
  <c r="AJ246" i="1"/>
  <c r="AI246" i="1"/>
  <c r="AH246" i="1"/>
  <c r="AG246" i="1"/>
  <c r="AE246" i="1"/>
  <c r="AA246" i="1"/>
  <c r="AB246" i="1" s="1"/>
  <c r="AU245" i="1"/>
  <c r="AV245" i="1" s="1"/>
  <c r="AP245" i="1"/>
  <c r="AN245" i="1"/>
  <c r="AM245" i="1"/>
  <c r="AK245" i="1"/>
  <c r="AJ245" i="1"/>
  <c r="AI245" i="1"/>
  <c r="AH245" i="1"/>
  <c r="AG245" i="1"/>
  <c r="AL245" i="1" s="1"/>
  <c r="AE245" i="1"/>
  <c r="AB245" i="1"/>
  <c r="AA245" i="1"/>
  <c r="AV244" i="1"/>
  <c r="AU244" i="1"/>
  <c r="AP244" i="1"/>
  <c r="AN244" i="1"/>
  <c r="AM244" i="1"/>
  <c r="AK244" i="1"/>
  <c r="AJ244" i="1"/>
  <c r="AI244" i="1"/>
  <c r="AH244" i="1"/>
  <c r="AG244" i="1"/>
  <c r="AL244" i="1" s="1"/>
  <c r="AE244" i="1"/>
  <c r="AA244" i="1"/>
  <c r="AB244" i="1" s="1"/>
  <c r="AU243" i="1"/>
  <c r="AV243" i="1" s="1"/>
  <c r="AP243" i="1"/>
  <c r="AN243" i="1"/>
  <c r="AM243" i="1"/>
  <c r="AK243" i="1"/>
  <c r="AJ243" i="1"/>
  <c r="AI243" i="1"/>
  <c r="AH243" i="1"/>
  <c r="AG243" i="1"/>
  <c r="AL243" i="1" s="1"/>
  <c r="AE243" i="1"/>
  <c r="AB243" i="1"/>
  <c r="AA243" i="1"/>
  <c r="AV242" i="1"/>
  <c r="AU242" i="1"/>
  <c r="AP242" i="1"/>
  <c r="AN242" i="1"/>
  <c r="AM242" i="1"/>
  <c r="AK242" i="1"/>
  <c r="AJ242" i="1"/>
  <c r="AI242" i="1"/>
  <c r="AH242" i="1"/>
  <c r="AG242" i="1"/>
  <c r="AL242" i="1" s="1"/>
  <c r="AE242" i="1"/>
  <c r="AA242" i="1"/>
  <c r="AB242" i="1" s="1"/>
  <c r="AU241" i="1"/>
  <c r="AV241" i="1" s="1"/>
  <c r="AP241" i="1"/>
  <c r="AN241" i="1"/>
  <c r="AM241" i="1"/>
  <c r="AO241" i="1" s="1"/>
  <c r="AK241" i="1"/>
  <c r="AJ241" i="1"/>
  <c r="AI241" i="1"/>
  <c r="AH241" i="1"/>
  <c r="AG241" i="1"/>
  <c r="AL241" i="1" s="1"/>
  <c r="AE241" i="1"/>
  <c r="AB241" i="1"/>
  <c r="AA241" i="1"/>
  <c r="AV240" i="1"/>
  <c r="AU240" i="1"/>
  <c r="AP240" i="1"/>
  <c r="AN240" i="1"/>
  <c r="AO240" i="1" s="1"/>
  <c r="AM240" i="1"/>
  <c r="AK240" i="1"/>
  <c r="AJ240" i="1"/>
  <c r="AI240" i="1"/>
  <c r="AH240" i="1"/>
  <c r="AG240" i="1"/>
  <c r="AL240" i="1" s="1"/>
  <c r="AE240" i="1"/>
  <c r="AA240" i="1"/>
  <c r="AB240" i="1" s="1"/>
  <c r="AU239" i="1"/>
  <c r="AV239" i="1" s="1"/>
  <c r="AP239" i="1"/>
  <c r="AN239" i="1"/>
  <c r="AM239" i="1"/>
  <c r="AO239" i="1" s="1"/>
  <c r="AK239" i="1"/>
  <c r="AJ239" i="1"/>
  <c r="AI239" i="1"/>
  <c r="AH239" i="1"/>
  <c r="AG239" i="1"/>
  <c r="AL239" i="1" s="1"/>
  <c r="AE239" i="1"/>
  <c r="AB239" i="1"/>
  <c r="AA239" i="1"/>
  <c r="AV238" i="1"/>
  <c r="AU238" i="1"/>
  <c r="AP238" i="1"/>
  <c r="AN238" i="1"/>
  <c r="AO238" i="1" s="1"/>
  <c r="AM238" i="1"/>
  <c r="AK238" i="1"/>
  <c r="AJ238" i="1"/>
  <c r="AI238" i="1"/>
  <c r="AH238" i="1"/>
  <c r="AG238" i="1"/>
  <c r="AL238" i="1" s="1"/>
  <c r="AE238" i="1"/>
  <c r="AA238" i="1"/>
  <c r="AB238" i="1" s="1"/>
  <c r="AU237" i="1"/>
  <c r="AV237" i="1" s="1"/>
  <c r="AP237" i="1"/>
  <c r="AN237" i="1"/>
  <c r="AM237" i="1"/>
  <c r="AK237" i="1"/>
  <c r="AJ237" i="1"/>
  <c r="AI237" i="1"/>
  <c r="AH237" i="1"/>
  <c r="AG237" i="1"/>
  <c r="AL237" i="1" s="1"/>
  <c r="AE237" i="1"/>
  <c r="AB237" i="1"/>
  <c r="AA237" i="1"/>
  <c r="AV236" i="1"/>
  <c r="AU236" i="1"/>
  <c r="AP236" i="1"/>
  <c r="AN236" i="1"/>
  <c r="AM236" i="1"/>
  <c r="AK236" i="1"/>
  <c r="AJ236" i="1"/>
  <c r="AI236" i="1"/>
  <c r="AH236" i="1"/>
  <c r="AG236" i="1"/>
  <c r="AL236" i="1" s="1"/>
  <c r="AE236" i="1"/>
  <c r="AA236" i="1"/>
  <c r="AB236" i="1" s="1"/>
  <c r="AU235" i="1"/>
  <c r="AV235" i="1" s="1"/>
  <c r="AP235" i="1"/>
  <c r="AN235" i="1"/>
  <c r="AO235" i="1" s="1"/>
  <c r="AM235" i="1"/>
  <c r="AK235" i="1"/>
  <c r="AJ235" i="1"/>
  <c r="AI235" i="1"/>
  <c r="AH235" i="1"/>
  <c r="AG235" i="1"/>
  <c r="AL235" i="1" s="1"/>
  <c r="AE235" i="1"/>
  <c r="AB235" i="1"/>
  <c r="AA235" i="1"/>
  <c r="AV234" i="1"/>
  <c r="AU234" i="1"/>
  <c r="AP234" i="1"/>
  <c r="AN234" i="1"/>
  <c r="AM234" i="1"/>
  <c r="AK234" i="1"/>
  <c r="AJ234" i="1"/>
  <c r="AI234" i="1"/>
  <c r="AH234" i="1"/>
  <c r="AG234" i="1"/>
  <c r="AL234" i="1" s="1"/>
  <c r="AE234" i="1"/>
  <c r="AA234" i="1"/>
  <c r="AB234" i="1" s="1"/>
  <c r="AU233" i="1"/>
  <c r="AV233" i="1" s="1"/>
  <c r="AP233" i="1"/>
  <c r="AN233" i="1"/>
  <c r="AM233" i="1"/>
  <c r="AK233" i="1"/>
  <c r="AJ233" i="1"/>
  <c r="AI233" i="1"/>
  <c r="AH233" i="1"/>
  <c r="AG233" i="1"/>
  <c r="AL233" i="1" s="1"/>
  <c r="AE233" i="1"/>
  <c r="AB233" i="1"/>
  <c r="AA233" i="1"/>
  <c r="AV232" i="1"/>
  <c r="AU232" i="1"/>
  <c r="AP232" i="1"/>
  <c r="AN232" i="1"/>
  <c r="AM232" i="1"/>
  <c r="AK232" i="1"/>
  <c r="AJ232" i="1"/>
  <c r="AI232" i="1"/>
  <c r="AH232" i="1"/>
  <c r="AG232" i="1"/>
  <c r="AL232" i="1" s="1"/>
  <c r="AE232" i="1"/>
  <c r="AA232" i="1"/>
  <c r="AB232" i="1" s="1"/>
  <c r="AU231" i="1"/>
  <c r="AV231" i="1" s="1"/>
  <c r="AP231" i="1"/>
  <c r="AN231" i="1"/>
  <c r="AO231" i="1" s="1"/>
  <c r="AM231" i="1"/>
  <c r="AK231" i="1"/>
  <c r="AJ231" i="1"/>
  <c r="AI231" i="1"/>
  <c r="AH231" i="1"/>
  <c r="AG231" i="1"/>
  <c r="AL231" i="1" s="1"/>
  <c r="AE231" i="1"/>
  <c r="AB231" i="1"/>
  <c r="AA231" i="1"/>
  <c r="AV230" i="1"/>
  <c r="AU230" i="1"/>
  <c r="AP230" i="1"/>
  <c r="AN230" i="1"/>
  <c r="AM230" i="1"/>
  <c r="AK230" i="1"/>
  <c r="AJ230" i="1"/>
  <c r="AI230" i="1"/>
  <c r="AH230" i="1"/>
  <c r="AG230" i="1"/>
  <c r="AL230" i="1" s="1"/>
  <c r="AE230" i="1"/>
  <c r="AA230" i="1"/>
  <c r="AB230" i="1" s="1"/>
  <c r="AU229" i="1"/>
  <c r="AV229" i="1" s="1"/>
  <c r="AP229" i="1"/>
  <c r="AN229" i="1"/>
  <c r="AM229" i="1"/>
  <c r="AK229" i="1"/>
  <c r="AJ229" i="1"/>
  <c r="AI229" i="1"/>
  <c r="AH229" i="1"/>
  <c r="AG229" i="1"/>
  <c r="AL229" i="1" s="1"/>
  <c r="AE229" i="1"/>
  <c r="AB229" i="1"/>
  <c r="AA229" i="1"/>
  <c r="AV228" i="1"/>
  <c r="AU228" i="1"/>
  <c r="AP228" i="1"/>
  <c r="AN228" i="1"/>
  <c r="AM228" i="1"/>
  <c r="AK228" i="1"/>
  <c r="AJ228" i="1"/>
  <c r="AI228" i="1"/>
  <c r="AH228" i="1"/>
  <c r="AG228" i="1"/>
  <c r="AL228" i="1" s="1"/>
  <c r="AE228" i="1"/>
  <c r="AB228" i="1"/>
  <c r="AA228" i="1"/>
  <c r="AU227" i="1"/>
  <c r="AV227" i="1" s="1"/>
  <c r="AP227" i="1"/>
  <c r="AN227" i="1"/>
  <c r="AM227" i="1"/>
  <c r="AO227" i="1" s="1"/>
  <c r="AK227" i="1"/>
  <c r="AJ227" i="1"/>
  <c r="AI227" i="1"/>
  <c r="AH227" i="1"/>
  <c r="AG227" i="1"/>
  <c r="AL227" i="1" s="1"/>
  <c r="AE227" i="1"/>
  <c r="AB227" i="1"/>
  <c r="AA227" i="1"/>
  <c r="AV226" i="1"/>
  <c r="AU226" i="1"/>
  <c r="AP226" i="1"/>
  <c r="AN226" i="1"/>
  <c r="AO226" i="1" s="1"/>
  <c r="AM226" i="1"/>
  <c r="AL226" i="1"/>
  <c r="AK226" i="1"/>
  <c r="AJ226" i="1"/>
  <c r="AI226" i="1"/>
  <c r="AH226" i="1"/>
  <c r="AG226" i="1"/>
  <c r="AE226" i="1"/>
  <c r="AA226" i="1"/>
  <c r="AB226" i="1" s="1"/>
  <c r="AU225" i="1"/>
  <c r="AV225" i="1" s="1"/>
  <c r="AP225" i="1"/>
  <c r="AN225" i="1"/>
  <c r="AM225" i="1"/>
  <c r="AK225" i="1"/>
  <c r="AJ225" i="1"/>
  <c r="AI225" i="1"/>
  <c r="AH225" i="1"/>
  <c r="AG225" i="1"/>
  <c r="AL225" i="1" s="1"/>
  <c r="AE225" i="1"/>
  <c r="AB225" i="1"/>
  <c r="AA225" i="1"/>
  <c r="AV224" i="1"/>
  <c r="AU224" i="1"/>
  <c r="AP224" i="1"/>
  <c r="AN224" i="1"/>
  <c r="AM224" i="1"/>
  <c r="AK224" i="1"/>
  <c r="AJ224" i="1"/>
  <c r="AI224" i="1"/>
  <c r="AH224" i="1"/>
  <c r="AG224" i="1"/>
  <c r="AL224" i="1" s="1"/>
  <c r="AE224" i="1"/>
  <c r="AA224" i="1"/>
  <c r="AB224" i="1" s="1"/>
  <c r="AU223" i="1"/>
  <c r="AV223" i="1" s="1"/>
  <c r="AP223" i="1"/>
  <c r="AN223" i="1"/>
  <c r="AO223" i="1" s="1"/>
  <c r="AM223" i="1"/>
  <c r="AK223" i="1"/>
  <c r="AJ223" i="1"/>
  <c r="AI223" i="1"/>
  <c r="AH223" i="1"/>
  <c r="AG223" i="1"/>
  <c r="AL223" i="1" s="1"/>
  <c r="AE223" i="1"/>
  <c r="AB223" i="1"/>
  <c r="AA223" i="1"/>
  <c r="AV222" i="1"/>
  <c r="AU222" i="1"/>
  <c r="AP222" i="1"/>
  <c r="AN222" i="1"/>
  <c r="AM222" i="1"/>
  <c r="AK222" i="1"/>
  <c r="AJ222" i="1"/>
  <c r="AI222" i="1"/>
  <c r="AH222" i="1"/>
  <c r="AG222" i="1"/>
  <c r="AL222" i="1" s="1"/>
  <c r="AE222" i="1"/>
  <c r="AB222" i="1"/>
  <c r="AA222" i="1"/>
  <c r="AU221" i="1"/>
  <c r="AV221" i="1" s="1"/>
  <c r="AP221" i="1"/>
  <c r="AN221" i="1"/>
  <c r="AM221" i="1"/>
  <c r="AK221" i="1"/>
  <c r="AJ221" i="1"/>
  <c r="AI221" i="1"/>
  <c r="AH221" i="1"/>
  <c r="AG221" i="1"/>
  <c r="AL221" i="1" s="1"/>
  <c r="AE221" i="1"/>
  <c r="AB221" i="1"/>
  <c r="AA221" i="1"/>
  <c r="AV220" i="1"/>
  <c r="AU220" i="1"/>
  <c r="AP220" i="1"/>
  <c r="AN220" i="1"/>
  <c r="AM220" i="1"/>
  <c r="AK220" i="1"/>
  <c r="AJ220" i="1"/>
  <c r="AI220" i="1"/>
  <c r="AH220" i="1"/>
  <c r="AG220" i="1"/>
  <c r="AL220" i="1" s="1"/>
  <c r="AE220" i="1"/>
  <c r="AA220" i="1"/>
  <c r="AB220" i="1" s="1"/>
  <c r="AU219" i="1"/>
  <c r="AV219" i="1" s="1"/>
  <c r="AP219" i="1"/>
  <c r="AN219" i="1"/>
  <c r="AO219" i="1" s="1"/>
  <c r="AM219" i="1"/>
  <c r="AK219" i="1"/>
  <c r="AJ219" i="1"/>
  <c r="AI219" i="1"/>
  <c r="AH219" i="1"/>
  <c r="AG219" i="1"/>
  <c r="AL219" i="1" s="1"/>
  <c r="AE219" i="1"/>
  <c r="AB219" i="1"/>
  <c r="AA219" i="1"/>
  <c r="AV218" i="1"/>
  <c r="AU218" i="1"/>
  <c r="AP218" i="1"/>
  <c r="AN218" i="1"/>
  <c r="AM218" i="1"/>
  <c r="AK218" i="1"/>
  <c r="AJ218" i="1"/>
  <c r="AI218" i="1"/>
  <c r="AH218" i="1"/>
  <c r="AG218" i="1"/>
  <c r="AL218" i="1" s="1"/>
  <c r="AE218" i="1"/>
  <c r="AA218" i="1"/>
  <c r="AB218" i="1" s="1"/>
  <c r="AU217" i="1"/>
  <c r="AV217" i="1" s="1"/>
  <c r="AP217" i="1"/>
  <c r="AN217" i="1"/>
  <c r="AM217" i="1"/>
  <c r="AK217" i="1"/>
  <c r="AJ217" i="1"/>
  <c r="AI217" i="1"/>
  <c r="AH217" i="1"/>
  <c r="AG217" i="1"/>
  <c r="AL217" i="1" s="1"/>
  <c r="AE217" i="1"/>
  <c r="AB217" i="1"/>
  <c r="AA217" i="1"/>
  <c r="AV216" i="1"/>
  <c r="AU216" i="1"/>
  <c r="AP216" i="1"/>
  <c r="AN216" i="1"/>
  <c r="AO216" i="1" s="1"/>
  <c r="AM216" i="1"/>
  <c r="AL216" i="1"/>
  <c r="AK216" i="1"/>
  <c r="AJ216" i="1"/>
  <c r="AI216" i="1"/>
  <c r="AH216" i="1"/>
  <c r="AG216" i="1"/>
  <c r="AE216" i="1"/>
  <c r="AA216" i="1"/>
  <c r="AB216" i="1" s="1"/>
  <c r="AU215" i="1"/>
  <c r="AV215" i="1" s="1"/>
  <c r="AP215" i="1"/>
  <c r="AN215" i="1"/>
  <c r="AM215" i="1"/>
  <c r="AK215" i="1"/>
  <c r="AJ215" i="1"/>
  <c r="AI215" i="1"/>
  <c r="AH215" i="1"/>
  <c r="AG215" i="1"/>
  <c r="AL215" i="1" s="1"/>
  <c r="AE215" i="1"/>
  <c r="AB215" i="1"/>
  <c r="AA215" i="1"/>
  <c r="AV214" i="1"/>
  <c r="AU214" i="1"/>
  <c r="AP214" i="1"/>
  <c r="AN214" i="1"/>
  <c r="AM214" i="1"/>
  <c r="AL214" i="1"/>
  <c r="AK214" i="1"/>
  <c r="AJ214" i="1"/>
  <c r="AI214" i="1"/>
  <c r="AH214" i="1"/>
  <c r="AG214" i="1"/>
  <c r="AE214" i="1"/>
  <c r="AB214" i="1"/>
  <c r="AA214" i="1"/>
  <c r="AU213" i="1"/>
  <c r="AV213" i="1" s="1"/>
  <c r="AP213" i="1"/>
  <c r="AN213" i="1"/>
  <c r="AM213" i="1"/>
  <c r="AK213" i="1"/>
  <c r="AJ213" i="1"/>
  <c r="AI213" i="1"/>
  <c r="AH213" i="1"/>
  <c r="AG213" i="1"/>
  <c r="AL213" i="1" s="1"/>
  <c r="AE213" i="1"/>
  <c r="AB213" i="1"/>
  <c r="AA213" i="1"/>
  <c r="AV212" i="1"/>
  <c r="AU212" i="1"/>
  <c r="AP212" i="1"/>
  <c r="AN212" i="1"/>
  <c r="AO212" i="1" s="1"/>
  <c r="AM212" i="1"/>
  <c r="AK212" i="1"/>
  <c r="AJ212" i="1"/>
  <c r="AI212" i="1"/>
  <c r="AH212" i="1"/>
  <c r="AG212" i="1"/>
  <c r="AL212" i="1" s="1"/>
  <c r="AE212" i="1"/>
  <c r="AB212" i="1"/>
  <c r="AA212" i="1"/>
  <c r="AU211" i="1"/>
  <c r="AV211" i="1" s="1"/>
  <c r="AP211" i="1"/>
  <c r="AN211" i="1"/>
  <c r="AO211" i="1" s="1"/>
  <c r="AM211" i="1"/>
  <c r="AK211" i="1"/>
  <c r="AJ211" i="1"/>
  <c r="AI211" i="1"/>
  <c r="AH211" i="1"/>
  <c r="AG211" i="1"/>
  <c r="AL211" i="1" s="1"/>
  <c r="AE211" i="1"/>
  <c r="AB211" i="1"/>
  <c r="AA211" i="1"/>
  <c r="AV210" i="1"/>
  <c r="AU210" i="1"/>
  <c r="AP210" i="1"/>
  <c r="AN210" i="1"/>
  <c r="AM210" i="1"/>
  <c r="AK210" i="1"/>
  <c r="AJ210" i="1"/>
  <c r="AI210" i="1"/>
  <c r="AH210" i="1"/>
  <c r="AG210" i="1"/>
  <c r="AL210" i="1" s="1"/>
  <c r="AE210" i="1"/>
  <c r="AA210" i="1"/>
  <c r="AB210" i="1" s="1"/>
  <c r="AU209" i="1"/>
  <c r="AV209" i="1" s="1"/>
  <c r="AP209" i="1"/>
  <c r="AN209" i="1"/>
  <c r="AM209" i="1"/>
  <c r="AK209" i="1"/>
  <c r="AJ209" i="1"/>
  <c r="AI209" i="1"/>
  <c r="AH209" i="1"/>
  <c r="AG209" i="1"/>
  <c r="AL209" i="1" s="1"/>
  <c r="AE209" i="1"/>
  <c r="AB209" i="1"/>
  <c r="AA209" i="1"/>
  <c r="AV208" i="1"/>
  <c r="AU208" i="1"/>
  <c r="AP208" i="1"/>
  <c r="AN208" i="1"/>
  <c r="AM208" i="1"/>
  <c r="AL208" i="1"/>
  <c r="AK208" i="1"/>
  <c r="AJ208" i="1"/>
  <c r="AI208" i="1"/>
  <c r="AH208" i="1"/>
  <c r="AG208" i="1"/>
  <c r="AE208" i="1"/>
  <c r="AA208" i="1"/>
  <c r="AB208" i="1" s="1"/>
  <c r="AU207" i="1"/>
  <c r="AV207" i="1" s="1"/>
  <c r="AP207" i="1"/>
  <c r="AN207" i="1"/>
  <c r="AM207" i="1"/>
  <c r="AO207" i="1" s="1"/>
  <c r="AK207" i="1"/>
  <c r="AJ207" i="1"/>
  <c r="AI207" i="1"/>
  <c r="AH207" i="1"/>
  <c r="AG207" i="1"/>
  <c r="AL207" i="1" s="1"/>
  <c r="AE207" i="1"/>
  <c r="AB207" i="1"/>
  <c r="AA207" i="1"/>
  <c r="AV206" i="1"/>
  <c r="AU206" i="1"/>
  <c r="AP206" i="1"/>
  <c r="AN206" i="1"/>
  <c r="AM206" i="1"/>
  <c r="AL206" i="1"/>
  <c r="AK206" i="1"/>
  <c r="AJ206" i="1"/>
  <c r="AI206" i="1"/>
  <c r="AH206" i="1"/>
  <c r="AG206" i="1"/>
  <c r="AE206" i="1"/>
  <c r="AB206" i="1"/>
  <c r="AA206" i="1"/>
  <c r="AU205" i="1"/>
  <c r="AV205" i="1" s="1"/>
  <c r="AP205" i="1"/>
  <c r="AN205" i="1"/>
  <c r="AM205" i="1"/>
  <c r="AK205" i="1"/>
  <c r="AJ205" i="1"/>
  <c r="AI205" i="1"/>
  <c r="AH205" i="1"/>
  <c r="AG205" i="1"/>
  <c r="AL205" i="1" s="1"/>
  <c r="AE205" i="1"/>
  <c r="AB205" i="1"/>
  <c r="AA205" i="1"/>
  <c r="AV204" i="1"/>
  <c r="AU204" i="1"/>
  <c r="AP204" i="1"/>
  <c r="AN204" i="1"/>
  <c r="AO204" i="1" s="1"/>
  <c r="AM204" i="1"/>
  <c r="AK204" i="1"/>
  <c r="AJ204" i="1"/>
  <c r="AI204" i="1"/>
  <c r="AH204" i="1"/>
  <c r="AG204" i="1"/>
  <c r="AL204" i="1" s="1"/>
  <c r="AE204" i="1"/>
  <c r="AB204" i="1"/>
  <c r="AA204" i="1"/>
  <c r="AU203" i="1"/>
  <c r="AV203" i="1" s="1"/>
  <c r="AP203" i="1"/>
  <c r="AN203" i="1"/>
  <c r="AM203" i="1"/>
  <c r="AK203" i="1"/>
  <c r="AJ203" i="1"/>
  <c r="AI203" i="1"/>
  <c r="AH203" i="1"/>
  <c r="AG203" i="1"/>
  <c r="AL203" i="1" s="1"/>
  <c r="AE203" i="1"/>
  <c r="AB203" i="1"/>
  <c r="AA203" i="1"/>
  <c r="AV202" i="1"/>
  <c r="AU202" i="1"/>
  <c r="AP202" i="1"/>
  <c r="AN202" i="1"/>
  <c r="AM202" i="1"/>
  <c r="AK202" i="1"/>
  <c r="AJ202" i="1"/>
  <c r="AI202" i="1"/>
  <c r="AH202" i="1"/>
  <c r="AG202" i="1"/>
  <c r="AL202" i="1" s="1"/>
  <c r="AE202" i="1"/>
  <c r="AA202" i="1"/>
  <c r="AB202" i="1" s="1"/>
  <c r="AU201" i="1"/>
  <c r="AV201" i="1" s="1"/>
  <c r="AP201" i="1"/>
  <c r="AN201" i="1"/>
  <c r="AM201" i="1"/>
  <c r="AO201" i="1" s="1"/>
  <c r="AK201" i="1"/>
  <c r="AJ201" i="1"/>
  <c r="AI201" i="1"/>
  <c r="AH201" i="1"/>
  <c r="AG201" i="1"/>
  <c r="AL201" i="1" s="1"/>
  <c r="AE201" i="1"/>
  <c r="AB201" i="1"/>
  <c r="AA201" i="1"/>
  <c r="AV200" i="1"/>
  <c r="AU200" i="1"/>
  <c r="AP200" i="1"/>
  <c r="AN200" i="1"/>
  <c r="AM200" i="1"/>
  <c r="AL200" i="1"/>
  <c r="AK200" i="1"/>
  <c r="AJ200" i="1"/>
  <c r="AI200" i="1"/>
  <c r="AH200" i="1"/>
  <c r="AG200" i="1"/>
  <c r="AE200" i="1"/>
  <c r="AA200" i="1"/>
  <c r="AB200" i="1" s="1"/>
  <c r="AU199" i="1"/>
  <c r="AV199" i="1" s="1"/>
  <c r="AP199" i="1"/>
  <c r="AN199" i="1"/>
  <c r="AM199" i="1"/>
  <c r="AO199" i="1" s="1"/>
  <c r="AK199" i="1"/>
  <c r="AJ199" i="1"/>
  <c r="AI199" i="1"/>
  <c r="AH199" i="1"/>
  <c r="AG199" i="1"/>
  <c r="AL199" i="1" s="1"/>
  <c r="AE199" i="1"/>
  <c r="AB199" i="1"/>
  <c r="AA199" i="1"/>
  <c r="AV198" i="1"/>
  <c r="AU198" i="1"/>
  <c r="AP198" i="1"/>
  <c r="AN198" i="1"/>
  <c r="AO198" i="1" s="1"/>
  <c r="AM198" i="1"/>
  <c r="AK198" i="1"/>
  <c r="AJ198" i="1"/>
  <c r="AI198" i="1"/>
  <c r="AH198" i="1"/>
  <c r="AG198" i="1"/>
  <c r="AL198" i="1" s="1"/>
  <c r="AE198" i="1"/>
  <c r="AB198" i="1"/>
  <c r="AA198" i="1"/>
  <c r="AU197" i="1"/>
  <c r="AV197" i="1" s="1"/>
  <c r="AP197" i="1"/>
  <c r="AN197" i="1"/>
  <c r="AO197" i="1" s="1"/>
  <c r="AM197" i="1"/>
  <c r="AK197" i="1"/>
  <c r="AJ197" i="1"/>
  <c r="AI197" i="1"/>
  <c r="AH197" i="1"/>
  <c r="AG197" i="1"/>
  <c r="AL197" i="1" s="1"/>
  <c r="AE197" i="1"/>
  <c r="AB197" i="1"/>
  <c r="AA197" i="1"/>
  <c r="AU196" i="1"/>
  <c r="AV196" i="1" s="1"/>
  <c r="AP196" i="1"/>
  <c r="AN196" i="1"/>
  <c r="AO196" i="1" s="1"/>
  <c r="AM196" i="1"/>
  <c r="AK196" i="1"/>
  <c r="AJ196" i="1"/>
  <c r="AI196" i="1"/>
  <c r="AH196" i="1"/>
  <c r="AG196" i="1"/>
  <c r="AL196" i="1" s="1"/>
  <c r="AE196" i="1"/>
  <c r="AB196" i="1"/>
  <c r="AA196" i="1"/>
  <c r="AV195" i="1"/>
  <c r="AU195" i="1"/>
  <c r="AP195" i="1"/>
  <c r="AN195" i="1"/>
  <c r="AM195" i="1"/>
  <c r="AK195" i="1"/>
  <c r="AJ195" i="1"/>
  <c r="AI195" i="1"/>
  <c r="AH195" i="1"/>
  <c r="AG195" i="1"/>
  <c r="AL195" i="1" s="1"/>
  <c r="AE195" i="1"/>
  <c r="AB195" i="1"/>
  <c r="AA195" i="1"/>
  <c r="AU194" i="1"/>
  <c r="AV194" i="1" s="1"/>
  <c r="AP194" i="1"/>
  <c r="AN194" i="1"/>
  <c r="AM194" i="1"/>
  <c r="AK194" i="1"/>
  <c r="AJ194" i="1"/>
  <c r="AI194" i="1"/>
  <c r="AH194" i="1"/>
  <c r="AG194" i="1"/>
  <c r="AL194" i="1" s="1"/>
  <c r="AE194" i="1"/>
  <c r="AB194" i="1"/>
  <c r="AA194" i="1"/>
  <c r="AU193" i="1"/>
  <c r="AV193" i="1" s="1"/>
  <c r="AP193" i="1"/>
  <c r="AN193" i="1"/>
  <c r="AM193" i="1"/>
  <c r="AK193" i="1"/>
  <c r="AJ193" i="1"/>
  <c r="AI193" i="1"/>
  <c r="AH193" i="1"/>
  <c r="AG193" i="1"/>
  <c r="AL193" i="1" s="1"/>
  <c r="AE193" i="1"/>
  <c r="AA193" i="1"/>
  <c r="AB193" i="1" s="1"/>
  <c r="AU192" i="1"/>
  <c r="AV192" i="1" s="1"/>
  <c r="AP192" i="1"/>
  <c r="AN192" i="1"/>
  <c r="AO192" i="1" s="1"/>
  <c r="AM192" i="1"/>
  <c r="AK192" i="1"/>
  <c r="AJ192" i="1"/>
  <c r="AI192" i="1"/>
  <c r="AH192" i="1"/>
  <c r="AG192" i="1"/>
  <c r="AL192" i="1" s="1"/>
  <c r="AE192" i="1"/>
  <c r="AA192" i="1"/>
  <c r="AB192" i="1" s="1"/>
  <c r="AV191" i="1"/>
  <c r="AU191" i="1"/>
  <c r="AP191" i="1"/>
  <c r="AN191" i="1"/>
  <c r="AO191" i="1" s="1"/>
  <c r="AM191" i="1"/>
  <c r="AK191" i="1"/>
  <c r="AJ191" i="1"/>
  <c r="AI191" i="1"/>
  <c r="AH191" i="1"/>
  <c r="AG191" i="1"/>
  <c r="AL191" i="1" s="1"/>
  <c r="AE191" i="1"/>
  <c r="AB191" i="1"/>
  <c r="AA191" i="1"/>
  <c r="AU190" i="1"/>
  <c r="AV190" i="1" s="1"/>
  <c r="AP190" i="1"/>
  <c r="AN190" i="1"/>
  <c r="AO190" i="1" s="1"/>
  <c r="AM190" i="1"/>
  <c r="AK190" i="1"/>
  <c r="AJ190" i="1"/>
  <c r="AI190" i="1"/>
  <c r="AH190" i="1"/>
  <c r="AG190" i="1"/>
  <c r="AL190" i="1" s="1"/>
  <c r="AE190" i="1"/>
  <c r="AB190" i="1"/>
  <c r="AA190" i="1"/>
  <c r="AU189" i="1"/>
  <c r="AV189" i="1" s="1"/>
  <c r="AP189" i="1"/>
  <c r="AN189" i="1"/>
  <c r="AO189" i="1" s="1"/>
  <c r="AM189" i="1"/>
  <c r="AK189" i="1"/>
  <c r="AJ189" i="1"/>
  <c r="AI189" i="1"/>
  <c r="AH189" i="1"/>
  <c r="AG189" i="1"/>
  <c r="AL189" i="1" s="1"/>
  <c r="AE189" i="1"/>
  <c r="AA189" i="1"/>
  <c r="AB189" i="1" s="1"/>
  <c r="AU188" i="1"/>
  <c r="AV188" i="1" s="1"/>
  <c r="AP188" i="1"/>
  <c r="AN188" i="1"/>
  <c r="AM188" i="1"/>
  <c r="AK188" i="1"/>
  <c r="AJ188" i="1"/>
  <c r="AI188" i="1"/>
  <c r="AH188" i="1"/>
  <c r="AG188" i="1"/>
  <c r="AL188" i="1" s="1"/>
  <c r="AE188" i="1"/>
  <c r="AA188" i="1"/>
  <c r="AB188" i="1" s="1"/>
  <c r="AV187" i="1"/>
  <c r="AU187" i="1"/>
  <c r="AP187" i="1"/>
  <c r="AN187" i="1"/>
  <c r="AM187" i="1"/>
  <c r="AK187" i="1"/>
  <c r="AJ187" i="1"/>
  <c r="AI187" i="1"/>
  <c r="AH187" i="1"/>
  <c r="AG187" i="1"/>
  <c r="AL187" i="1" s="1"/>
  <c r="AE187" i="1"/>
  <c r="AB187" i="1"/>
  <c r="AA187" i="1"/>
  <c r="AU186" i="1"/>
  <c r="AV186" i="1" s="1"/>
  <c r="AP186" i="1"/>
  <c r="AN186" i="1"/>
  <c r="AM186" i="1"/>
  <c r="AK186" i="1"/>
  <c r="AJ186" i="1"/>
  <c r="AI186" i="1"/>
  <c r="AH186" i="1"/>
  <c r="AG186" i="1"/>
  <c r="AL186" i="1" s="1"/>
  <c r="AE186" i="1"/>
  <c r="AB186" i="1"/>
  <c r="AA186" i="1"/>
  <c r="AU185" i="1"/>
  <c r="AV185" i="1" s="1"/>
  <c r="AP185" i="1"/>
  <c r="AN185" i="1"/>
  <c r="AM185" i="1"/>
  <c r="AK185" i="1"/>
  <c r="AJ185" i="1"/>
  <c r="AI185" i="1"/>
  <c r="AH185" i="1"/>
  <c r="AG185" i="1"/>
  <c r="AL185" i="1" s="1"/>
  <c r="AE185" i="1"/>
  <c r="AA185" i="1"/>
  <c r="AB185" i="1" s="1"/>
  <c r="AU184" i="1"/>
  <c r="AV184" i="1" s="1"/>
  <c r="AP184" i="1"/>
  <c r="AN184" i="1"/>
  <c r="AM184" i="1"/>
  <c r="AK184" i="1"/>
  <c r="AJ184" i="1"/>
  <c r="AI184" i="1"/>
  <c r="AH184" i="1"/>
  <c r="AG184" i="1"/>
  <c r="AL184" i="1" s="1"/>
  <c r="AE184" i="1"/>
  <c r="AA184" i="1"/>
  <c r="AB184" i="1" s="1"/>
  <c r="AV183" i="1"/>
  <c r="AU183" i="1"/>
  <c r="AP183" i="1"/>
  <c r="AN183" i="1"/>
  <c r="AM183" i="1"/>
  <c r="AK183" i="1"/>
  <c r="AJ183" i="1"/>
  <c r="AI183" i="1"/>
  <c r="AH183" i="1"/>
  <c r="AG183" i="1"/>
  <c r="AL183" i="1" s="1"/>
  <c r="AE183" i="1"/>
  <c r="AB183" i="1"/>
  <c r="AA183" i="1"/>
  <c r="AU182" i="1"/>
  <c r="AV182" i="1" s="1"/>
  <c r="AP182" i="1"/>
  <c r="AN182" i="1"/>
  <c r="AM182" i="1"/>
  <c r="AK182" i="1"/>
  <c r="AJ182" i="1"/>
  <c r="AI182" i="1"/>
  <c r="AH182" i="1"/>
  <c r="AG182" i="1"/>
  <c r="AL182" i="1" s="1"/>
  <c r="AE182" i="1"/>
  <c r="AB182" i="1"/>
  <c r="AA182" i="1"/>
  <c r="AU181" i="1"/>
  <c r="AV181" i="1" s="1"/>
  <c r="AP181" i="1"/>
  <c r="AN181" i="1"/>
  <c r="AM181" i="1"/>
  <c r="AK181" i="1"/>
  <c r="AJ181" i="1"/>
  <c r="AI181" i="1"/>
  <c r="AH181" i="1"/>
  <c r="AG181" i="1"/>
  <c r="AL181" i="1" s="1"/>
  <c r="AE181" i="1"/>
  <c r="AB181" i="1"/>
  <c r="AA181" i="1"/>
  <c r="AU180" i="1"/>
  <c r="AV180" i="1" s="1"/>
  <c r="AP180" i="1"/>
  <c r="AN180" i="1"/>
  <c r="AM180" i="1"/>
  <c r="AK180" i="1"/>
  <c r="AJ180" i="1"/>
  <c r="AI180" i="1"/>
  <c r="AH180" i="1"/>
  <c r="AG180" i="1"/>
  <c r="AL180" i="1" s="1"/>
  <c r="AE180" i="1"/>
  <c r="AA180" i="1"/>
  <c r="AB180" i="1" s="1"/>
  <c r="AV179" i="1"/>
  <c r="AU179" i="1"/>
  <c r="AP179" i="1"/>
  <c r="AN179" i="1"/>
  <c r="AM179" i="1"/>
  <c r="AK179" i="1"/>
  <c r="AJ179" i="1"/>
  <c r="AI179" i="1"/>
  <c r="AH179" i="1"/>
  <c r="AG179" i="1"/>
  <c r="AL179" i="1" s="1"/>
  <c r="AE179" i="1"/>
  <c r="AA179" i="1"/>
  <c r="AB179" i="1" s="1"/>
  <c r="AU178" i="1"/>
  <c r="AV178" i="1" s="1"/>
  <c r="AP178" i="1"/>
  <c r="AN178" i="1"/>
  <c r="AM178" i="1"/>
  <c r="AK178" i="1"/>
  <c r="AJ178" i="1"/>
  <c r="AI178" i="1"/>
  <c r="AH178" i="1"/>
  <c r="AG178" i="1"/>
  <c r="AL178" i="1" s="1"/>
  <c r="AE178" i="1"/>
  <c r="AB178" i="1"/>
  <c r="AA178" i="1"/>
  <c r="AV177" i="1"/>
  <c r="AU177" i="1"/>
  <c r="AP177" i="1"/>
  <c r="AN177" i="1"/>
  <c r="AM177" i="1"/>
  <c r="AK177" i="1"/>
  <c r="AJ177" i="1"/>
  <c r="AI177" i="1"/>
  <c r="AH177" i="1"/>
  <c r="AG177" i="1"/>
  <c r="AL177" i="1" s="1"/>
  <c r="AE177" i="1"/>
  <c r="AA177" i="1"/>
  <c r="AB177" i="1" s="1"/>
  <c r="AU176" i="1"/>
  <c r="AV176" i="1" s="1"/>
  <c r="AP176" i="1"/>
  <c r="AN176" i="1"/>
  <c r="AM176" i="1"/>
  <c r="AO176" i="1" s="1"/>
  <c r="AK176" i="1"/>
  <c r="AJ176" i="1"/>
  <c r="AI176" i="1"/>
  <c r="AH176" i="1"/>
  <c r="AG176" i="1"/>
  <c r="AL176" i="1" s="1"/>
  <c r="AE176" i="1"/>
  <c r="AB176" i="1"/>
  <c r="AA176" i="1"/>
  <c r="AV175" i="1"/>
  <c r="AU175" i="1"/>
  <c r="AP175" i="1"/>
  <c r="AN175" i="1"/>
  <c r="AO175" i="1" s="1"/>
  <c r="AM175" i="1"/>
  <c r="AL175" i="1"/>
  <c r="AK175" i="1"/>
  <c r="AJ175" i="1"/>
  <c r="AI175" i="1"/>
  <c r="AH175" i="1"/>
  <c r="AG175" i="1"/>
  <c r="AE175" i="1"/>
  <c r="AA175" i="1"/>
  <c r="AB175" i="1" s="1"/>
  <c r="AU174" i="1"/>
  <c r="AV174" i="1" s="1"/>
  <c r="AP174" i="1"/>
  <c r="AN174" i="1"/>
  <c r="AM174" i="1"/>
  <c r="AK174" i="1"/>
  <c r="AJ174" i="1"/>
  <c r="AI174" i="1"/>
  <c r="AH174" i="1"/>
  <c r="AG174" i="1"/>
  <c r="AL174" i="1" s="1"/>
  <c r="AE174" i="1"/>
  <c r="AB174" i="1"/>
  <c r="AA174" i="1"/>
  <c r="AV173" i="1"/>
  <c r="AU173" i="1"/>
  <c r="AP173" i="1"/>
  <c r="AN173" i="1"/>
  <c r="AM173" i="1"/>
  <c r="AK173" i="1"/>
  <c r="AJ173" i="1"/>
  <c r="AI173" i="1"/>
  <c r="AH173" i="1"/>
  <c r="AG173" i="1"/>
  <c r="AL173" i="1" s="1"/>
  <c r="AE173" i="1"/>
  <c r="AA173" i="1"/>
  <c r="AB173" i="1" s="1"/>
  <c r="AU172" i="1"/>
  <c r="AV172" i="1" s="1"/>
  <c r="AP172" i="1"/>
  <c r="AN172" i="1"/>
  <c r="AM172" i="1"/>
  <c r="AK172" i="1"/>
  <c r="AJ172" i="1"/>
  <c r="AI172" i="1"/>
  <c r="AH172" i="1"/>
  <c r="AG172" i="1"/>
  <c r="AL172" i="1" s="1"/>
  <c r="AE172" i="1"/>
  <c r="AB172" i="1"/>
  <c r="AA172" i="1"/>
  <c r="AV171" i="1"/>
  <c r="AU171" i="1"/>
  <c r="AP171" i="1"/>
  <c r="AN171" i="1"/>
  <c r="AM171" i="1"/>
  <c r="AK171" i="1"/>
  <c r="AJ171" i="1"/>
  <c r="AI171" i="1"/>
  <c r="AH171" i="1"/>
  <c r="AG171" i="1"/>
  <c r="AL171" i="1" s="1"/>
  <c r="AE171" i="1"/>
  <c r="AA171" i="1"/>
  <c r="AB171" i="1" s="1"/>
  <c r="AU170" i="1"/>
  <c r="AV170" i="1" s="1"/>
  <c r="AP170" i="1"/>
  <c r="AN170" i="1"/>
  <c r="AM170" i="1"/>
  <c r="AK170" i="1"/>
  <c r="AJ170" i="1"/>
  <c r="AI170" i="1"/>
  <c r="AH170" i="1"/>
  <c r="AG170" i="1"/>
  <c r="AL170" i="1" s="1"/>
  <c r="AE170" i="1"/>
  <c r="AB170" i="1"/>
  <c r="AA170" i="1"/>
  <c r="AV169" i="1"/>
  <c r="AU169" i="1"/>
  <c r="AP169" i="1"/>
  <c r="AN169" i="1"/>
  <c r="AM169" i="1"/>
  <c r="AK169" i="1"/>
  <c r="AJ169" i="1"/>
  <c r="AI169" i="1"/>
  <c r="AH169" i="1"/>
  <c r="AG169" i="1"/>
  <c r="AL169" i="1" s="1"/>
  <c r="AE169" i="1"/>
  <c r="AA169" i="1"/>
  <c r="AB169" i="1" s="1"/>
  <c r="AV168" i="1"/>
  <c r="AU168" i="1"/>
  <c r="AP168" i="1"/>
  <c r="AN168" i="1"/>
  <c r="AM168" i="1"/>
  <c r="AK168" i="1"/>
  <c r="AJ168" i="1"/>
  <c r="AI168" i="1"/>
  <c r="AH168" i="1"/>
  <c r="AG168" i="1"/>
  <c r="AL168" i="1" s="1"/>
  <c r="AE168" i="1"/>
  <c r="AB168" i="1"/>
  <c r="AA168" i="1"/>
  <c r="AU167" i="1"/>
  <c r="AV167" i="1" s="1"/>
  <c r="AP167" i="1"/>
  <c r="AN167" i="1"/>
  <c r="AM167" i="1"/>
  <c r="AK167" i="1"/>
  <c r="AJ167" i="1"/>
  <c r="AI167" i="1"/>
  <c r="AH167" i="1"/>
  <c r="AG167" i="1"/>
  <c r="AL167" i="1" s="1"/>
  <c r="AE167" i="1"/>
  <c r="AB167" i="1"/>
  <c r="AA167" i="1"/>
  <c r="AU166" i="1"/>
  <c r="AV166" i="1" s="1"/>
  <c r="AP166" i="1"/>
  <c r="AN166" i="1"/>
  <c r="AO166" i="1" s="1"/>
  <c r="AM166" i="1"/>
  <c r="AL166" i="1"/>
  <c r="AK166" i="1"/>
  <c r="AJ166" i="1"/>
  <c r="AI166" i="1"/>
  <c r="AH166" i="1"/>
  <c r="AG166" i="1"/>
  <c r="AE166" i="1"/>
  <c r="AA166" i="1"/>
  <c r="AB166" i="1" s="1"/>
  <c r="AU165" i="1"/>
  <c r="AV165" i="1" s="1"/>
  <c r="AP165" i="1"/>
  <c r="AN165" i="1"/>
  <c r="AM165" i="1"/>
  <c r="AK165" i="1"/>
  <c r="AJ165" i="1"/>
  <c r="AI165" i="1"/>
  <c r="AH165" i="1"/>
  <c r="AG165" i="1"/>
  <c r="AL165" i="1" s="1"/>
  <c r="AE165" i="1"/>
  <c r="AB165" i="1"/>
  <c r="AA165" i="1"/>
  <c r="AV164" i="1"/>
  <c r="AU164" i="1"/>
  <c r="AP164" i="1"/>
  <c r="AN164" i="1"/>
  <c r="AM164" i="1"/>
  <c r="AK164" i="1"/>
  <c r="AJ164" i="1"/>
  <c r="AI164" i="1"/>
  <c r="AH164" i="1"/>
  <c r="AG164" i="1"/>
  <c r="AL164" i="1" s="1"/>
  <c r="AE164" i="1"/>
  <c r="AA164" i="1"/>
  <c r="AB164" i="1" s="1"/>
  <c r="AU163" i="1"/>
  <c r="AV163" i="1" s="1"/>
  <c r="AP163" i="1"/>
  <c r="AN163" i="1"/>
  <c r="AM163" i="1"/>
  <c r="AK163" i="1"/>
  <c r="AJ163" i="1"/>
  <c r="AI163" i="1"/>
  <c r="AH163" i="1"/>
  <c r="AG163" i="1"/>
  <c r="AL163" i="1" s="1"/>
  <c r="AE163" i="1"/>
  <c r="AB163" i="1"/>
  <c r="AA163" i="1"/>
  <c r="AV162" i="1"/>
  <c r="AU162" i="1"/>
  <c r="AP162" i="1"/>
  <c r="AN162" i="1"/>
  <c r="AM162" i="1"/>
  <c r="AK162" i="1"/>
  <c r="AJ162" i="1"/>
  <c r="AI162" i="1"/>
  <c r="AH162" i="1"/>
  <c r="AG162" i="1"/>
  <c r="AL162" i="1" s="1"/>
  <c r="AE162" i="1"/>
  <c r="AA162" i="1"/>
  <c r="AB162" i="1" s="1"/>
  <c r="AU161" i="1"/>
  <c r="AV161" i="1" s="1"/>
  <c r="AP161" i="1"/>
  <c r="AO161" i="1"/>
  <c r="AN161" i="1"/>
  <c r="AM161" i="1"/>
  <c r="AK161" i="1"/>
  <c r="AJ161" i="1"/>
  <c r="AI161" i="1"/>
  <c r="AH161" i="1"/>
  <c r="AG161" i="1"/>
  <c r="AL161" i="1" s="1"/>
  <c r="AE161" i="1"/>
  <c r="AB161" i="1"/>
  <c r="AA161" i="1"/>
  <c r="AV160" i="1"/>
  <c r="AU160" i="1"/>
  <c r="AP160" i="1"/>
  <c r="AN160" i="1"/>
  <c r="AM160" i="1"/>
  <c r="AK160" i="1"/>
  <c r="AJ160" i="1"/>
  <c r="AI160" i="1"/>
  <c r="AH160" i="1"/>
  <c r="AG160" i="1"/>
  <c r="AL160" i="1" s="1"/>
  <c r="AE160" i="1"/>
  <c r="AA160" i="1"/>
  <c r="AB160" i="1" s="1"/>
  <c r="AU159" i="1"/>
  <c r="AV159" i="1" s="1"/>
  <c r="AP159" i="1"/>
  <c r="AN159" i="1"/>
  <c r="AM159" i="1"/>
  <c r="AK159" i="1"/>
  <c r="AJ159" i="1"/>
  <c r="AI159" i="1"/>
  <c r="AH159" i="1"/>
  <c r="AG159" i="1"/>
  <c r="AL159" i="1" s="1"/>
  <c r="AE159" i="1"/>
  <c r="AB159" i="1"/>
  <c r="AA159" i="1"/>
  <c r="AV158" i="1"/>
  <c r="AU158" i="1"/>
  <c r="AP158" i="1"/>
  <c r="AN158" i="1"/>
  <c r="AM158" i="1"/>
  <c r="AK158" i="1"/>
  <c r="AJ158" i="1"/>
  <c r="AI158" i="1"/>
  <c r="AH158" i="1"/>
  <c r="AG158" i="1"/>
  <c r="AL158" i="1" s="1"/>
  <c r="AE158" i="1"/>
  <c r="AA158" i="1"/>
  <c r="AB158" i="1" s="1"/>
  <c r="AU157" i="1"/>
  <c r="AV157" i="1" s="1"/>
  <c r="AP157" i="1"/>
  <c r="AN157" i="1"/>
  <c r="AM157" i="1"/>
  <c r="AK157" i="1"/>
  <c r="AJ157" i="1"/>
  <c r="AI157" i="1"/>
  <c r="AH157" i="1"/>
  <c r="AG157" i="1"/>
  <c r="AL157" i="1" s="1"/>
  <c r="AE157" i="1"/>
  <c r="AB157" i="1"/>
  <c r="AA157" i="1"/>
  <c r="AV156" i="1"/>
  <c r="AU156" i="1"/>
  <c r="AP156" i="1"/>
  <c r="AN156" i="1"/>
  <c r="AM156" i="1"/>
  <c r="AK156" i="1"/>
  <c r="AJ156" i="1"/>
  <c r="AI156" i="1"/>
  <c r="AH156" i="1"/>
  <c r="AG156" i="1"/>
  <c r="AL156" i="1" s="1"/>
  <c r="AE156" i="1"/>
  <c r="AB156" i="1"/>
  <c r="AA156" i="1"/>
  <c r="AU155" i="1"/>
  <c r="AV155" i="1" s="1"/>
  <c r="AP155" i="1"/>
  <c r="AN155" i="1"/>
  <c r="AM155" i="1"/>
  <c r="AL155" i="1"/>
  <c r="AK155" i="1"/>
  <c r="AJ155" i="1"/>
  <c r="AI155" i="1"/>
  <c r="AH155" i="1"/>
  <c r="AG155" i="1"/>
  <c r="AE155" i="1"/>
  <c r="AB155" i="1"/>
  <c r="AA155" i="1"/>
  <c r="AV154" i="1"/>
  <c r="AU154" i="1"/>
  <c r="AP154" i="1"/>
  <c r="AN154" i="1"/>
  <c r="AM154" i="1"/>
  <c r="AO154" i="1" s="1"/>
  <c r="AK154" i="1"/>
  <c r="AJ154" i="1"/>
  <c r="AI154" i="1"/>
  <c r="AH154" i="1"/>
  <c r="AG154" i="1"/>
  <c r="AL154" i="1" s="1"/>
  <c r="AE154" i="1"/>
  <c r="AA154" i="1"/>
  <c r="AB154" i="1" s="1"/>
  <c r="AV153" i="1"/>
  <c r="AU153" i="1"/>
  <c r="AP153" i="1"/>
  <c r="AN153" i="1"/>
  <c r="AM153" i="1"/>
  <c r="AK153" i="1"/>
  <c r="AJ153" i="1"/>
  <c r="AI153" i="1"/>
  <c r="AH153" i="1"/>
  <c r="AG153" i="1"/>
  <c r="AL153" i="1" s="1"/>
  <c r="AE153" i="1"/>
  <c r="AB153" i="1"/>
  <c r="AA153" i="1"/>
  <c r="AV152" i="1"/>
  <c r="AU152" i="1"/>
  <c r="AP152" i="1"/>
  <c r="AN152" i="1"/>
  <c r="AM152" i="1"/>
  <c r="AK152" i="1"/>
  <c r="AJ152" i="1"/>
  <c r="AI152" i="1"/>
  <c r="AH152" i="1"/>
  <c r="AG152" i="1"/>
  <c r="AL152" i="1" s="1"/>
  <c r="AE152" i="1"/>
  <c r="AB152" i="1"/>
  <c r="AA152" i="1"/>
  <c r="AU151" i="1"/>
  <c r="AV151" i="1" s="1"/>
  <c r="AP151" i="1"/>
  <c r="AN151" i="1"/>
  <c r="AM151" i="1"/>
  <c r="AL151" i="1"/>
  <c r="AK151" i="1"/>
  <c r="AJ151" i="1"/>
  <c r="AI151" i="1"/>
  <c r="AH151" i="1"/>
  <c r="AG151" i="1"/>
  <c r="AE151" i="1"/>
  <c r="AB151" i="1"/>
  <c r="AA151" i="1"/>
  <c r="AV150" i="1"/>
  <c r="AU150" i="1"/>
  <c r="AP150" i="1"/>
  <c r="AN150" i="1"/>
  <c r="AM150" i="1"/>
  <c r="AK150" i="1"/>
  <c r="AJ150" i="1"/>
  <c r="AI150" i="1"/>
  <c r="AH150" i="1"/>
  <c r="AG150" i="1"/>
  <c r="AL150" i="1" s="1"/>
  <c r="AE150" i="1"/>
  <c r="AA150" i="1"/>
  <c r="AB150" i="1" s="1"/>
  <c r="AV149" i="1"/>
  <c r="AU149" i="1"/>
  <c r="AP149" i="1"/>
  <c r="AN149" i="1"/>
  <c r="AM149" i="1"/>
  <c r="AK149" i="1"/>
  <c r="AJ149" i="1"/>
  <c r="AI149" i="1"/>
  <c r="AH149" i="1"/>
  <c r="AG149" i="1"/>
  <c r="AL149" i="1" s="1"/>
  <c r="AE149" i="1"/>
  <c r="AB149" i="1"/>
  <c r="AA149" i="1"/>
  <c r="AU148" i="1"/>
  <c r="AV148" i="1" s="1"/>
  <c r="AP148" i="1"/>
  <c r="AN148" i="1"/>
  <c r="AM148" i="1"/>
  <c r="AK148" i="1"/>
  <c r="AJ148" i="1"/>
  <c r="AI148" i="1"/>
  <c r="AH148" i="1"/>
  <c r="AG148" i="1"/>
  <c r="AL148" i="1" s="1"/>
  <c r="AE148" i="1"/>
  <c r="AB148" i="1"/>
  <c r="AA148" i="1"/>
  <c r="AU147" i="1"/>
  <c r="AV147" i="1" s="1"/>
  <c r="AP147" i="1"/>
  <c r="AN147" i="1"/>
  <c r="AM147" i="1"/>
  <c r="AK147" i="1"/>
  <c r="AJ147" i="1"/>
  <c r="AI147" i="1"/>
  <c r="AH147" i="1"/>
  <c r="AG147" i="1"/>
  <c r="AL147" i="1" s="1"/>
  <c r="AE147" i="1"/>
  <c r="AB147" i="1"/>
  <c r="AA147" i="1"/>
  <c r="AU146" i="1"/>
  <c r="AV146" i="1" s="1"/>
  <c r="AP146" i="1"/>
  <c r="AN146" i="1"/>
  <c r="AM146" i="1"/>
  <c r="AO146" i="1" s="1"/>
  <c r="AK146" i="1"/>
  <c r="AJ146" i="1"/>
  <c r="AI146" i="1"/>
  <c r="AH146" i="1"/>
  <c r="AG146" i="1"/>
  <c r="AL146" i="1" s="1"/>
  <c r="AE146" i="1"/>
  <c r="AA146" i="1"/>
  <c r="AB146" i="1" s="1"/>
  <c r="AV145" i="1"/>
  <c r="AU145" i="1"/>
  <c r="AP145" i="1"/>
  <c r="AN145" i="1"/>
  <c r="AM145" i="1"/>
  <c r="AK145" i="1"/>
  <c r="AJ145" i="1"/>
  <c r="AI145" i="1"/>
  <c r="AH145" i="1"/>
  <c r="AG145" i="1"/>
  <c r="AL145" i="1" s="1"/>
  <c r="AE145" i="1"/>
  <c r="AB145" i="1"/>
  <c r="AA145" i="1"/>
  <c r="AU144" i="1"/>
  <c r="AV144" i="1" s="1"/>
  <c r="AP144" i="1"/>
  <c r="AN144" i="1"/>
  <c r="AM144" i="1"/>
  <c r="AK144" i="1"/>
  <c r="AJ144" i="1"/>
  <c r="AI144" i="1"/>
  <c r="AH144" i="1"/>
  <c r="AG144" i="1"/>
  <c r="AL144" i="1" s="1"/>
  <c r="AE144" i="1"/>
  <c r="AB144" i="1"/>
  <c r="AA144" i="1"/>
  <c r="AU143" i="1"/>
  <c r="AV143" i="1" s="1"/>
  <c r="AP143" i="1"/>
  <c r="AN143" i="1"/>
  <c r="AM143" i="1"/>
  <c r="AK143" i="1"/>
  <c r="AJ143" i="1"/>
  <c r="AI143" i="1"/>
  <c r="AH143" i="1"/>
  <c r="AG143" i="1"/>
  <c r="AL143" i="1" s="1"/>
  <c r="AE143" i="1"/>
  <c r="AA143" i="1"/>
  <c r="AB143" i="1" s="1"/>
  <c r="AU142" i="1"/>
  <c r="AV142" i="1" s="1"/>
  <c r="AP142" i="1"/>
  <c r="AN142" i="1"/>
  <c r="AM142" i="1"/>
  <c r="AO142" i="1" s="1"/>
  <c r="AK142" i="1"/>
  <c r="AJ142" i="1"/>
  <c r="AI142" i="1"/>
  <c r="AH142" i="1"/>
  <c r="AG142" i="1"/>
  <c r="AL142" i="1" s="1"/>
  <c r="AE142" i="1"/>
  <c r="AB142" i="1"/>
  <c r="AA142" i="1"/>
  <c r="AV141" i="1"/>
  <c r="AU141" i="1"/>
  <c r="AP141" i="1"/>
  <c r="AN141" i="1"/>
  <c r="AO141" i="1" s="1"/>
  <c r="AM141" i="1"/>
  <c r="AK141" i="1"/>
  <c r="AJ141" i="1"/>
  <c r="AI141" i="1"/>
  <c r="AH141" i="1"/>
  <c r="AG141" i="1"/>
  <c r="AL141" i="1" s="1"/>
  <c r="AE141" i="1"/>
  <c r="AA141" i="1"/>
  <c r="AB141" i="1" s="1"/>
  <c r="AU140" i="1"/>
  <c r="AV140" i="1" s="1"/>
  <c r="AP140" i="1"/>
  <c r="AN140" i="1"/>
  <c r="AM140" i="1"/>
  <c r="AK140" i="1"/>
  <c r="AJ140" i="1"/>
  <c r="AI140" i="1"/>
  <c r="AH140" i="1"/>
  <c r="AG140" i="1"/>
  <c r="AL140" i="1" s="1"/>
  <c r="AE140" i="1"/>
  <c r="AB140" i="1"/>
  <c r="AA140" i="1"/>
  <c r="AU139" i="1"/>
  <c r="AV139" i="1" s="1"/>
  <c r="AP139" i="1"/>
  <c r="AN139" i="1"/>
  <c r="AM139" i="1"/>
  <c r="AK139" i="1"/>
  <c r="AJ139" i="1"/>
  <c r="AI139" i="1"/>
  <c r="AH139" i="1"/>
  <c r="AG139" i="1"/>
  <c r="AL139" i="1" s="1"/>
  <c r="AE139" i="1"/>
  <c r="AB139" i="1"/>
  <c r="AA139" i="1"/>
  <c r="AU138" i="1"/>
  <c r="AV138" i="1" s="1"/>
  <c r="AP138" i="1"/>
  <c r="AN138" i="1"/>
  <c r="AM138" i="1"/>
  <c r="AO138" i="1" s="1"/>
  <c r="AK138" i="1"/>
  <c r="AJ138" i="1"/>
  <c r="AI138" i="1"/>
  <c r="AH138" i="1"/>
  <c r="AG138" i="1"/>
  <c r="AL138" i="1" s="1"/>
  <c r="AE138" i="1"/>
  <c r="AB138" i="1"/>
  <c r="AA138" i="1"/>
  <c r="AV137" i="1"/>
  <c r="AU137" i="1"/>
  <c r="AP137" i="1"/>
  <c r="AN137" i="1"/>
  <c r="AO137" i="1" s="1"/>
  <c r="AM137" i="1"/>
  <c r="AK137" i="1"/>
  <c r="AJ137" i="1"/>
  <c r="AI137" i="1"/>
  <c r="AH137" i="1"/>
  <c r="AG137" i="1"/>
  <c r="AL137" i="1" s="1"/>
  <c r="AE137" i="1"/>
  <c r="AB137" i="1"/>
  <c r="AA137" i="1"/>
  <c r="AV136" i="1"/>
  <c r="AU136" i="1"/>
  <c r="AP136" i="1"/>
  <c r="AN136" i="1"/>
  <c r="AM136" i="1"/>
  <c r="AK136" i="1"/>
  <c r="AJ136" i="1"/>
  <c r="AI136" i="1"/>
  <c r="AH136" i="1"/>
  <c r="AG136" i="1"/>
  <c r="AL136" i="1" s="1"/>
  <c r="AE136" i="1"/>
  <c r="AB136" i="1"/>
  <c r="AA136" i="1"/>
  <c r="AU135" i="1"/>
  <c r="AV135" i="1" s="1"/>
  <c r="AP135" i="1"/>
  <c r="AN135" i="1"/>
  <c r="AM135" i="1"/>
  <c r="AK135" i="1"/>
  <c r="AJ135" i="1"/>
  <c r="AI135" i="1"/>
  <c r="AH135" i="1"/>
  <c r="AG135" i="1"/>
  <c r="AL135" i="1" s="1"/>
  <c r="AE135" i="1"/>
  <c r="AB135" i="1"/>
  <c r="AA135" i="1"/>
  <c r="AU134" i="1"/>
  <c r="AV134" i="1" s="1"/>
  <c r="AP134" i="1"/>
  <c r="AN134" i="1"/>
  <c r="AM134" i="1"/>
  <c r="AO134" i="1" s="1"/>
  <c r="AK134" i="1"/>
  <c r="AJ134" i="1"/>
  <c r="AI134" i="1"/>
  <c r="AH134" i="1"/>
  <c r="AG134" i="1"/>
  <c r="AL134" i="1" s="1"/>
  <c r="AE134" i="1"/>
  <c r="AA134" i="1"/>
  <c r="AB134" i="1" s="1"/>
  <c r="AV133" i="1"/>
  <c r="AU133" i="1"/>
  <c r="AP133" i="1"/>
  <c r="AN133" i="1"/>
  <c r="AM133" i="1"/>
  <c r="AK133" i="1"/>
  <c r="AJ133" i="1"/>
  <c r="AI133" i="1"/>
  <c r="AH133" i="1"/>
  <c r="AG133" i="1"/>
  <c r="AL133" i="1" s="1"/>
  <c r="AE133" i="1"/>
  <c r="AB133" i="1"/>
  <c r="AA133" i="1"/>
  <c r="AU132" i="1"/>
  <c r="AV132" i="1" s="1"/>
  <c r="AP132" i="1"/>
  <c r="AN132" i="1"/>
  <c r="AM132" i="1"/>
  <c r="AK132" i="1"/>
  <c r="AJ132" i="1"/>
  <c r="AI132" i="1"/>
  <c r="AH132" i="1"/>
  <c r="AG132" i="1"/>
  <c r="AL132" i="1" s="1"/>
  <c r="AE132" i="1"/>
  <c r="AB132" i="1"/>
  <c r="AA132" i="1"/>
  <c r="AU131" i="1"/>
  <c r="AV131" i="1" s="1"/>
  <c r="AP131" i="1"/>
  <c r="AN131" i="1"/>
  <c r="AM131" i="1"/>
  <c r="AK131" i="1"/>
  <c r="AJ131" i="1"/>
  <c r="AI131" i="1"/>
  <c r="AH131" i="1"/>
  <c r="AG131" i="1"/>
  <c r="AL131" i="1" s="1"/>
  <c r="AE131" i="1"/>
  <c r="AB131" i="1"/>
  <c r="AA131" i="1"/>
  <c r="AU130" i="1"/>
  <c r="AV130" i="1" s="1"/>
  <c r="AP130" i="1"/>
  <c r="AN130" i="1"/>
  <c r="AO130" i="1" s="1"/>
  <c r="AM130" i="1"/>
  <c r="AK130" i="1"/>
  <c r="AJ130" i="1"/>
  <c r="AI130" i="1"/>
  <c r="AH130" i="1"/>
  <c r="AG130" i="1"/>
  <c r="AL130" i="1" s="1"/>
  <c r="AE130" i="1"/>
  <c r="AB130" i="1"/>
  <c r="AA130" i="1"/>
  <c r="AV129" i="1"/>
  <c r="AU129" i="1"/>
  <c r="AP129" i="1"/>
  <c r="AN129" i="1"/>
  <c r="AM129" i="1"/>
  <c r="AK129" i="1"/>
  <c r="AJ129" i="1"/>
  <c r="AI129" i="1"/>
  <c r="AH129" i="1"/>
  <c r="AG129" i="1"/>
  <c r="AL129" i="1" s="1"/>
  <c r="AE129" i="1"/>
  <c r="AA129" i="1"/>
  <c r="AB129" i="1" s="1"/>
  <c r="AU128" i="1"/>
  <c r="AV128" i="1" s="1"/>
  <c r="AP128" i="1"/>
  <c r="AN128" i="1"/>
  <c r="AM128" i="1"/>
  <c r="AK128" i="1"/>
  <c r="AJ128" i="1"/>
  <c r="AI128" i="1"/>
  <c r="AH128" i="1"/>
  <c r="AG128" i="1"/>
  <c r="AL128" i="1" s="1"/>
  <c r="AE128" i="1"/>
  <c r="AB128" i="1"/>
  <c r="AA128" i="1"/>
  <c r="AU127" i="1"/>
  <c r="AV127" i="1" s="1"/>
  <c r="AP127" i="1"/>
  <c r="AN127" i="1"/>
  <c r="AM127" i="1"/>
  <c r="AK127" i="1"/>
  <c r="AJ127" i="1"/>
  <c r="AI127" i="1"/>
  <c r="AH127" i="1"/>
  <c r="AG127" i="1"/>
  <c r="AL127" i="1" s="1"/>
  <c r="AE127" i="1"/>
  <c r="AB127" i="1"/>
  <c r="AA127" i="1"/>
  <c r="AU126" i="1"/>
  <c r="AV126" i="1" s="1"/>
  <c r="AP126" i="1"/>
  <c r="AN126" i="1"/>
  <c r="AO126" i="1" s="1"/>
  <c r="AM126" i="1"/>
  <c r="AK126" i="1"/>
  <c r="AJ126" i="1"/>
  <c r="AI126" i="1"/>
  <c r="AH126" i="1"/>
  <c r="AG126" i="1"/>
  <c r="AL126" i="1" s="1"/>
  <c r="AE126" i="1"/>
  <c r="AA126" i="1"/>
  <c r="AB126" i="1" s="1"/>
  <c r="AV125" i="1"/>
  <c r="AU125" i="1"/>
  <c r="AP125" i="1"/>
  <c r="AN125" i="1"/>
  <c r="AM125" i="1"/>
  <c r="AO125" i="1" s="1"/>
  <c r="AK125" i="1"/>
  <c r="AJ125" i="1"/>
  <c r="AI125" i="1"/>
  <c r="AH125" i="1"/>
  <c r="AG125" i="1"/>
  <c r="AL125" i="1" s="1"/>
  <c r="AE125" i="1"/>
  <c r="AA125" i="1"/>
  <c r="AB125" i="1" s="1"/>
  <c r="AU124" i="1"/>
  <c r="AV124" i="1" s="1"/>
  <c r="AP124" i="1"/>
  <c r="AN124" i="1"/>
  <c r="AM124" i="1"/>
  <c r="AK124" i="1"/>
  <c r="AJ124" i="1"/>
  <c r="AI124" i="1"/>
  <c r="AH124" i="1"/>
  <c r="AG124" i="1"/>
  <c r="AL124" i="1" s="1"/>
  <c r="AE124" i="1"/>
  <c r="AB124" i="1"/>
  <c r="AA124" i="1"/>
  <c r="AU123" i="1"/>
  <c r="AV123" i="1" s="1"/>
  <c r="AP123" i="1"/>
  <c r="AN123" i="1"/>
  <c r="AM123" i="1"/>
  <c r="AL123" i="1"/>
  <c r="AK123" i="1"/>
  <c r="AJ123" i="1"/>
  <c r="AI123" i="1"/>
  <c r="AH123" i="1"/>
  <c r="AG123" i="1"/>
  <c r="AE123" i="1"/>
  <c r="AB123" i="1"/>
  <c r="AA123" i="1"/>
  <c r="AU122" i="1"/>
  <c r="AV122" i="1" s="1"/>
  <c r="AP122" i="1"/>
  <c r="AN122" i="1"/>
  <c r="AM122" i="1"/>
  <c r="AK122" i="1"/>
  <c r="AJ122" i="1"/>
  <c r="AI122" i="1"/>
  <c r="AH122" i="1"/>
  <c r="AG122" i="1"/>
  <c r="AL122" i="1" s="1"/>
  <c r="AE122" i="1"/>
  <c r="AA122" i="1"/>
  <c r="AB122" i="1" s="1"/>
  <c r="AV121" i="1"/>
  <c r="AU121" i="1"/>
  <c r="AP121" i="1"/>
  <c r="AN121" i="1"/>
  <c r="AO121" i="1" s="1"/>
  <c r="AM121" i="1"/>
  <c r="AK121" i="1"/>
  <c r="AJ121" i="1"/>
  <c r="AI121" i="1"/>
  <c r="AH121" i="1"/>
  <c r="AG121" i="1"/>
  <c r="AL121" i="1" s="1"/>
  <c r="AE121" i="1"/>
  <c r="AA121" i="1"/>
  <c r="AB121" i="1" s="1"/>
  <c r="AU120" i="1"/>
  <c r="AV120" i="1" s="1"/>
  <c r="AP120" i="1"/>
  <c r="AN120" i="1"/>
  <c r="AM120" i="1"/>
  <c r="AK120" i="1"/>
  <c r="AJ120" i="1"/>
  <c r="AI120" i="1"/>
  <c r="AH120" i="1"/>
  <c r="AG120" i="1"/>
  <c r="AL120" i="1" s="1"/>
  <c r="AE120" i="1"/>
  <c r="AB120" i="1"/>
  <c r="AA120" i="1"/>
  <c r="AU119" i="1"/>
  <c r="AV119" i="1" s="1"/>
  <c r="AP119" i="1"/>
  <c r="AN119" i="1"/>
  <c r="AM119" i="1"/>
  <c r="AK119" i="1"/>
  <c r="AJ119" i="1"/>
  <c r="AI119" i="1"/>
  <c r="AH119" i="1"/>
  <c r="AG119" i="1"/>
  <c r="AL119" i="1" s="1"/>
  <c r="AE119" i="1"/>
  <c r="AB119" i="1"/>
  <c r="AA119" i="1"/>
  <c r="AU118" i="1"/>
  <c r="AV118" i="1" s="1"/>
  <c r="AP118" i="1"/>
  <c r="AN118" i="1"/>
  <c r="AM118" i="1"/>
  <c r="AO118" i="1" s="1"/>
  <c r="AK118" i="1"/>
  <c r="AJ118" i="1"/>
  <c r="AI118" i="1"/>
  <c r="AH118" i="1"/>
  <c r="AG118" i="1"/>
  <c r="AL118" i="1" s="1"/>
  <c r="AE118" i="1"/>
  <c r="AA118" i="1"/>
  <c r="AB118" i="1" s="1"/>
  <c r="AV117" i="1"/>
  <c r="AU117" i="1"/>
  <c r="AP117" i="1"/>
  <c r="AN117" i="1"/>
  <c r="AO117" i="1" s="1"/>
  <c r="AM117" i="1"/>
  <c r="AK117" i="1"/>
  <c r="AJ117" i="1"/>
  <c r="AI117" i="1"/>
  <c r="AH117" i="1"/>
  <c r="AG117" i="1"/>
  <c r="AL117" i="1" s="1"/>
  <c r="AE117" i="1"/>
  <c r="AB117" i="1"/>
  <c r="AA117" i="1"/>
  <c r="AU116" i="1"/>
  <c r="AV116" i="1" s="1"/>
  <c r="AP116" i="1"/>
  <c r="AN116" i="1"/>
  <c r="AM116" i="1"/>
  <c r="AK116" i="1"/>
  <c r="AJ116" i="1"/>
  <c r="AI116" i="1"/>
  <c r="AH116" i="1"/>
  <c r="AG116" i="1"/>
  <c r="AL116" i="1" s="1"/>
  <c r="AE116" i="1"/>
  <c r="AB116" i="1"/>
  <c r="AA116" i="1"/>
  <c r="AU115" i="1"/>
  <c r="AV115" i="1" s="1"/>
  <c r="AP115" i="1"/>
  <c r="AN115" i="1"/>
  <c r="AM115" i="1"/>
  <c r="AK115" i="1"/>
  <c r="AJ115" i="1"/>
  <c r="AI115" i="1"/>
  <c r="AH115" i="1"/>
  <c r="AG115" i="1"/>
  <c r="AL115" i="1" s="1"/>
  <c r="AE115" i="1"/>
  <c r="AA115" i="1"/>
  <c r="AB115" i="1" s="1"/>
  <c r="AU114" i="1"/>
  <c r="AV114" i="1" s="1"/>
  <c r="AP114" i="1"/>
  <c r="AN114" i="1"/>
  <c r="AM114" i="1"/>
  <c r="AK114" i="1"/>
  <c r="AJ114" i="1"/>
  <c r="AI114" i="1"/>
  <c r="AH114" i="1"/>
  <c r="AG114" i="1"/>
  <c r="AL114" i="1" s="1"/>
  <c r="AE114" i="1"/>
  <c r="AA114" i="1"/>
  <c r="AB114" i="1" s="1"/>
  <c r="AV113" i="1"/>
  <c r="AU113" i="1"/>
  <c r="AP113" i="1"/>
  <c r="AN113" i="1"/>
  <c r="AM113" i="1"/>
  <c r="AO113" i="1" s="1"/>
  <c r="AK113" i="1"/>
  <c r="AJ113" i="1"/>
  <c r="AI113" i="1"/>
  <c r="AH113" i="1"/>
  <c r="AG113" i="1"/>
  <c r="AL113" i="1" s="1"/>
  <c r="AE113" i="1"/>
  <c r="AA113" i="1"/>
  <c r="AB113" i="1" s="1"/>
  <c r="AU112" i="1"/>
  <c r="AV112" i="1" s="1"/>
  <c r="AP112" i="1"/>
  <c r="AN112" i="1"/>
  <c r="AM112" i="1"/>
  <c r="AK112" i="1"/>
  <c r="AJ112" i="1"/>
  <c r="AI112" i="1"/>
  <c r="AH112" i="1"/>
  <c r="AG112" i="1"/>
  <c r="AL112" i="1" s="1"/>
  <c r="AE112" i="1"/>
  <c r="AB112" i="1"/>
  <c r="AA112" i="1"/>
  <c r="AU111" i="1"/>
  <c r="AV111" i="1" s="1"/>
  <c r="AP111" i="1"/>
  <c r="AN111" i="1"/>
  <c r="AM111" i="1"/>
  <c r="AL111" i="1"/>
  <c r="AK111" i="1"/>
  <c r="AJ111" i="1"/>
  <c r="AI111" i="1"/>
  <c r="AH111" i="1"/>
  <c r="AG111" i="1"/>
  <c r="AE111" i="1"/>
  <c r="AA111" i="1"/>
  <c r="AB111" i="1" s="1"/>
  <c r="AU110" i="1"/>
  <c r="AV110" i="1" s="1"/>
  <c r="AP110" i="1"/>
  <c r="AN110" i="1"/>
  <c r="AM110" i="1"/>
  <c r="AO110" i="1" s="1"/>
  <c r="AK110" i="1"/>
  <c r="AJ110" i="1"/>
  <c r="AI110" i="1"/>
  <c r="AH110" i="1"/>
  <c r="AG110" i="1"/>
  <c r="AL110" i="1" s="1"/>
  <c r="AE110" i="1"/>
  <c r="AB110" i="1"/>
  <c r="AA110" i="1"/>
  <c r="AV109" i="1"/>
  <c r="AU109" i="1"/>
  <c r="AP109" i="1"/>
  <c r="AN109" i="1"/>
  <c r="AM109" i="1"/>
  <c r="AK109" i="1"/>
  <c r="AJ109" i="1"/>
  <c r="AI109" i="1"/>
  <c r="AH109" i="1"/>
  <c r="AG109" i="1"/>
  <c r="AL109" i="1" s="1"/>
  <c r="AE109" i="1"/>
  <c r="AA109" i="1"/>
  <c r="AB109" i="1" s="1"/>
  <c r="AV108" i="1"/>
  <c r="AU108" i="1"/>
  <c r="AP108" i="1"/>
  <c r="AN108" i="1"/>
  <c r="AM108" i="1"/>
  <c r="AK108" i="1"/>
  <c r="AJ108" i="1"/>
  <c r="AI108" i="1"/>
  <c r="AH108" i="1"/>
  <c r="AG108" i="1"/>
  <c r="AL108" i="1" s="1"/>
  <c r="AE108" i="1"/>
  <c r="AB108" i="1"/>
  <c r="AA108" i="1"/>
  <c r="AU107" i="1"/>
  <c r="AV107" i="1" s="1"/>
  <c r="AP107" i="1"/>
  <c r="AN107" i="1"/>
  <c r="AM107" i="1"/>
  <c r="AK107" i="1"/>
  <c r="AJ107" i="1"/>
  <c r="AI107" i="1"/>
  <c r="AH107" i="1"/>
  <c r="AG107" i="1"/>
  <c r="AL107" i="1" s="1"/>
  <c r="AE107" i="1"/>
  <c r="AB107" i="1"/>
  <c r="AA107" i="1"/>
  <c r="AU106" i="1"/>
  <c r="AV106" i="1" s="1"/>
  <c r="AP106" i="1"/>
  <c r="AN106" i="1"/>
  <c r="AO106" i="1" s="1"/>
  <c r="AM106" i="1"/>
  <c r="AK106" i="1"/>
  <c r="AJ106" i="1"/>
  <c r="AI106" i="1"/>
  <c r="AH106" i="1"/>
  <c r="AG106" i="1"/>
  <c r="AL106" i="1" s="1"/>
  <c r="AE106" i="1"/>
  <c r="AB106" i="1"/>
  <c r="AA106" i="1"/>
  <c r="AV105" i="1"/>
  <c r="AU105" i="1"/>
  <c r="AP105" i="1"/>
  <c r="AN105" i="1"/>
  <c r="AM105" i="1"/>
  <c r="AK105" i="1"/>
  <c r="AJ105" i="1"/>
  <c r="AI105" i="1"/>
  <c r="AH105" i="1"/>
  <c r="AG105" i="1"/>
  <c r="AL105" i="1" s="1"/>
  <c r="AE105" i="1"/>
  <c r="AB105" i="1"/>
  <c r="AA105" i="1"/>
  <c r="AU104" i="1"/>
  <c r="AV104" i="1" s="1"/>
  <c r="AP104" i="1"/>
  <c r="AN104" i="1"/>
  <c r="AM104" i="1"/>
  <c r="AK104" i="1"/>
  <c r="AJ104" i="1"/>
  <c r="AI104" i="1"/>
  <c r="AH104" i="1"/>
  <c r="AG104" i="1"/>
  <c r="AL104" i="1" s="1"/>
  <c r="AE104" i="1"/>
  <c r="AB104" i="1"/>
  <c r="AA104" i="1"/>
  <c r="AV103" i="1"/>
  <c r="AU103" i="1"/>
  <c r="AP103" i="1"/>
  <c r="AN103" i="1"/>
  <c r="AM103" i="1"/>
  <c r="AK103" i="1"/>
  <c r="AJ103" i="1"/>
  <c r="AI103" i="1"/>
  <c r="AH103" i="1"/>
  <c r="AG103" i="1"/>
  <c r="AL103" i="1" s="1"/>
  <c r="AE103" i="1"/>
  <c r="AB103" i="1"/>
  <c r="AA103" i="1"/>
  <c r="AU102" i="1"/>
  <c r="AV102" i="1" s="1"/>
  <c r="AP102" i="1"/>
  <c r="AN102" i="1"/>
  <c r="AO102" i="1" s="1"/>
  <c r="AM102" i="1"/>
  <c r="AK102" i="1"/>
  <c r="AJ102" i="1"/>
  <c r="AI102" i="1"/>
  <c r="AH102" i="1"/>
  <c r="AG102" i="1"/>
  <c r="AL102" i="1" s="1"/>
  <c r="AE102" i="1"/>
  <c r="AB102" i="1"/>
  <c r="AA102" i="1"/>
  <c r="AV101" i="1"/>
  <c r="AU101" i="1"/>
  <c r="AP101" i="1"/>
  <c r="AN101" i="1"/>
  <c r="AO101" i="1" s="1"/>
  <c r="AM101" i="1"/>
  <c r="AK101" i="1"/>
  <c r="AJ101" i="1"/>
  <c r="AI101" i="1"/>
  <c r="AH101" i="1"/>
  <c r="AG101" i="1"/>
  <c r="AL101" i="1" s="1"/>
  <c r="AE101" i="1"/>
  <c r="AB101" i="1"/>
  <c r="AA101" i="1"/>
  <c r="AV100" i="1"/>
  <c r="AU100" i="1"/>
  <c r="AP100" i="1"/>
  <c r="AN100" i="1"/>
  <c r="AM100" i="1"/>
  <c r="AK100" i="1"/>
  <c r="AJ100" i="1"/>
  <c r="AI100" i="1"/>
  <c r="AH100" i="1"/>
  <c r="AG100" i="1"/>
  <c r="AL100" i="1" s="1"/>
  <c r="AE100" i="1"/>
  <c r="AB100" i="1"/>
  <c r="AA100" i="1"/>
  <c r="AU99" i="1"/>
  <c r="AV99" i="1" s="1"/>
  <c r="AP99" i="1"/>
  <c r="AN99" i="1"/>
  <c r="AM99" i="1"/>
  <c r="AK99" i="1"/>
  <c r="AJ99" i="1"/>
  <c r="AI99" i="1"/>
  <c r="AH99" i="1"/>
  <c r="AG99" i="1"/>
  <c r="AL99" i="1" s="1"/>
  <c r="AE99" i="1"/>
  <c r="AB99" i="1"/>
  <c r="AA99" i="1"/>
  <c r="AU98" i="1"/>
  <c r="AV98" i="1" s="1"/>
  <c r="AP98" i="1"/>
  <c r="AN98" i="1"/>
  <c r="AM98" i="1"/>
  <c r="AK98" i="1"/>
  <c r="AJ98" i="1"/>
  <c r="AI98" i="1"/>
  <c r="AH98" i="1"/>
  <c r="AG98" i="1"/>
  <c r="AL98" i="1" s="1"/>
  <c r="AE98" i="1"/>
  <c r="AB98" i="1"/>
  <c r="AA98" i="1"/>
  <c r="AV97" i="1"/>
  <c r="AU97" i="1"/>
  <c r="AP97" i="1"/>
  <c r="AN97" i="1"/>
  <c r="AM97" i="1"/>
  <c r="AK97" i="1"/>
  <c r="AJ97" i="1"/>
  <c r="AI97" i="1"/>
  <c r="AH97" i="1"/>
  <c r="AG97" i="1"/>
  <c r="AL97" i="1" s="1"/>
  <c r="AE97" i="1"/>
  <c r="AA97" i="1"/>
  <c r="AB97" i="1" s="1"/>
  <c r="AV96" i="1"/>
  <c r="AU96" i="1"/>
  <c r="AP96" i="1"/>
  <c r="AN96" i="1"/>
  <c r="AM96" i="1"/>
  <c r="AK96" i="1"/>
  <c r="AJ96" i="1"/>
  <c r="AI96" i="1"/>
  <c r="AH96" i="1"/>
  <c r="AG96" i="1"/>
  <c r="AL96" i="1" s="1"/>
  <c r="AE96" i="1"/>
  <c r="AB96" i="1"/>
  <c r="AA96" i="1"/>
  <c r="AV95" i="1"/>
  <c r="AU95" i="1"/>
  <c r="AP95" i="1"/>
  <c r="AN95" i="1"/>
  <c r="AM95" i="1"/>
  <c r="AK95" i="1"/>
  <c r="AJ95" i="1"/>
  <c r="AI95" i="1"/>
  <c r="AH95" i="1"/>
  <c r="AG95" i="1"/>
  <c r="AL95" i="1" s="1"/>
  <c r="AE95" i="1"/>
  <c r="AB95" i="1"/>
  <c r="AA95" i="1"/>
  <c r="AU94" i="1"/>
  <c r="AV94" i="1" s="1"/>
  <c r="AP94" i="1"/>
  <c r="AN94" i="1"/>
  <c r="AM94" i="1"/>
  <c r="AK94" i="1"/>
  <c r="AJ94" i="1"/>
  <c r="AI94" i="1"/>
  <c r="AH94" i="1"/>
  <c r="AG94" i="1"/>
  <c r="AL94" i="1" s="1"/>
  <c r="AE94" i="1"/>
  <c r="AB94" i="1"/>
  <c r="AA94" i="1"/>
  <c r="AV93" i="1"/>
  <c r="AU93" i="1"/>
  <c r="AP93" i="1"/>
  <c r="AN93" i="1"/>
  <c r="AM93" i="1"/>
  <c r="AO93" i="1" s="1"/>
  <c r="AL93" i="1"/>
  <c r="AK93" i="1"/>
  <c r="AJ93" i="1"/>
  <c r="AI93" i="1"/>
  <c r="AH93" i="1"/>
  <c r="AG93" i="1"/>
  <c r="AE93" i="1"/>
  <c r="AA93" i="1"/>
  <c r="AB93" i="1" s="1"/>
  <c r="AV92" i="1"/>
  <c r="AU92" i="1"/>
  <c r="AP92" i="1"/>
  <c r="AN92" i="1"/>
  <c r="AM92" i="1"/>
  <c r="AK92" i="1"/>
  <c r="AJ92" i="1"/>
  <c r="AI92" i="1"/>
  <c r="AH92" i="1"/>
  <c r="AG92" i="1"/>
  <c r="AL92" i="1" s="1"/>
  <c r="AE92" i="1"/>
  <c r="AB92" i="1"/>
  <c r="AA92" i="1"/>
  <c r="AU91" i="1"/>
  <c r="AV91" i="1" s="1"/>
  <c r="AP91" i="1"/>
  <c r="AN91" i="1"/>
  <c r="AM91" i="1"/>
  <c r="AK91" i="1"/>
  <c r="AJ91" i="1"/>
  <c r="AI91" i="1"/>
  <c r="AH91" i="1"/>
  <c r="AG91" i="1"/>
  <c r="AL91" i="1" s="1"/>
  <c r="AE91" i="1"/>
  <c r="AB91" i="1"/>
  <c r="AA91" i="1"/>
  <c r="AV90" i="1"/>
  <c r="AU90" i="1"/>
  <c r="AP90" i="1"/>
  <c r="AN90" i="1"/>
  <c r="AO90" i="1" s="1"/>
  <c r="AM90" i="1"/>
  <c r="AK90" i="1"/>
  <c r="AJ90" i="1"/>
  <c r="AI90" i="1"/>
  <c r="AH90" i="1"/>
  <c r="AG90" i="1"/>
  <c r="AL90" i="1" s="1"/>
  <c r="AE90" i="1"/>
  <c r="AA90" i="1"/>
  <c r="AB90" i="1" s="1"/>
  <c r="AV89" i="1"/>
  <c r="AU89" i="1"/>
  <c r="AP89" i="1"/>
  <c r="AN89" i="1"/>
  <c r="AO89" i="1" s="1"/>
  <c r="AM89" i="1"/>
  <c r="AK89" i="1"/>
  <c r="AJ89" i="1"/>
  <c r="AI89" i="1"/>
  <c r="AH89" i="1"/>
  <c r="AG89" i="1"/>
  <c r="AL89" i="1" s="1"/>
  <c r="AE89" i="1"/>
  <c r="AB89" i="1"/>
  <c r="AA89" i="1"/>
  <c r="AV88" i="1"/>
  <c r="AU88" i="1"/>
  <c r="AP88" i="1"/>
  <c r="AN88" i="1"/>
  <c r="AM88" i="1"/>
  <c r="AK88" i="1"/>
  <c r="AJ88" i="1"/>
  <c r="AI88" i="1"/>
  <c r="AH88" i="1"/>
  <c r="AG88" i="1"/>
  <c r="AL88" i="1" s="1"/>
  <c r="AE88" i="1"/>
  <c r="AB88" i="1"/>
  <c r="AA88" i="1"/>
  <c r="AU87" i="1"/>
  <c r="AV87" i="1" s="1"/>
  <c r="AP87" i="1"/>
  <c r="AN87" i="1"/>
  <c r="AM87" i="1"/>
  <c r="AK87" i="1"/>
  <c r="AJ87" i="1"/>
  <c r="AI87" i="1"/>
  <c r="AH87" i="1"/>
  <c r="AG87" i="1"/>
  <c r="AL87" i="1" s="1"/>
  <c r="AE87" i="1"/>
  <c r="AB87" i="1"/>
  <c r="AA87" i="1"/>
  <c r="AV86" i="1"/>
  <c r="AU86" i="1"/>
  <c r="AP86" i="1"/>
  <c r="AN86" i="1"/>
  <c r="AM86" i="1"/>
  <c r="AO86" i="1" s="1"/>
  <c r="AL86" i="1"/>
  <c r="AK86" i="1"/>
  <c r="AJ86" i="1"/>
  <c r="AI86" i="1"/>
  <c r="AH86" i="1"/>
  <c r="AG86" i="1"/>
  <c r="AE86" i="1"/>
  <c r="AA86" i="1"/>
  <c r="AB86" i="1" s="1"/>
  <c r="AV85" i="1"/>
  <c r="AU85" i="1"/>
  <c r="AP85" i="1"/>
  <c r="AO85" i="1"/>
  <c r="AN85" i="1"/>
  <c r="AM85" i="1"/>
  <c r="AK85" i="1"/>
  <c r="AJ85" i="1"/>
  <c r="AI85" i="1"/>
  <c r="AH85" i="1"/>
  <c r="AG85" i="1"/>
  <c r="AL85" i="1" s="1"/>
  <c r="AE85" i="1"/>
  <c r="AB85" i="1"/>
  <c r="AA85" i="1"/>
  <c r="AV84" i="1"/>
  <c r="AU84" i="1"/>
  <c r="AP84" i="1"/>
  <c r="AN84" i="1"/>
  <c r="AM84" i="1"/>
  <c r="AL84" i="1"/>
  <c r="AK84" i="1"/>
  <c r="AJ84" i="1"/>
  <c r="AI84" i="1"/>
  <c r="AH84" i="1"/>
  <c r="AG84" i="1"/>
  <c r="AE84" i="1"/>
  <c r="AB84" i="1"/>
  <c r="AA84" i="1"/>
  <c r="AU83" i="1"/>
  <c r="AV83" i="1" s="1"/>
  <c r="AP83" i="1"/>
  <c r="AN83" i="1"/>
  <c r="AM83" i="1"/>
  <c r="AO83" i="1" s="1"/>
  <c r="AK83" i="1"/>
  <c r="AJ83" i="1"/>
  <c r="AI83" i="1"/>
  <c r="AH83" i="1"/>
  <c r="AG83" i="1"/>
  <c r="AL83" i="1" s="1"/>
  <c r="AE83" i="1"/>
  <c r="AB83" i="1"/>
  <c r="AA83" i="1"/>
  <c r="AV82" i="1"/>
  <c r="AU82" i="1"/>
  <c r="AP82" i="1"/>
  <c r="AN82" i="1"/>
  <c r="AO82" i="1" s="1"/>
  <c r="AM82" i="1"/>
  <c r="AL82" i="1"/>
  <c r="AK82" i="1"/>
  <c r="AJ82" i="1"/>
  <c r="AI82" i="1"/>
  <c r="AH82" i="1"/>
  <c r="AG82" i="1"/>
  <c r="AE82" i="1"/>
  <c r="AA82" i="1"/>
  <c r="AB82" i="1" s="1"/>
  <c r="AV81" i="1"/>
  <c r="AU81" i="1"/>
  <c r="AP81" i="1"/>
  <c r="AN81" i="1"/>
  <c r="AM81" i="1"/>
  <c r="AK81" i="1"/>
  <c r="AJ81" i="1"/>
  <c r="AI81" i="1"/>
  <c r="AH81" i="1"/>
  <c r="AG81" i="1"/>
  <c r="AL81" i="1" s="1"/>
  <c r="AE81" i="1"/>
  <c r="AB81" i="1"/>
  <c r="AA81" i="1"/>
  <c r="AV80" i="1"/>
  <c r="AU80" i="1"/>
  <c r="AP80" i="1"/>
  <c r="AN80" i="1"/>
  <c r="AO80" i="1" s="1"/>
  <c r="AM80" i="1"/>
  <c r="AK80" i="1"/>
  <c r="AJ80" i="1"/>
  <c r="AI80" i="1"/>
  <c r="AH80" i="1"/>
  <c r="AG80" i="1"/>
  <c r="AL80" i="1" s="1"/>
  <c r="AE80" i="1"/>
  <c r="AB80" i="1"/>
  <c r="AA80" i="1"/>
  <c r="AU79" i="1"/>
  <c r="AV79" i="1" s="1"/>
  <c r="AP79" i="1"/>
  <c r="AN79" i="1"/>
  <c r="AM79" i="1"/>
  <c r="AK79" i="1"/>
  <c r="AJ79" i="1"/>
  <c r="AI79" i="1"/>
  <c r="AH79" i="1"/>
  <c r="AG79" i="1"/>
  <c r="AL79" i="1" s="1"/>
  <c r="AE79" i="1"/>
  <c r="AB79" i="1"/>
  <c r="AA79" i="1"/>
  <c r="AV78" i="1"/>
  <c r="AU78" i="1"/>
  <c r="AP78" i="1"/>
  <c r="AN78" i="1"/>
  <c r="AO78" i="1" s="1"/>
  <c r="AM78" i="1"/>
  <c r="AK78" i="1"/>
  <c r="AJ78" i="1"/>
  <c r="AI78" i="1"/>
  <c r="AH78" i="1"/>
  <c r="AG78" i="1"/>
  <c r="AL78" i="1" s="1"/>
  <c r="AE78" i="1"/>
  <c r="AA78" i="1"/>
  <c r="AB78" i="1" s="1"/>
  <c r="AV77" i="1"/>
  <c r="AU77" i="1"/>
  <c r="AP77" i="1"/>
  <c r="AN77" i="1"/>
  <c r="AM77" i="1"/>
  <c r="AO77" i="1" s="1"/>
  <c r="AK77" i="1"/>
  <c r="AJ77" i="1"/>
  <c r="AI77" i="1"/>
  <c r="AH77" i="1"/>
  <c r="AG77" i="1"/>
  <c r="AL77" i="1" s="1"/>
  <c r="AE77" i="1"/>
  <c r="AB77" i="1"/>
  <c r="AA77" i="1"/>
  <c r="AV76" i="1"/>
  <c r="AU76" i="1"/>
  <c r="AP76" i="1"/>
  <c r="AN76" i="1"/>
  <c r="AO76" i="1" s="1"/>
  <c r="AM76" i="1"/>
  <c r="AK76" i="1"/>
  <c r="AJ76" i="1"/>
  <c r="AI76" i="1"/>
  <c r="AH76" i="1"/>
  <c r="AG76" i="1"/>
  <c r="AL76" i="1" s="1"/>
  <c r="AE76" i="1"/>
  <c r="AB76" i="1"/>
  <c r="AA76" i="1"/>
  <c r="AU75" i="1"/>
  <c r="AV75" i="1" s="1"/>
  <c r="AP75" i="1"/>
  <c r="AN75" i="1"/>
  <c r="AM75" i="1"/>
  <c r="AK75" i="1"/>
  <c r="AJ75" i="1"/>
  <c r="AI75" i="1"/>
  <c r="AH75" i="1"/>
  <c r="AG75" i="1"/>
  <c r="AL75" i="1" s="1"/>
  <c r="AE75" i="1"/>
  <c r="AB75" i="1"/>
  <c r="AA75" i="1"/>
  <c r="AV74" i="1"/>
  <c r="AU74" i="1"/>
  <c r="AP74" i="1"/>
  <c r="AN74" i="1"/>
  <c r="AM74" i="1"/>
  <c r="AL74" i="1"/>
  <c r="AK74" i="1"/>
  <c r="AJ74" i="1"/>
  <c r="AI74" i="1"/>
  <c r="AH74" i="1"/>
  <c r="AG74" i="1"/>
  <c r="AE74" i="1"/>
  <c r="AA74" i="1"/>
  <c r="AB74" i="1" s="1"/>
  <c r="AV73" i="1"/>
  <c r="AU73" i="1"/>
  <c r="AP73" i="1"/>
  <c r="AN73" i="1"/>
  <c r="AO73" i="1" s="1"/>
  <c r="AM73" i="1"/>
  <c r="AK73" i="1"/>
  <c r="AJ73" i="1"/>
  <c r="AI73" i="1"/>
  <c r="AH73" i="1"/>
  <c r="AG73" i="1"/>
  <c r="AL73" i="1" s="1"/>
  <c r="AE73" i="1"/>
  <c r="AB73" i="1"/>
  <c r="AA73" i="1"/>
  <c r="AV72" i="1"/>
  <c r="AU72" i="1"/>
  <c r="AP72" i="1"/>
  <c r="AN72" i="1"/>
  <c r="AM72" i="1"/>
  <c r="AK72" i="1"/>
  <c r="AJ72" i="1"/>
  <c r="AI72" i="1"/>
  <c r="AH72" i="1"/>
  <c r="AG72" i="1"/>
  <c r="AL72" i="1" s="1"/>
  <c r="AE72" i="1"/>
  <c r="AB72" i="1"/>
  <c r="AA72" i="1"/>
  <c r="AU71" i="1"/>
  <c r="AV71" i="1" s="1"/>
  <c r="AP71" i="1"/>
  <c r="AN71" i="1"/>
  <c r="AM71" i="1"/>
  <c r="AL71" i="1"/>
  <c r="AK71" i="1"/>
  <c r="AJ71" i="1"/>
  <c r="AI71" i="1"/>
  <c r="AH71" i="1"/>
  <c r="AG71" i="1"/>
  <c r="AE71" i="1"/>
  <c r="AB71" i="1"/>
  <c r="AA71" i="1"/>
  <c r="AV70" i="1"/>
  <c r="AU70" i="1"/>
  <c r="AP70" i="1"/>
  <c r="AN70" i="1"/>
  <c r="AM70" i="1"/>
  <c r="AK70" i="1"/>
  <c r="AJ70" i="1"/>
  <c r="AI70" i="1"/>
  <c r="AH70" i="1"/>
  <c r="AG70" i="1"/>
  <c r="AL70" i="1" s="1"/>
  <c r="AE70" i="1"/>
  <c r="AA70" i="1"/>
  <c r="AB70" i="1" s="1"/>
  <c r="AV69" i="1"/>
  <c r="AU69" i="1"/>
  <c r="AP69" i="1"/>
  <c r="AN69" i="1"/>
  <c r="AO69" i="1" s="1"/>
  <c r="AM69" i="1"/>
  <c r="AK69" i="1"/>
  <c r="AJ69" i="1"/>
  <c r="AI69" i="1"/>
  <c r="AH69" i="1"/>
  <c r="AG69" i="1"/>
  <c r="AL69" i="1" s="1"/>
  <c r="AE69" i="1"/>
  <c r="AB69" i="1"/>
  <c r="AA69" i="1"/>
  <c r="AV68" i="1"/>
  <c r="AU68" i="1"/>
  <c r="AP68" i="1"/>
  <c r="AN68" i="1"/>
  <c r="AM68" i="1"/>
  <c r="AK68" i="1"/>
  <c r="AJ68" i="1"/>
  <c r="AI68" i="1"/>
  <c r="AH68" i="1"/>
  <c r="AG68" i="1"/>
  <c r="AL68" i="1" s="1"/>
  <c r="AE68" i="1"/>
  <c r="AB68" i="1"/>
  <c r="AA68" i="1"/>
  <c r="AU67" i="1"/>
  <c r="AV67" i="1" s="1"/>
  <c r="AP67" i="1"/>
  <c r="AN67" i="1"/>
  <c r="AM67" i="1"/>
  <c r="AK67" i="1"/>
  <c r="AJ67" i="1"/>
  <c r="AI67" i="1"/>
  <c r="AH67" i="1"/>
  <c r="AG67" i="1"/>
  <c r="AL67" i="1" s="1"/>
  <c r="AE67" i="1"/>
  <c r="AB67" i="1"/>
  <c r="AA67" i="1"/>
  <c r="AV66" i="1"/>
  <c r="AU66" i="1"/>
  <c r="AP66" i="1"/>
  <c r="AN66" i="1"/>
  <c r="AO66" i="1" s="1"/>
  <c r="AM66" i="1"/>
  <c r="AK66" i="1"/>
  <c r="AJ66" i="1"/>
  <c r="AI66" i="1"/>
  <c r="AH66" i="1"/>
  <c r="AG66" i="1"/>
  <c r="AL66" i="1" s="1"/>
  <c r="AE66" i="1"/>
  <c r="AB66" i="1"/>
  <c r="AA66" i="1"/>
  <c r="AV65" i="1"/>
  <c r="AU65" i="1"/>
  <c r="AP65" i="1"/>
  <c r="AN65" i="1"/>
  <c r="AM65" i="1"/>
  <c r="AK65" i="1"/>
  <c r="AJ65" i="1"/>
  <c r="AI65" i="1"/>
  <c r="AH65" i="1"/>
  <c r="AG65" i="1"/>
  <c r="AL65" i="1" s="1"/>
  <c r="AE65" i="1"/>
  <c r="AB65" i="1"/>
  <c r="AA65" i="1"/>
  <c r="AU64" i="1"/>
  <c r="AV64" i="1" s="1"/>
  <c r="AP64" i="1"/>
  <c r="AN64" i="1"/>
  <c r="AM64" i="1"/>
  <c r="AK64" i="1"/>
  <c r="AJ64" i="1"/>
  <c r="AI64" i="1"/>
  <c r="AH64" i="1"/>
  <c r="AG64" i="1"/>
  <c r="AL64" i="1" s="1"/>
  <c r="AE64" i="1"/>
  <c r="AB64" i="1"/>
  <c r="AA64" i="1"/>
  <c r="AU63" i="1"/>
  <c r="AV63" i="1" s="1"/>
  <c r="AP63" i="1"/>
  <c r="AN63" i="1"/>
  <c r="AM63" i="1"/>
  <c r="AK63" i="1"/>
  <c r="AJ63" i="1"/>
  <c r="AI63" i="1"/>
  <c r="AH63" i="1"/>
  <c r="AG63" i="1"/>
  <c r="AL63" i="1" s="1"/>
  <c r="AE63" i="1"/>
  <c r="AB63" i="1"/>
  <c r="AA63" i="1"/>
  <c r="AV62" i="1"/>
  <c r="AU62" i="1"/>
  <c r="AP62" i="1"/>
  <c r="AN62" i="1"/>
  <c r="AM62" i="1"/>
  <c r="AO62" i="1" s="1"/>
  <c r="AK62" i="1"/>
  <c r="AJ62" i="1"/>
  <c r="AI62" i="1"/>
  <c r="AH62" i="1"/>
  <c r="AG62" i="1"/>
  <c r="AL62" i="1" s="1"/>
  <c r="AE62" i="1"/>
  <c r="AA62" i="1"/>
  <c r="AB62" i="1" s="1"/>
  <c r="AV61" i="1"/>
  <c r="AU61" i="1"/>
  <c r="AP61" i="1"/>
  <c r="AN61" i="1"/>
  <c r="AM61" i="1"/>
  <c r="AK61" i="1"/>
  <c r="AJ61" i="1"/>
  <c r="AI61" i="1"/>
  <c r="AH61" i="1"/>
  <c r="AG61" i="1"/>
  <c r="AL61" i="1" s="1"/>
  <c r="AE61" i="1"/>
  <c r="AB61" i="1"/>
  <c r="AA61" i="1"/>
  <c r="AU60" i="1"/>
  <c r="AV60" i="1" s="1"/>
  <c r="AP60" i="1"/>
  <c r="AN60" i="1"/>
  <c r="AM60" i="1"/>
  <c r="AK60" i="1"/>
  <c r="AJ60" i="1"/>
  <c r="AI60" i="1"/>
  <c r="AH60" i="1"/>
  <c r="AG60" i="1"/>
  <c r="AL60" i="1" s="1"/>
  <c r="AE60" i="1"/>
  <c r="AB60" i="1"/>
  <c r="AA60" i="1"/>
  <c r="AU59" i="1"/>
  <c r="AV59" i="1" s="1"/>
  <c r="AP59" i="1"/>
  <c r="AN59" i="1"/>
  <c r="AM59" i="1"/>
  <c r="AK59" i="1"/>
  <c r="AJ59" i="1"/>
  <c r="AI59" i="1"/>
  <c r="AH59" i="1"/>
  <c r="AG59" i="1"/>
  <c r="AL59" i="1" s="1"/>
  <c r="AE59" i="1"/>
  <c r="AA59" i="1"/>
  <c r="AB59" i="1" s="1"/>
  <c r="AV58" i="1"/>
  <c r="AU58" i="1"/>
  <c r="AP58" i="1"/>
  <c r="AN58" i="1"/>
  <c r="AO58" i="1" s="1"/>
  <c r="AM58" i="1"/>
  <c r="AK58" i="1"/>
  <c r="AJ58" i="1"/>
  <c r="AI58" i="1"/>
  <c r="AH58" i="1"/>
  <c r="AG58" i="1"/>
  <c r="AL58" i="1" s="1"/>
  <c r="AE58" i="1"/>
  <c r="AA58" i="1"/>
  <c r="AB58" i="1" s="1"/>
  <c r="AV57" i="1"/>
  <c r="AU57" i="1"/>
  <c r="AP57" i="1"/>
  <c r="AN57" i="1"/>
  <c r="AM57" i="1"/>
  <c r="AK57" i="1"/>
  <c r="AJ57" i="1"/>
  <c r="AI57" i="1"/>
  <c r="AH57" i="1"/>
  <c r="AG57" i="1"/>
  <c r="AL57" i="1" s="1"/>
  <c r="AE57" i="1"/>
  <c r="AB57" i="1"/>
  <c r="AA57" i="1"/>
  <c r="AU56" i="1"/>
  <c r="AV56" i="1" s="1"/>
  <c r="AP56" i="1"/>
  <c r="AN56" i="1"/>
  <c r="AM56" i="1"/>
  <c r="AL56" i="1"/>
  <c r="AK56" i="1"/>
  <c r="AJ56" i="1"/>
  <c r="AI56" i="1"/>
  <c r="AH56" i="1"/>
  <c r="AG56" i="1"/>
  <c r="AE56" i="1"/>
  <c r="AB56" i="1"/>
  <c r="AA56" i="1"/>
  <c r="AU55" i="1"/>
  <c r="AV55" i="1" s="1"/>
  <c r="AP55" i="1"/>
  <c r="AN55" i="1"/>
  <c r="AM55" i="1"/>
  <c r="AO55" i="1" s="1"/>
  <c r="AK55" i="1"/>
  <c r="AJ55" i="1"/>
  <c r="AI55" i="1"/>
  <c r="AH55" i="1"/>
  <c r="AG55" i="1"/>
  <c r="AL55" i="1" s="1"/>
  <c r="AE55" i="1"/>
  <c r="AA55" i="1"/>
  <c r="AB55" i="1" s="1"/>
  <c r="AV54" i="1"/>
  <c r="AU54" i="1"/>
  <c r="AP54" i="1"/>
  <c r="AO54" i="1"/>
  <c r="AN54" i="1"/>
  <c r="AM54" i="1"/>
  <c r="AK54" i="1"/>
  <c r="AJ54" i="1"/>
  <c r="AI54" i="1"/>
  <c r="AH54" i="1"/>
  <c r="AG54" i="1"/>
  <c r="AL54" i="1" s="1"/>
  <c r="AE54" i="1"/>
  <c r="AA54" i="1"/>
  <c r="AB54" i="1" s="1"/>
  <c r="AV53" i="1"/>
  <c r="AU53" i="1"/>
  <c r="AP53" i="1"/>
  <c r="AN53" i="1"/>
  <c r="AO53" i="1" s="1"/>
  <c r="AM53" i="1"/>
  <c r="AK53" i="1"/>
  <c r="AJ53" i="1"/>
  <c r="AI53" i="1"/>
  <c r="AH53" i="1"/>
  <c r="AG53" i="1"/>
  <c r="AL53" i="1" s="1"/>
  <c r="AE53" i="1"/>
  <c r="AB53" i="1"/>
  <c r="AA53" i="1"/>
  <c r="AU52" i="1"/>
  <c r="AV52" i="1" s="1"/>
  <c r="AP52" i="1"/>
  <c r="AN52" i="1"/>
  <c r="AO52" i="1" s="1"/>
  <c r="AM52" i="1"/>
  <c r="AK52" i="1"/>
  <c r="AJ52" i="1"/>
  <c r="AI52" i="1"/>
  <c r="AH52" i="1"/>
  <c r="AG52" i="1"/>
  <c r="AL52" i="1" s="1"/>
  <c r="AE52" i="1"/>
  <c r="AB52" i="1"/>
  <c r="AA52" i="1"/>
  <c r="AU51" i="1"/>
  <c r="AV51" i="1" s="1"/>
  <c r="AP51" i="1"/>
  <c r="AN51" i="1"/>
  <c r="AM51" i="1"/>
  <c r="AK51" i="1"/>
  <c r="AJ51" i="1"/>
  <c r="AI51" i="1"/>
  <c r="AH51" i="1"/>
  <c r="AG51" i="1"/>
  <c r="AL51" i="1" s="1"/>
  <c r="AE51" i="1"/>
  <c r="AA51" i="1"/>
  <c r="AB51" i="1" s="1"/>
  <c r="AV50" i="1"/>
  <c r="AU50" i="1"/>
  <c r="AP50" i="1"/>
  <c r="AN50" i="1"/>
  <c r="AM50" i="1"/>
  <c r="AK50" i="1"/>
  <c r="AJ50" i="1"/>
  <c r="AI50" i="1"/>
  <c r="AH50" i="1"/>
  <c r="AG50" i="1"/>
  <c r="AL50" i="1" s="1"/>
  <c r="AE50" i="1"/>
  <c r="AA50" i="1"/>
  <c r="AB50" i="1" s="1"/>
  <c r="AV49" i="1"/>
  <c r="AU49" i="1"/>
  <c r="AP49" i="1"/>
  <c r="AN49" i="1"/>
  <c r="AM49" i="1"/>
  <c r="AK49" i="1"/>
  <c r="AJ49" i="1"/>
  <c r="AI49" i="1"/>
  <c r="AH49" i="1"/>
  <c r="AG49" i="1"/>
  <c r="AL49" i="1" s="1"/>
  <c r="AE49" i="1"/>
  <c r="AB49" i="1"/>
  <c r="AA49" i="1"/>
  <c r="AU48" i="1"/>
  <c r="AV48" i="1" s="1"/>
  <c r="AP48" i="1"/>
  <c r="AN48" i="1"/>
  <c r="AM48" i="1"/>
  <c r="AL48" i="1"/>
  <c r="AK48" i="1"/>
  <c r="AJ48" i="1"/>
  <c r="AI48" i="1"/>
  <c r="AH48" i="1"/>
  <c r="AG48" i="1"/>
  <c r="AE48" i="1"/>
  <c r="AB48" i="1"/>
  <c r="AA48" i="1"/>
  <c r="AU47" i="1"/>
  <c r="AV47" i="1" s="1"/>
  <c r="AP47" i="1"/>
  <c r="AN47" i="1"/>
  <c r="AM47" i="1"/>
  <c r="AK47" i="1"/>
  <c r="AJ47" i="1"/>
  <c r="AI47" i="1"/>
  <c r="AH47" i="1"/>
  <c r="AG47" i="1"/>
  <c r="AL47" i="1" s="1"/>
  <c r="AE47" i="1"/>
  <c r="AA47" i="1"/>
  <c r="AB47" i="1" s="1"/>
  <c r="AV46" i="1"/>
  <c r="AU46" i="1"/>
  <c r="AP46" i="1"/>
  <c r="AN46" i="1"/>
  <c r="AM46" i="1"/>
  <c r="AO46" i="1" s="1"/>
  <c r="AK46" i="1"/>
  <c r="AJ46" i="1"/>
  <c r="AI46" i="1"/>
  <c r="AH46" i="1"/>
  <c r="AG46" i="1"/>
  <c r="AL46" i="1" s="1"/>
  <c r="AE46" i="1"/>
  <c r="AB46" i="1"/>
  <c r="AA46" i="1"/>
  <c r="AV45" i="1"/>
  <c r="AU45" i="1"/>
  <c r="AP45" i="1"/>
  <c r="AN45" i="1"/>
  <c r="AO45" i="1" s="1"/>
  <c r="AM45" i="1"/>
  <c r="AK45" i="1"/>
  <c r="AJ45" i="1"/>
  <c r="AI45" i="1"/>
  <c r="AH45" i="1"/>
  <c r="AG45" i="1"/>
  <c r="AL45" i="1" s="1"/>
  <c r="AE45" i="1"/>
  <c r="AB45" i="1"/>
  <c r="AA45" i="1"/>
  <c r="AU44" i="1"/>
  <c r="AV44" i="1" s="1"/>
  <c r="AP44" i="1"/>
  <c r="AN44" i="1"/>
  <c r="AO44" i="1" s="1"/>
  <c r="AM44" i="1"/>
  <c r="AK44" i="1"/>
  <c r="AJ44" i="1"/>
  <c r="AI44" i="1"/>
  <c r="AH44" i="1"/>
  <c r="AG44" i="1"/>
  <c r="AL44" i="1" s="1"/>
  <c r="AE44" i="1"/>
  <c r="AB44" i="1"/>
  <c r="AA44" i="1"/>
  <c r="AU43" i="1"/>
  <c r="AV43" i="1" s="1"/>
  <c r="AP43" i="1"/>
  <c r="AN43" i="1"/>
  <c r="AM43" i="1"/>
  <c r="AK43" i="1"/>
  <c r="AJ43" i="1"/>
  <c r="AI43" i="1"/>
  <c r="AH43" i="1"/>
  <c r="AG43" i="1"/>
  <c r="AL43" i="1" s="1"/>
  <c r="AE43" i="1"/>
  <c r="AA43" i="1"/>
  <c r="AB43" i="1" s="1"/>
  <c r="AV42" i="1"/>
  <c r="AU42" i="1"/>
  <c r="AP42" i="1"/>
  <c r="AN42" i="1"/>
  <c r="AM42" i="1"/>
  <c r="AO42" i="1" s="1"/>
  <c r="AK42" i="1"/>
  <c r="AJ42" i="1"/>
  <c r="AI42" i="1"/>
  <c r="AH42" i="1"/>
  <c r="AG42" i="1"/>
  <c r="AL42" i="1" s="1"/>
  <c r="AE42" i="1"/>
  <c r="AA42" i="1"/>
  <c r="AB42" i="1" s="1"/>
  <c r="AV41" i="1"/>
  <c r="AU41" i="1"/>
  <c r="AP41" i="1"/>
  <c r="AN41" i="1"/>
  <c r="AM41" i="1"/>
  <c r="AK41" i="1"/>
  <c r="AJ41" i="1"/>
  <c r="AI41" i="1"/>
  <c r="AH41" i="1"/>
  <c r="AG41" i="1"/>
  <c r="AL41" i="1" s="1"/>
  <c r="AE41" i="1"/>
  <c r="AB41" i="1"/>
  <c r="AA41" i="1"/>
  <c r="AU40" i="1"/>
  <c r="AV40" i="1" s="1"/>
  <c r="AP40" i="1"/>
  <c r="AN40" i="1"/>
  <c r="AM40" i="1"/>
  <c r="AK40" i="1"/>
  <c r="AJ40" i="1"/>
  <c r="AI40" i="1"/>
  <c r="AH40" i="1"/>
  <c r="AG40" i="1"/>
  <c r="AL40" i="1" s="1"/>
  <c r="AE40" i="1"/>
  <c r="AB40" i="1"/>
  <c r="AA40" i="1"/>
  <c r="AU39" i="1"/>
  <c r="AV39" i="1" s="1"/>
  <c r="AP39" i="1"/>
  <c r="AN39" i="1"/>
  <c r="AM39" i="1"/>
  <c r="AL39" i="1"/>
  <c r="AK39" i="1"/>
  <c r="AJ39" i="1"/>
  <c r="AI39" i="1"/>
  <c r="AH39" i="1"/>
  <c r="AG39" i="1"/>
  <c r="AE39" i="1"/>
  <c r="AA39" i="1"/>
  <c r="AB39" i="1" s="1"/>
  <c r="AV38" i="1"/>
  <c r="AU38" i="1"/>
  <c r="AP38" i="1"/>
  <c r="AN38" i="1"/>
  <c r="AO38" i="1" s="1"/>
  <c r="AM38" i="1"/>
  <c r="AK38" i="1"/>
  <c r="AJ38" i="1"/>
  <c r="AI38" i="1"/>
  <c r="AH38" i="1"/>
  <c r="AG38" i="1"/>
  <c r="AL38" i="1" s="1"/>
  <c r="AE38" i="1"/>
  <c r="AA38" i="1"/>
  <c r="AB38" i="1" s="1"/>
  <c r="AV37" i="1"/>
  <c r="AU37" i="1"/>
  <c r="AP37" i="1"/>
  <c r="AN37" i="1"/>
  <c r="AO37" i="1" s="1"/>
  <c r="AM37" i="1"/>
  <c r="AK37" i="1"/>
  <c r="AJ37" i="1"/>
  <c r="AI37" i="1"/>
  <c r="AH37" i="1"/>
  <c r="AG37" i="1"/>
  <c r="AL37" i="1" s="1"/>
  <c r="AE37" i="1"/>
  <c r="AB37" i="1"/>
  <c r="AA37" i="1"/>
  <c r="AU36" i="1"/>
  <c r="AV36" i="1" s="1"/>
  <c r="AP36" i="1"/>
  <c r="AN36" i="1"/>
  <c r="AO36" i="1" s="1"/>
  <c r="AM36" i="1"/>
  <c r="AK36" i="1"/>
  <c r="AJ36" i="1"/>
  <c r="AI36" i="1"/>
  <c r="AH36" i="1"/>
  <c r="AG36" i="1"/>
  <c r="AL36" i="1" s="1"/>
  <c r="AE36" i="1"/>
  <c r="AB36" i="1"/>
  <c r="AA36" i="1"/>
  <c r="AU35" i="1"/>
  <c r="AV35" i="1" s="1"/>
  <c r="AP35" i="1"/>
  <c r="AN35" i="1"/>
  <c r="AM35" i="1"/>
  <c r="AO35" i="1" s="1"/>
  <c r="AK35" i="1"/>
  <c r="AJ35" i="1"/>
  <c r="AI35" i="1"/>
  <c r="AH35" i="1"/>
  <c r="AG35" i="1"/>
  <c r="AL35" i="1" s="1"/>
  <c r="AE35" i="1"/>
  <c r="AB35" i="1"/>
  <c r="AA35" i="1"/>
  <c r="AV34" i="1"/>
  <c r="AU34" i="1"/>
  <c r="AP34" i="1"/>
  <c r="AN34" i="1"/>
  <c r="AO34" i="1" s="1"/>
  <c r="AM34" i="1"/>
  <c r="AK34" i="1"/>
  <c r="AJ34" i="1"/>
  <c r="AI34" i="1"/>
  <c r="AH34" i="1"/>
  <c r="AG34" i="1"/>
  <c r="AL34" i="1" s="1"/>
  <c r="AE34" i="1"/>
  <c r="AA34" i="1"/>
  <c r="AB34" i="1" s="1"/>
  <c r="AV33" i="1"/>
  <c r="AU33" i="1"/>
  <c r="AP33" i="1"/>
  <c r="AN33" i="1"/>
  <c r="AO33" i="1" s="1"/>
  <c r="AM33" i="1"/>
  <c r="AK33" i="1"/>
  <c r="AJ33" i="1"/>
  <c r="AI33" i="1"/>
  <c r="AH33" i="1"/>
  <c r="AG33" i="1"/>
  <c r="AL33" i="1" s="1"/>
  <c r="AE33" i="1"/>
  <c r="AB33" i="1"/>
  <c r="AA33" i="1"/>
  <c r="AU32" i="1"/>
  <c r="AV32" i="1" s="1"/>
  <c r="AP32" i="1"/>
  <c r="AN32" i="1"/>
  <c r="AO32" i="1" s="1"/>
  <c r="AM32" i="1"/>
  <c r="AK32" i="1"/>
  <c r="AJ32" i="1"/>
  <c r="AI32" i="1"/>
  <c r="AH32" i="1"/>
  <c r="AG32" i="1"/>
  <c r="AL32" i="1" s="1"/>
  <c r="AE32" i="1"/>
  <c r="AB32" i="1"/>
  <c r="AA32" i="1"/>
  <c r="AU31" i="1"/>
  <c r="AV31" i="1" s="1"/>
  <c r="AP31" i="1"/>
  <c r="AN31" i="1"/>
  <c r="AM31" i="1"/>
  <c r="AO31" i="1" s="1"/>
  <c r="AK31" i="1"/>
  <c r="AJ31" i="1"/>
  <c r="AI31" i="1"/>
  <c r="AH31" i="1"/>
  <c r="AG31" i="1"/>
  <c r="AL31" i="1" s="1"/>
  <c r="AE31" i="1"/>
  <c r="AA31" i="1"/>
  <c r="AB31" i="1" s="1"/>
  <c r="AV30" i="1"/>
  <c r="AU30" i="1"/>
  <c r="AP30" i="1"/>
  <c r="AN30" i="1"/>
  <c r="AO30" i="1" s="1"/>
  <c r="AM30" i="1"/>
  <c r="AK30" i="1"/>
  <c r="AJ30" i="1"/>
  <c r="AI30" i="1"/>
  <c r="AH30" i="1"/>
  <c r="AG30" i="1"/>
  <c r="AL30" i="1" s="1"/>
  <c r="AE30" i="1"/>
  <c r="AA30" i="1"/>
  <c r="AB30" i="1" s="1"/>
  <c r="AV29" i="1"/>
  <c r="AU29" i="1"/>
  <c r="AP29" i="1"/>
  <c r="AN29" i="1"/>
  <c r="AM29" i="1"/>
  <c r="AK29" i="1"/>
  <c r="AJ29" i="1"/>
  <c r="AI29" i="1"/>
  <c r="AH29" i="1"/>
  <c r="AG29" i="1"/>
  <c r="AL29" i="1" s="1"/>
  <c r="AE29" i="1"/>
  <c r="AB29" i="1"/>
  <c r="AA29" i="1"/>
  <c r="AU28" i="1"/>
  <c r="AV28" i="1" s="1"/>
  <c r="AP28" i="1"/>
  <c r="AN28" i="1"/>
  <c r="AM28" i="1"/>
  <c r="AK28" i="1"/>
  <c r="AJ28" i="1"/>
  <c r="AI28" i="1"/>
  <c r="AH28" i="1"/>
  <c r="AG28" i="1"/>
  <c r="AL28" i="1" s="1"/>
  <c r="AE28" i="1"/>
  <c r="AB28" i="1"/>
  <c r="AA28" i="1"/>
  <c r="AU27" i="1"/>
  <c r="AV27" i="1" s="1"/>
  <c r="AP27" i="1"/>
  <c r="AN27" i="1"/>
  <c r="AM27" i="1"/>
  <c r="AK27" i="1"/>
  <c r="AJ27" i="1"/>
  <c r="AI27" i="1"/>
  <c r="AH27" i="1"/>
  <c r="AG27" i="1"/>
  <c r="AL27" i="1" s="1"/>
  <c r="AE27" i="1"/>
  <c r="AB27" i="1"/>
  <c r="AA27" i="1"/>
  <c r="AV26" i="1"/>
  <c r="AU26" i="1"/>
  <c r="AP26" i="1"/>
  <c r="AN26" i="1"/>
  <c r="AO26" i="1" s="1"/>
  <c r="AM26" i="1"/>
  <c r="AK26" i="1"/>
  <c r="AJ26" i="1"/>
  <c r="AI26" i="1"/>
  <c r="AH26" i="1"/>
  <c r="AG26" i="1"/>
  <c r="AL26" i="1" s="1"/>
  <c r="AE26" i="1"/>
  <c r="AB26" i="1"/>
  <c r="AA26" i="1"/>
  <c r="AV25" i="1"/>
  <c r="AU25" i="1"/>
  <c r="AP25" i="1"/>
  <c r="AN25" i="1"/>
  <c r="AM25" i="1"/>
  <c r="AK25" i="1"/>
  <c r="AJ25" i="1"/>
  <c r="AI25" i="1"/>
  <c r="AH25" i="1"/>
  <c r="AG25" i="1"/>
  <c r="AL25" i="1" s="1"/>
  <c r="AE25" i="1"/>
  <c r="AB25" i="1"/>
  <c r="AA25" i="1"/>
  <c r="AU24" i="1"/>
  <c r="AV24" i="1" s="1"/>
  <c r="AP24" i="1"/>
  <c r="AN24" i="1"/>
  <c r="AM24" i="1"/>
  <c r="AK24" i="1"/>
  <c r="AJ24" i="1"/>
  <c r="AI24" i="1"/>
  <c r="AH24" i="1"/>
  <c r="AG24" i="1"/>
  <c r="AL24" i="1" s="1"/>
  <c r="AE24" i="1"/>
  <c r="AB24" i="1"/>
  <c r="AA24" i="1"/>
  <c r="AU23" i="1"/>
  <c r="AV23" i="1" s="1"/>
  <c r="AP23" i="1"/>
  <c r="AN23" i="1"/>
  <c r="AM23" i="1"/>
  <c r="AK23" i="1"/>
  <c r="AJ23" i="1"/>
  <c r="AI23" i="1"/>
  <c r="AH23" i="1"/>
  <c r="AG23" i="1"/>
  <c r="AL23" i="1" s="1"/>
  <c r="AE23" i="1"/>
  <c r="AB23" i="1"/>
  <c r="AA23" i="1"/>
  <c r="AV22" i="1"/>
  <c r="AU22" i="1"/>
  <c r="AP22" i="1"/>
  <c r="AN22" i="1"/>
  <c r="AO22" i="1" s="1"/>
  <c r="AM22" i="1"/>
  <c r="AK22" i="1"/>
  <c r="AJ22" i="1"/>
  <c r="AI22" i="1"/>
  <c r="AH22" i="1"/>
  <c r="AG22" i="1"/>
  <c r="AL22" i="1" s="1"/>
  <c r="AE22" i="1"/>
  <c r="AB22" i="1"/>
  <c r="AA22" i="1"/>
  <c r="AV21" i="1"/>
  <c r="AU21" i="1"/>
  <c r="AP21" i="1"/>
  <c r="AN21" i="1"/>
  <c r="AM21" i="1"/>
  <c r="AK21" i="1"/>
  <c r="AJ21" i="1"/>
  <c r="AI21" i="1"/>
  <c r="AH21" i="1"/>
  <c r="AG21" i="1"/>
  <c r="AL21" i="1" s="1"/>
  <c r="AE21" i="1"/>
  <c r="AB21" i="1"/>
  <c r="AA21" i="1"/>
  <c r="AU20" i="1"/>
  <c r="AV20" i="1" s="1"/>
  <c r="AP20" i="1"/>
  <c r="AN20" i="1"/>
  <c r="AM20" i="1"/>
  <c r="AK20" i="1"/>
  <c r="AJ20" i="1"/>
  <c r="AI20" i="1"/>
  <c r="AH20" i="1"/>
  <c r="AG20" i="1"/>
  <c r="AL20" i="1" s="1"/>
  <c r="AE20" i="1"/>
  <c r="AB20" i="1"/>
  <c r="AA20" i="1"/>
  <c r="AU19" i="1"/>
  <c r="AV19" i="1" s="1"/>
  <c r="AP19" i="1"/>
  <c r="AN19" i="1"/>
  <c r="AM19" i="1"/>
  <c r="AL19" i="1"/>
  <c r="AK19" i="1"/>
  <c r="AJ19" i="1"/>
  <c r="AI19" i="1"/>
  <c r="AH19" i="1"/>
  <c r="AG19" i="1"/>
  <c r="AE19" i="1"/>
  <c r="AB19" i="1"/>
  <c r="AA19" i="1"/>
  <c r="AV18" i="1"/>
  <c r="AU18" i="1"/>
  <c r="AP18" i="1"/>
  <c r="AN18" i="1"/>
  <c r="AM18" i="1"/>
  <c r="AK18" i="1"/>
  <c r="AJ18" i="1"/>
  <c r="AI18" i="1"/>
  <c r="AH18" i="1"/>
  <c r="AG18" i="1"/>
  <c r="AL18" i="1" s="1"/>
  <c r="AE18" i="1"/>
  <c r="AB18" i="1"/>
  <c r="AA18" i="1"/>
  <c r="AV17" i="1"/>
  <c r="AU17" i="1"/>
  <c r="AP17" i="1"/>
  <c r="AN17" i="1"/>
  <c r="AO17" i="1" s="1"/>
  <c r="AM17" i="1"/>
  <c r="AK17" i="1"/>
  <c r="AJ17" i="1"/>
  <c r="AI17" i="1"/>
  <c r="AH17" i="1"/>
  <c r="AG17" i="1"/>
  <c r="AL17" i="1" s="1"/>
  <c r="AE17" i="1"/>
  <c r="AB17" i="1"/>
  <c r="AA17" i="1"/>
  <c r="AU16" i="1"/>
  <c r="AV16" i="1" s="1"/>
  <c r="AP16" i="1"/>
  <c r="AN16" i="1"/>
  <c r="AO16" i="1" s="1"/>
  <c r="AM16" i="1"/>
  <c r="AK16" i="1"/>
  <c r="AJ16" i="1"/>
  <c r="AI16" i="1"/>
  <c r="AH16" i="1"/>
  <c r="AG16" i="1"/>
  <c r="AL16" i="1" s="1"/>
  <c r="AE16" i="1"/>
  <c r="AB16" i="1"/>
  <c r="AA16" i="1"/>
  <c r="AU15" i="1"/>
  <c r="AV15" i="1" s="1"/>
  <c r="AP15" i="1"/>
  <c r="AN15" i="1"/>
  <c r="AM15" i="1"/>
  <c r="AO15" i="1" s="1"/>
  <c r="AK15" i="1"/>
  <c r="AJ15" i="1"/>
  <c r="AI15" i="1"/>
  <c r="AH15" i="1"/>
  <c r="AG15" i="1"/>
  <c r="AL15" i="1" s="1"/>
  <c r="AE15" i="1"/>
  <c r="AB15" i="1"/>
  <c r="AA15" i="1"/>
  <c r="AV14" i="1"/>
  <c r="AU14" i="1"/>
  <c r="AP14" i="1"/>
  <c r="AN14" i="1"/>
  <c r="AM14" i="1"/>
  <c r="AK14" i="1"/>
  <c r="AJ14" i="1"/>
  <c r="AI14" i="1"/>
  <c r="AH14" i="1"/>
  <c r="AG14" i="1"/>
  <c r="AL14" i="1" s="1"/>
  <c r="AE14" i="1"/>
  <c r="AB14" i="1"/>
  <c r="AA14" i="1"/>
  <c r="AV13" i="1"/>
  <c r="AU13" i="1"/>
  <c r="AP13" i="1"/>
  <c r="AN13" i="1"/>
  <c r="AM13" i="1"/>
  <c r="AK13" i="1"/>
  <c r="AJ13" i="1"/>
  <c r="AI13" i="1"/>
  <c r="AH13" i="1"/>
  <c r="AG13" i="1"/>
  <c r="AL13" i="1" s="1"/>
  <c r="AE13" i="1"/>
  <c r="AB13" i="1"/>
  <c r="AA13" i="1"/>
  <c r="AU12" i="1"/>
  <c r="AV12" i="1" s="1"/>
  <c r="AP12" i="1"/>
  <c r="AN12" i="1"/>
  <c r="AM12" i="1"/>
  <c r="AK12" i="1"/>
  <c r="AJ12" i="1"/>
  <c r="AI12" i="1"/>
  <c r="AH12" i="1"/>
  <c r="AG12" i="1"/>
  <c r="AL12" i="1" s="1"/>
  <c r="AE12" i="1"/>
  <c r="AB12" i="1"/>
  <c r="AA12" i="1"/>
  <c r="AU11" i="1"/>
  <c r="AV11" i="1" s="1"/>
  <c r="AP11" i="1"/>
  <c r="AN11" i="1"/>
  <c r="AM11" i="1"/>
  <c r="AK11" i="1"/>
  <c r="AJ11" i="1"/>
  <c r="AI11" i="1"/>
  <c r="AH11" i="1"/>
  <c r="AG11" i="1"/>
  <c r="AL11" i="1" s="1"/>
  <c r="AE11" i="1"/>
  <c r="AB11" i="1"/>
  <c r="AA11" i="1"/>
  <c r="AV10" i="1"/>
  <c r="AU10" i="1"/>
  <c r="AP10" i="1"/>
  <c r="AN10" i="1"/>
  <c r="AM10" i="1"/>
  <c r="AO10" i="1" s="1"/>
  <c r="AK10" i="1"/>
  <c r="AJ10" i="1"/>
  <c r="AI10" i="1"/>
  <c r="AH10" i="1"/>
  <c r="AG10" i="1"/>
  <c r="AL10" i="1" s="1"/>
  <c r="AE10" i="1"/>
  <c r="AB10" i="1"/>
  <c r="AA10" i="1"/>
  <c r="AV9" i="1"/>
  <c r="AU9" i="1"/>
  <c r="AP9" i="1"/>
  <c r="AN9" i="1"/>
  <c r="AM9" i="1"/>
  <c r="AK9" i="1"/>
  <c r="AJ9" i="1"/>
  <c r="AI9" i="1"/>
  <c r="AH9" i="1"/>
  <c r="AG9" i="1"/>
  <c r="AL9" i="1" s="1"/>
  <c r="AE9" i="1"/>
  <c r="AB9" i="1"/>
  <c r="AA9" i="1"/>
  <c r="AU8" i="1"/>
  <c r="AV8" i="1" s="1"/>
  <c r="AP8" i="1"/>
  <c r="AN8" i="1"/>
  <c r="AM8" i="1"/>
  <c r="AK8" i="1"/>
  <c r="AJ8" i="1"/>
  <c r="AI8" i="1"/>
  <c r="AH8" i="1"/>
  <c r="AG8" i="1"/>
  <c r="AL8" i="1" s="1"/>
  <c r="AE8" i="1"/>
  <c r="AB8" i="1"/>
  <c r="AA8" i="1"/>
  <c r="AU7" i="1"/>
  <c r="AV7" i="1" s="1"/>
  <c r="AP7" i="1"/>
  <c r="AN7" i="1"/>
  <c r="AM7" i="1"/>
  <c r="AK7" i="1"/>
  <c r="AJ7" i="1"/>
  <c r="AI7" i="1"/>
  <c r="AH7" i="1"/>
  <c r="AG7" i="1"/>
  <c r="AL7" i="1" s="1"/>
  <c r="AE7" i="1"/>
  <c r="AB7" i="1"/>
  <c r="AA7" i="1"/>
  <c r="AV6" i="1"/>
  <c r="AU6" i="1"/>
  <c r="AP6" i="1"/>
  <c r="AN6" i="1"/>
  <c r="AO6" i="1" s="1"/>
  <c r="AM6" i="1"/>
  <c r="AK6" i="1"/>
  <c r="AJ6" i="1"/>
  <c r="AI6" i="1"/>
  <c r="AH6" i="1"/>
  <c r="AG6" i="1"/>
  <c r="AL6" i="1" s="1"/>
  <c r="AE6" i="1"/>
  <c r="AB6" i="1"/>
  <c r="AA6" i="1"/>
  <c r="AV5" i="1"/>
  <c r="AU5" i="1"/>
  <c r="AP5" i="1"/>
  <c r="AN5" i="1"/>
  <c r="AM5" i="1"/>
  <c r="AK5" i="1"/>
  <c r="AJ5" i="1"/>
  <c r="AI5" i="1"/>
  <c r="AH5" i="1"/>
  <c r="AG5" i="1"/>
  <c r="AL5" i="1" s="1"/>
  <c r="AE5" i="1"/>
  <c r="AB5" i="1"/>
  <c r="AA5" i="1"/>
  <c r="AU4" i="1"/>
  <c r="AV4" i="1" s="1"/>
  <c r="AP4" i="1"/>
  <c r="AN4" i="1"/>
  <c r="AM4" i="1"/>
  <c r="AK4" i="1"/>
  <c r="AJ4" i="1"/>
  <c r="AI4" i="1"/>
  <c r="AH4" i="1"/>
  <c r="AG4" i="1"/>
  <c r="AL4" i="1" s="1"/>
  <c r="AE4" i="1"/>
  <c r="AB4" i="1"/>
  <c r="AA4" i="1"/>
  <c r="AU3" i="1"/>
  <c r="AV3" i="1" s="1"/>
  <c r="AP3" i="1"/>
  <c r="AN3" i="1"/>
  <c r="AM3" i="1"/>
  <c r="AL3" i="1"/>
  <c r="AK3" i="1"/>
  <c r="AJ3" i="1"/>
  <c r="AI3" i="1"/>
  <c r="AH3" i="1"/>
  <c r="AG3" i="1"/>
  <c r="AE3" i="1"/>
  <c r="AB3" i="1"/>
  <c r="AA3" i="1"/>
  <c r="AU2" i="1"/>
  <c r="AT2" i="1" a="1"/>
  <c r="AT2" i="1" s="1"/>
  <c r="AP2" i="1"/>
  <c r="AN2" i="1"/>
  <c r="AO2" i="1" s="1"/>
  <c r="AM2" i="1"/>
  <c r="AK2" i="1"/>
  <c r="AJ2" i="1"/>
  <c r="AI2" i="1"/>
  <c r="AH2" i="1"/>
  <c r="AG2" i="1"/>
  <c r="AL2" i="1" s="1"/>
  <c r="AE2" i="1"/>
  <c r="AC2" i="1"/>
  <c r="AC817" i="1" s="1"/>
  <c r="AC2" i="1" a="1"/>
  <c r="AB2" i="1"/>
  <c r="AA2" i="1"/>
  <c r="AO24" i="1" l="1"/>
  <c r="AO29" i="1"/>
  <c r="AO68" i="1"/>
  <c r="AO81" i="1"/>
  <c r="AO181" i="1"/>
  <c r="AO243" i="1"/>
  <c r="AO246" i="1"/>
  <c r="AO366" i="1"/>
  <c r="AO367" i="1"/>
  <c r="AO368" i="1"/>
  <c r="AO432" i="1"/>
  <c r="AO472" i="1"/>
  <c r="AO480" i="1"/>
  <c r="AO109" i="1"/>
  <c r="AO182" i="1"/>
  <c r="AO200" i="1"/>
  <c r="AO206" i="1"/>
  <c r="AO48" i="1"/>
  <c r="AO49" i="1"/>
  <c r="AO50" i="1"/>
  <c r="AO56" i="1"/>
  <c r="AO57" i="1"/>
  <c r="AO74" i="1"/>
  <c r="AO84" i="1"/>
  <c r="AO87" i="1"/>
  <c r="AO96" i="1"/>
  <c r="AO97" i="1"/>
  <c r="AO111" i="1"/>
  <c r="AO112" i="1"/>
  <c r="AO123" i="1"/>
  <c r="AO124" i="1"/>
  <c r="AO162" i="1"/>
  <c r="AO163" i="1"/>
  <c r="AO164" i="1"/>
  <c r="AO165" i="1"/>
  <c r="AO178" i="1"/>
  <c r="AO217" i="1"/>
  <c r="AO230" i="1"/>
  <c r="AO261" i="1"/>
  <c r="AO277" i="1"/>
  <c r="AO285" i="1"/>
  <c r="AO333" i="1"/>
  <c r="AO338" i="1"/>
  <c r="AO339" i="1"/>
  <c r="AO353" i="1"/>
  <c r="AO426" i="1"/>
  <c r="AO427" i="1"/>
  <c r="AO556" i="1"/>
  <c r="AO8" i="1"/>
  <c r="AO9" i="1"/>
  <c r="AO14" i="1"/>
  <c r="AO25" i="1"/>
  <c r="AO28" i="1"/>
  <c r="AO114" i="1"/>
  <c r="AO122" i="1"/>
  <c r="AO183" i="1"/>
  <c r="AO7" i="1"/>
  <c r="AO18" i="1"/>
  <c r="AO23" i="1"/>
  <c r="AO67" i="1"/>
  <c r="AO70" i="1"/>
  <c r="AO94" i="1"/>
  <c r="AO205" i="1"/>
  <c r="AO213" i="1"/>
  <c r="AO249" i="1"/>
  <c r="AO255" i="1"/>
  <c r="AO265" i="1"/>
  <c r="AO297" i="1"/>
  <c r="AO313" i="1"/>
  <c r="AO419" i="1"/>
  <c r="AO420" i="1"/>
  <c r="AO453" i="1"/>
  <c r="AO466" i="1"/>
  <c r="AO467" i="1"/>
  <c r="AO468" i="1"/>
  <c r="AO476" i="1"/>
  <c r="AO536" i="1"/>
  <c r="AO674" i="1"/>
  <c r="AO693" i="1"/>
  <c r="AO702" i="1"/>
  <c r="AO749" i="1"/>
  <c r="AO750" i="1"/>
  <c r="AO751" i="1"/>
  <c r="AO802" i="1"/>
  <c r="AO816" i="1"/>
  <c r="AO444" i="1"/>
  <c r="AO458" i="1"/>
  <c r="AO459" i="1"/>
  <c r="AO482" i="1"/>
  <c r="AO483" i="1"/>
  <c r="AO484" i="1"/>
  <c r="AO583" i="1"/>
  <c r="AO584" i="1"/>
  <c r="AO634" i="1"/>
  <c r="AO635" i="1"/>
  <c r="AO665" i="1"/>
  <c r="AO694" i="1"/>
  <c r="AO713" i="1"/>
  <c r="AO722" i="1"/>
  <c r="AO735" i="1"/>
  <c r="AO736" i="1"/>
  <c r="AO774" i="1"/>
  <c r="AO775" i="1"/>
  <c r="AO790" i="1"/>
  <c r="AO812" i="1"/>
  <c r="AO129" i="1"/>
  <c r="AO143" i="1"/>
  <c r="AO144" i="1"/>
  <c r="AO145" i="1"/>
  <c r="AO150" i="1"/>
  <c r="AO153" i="1"/>
  <c r="AO157" i="1"/>
  <c r="AO160" i="1"/>
  <c r="AO171" i="1"/>
  <c r="AO172" i="1"/>
  <c r="AO180" i="1"/>
  <c r="AO188" i="1"/>
  <c r="AO203" i="1"/>
  <c r="AO208" i="1"/>
  <c r="AO209" i="1"/>
  <c r="AO214" i="1"/>
  <c r="AO215" i="1"/>
  <c r="AO232" i="1"/>
  <c r="AO233" i="1"/>
  <c r="AO259" i="1"/>
  <c r="AO294" i="1"/>
  <c r="AO295" i="1"/>
  <c r="AO304" i="1"/>
  <c r="AO305" i="1"/>
  <c r="AO310" i="1"/>
  <c r="AO311" i="1"/>
  <c r="AO318" i="1"/>
  <c r="AO319" i="1"/>
  <c r="AO320" i="1"/>
  <c r="AO321" i="1"/>
  <c r="AO345" i="1"/>
  <c r="AO357" i="1"/>
  <c r="AO372" i="1"/>
  <c r="AO377" i="1"/>
  <c r="AO398" i="1"/>
  <c r="AO399" i="1"/>
  <c r="AO406" i="1"/>
  <c r="AO407" i="1"/>
  <c r="AO408" i="1"/>
  <c r="AO409" i="1"/>
  <c r="AO424" i="1"/>
  <c r="AO434" i="1"/>
  <c r="AO435" i="1"/>
  <c r="AO449" i="1"/>
  <c r="AO502" i="1"/>
  <c r="AO503" i="1"/>
  <c r="AO526" i="1"/>
  <c r="AO527" i="1"/>
  <c r="AO540" i="1"/>
  <c r="AO574" i="1"/>
  <c r="AO682" i="1"/>
  <c r="AO698" i="1"/>
  <c r="AO707" i="1"/>
  <c r="AO744" i="1"/>
  <c r="AO755" i="1"/>
  <c r="AO756" i="1"/>
  <c r="AO767" i="1"/>
  <c r="AO778" i="1"/>
  <c r="AO779" i="1"/>
  <c r="AO784" i="1"/>
  <c r="AO785" i="1"/>
  <c r="AO795" i="1"/>
  <c r="AO807" i="1"/>
  <c r="AO515" i="1"/>
  <c r="AO516" i="1"/>
  <c r="AO528" i="1"/>
  <c r="AO554" i="1"/>
  <c r="AO555" i="1"/>
  <c r="AO564" i="1"/>
  <c r="AO566" i="1"/>
  <c r="AO567" i="1"/>
  <c r="AO568" i="1"/>
  <c r="AO598" i="1"/>
  <c r="AO623" i="1"/>
  <c r="AO624" i="1"/>
  <c r="AO625" i="1"/>
  <c r="AO630" i="1"/>
  <c r="AO631" i="1"/>
  <c r="AO641" i="1"/>
  <c r="AO648" i="1"/>
  <c r="AO667" i="1"/>
  <c r="AO669" i="1"/>
  <c r="AO677" i="1"/>
  <c r="AO685" i="1"/>
  <c r="AO699" i="1"/>
  <c r="AO703" i="1"/>
  <c r="AO709" i="1"/>
  <c r="AO719" i="1"/>
  <c r="AO720" i="1"/>
  <c r="AO723" i="1"/>
  <c r="AO745" i="1"/>
  <c r="AO746" i="1"/>
  <c r="AO747" i="1"/>
  <c r="AO765" i="1"/>
  <c r="AO771" i="1"/>
  <c r="AO786" i="1"/>
  <c r="AO793" i="1"/>
  <c r="AO798" i="1"/>
  <c r="AO808" i="1"/>
  <c r="AO809" i="1"/>
  <c r="AO440" i="1"/>
  <c r="AO460" i="1"/>
  <c r="AO461" i="1"/>
  <c r="AO477" i="1"/>
  <c r="AO485" i="1"/>
  <c r="AO498" i="1"/>
  <c r="AO499" i="1"/>
  <c r="AO518" i="1"/>
  <c r="AO519" i="1"/>
  <c r="AO544" i="1"/>
  <c r="AO557" i="1"/>
  <c r="AO570" i="1"/>
  <c r="AO571" i="1"/>
  <c r="AO606" i="1"/>
  <c r="AO614" i="1"/>
  <c r="AO622" i="1"/>
  <c r="AO627" i="1"/>
  <c r="AO637" i="1"/>
  <c r="AO695" i="1"/>
  <c r="AO696" i="1"/>
  <c r="AO705" i="1"/>
  <c r="AO715" i="1"/>
  <c r="AO716" i="1"/>
  <c r="AO724" i="1"/>
  <c r="AO769" i="1"/>
  <c r="AO773" i="1"/>
  <c r="AO777" i="1"/>
  <c r="AO782" i="1"/>
  <c r="AO789" i="1"/>
  <c r="AO805" i="1"/>
  <c r="AO92" i="1"/>
  <c r="AI817" i="1"/>
  <c r="AO4" i="1"/>
  <c r="AO5" i="1"/>
  <c r="AO11" i="1"/>
  <c r="AO20" i="1"/>
  <c r="AO21" i="1"/>
  <c r="AO27" i="1"/>
  <c r="AO40" i="1"/>
  <c r="AO41" i="1"/>
  <c r="AO51" i="1"/>
  <c r="AO60" i="1"/>
  <c r="AO61" i="1"/>
  <c r="AO64" i="1"/>
  <c r="AO65" i="1"/>
  <c r="AO72" i="1"/>
  <c r="AO79" i="1"/>
  <c r="AO88" i="1"/>
  <c r="AO95" i="1"/>
  <c r="AO98" i="1"/>
  <c r="AO103" i="1"/>
  <c r="AO104" i="1"/>
  <c r="AO127" i="1"/>
  <c r="AO128" i="1"/>
  <c r="AO131" i="1"/>
  <c r="AO132" i="1"/>
  <c r="AO133" i="1"/>
  <c r="AO147" i="1"/>
  <c r="AO148" i="1"/>
  <c r="AO149" i="1"/>
  <c r="AO155" i="1"/>
  <c r="AO158" i="1"/>
  <c r="AO159" i="1"/>
  <c r="AO173" i="1"/>
  <c r="AO174" i="1"/>
  <c r="AO179" i="1"/>
  <c r="AO184" i="1"/>
  <c r="AO185" i="1"/>
  <c r="AO186" i="1"/>
  <c r="AO187" i="1"/>
  <c r="AO43" i="1"/>
  <c r="AO47" i="1"/>
  <c r="AO75" i="1"/>
  <c r="AO91" i="1"/>
  <c r="AO3" i="1"/>
  <c r="AO12" i="1"/>
  <c r="AO13" i="1"/>
  <c r="AO19" i="1"/>
  <c r="AO39" i="1"/>
  <c r="AO59" i="1"/>
  <c r="AO63" i="1"/>
  <c r="AO71" i="1"/>
  <c r="AO99" i="1"/>
  <c r="AO100" i="1"/>
  <c r="AO105" i="1"/>
  <c r="AO115" i="1"/>
  <c r="AO116" i="1"/>
  <c r="AO119" i="1"/>
  <c r="AO120" i="1"/>
  <c r="AO139" i="1"/>
  <c r="AO140" i="1"/>
  <c r="AO151" i="1"/>
  <c r="AO156" i="1"/>
  <c r="AO167" i="1"/>
  <c r="AO168" i="1"/>
  <c r="AO169" i="1"/>
  <c r="AO170" i="1"/>
  <c r="AO177" i="1"/>
  <c r="AO385" i="1"/>
  <c r="AO402" i="1"/>
  <c r="AO403" i="1"/>
  <c r="AO417" i="1"/>
  <c r="AO425" i="1"/>
  <c r="AO438" i="1"/>
  <c r="AO439" i="1"/>
  <c r="AO456" i="1"/>
  <c r="AO464" i="1"/>
  <c r="AO202" i="1"/>
  <c r="AO210" i="1"/>
  <c r="AO218" i="1"/>
  <c r="AO222" i="1"/>
  <c r="AO236" i="1"/>
  <c r="AO237" i="1"/>
  <c r="AO242" i="1"/>
  <c r="AO252" i="1"/>
  <c r="AO253" i="1"/>
  <c r="AO258" i="1"/>
  <c r="AO262" i="1"/>
  <c r="AO266" i="1"/>
  <c r="AO267" i="1"/>
  <c r="AO270" i="1"/>
  <c r="AO271" i="1"/>
  <c r="AO272" i="1"/>
  <c r="AO278" i="1"/>
  <c r="AO279" i="1"/>
  <c r="AO280" i="1"/>
  <c r="AO284" i="1"/>
  <c r="AO290" i="1"/>
  <c r="AO298" i="1"/>
  <c r="AO299" i="1"/>
  <c r="AO302" i="1"/>
  <c r="AO303" i="1"/>
  <c r="AO308" i="1"/>
  <c r="AO312" i="1"/>
  <c r="AO316" i="1"/>
  <c r="AO326" i="1"/>
  <c r="AO327" i="1"/>
  <c r="AO332" i="1"/>
  <c r="AO342" i="1"/>
  <c r="AO343" i="1"/>
  <c r="AO405" i="1"/>
  <c r="AO429" i="1"/>
  <c r="AO441" i="1"/>
  <c r="AO524" i="1"/>
  <c r="AO548" i="1"/>
  <c r="AO193" i="1"/>
  <c r="AO194" i="1"/>
  <c r="AO195" i="1"/>
  <c r="AO220" i="1"/>
  <c r="AO221" i="1"/>
  <c r="AO224" i="1"/>
  <c r="AO225" i="1"/>
  <c r="AO228" i="1"/>
  <c r="AO229" i="1"/>
  <c r="AO234" i="1"/>
  <c r="AO244" i="1"/>
  <c r="AO245" i="1"/>
  <c r="AO250" i="1"/>
  <c r="AO263" i="1"/>
  <c r="AO264" i="1"/>
  <c r="AO274" i="1"/>
  <c r="AO275" i="1"/>
  <c r="AO276" i="1"/>
  <c r="AO286" i="1"/>
  <c r="AO287" i="1"/>
  <c r="AO288" i="1"/>
  <c r="AO291" i="1"/>
  <c r="AO296" i="1"/>
  <c r="AO334" i="1"/>
  <c r="AO335" i="1"/>
  <c r="AO340" i="1"/>
  <c r="AO346" i="1"/>
  <c r="AO347" i="1"/>
  <c r="AO350" i="1"/>
  <c r="AO351" i="1"/>
  <c r="AO354" i="1"/>
  <c r="AO355" i="1"/>
  <c r="AO356" i="1"/>
  <c r="AO362" i="1"/>
  <c r="AO363" i="1"/>
  <c r="AO370" i="1"/>
  <c r="AO371" i="1"/>
  <c r="AO380" i="1"/>
  <c r="AO381" i="1"/>
  <c r="AO422" i="1"/>
  <c r="AO423" i="1"/>
  <c r="AO442" i="1"/>
  <c r="AO443" i="1"/>
  <c r="AO490" i="1"/>
  <c r="AO491" i="1"/>
  <c r="AO506" i="1"/>
  <c r="AO507" i="1"/>
  <c r="AO510" i="1"/>
  <c r="AO511" i="1"/>
  <c r="AO530" i="1"/>
  <c r="AO531" i="1"/>
  <c r="AO546" i="1"/>
  <c r="AO547" i="1"/>
  <c r="AO562" i="1"/>
  <c r="AO563" i="1"/>
  <c r="AO579" i="1"/>
  <c r="AO580" i="1"/>
  <c r="AO581" i="1"/>
  <c r="AO587" i="1"/>
  <c r="AO588" i="1"/>
  <c r="AO593" i="1"/>
  <c r="AO597" i="1"/>
  <c r="AO619" i="1"/>
  <c r="AO620" i="1"/>
  <c r="AO626" i="1"/>
  <c r="AO628" i="1"/>
  <c r="AO632" i="1"/>
  <c r="AO636" i="1"/>
  <c r="AO640" i="1"/>
  <c r="AO644" i="1"/>
  <c r="AO654" i="1"/>
  <c r="AO655" i="1"/>
  <c r="AO658" i="1"/>
  <c r="AO661" i="1"/>
  <c r="AO675" i="1"/>
  <c r="AO683" i="1"/>
  <c r="AO689" i="1"/>
  <c r="AO414" i="1"/>
  <c r="AO415" i="1"/>
  <c r="AO421" i="1"/>
  <c r="AO430" i="1"/>
  <c r="AO431" i="1"/>
  <c r="AO437" i="1"/>
  <c r="AO446" i="1"/>
  <c r="AO447" i="1"/>
  <c r="AO470" i="1"/>
  <c r="AO471" i="1"/>
  <c r="AO474" i="1"/>
  <c r="AO475" i="1"/>
  <c r="AO486" i="1"/>
  <c r="AO487" i="1"/>
  <c r="AO493" i="1"/>
  <c r="AO501" i="1"/>
  <c r="AO513" i="1"/>
  <c r="AO517" i="1"/>
  <c r="AO521" i="1"/>
  <c r="AO525" i="1"/>
  <c r="AO534" i="1"/>
  <c r="AO535" i="1"/>
  <c r="AO538" i="1"/>
  <c r="AO539" i="1"/>
  <c r="AO542" i="1"/>
  <c r="AO543" i="1"/>
  <c r="AO549" i="1"/>
  <c r="AO558" i="1"/>
  <c r="AO559" i="1"/>
  <c r="AO565" i="1"/>
  <c r="AO575" i="1"/>
  <c r="AO576" i="1"/>
  <c r="AO577" i="1"/>
  <c r="AO591" i="1"/>
  <c r="AO592" i="1"/>
  <c r="AO595" i="1"/>
  <c r="AO596" i="1"/>
  <c r="AO599" i="1"/>
  <c r="AO600" i="1"/>
  <c r="AO601" i="1"/>
  <c r="AO605" i="1"/>
  <c r="AO609" i="1"/>
  <c r="AO613" i="1"/>
  <c r="AO489" i="1"/>
  <c r="AO505" i="1"/>
  <c r="AO509" i="1"/>
  <c r="AO529" i="1"/>
  <c r="AO545" i="1"/>
  <c r="AO561" i="1"/>
  <c r="AO664" i="1"/>
  <c r="AT817" i="1"/>
  <c r="AV2" i="1"/>
  <c r="AA817" i="1"/>
  <c r="AB817" i="1" s="1"/>
  <c r="AO152" i="1"/>
  <c r="AU817" i="1"/>
  <c r="AO107" i="1"/>
  <c r="AO108" i="1"/>
  <c r="AO135" i="1"/>
  <c r="AO136" i="1"/>
  <c r="AH817" i="1"/>
  <c r="AJ817" i="1" s="1"/>
  <c r="AL817" i="1"/>
  <c r="AO382" i="1"/>
  <c r="AO659" i="1"/>
  <c r="AO729" i="1"/>
  <c r="AO733" i="1"/>
  <c r="AO734" i="1"/>
  <c r="AO737" i="1"/>
  <c r="AO738" i="1"/>
  <c r="AO757" i="1"/>
  <c r="AO758" i="1"/>
  <c r="AO766" i="1"/>
  <c r="AO762" i="1"/>
  <c r="AO81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CAE452-4984-4BBA-BBCB-16FC05FFE2F4}" keepAlive="1" name="Consulta - archivo_prueba" description="Conexión a la consulta 'archivo_prueba' en el libro." type="5" refreshedVersion="0" background="1" saveData="1">
    <dbPr connection="Provider=Microsoft.Mashup.OleDb.1;Data Source=$Workbook$;Location=archivo_prueba;Extended Properties=&quot;&quot;" command="SELECT * FROM [archivo_prueba]"/>
  </connection>
</connections>
</file>

<file path=xl/sharedStrings.xml><?xml version="1.0" encoding="utf-8"?>
<sst xmlns="http://schemas.openxmlformats.org/spreadsheetml/2006/main" count="13762" uniqueCount="1599">
  <si>
    <t>Mes</t>
  </si>
  <si>
    <t>ID</t>
  </si>
  <si>
    <t>División</t>
  </si>
  <si>
    <t>Región</t>
  </si>
  <si>
    <t>CO</t>
  </si>
  <si>
    <t>Tipo Mtto</t>
  </si>
  <si>
    <t>Administracion</t>
  </si>
  <si>
    <t>SubClass</t>
  </si>
  <si>
    <t>Tipo Operación</t>
  </si>
  <si>
    <t>N° Documento</t>
  </si>
  <si>
    <t>Propietario</t>
  </si>
  <si>
    <t>Marca</t>
  </si>
  <si>
    <t>Linea</t>
  </si>
  <si>
    <t>Modelo</t>
  </si>
  <si>
    <t>Antigüedad</t>
  </si>
  <si>
    <t>Rango</t>
  </si>
  <si>
    <t>GPS</t>
  </si>
  <si>
    <t>Combustible</t>
  </si>
  <si>
    <t>Ult_Consumo</t>
  </si>
  <si>
    <t>gal Mes</t>
  </si>
  <si>
    <t>Dias Op</t>
  </si>
  <si>
    <t>% Operatividad</t>
  </si>
  <si>
    <t>Dias Gps</t>
  </si>
  <si>
    <t>Dias Ruta</t>
  </si>
  <si>
    <t>CheckList App</t>
  </si>
  <si>
    <t>CheckList Fisc</t>
  </si>
  <si>
    <t>Total Checklist</t>
  </si>
  <si>
    <t>% CheckList</t>
  </si>
  <si>
    <t>Ticket´s Abiertos</t>
  </si>
  <si>
    <t>Tipo Rutina</t>
  </si>
  <si>
    <t>N° Order Ant</t>
  </si>
  <si>
    <t>id_R</t>
  </si>
  <si>
    <t>Km Anterior</t>
  </si>
  <si>
    <t>Planeado</t>
  </si>
  <si>
    <t>Ejecutado</t>
  </si>
  <si>
    <t>N° Order Eje</t>
  </si>
  <si>
    <t>Km Ejecut</t>
  </si>
  <si>
    <t>Km Mtto</t>
  </si>
  <si>
    <t>Km Ini</t>
  </si>
  <si>
    <t>Km Fin</t>
  </si>
  <si>
    <t>Total Km</t>
  </si>
  <si>
    <t>Idriver</t>
  </si>
  <si>
    <t>Nombre Aliado</t>
  </si>
  <si>
    <t>034NAF</t>
  </si>
  <si>
    <t>CENTRO</t>
  </si>
  <si>
    <t>SIBERIA</t>
  </si>
  <si>
    <t>100% Mtto Preventivo Aliado / 100% Mtto Correctivo Iglp</t>
  </si>
  <si>
    <t>4.PROPIO ALIADO</t>
  </si>
  <si>
    <t>PROPIO ALIADO</t>
  </si>
  <si>
    <t>REPARTO</t>
  </si>
  <si>
    <t>UNIGAS COLOMBIA SA</t>
  </si>
  <si>
    <t>AYCO</t>
  </si>
  <si>
    <t>AY250ZH-2</t>
  </si>
  <si>
    <t>R2</t>
  </si>
  <si>
    <t>-</t>
  </si>
  <si>
    <t>Sin Rutina</t>
  </si>
  <si>
    <t>LUIS PARMENIO FARIAS RODRIGUEZ</t>
  </si>
  <si>
    <t>035NAF</t>
  </si>
  <si>
    <t>FLORENCIA</t>
  </si>
  <si>
    <t>037NAF</t>
  </si>
  <si>
    <t>VILLANUEVA</t>
  </si>
  <si>
    <t>038NAF</t>
  </si>
  <si>
    <t>039NAF</t>
  </si>
  <si>
    <t>PITALITO</t>
  </si>
  <si>
    <t>Mtto 100% Iglp</t>
  </si>
  <si>
    <t>6.PROPIO F. SERV</t>
  </si>
  <si>
    <t>PROPIO F. SERV</t>
  </si>
  <si>
    <t>040NAF</t>
  </si>
  <si>
    <t>041NAF</t>
  </si>
  <si>
    <t>FUSAGASUGA</t>
  </si>
  <si>
    <t>Rutina Secuencial</t>
  </si>
  <si>
    <t>042NAF</t>
  </si>
  <si>
    <t>043NAF</t>
  </si>
  <si>
    <t>044NAF</t>
  </si>
  <si>
    <t>045NAF</t>
  </si>
  <si>
    <t>056NAF</t>
  </si>
  <si>
    <t>Mtto 100% Aliado</t>
  </si>
  <si>
    <t>INVERSIONES GLP SAS</t>
  </si>
  <si>
    <t>AY250ZH-3</t>
  </si>
  <si>
    <t>520NAM</t>
  </si>
  <si>
    <t>521NAM</t>
  </si>
  <si>
    <t>522NAM</t>
  </si>
  <si>
    <t>524NAM</t>
  </si>
  <si>
    <t>525NAM</t>
  </si>
  <si>
    <t>526NAM</t>
  </si>
  <si>
    <t>CHIQUINQUIRA</t>
  </si>
  <si>
    <t>FLORELBA RUEDA</t>
  </si>
  <si>
    <t>527NAM</t>
  </si>
  <si>
    <t>529NAM</t>
  </si>
  <si>
    <t>5.ALIADO</t>
  </si>
  <si>
    <t>ALIADO</t>
  </si>
  <si>
    <t>530NAM</t>
  </si>
  <si>
    <t>DANILO MORALES TORO</t>
  </si>
  <si>
    <t>531NAM</t>
  </si>
  <si>
    <t>532NAM</t>
  </si>
  <si>
    <t>CIR94C</t>
  </si>
  <si>
    <t>SUZUKI</t>
  </si>
  <si>
    <t>GN 125</t>
  </si>
  <si>
    <t>CTN02C</t>
  </si>
  <si>
    <t>BAJAJ</t>
  </si>
  <si>
    <t>BOXER CARGO CT 100</t>
  </si>
  <si>
    <t>EQZ519</t>
  </si>
  <si>
    <t>BANCO DE BOGOTA</t>
  </si>
  <si>
    <t>CHEVROLET</t>
  </si>
  <si>
    <t>NHR</t>
  </si>
  <si>
    <t>R1</t>
  </si>
  <si>
    <t>EQZ533</t>
  </si>
  <si>
    <t>EQZ575</t>
  </si>
  <si>
    <t>EQZ668</t>
  </si>
  <si>
    <t>TRASLADOS</t>
  </si>
  <si>
    <t>FTR</t>
  </si>
  <si>
    <t>EQZ879</t>
  </si>
  <si>
    <t>EQZ880</t>
  </si>
  <si>
    <t>PUERTO ASIS</t>
  </si>
  <si>
    <t>EQZ881</t>
  </si>
  <si>
    <t>EQZ882</t>
  </si>
  <si>
    <t>EQZ883</t>
  </si>
  <si>
    <t>EQZ884</t>
  </si>
  <si>
    <t>EQZ885</t>
  </si>
  <si>
    <t>1.PROPIO</t>
  </si>
  <si>
    <t>PROPIO</t>
  </si>
  <si>
    <t>NKR</t>
  </si>
  <si>
    <t>EQZ886</t>
  </si>
  <si>
    <t>EQZ887</t>
  </si>
  <si>
    <t>ERK880</t>
  </si>
  <si>
    <t>ERK891</t>
  </si>
  <si>
    <t>ERK892</t>
  </si>
  <si>
    <t>PUERTO SALGAR</t>
  </si>
  <si>
    <t>3.TRAXALL</t>
  </si>
  <si>
    <t>PROPIO ALIADO - TRAXALL</t>
  </si>
  <si>
    <t>ERK895</t>
  </si>
  <si>
    <t>ERL622</t>
  </si>
  <si>
    <t>FVR</t>
  </si>
  <si>
    <t>ERL623</t>
  </si>
  <si>
    <t>FIP72C</t>
  </si>
  <si>
    <t>UNITED MOTORS</t>
  </si>
  <si>
    <t>MAX 125R</t>
  </si>
  <si>
    <t>FSU167</t>
  </si>
  <si>
    <t>ITAU CORPBANCA COLOMBIA SA</t>
  </si>
  <si>
    <t>FSU170</t>
  </si>
  <si>
    <t xml:space="preserve">SOATA   </t>
  </si>
  <si>
    <t>ALIADO - TRAXALL</t>
  </si>
  <si>
    <t>FSU172</t>
  </si>
  <si>
    <t>PROPIO - TRAXALL</t>
  </si>
  <si>
    <t>FSU198</t>
  </si>
  <si>
    <t>OSCAR FLOREZ</t>
  </si>
  <si>
    <t>FSU201</t>
  </si>
  <si>
    <t>PABLO PERSI</t>
  </si>
  <si>
    <t>FSU202</t>
  </si>
  <si>
    <t>ALVARO SANCHEZ</t>
  </si>
  <si>
    <t>FSU204</t>
  </si>
  <si>
    <t>GABRIEL QUINTERO</t>
  </si>
  <si>
    <t>FSU210</t>
  </si>
  <si>
    <t>NPR</t>
  </si>
  <si>
    <t>LEONARDO ALONSO</t>
  </si>
  <si>
    <t>FSU217</t>
  </si>
  <si>
    <t>FREDDY JAIMES</t>
  </si>
  <si>
    <t>FSU242</t>
  </si>
  <si>
    <t>FSU243</t>
  </si>
  <si>
    <t>JAVIER VASQUEZ</t>
  </si>
  <si>
    <t>FSU319</t>
  </si>
  <si>
    <t>JOHN BOHORQUEZ</t>
  </si>
  <si>
    <t>FSU321</t>
  </si>
  <si>
    <t>PEDRO GARZON</t>
  </si>
  <si>
    <t>FSU322</t>
  </si>
  <si>
    <t>FSU324</t>
  </si>
  <si>
    <t>OSCAR GOMEZ</t>
  </si>
  <si>
    <t>FSU331</t>
  </si>
  <si>
    <t>GUI82E</t>
  </si>
  <si>
    <t>BOXER CT 100</t>
  </si>
  <si>
    <t>GUI83E</t>
  </si>
  <si>
    <t>HHF98B</t>
  </si>
  <si>
    <t>AX 100</t>
  </si>
  <si>
    <t>R3</t>
  </si>
  <si>
    <t>HERNANDO ALBEIRO MORALES VIVAS</t>
  </si>
  <si>
    <t>HPB05D</t>
  </si>
  <si>
    <t>JKU117</t>
  </si>
  <si>
    <t>AUTOTANQUE</t>
  </si>
  <si>
    <t>JKU120</t>
  </si>
  <si>
    <t>JKU192</t>
  </si>
  <si>
    <t>JKV014</t>
  </si>
  <si>
    <t>JNR363</t>
  </si>
  <si>
    <t>2.RENTING</t>
  </si>
  <si>
    <t>PROPIO RENTING</t>
  </si>
  <si>
    <t>SERVICIO TECNICO</t>
  </si>
  <si>
    <t>EQUIRENT VEHICULOS Y MAQUINARIA SA</t>
  </si>
  <si>
    <t>NISSAN</t>
  </si>
  <si>
    <t>FRONTIER</t>
  </si>
  <si>
    <t>JNR368</t>
  </si>
  <si>
    <t>JTY600</t>
  </si>
  <si>
    <t>SEBASTIAN BARRIOS</t>
  </si>
  <si>
    <t>JTY602</t>
  </si>
  <si>
    <t>JESUS SIERRA</t>
  </si>
  <si>
    <t>JTY603</t>
  </si>
  <si>
    <t>JTY701</t>
  </si>
  <si>
    <t>CESAR GARCIA</t>
  </si>
  <si>
    <t>JTY834</t>
  </si>
  <si>
    <t>JOSE ZAMORANO</t>
  </si>
  <si>
    <t>JTY837</t>
  </si>
  <si>
    <t>PROPIO ALIADO - RENTING</t>
  </si>
  <si>
    <t>JTY841</t>
  </si>
  <si>
    <t>JTY842</t>
  </si>
  <si>
    <t>JTY844</t>
  </si>
  <si>
    <t>BACKUP</t>
  </si>
  <si>
    <t>JTY848</t>
  </si>
  <si>
    <t>JTY849</t>
  </si>
  <si>
    <t>JTY870</t>
  </si>
  <si>
    <t>JTY874</t>
  </si>
  <si>
    <t>JTZ173</t>
  </si>
  <si>
    <t>EDGAR GUIZA</t>
  </si>
  <si>
    <t>KNZ069</t>
  </si>
  <si>
    <t>KNZ430</t>
  </si>
  <si>
    <t>KSO783</t>
  </si>
  <si>
    <t>KSO784</t>
  </si>
  <si>
    <t>KSO785</t>
  </si>
  <si>
    <t>KSO786</t>
  </si>
  <si>
    <t>KSP245</t>
  </si>
  <si>
    <t>KSP246</t>
  </si>
  <si>
    <t>KSP657</t>
  </si>
  <si>
    <t>KSP659</t>
  </si>
  <si>
    <t>KSP829</t>
  </si>
  <si>
    <t>KSP831</t>
  </si>
  <si>
    <t>OUQ38C</t>
  </si>
  <si>
    <t>OUQ39C</t>
  </si>
  <si>
    <t>SFL320</t>
  </si>
  <si>
    <t>C 70 189</t>
  </si>
  <si>
    <t>SGE863</t>
  </si>
  <si>
    <t>SLH485</t>
  </si>
  <si>
    <t>SLH628</t>
  </si>
  <si>
    <t>SLH629</t>
  </si>
  <si>
    <t>SLH655</t>
  </si>
  <si>
    <t>NPR 729</t>
  </si>
  <si>
    <t>ISRAEL HUMBERTO MONROY CORTES</t>
  </si>
  <si>
    <t>SLH656</t>
  </si>
  <si>
    <t>SLH657</t>
  </si>
  <si>
    <t>SLH662</t>
  </si>
  <si>
    <t>SEGUNDO DANIEL VIASUS AMESQUITA</t>
  </si>
  <si>
    <t>SLH663</t>
  </si>
  <si>
    <t>SMP974</t>
  </si>
  <si>
    <t>SMP975</t>
  </si>
  <si>
    <t>SMP976</t>
  </si>
  <si>
    <t>SMP977</t>
  </si>
  <si>
    <t>SMP979</t>
  </si>
  <si>
    <t>SMP980</t>
  </si>
  <si>
    <t>LEASING DE OCCIDENTE S A</t>
  </si>
  <si>
    <t>SMP981</t>
  </si>
  <si>
    <t>SMP982</t>
  </si>
  <si>
    <t>SOATA</t>
  </si>
  <si>
    <t>SMP984</t>
  </si>
  <si>
    <t>SMP985</t>
  </si>
  <si>
    <t>SMP986</t>
  </si>
  <si>
    <t>LUIS COCINERO</t>
  </si>
  <si>
    <t>SMP987</t>
  </si>
  <si>
    <t>SMP989</t>
  </si>
  <si>
    <t>SOB892</t>
  </si>
  <si>
    <t>SOC366</t>
  </si>
  <si>
    <t>SOD405</t>
  </si>
  <si>
    <t>SOE058</t>
  </si>
  <si>
    <t>NKR MWB</t>
  </si>
  <si>
    <t>SOE061</t>
  </si>
  <si>
    <t>SOE063</t>
  </si>
  <si>
    <t xml:space="preserve">NKR </t>
  </si>
  <si>
    <t>SOE115</t>
  </si>
  <si>
    <t>SOE116</t>
  </si>
  <si>
    <t>SOE470</t>
  </si>
  <si>
    <t>SOF306</t>
  </si>
  <si>
    <t>FREIGHTLINER</t>
  </si>
  <si>
    <t>M2 106</t>
  </si>
  <si>
    <t>SON058</t>
  </si>
  <si>
    <t>SUPER CAPRY VAN</t>
  </si>
  <si>
    <t>SOP588</t>
  </si>
  <si>
    <t>KIA</t>
  </si>
  <si>
    <t>SIN LINEA</t>
  </si>
  <si>
    <t>SOP589</t>
  </si>
  <si>
    <t>SOP590</t>
  </si>
  <si>
    <t>K 2500</t>
  </si>
  <si>
    <t>HUMBERTO PARRA</t>
  </si>
  <si>
    <t>SOP591</t>
  </si>
  <si>
    <t>SOP594</t>
  </si>
  <si>
    <t>SOP595</t>
  </si>
  <si>
    <t>SOP598</t>
  </si>
  <si>
    <t>SOQ207</t>
  </si>
  <si>
    <t>BANCO DE OCCIDENTE</t>
  </si>
  <si>
    <t>JESUS PEREZ</t>
  </si>
  <si>
    <t>SOT035</t>
  </si>
  <si>
    <t>SUPER CARRY</t>
  </si>
  <si>
    <t>SOT046</t>
  </si>
  <si>
    <t>DAIHATSU</t>
  </si>
  <si>
    <t>DELTA V126L-HUTXC</t>
  </si>
  <si>
    <t>SPM876</t>
  </si>
  <si>
    <t>D22/NP300</t>
  </si>
  <si>
    <t>BACK UP</t>
  </si>
  <si>
    <t>SPM907</t>
  </si>
  <si>
    <t>SPN374</t>
  </si>
  <si>
    <t>SPN375</t>
  </si>
  <si>
    <t>SPN376</t>
  </si>
  <si>
    <t>ORLANDO MARTINEZ</t>
  </si>
  <si>
    <t>SPN377</t>
  </si>
  <si>
    <t>SPN411</t>
  </si>
  <si>
    <t>SPN412</t>
  </si>
  <si>
    <t>SPN413</t>
  </si>
  <si>
    <t>SPN414</t>
  </si>
  <si>
    <t>SPN520</t>
  </si>
  <si>
    <t>SPN521</t>
  </si>
  <si>
    <t>SPN522</t>
  </si>
  <si>
    <t>SPN523</t>
  </si>
  <si>
    <t>SPN545</t>
  </si>
  <si>
    <t>SPN652</t>
  </si>
  <si>
    <t>SPN653</t>
  </si>
  <si>
    <t>SPN739</t>
  </si>
  <si>
    <t>SPN740</t>
  </si>
  <si>
    <t>SPN809</t>
  </si>
  <si>
    <t>SPN987</t>
  </si>
  <si>
    <t>SPN988</t>
  </si>
  <si>
    <t>SPO062</t>
  </si>
  <si>
    <t>SPO064</t>
  </si>
  <si>
    <t>SPO065</t>
  </si>
  <si>
    <t>SPO066</t>
  </si>
  <si>
    <t>SPO068</t>
  </si>
  <si>
    <t>SPO629</t>
  </si>
  <si>
    <t>SPO630</t>
  </si>
  <si>
    <t>SPO631</t>
  </si>
  <si>
    <t>SPO632</t>
  </si>
  <si>
    <t>SPO633</t>
  </si>
  <si>
    <t>SPO635</t>
  </si>
  <si>
    <t>SPO637</t>
  </si>
  <si>
    <t>SPO641</t>
  </si>
  <si>
    <t>SPR685</t>
  </si>
  <si>
    <t>SPR686</t>
  </si>
  <si>
    <t>SPR687</t>
  </si>
  <si>
    <t>SPR688</t>
  </si>
  <si>
    <t>SPR689</t>
  </si>
  <si>
    <t>SPR691</t>
  </si>
  <si>
    <t>SPV499</t>
  </si>
  <si>
    <t>SPW141</t>
  </si>
  <si>
    <t>SPW185</t>
  </si>
  <si>
    <t>SPW188</t>
  </si>
  <si>
    <t>100% Mtto Preventivo Aliado / 50% Mtto Correctivo Iglp</t>
  </si>
  <si>
    <t>SQB454</t>
  </si>
  <si>
    <t>KODIAK</t>
  </si>
  <si>
    <t>SWP061</t>
  </si>
  <si>
    <t>CHASIS</t>
  </si>
  <si>
    <t>SWP289</t>
  </si>
  <si>
    <t>SWP290</t>
  </si>
  <si>
    <t>SWP549</t>
  </si>
  <si>
    <t>DELTA V126L</t>
  </si>
  <si>
    <t>SWP669</t>
  </si>
  <si>
    <t>LUV D MAX</t>
  </si>
  <si>
    <t>SWP670</t>
  </si>
  <si>
    <t>RECOLECCION</t>
  </si>
  <si>
    <t>SWP672</t>
  </si>
  <si>
    <t>SWP673</t>
  </si>
  <si>
    <t>SWP674</t>
  </si>
  <si>
    <t>SWP675</t>
  </si>
  <si>
    <t>SWP676</t>
  </si>
  <si>
    <t>SWP677</t>
  </si>
  <si>
    <t>SWP678</t>
  </si>
  <si>
    <t>SWP699</t>
  </si>
  <si>
    <t>KODIAK 211</t>
  </si>
  <si>
    <t>SXI955</t>
  </si>
  <si>
    <t>DFM</t>
  </si>
  <si>
    <t>EQ1020TF</t>
  </si>
  <si>
    <t>SXI970</t>
  </si>
  <si>
    <t>SXY750</t>
  </si>
  <si>
    <t>SXY753</t>
  </si>
  <si>
    <t>SXY754</t>
  </si>
  <si>
    <t>SXZ144</t>
  </si>
  <si>
    <t>GLORIA H GOMEZ</t>
  </si>
  <si>
    <t>SZO406</t>
  </si>
  <si>
    <t>HELM BANK S A</t>
  </si>
  <si>
    <t>SZT512</t>
  </si>
  <si>
    <t>SZT692</t>
  </si>
  <si>
    <t>SZT844</t>
  </si>
  <si>
    <t>SZT845</t>
  </si>
  <si>
    <t>SZT846</t>
  </si>
  <si>
    <t>SZT847</t>
  </si>
  <si>
    <t>ROBETH OSWALDO CANO</t>
  </si>
  <si>
    <t>SZT848</t>
  </si>
  <si>
    <t>SZT849</t>
  </si>
  <si>
    <t>SZT850</t>
  </si>
  <si>
    <t>SZT852</t>
  </si>
  <si>
    <t>SZT854</t>
  </si>
  <si>
    <t>SZU108</t>
  </si>
  <si>
    <t>SZU530</t>
  </si>
  <si>
    <t>SZU622</t>
  </si>
  <si>
    <t>SZU623</t>
  </si>
  <si>
    <t>SZU624</t>
  </si>
  <si>
    <t>SZU626</t>
  </si>
  <si>
    <t>SZU627</t>
  </si>
  <si>
    <t>SZU628</t>
  </si>
  <si>
    <t>LUIS FANDIÑO</t>
  </si>
  <si>
    <t>SZU629</t>
  </si>
  <si>
    <t>SZU631</t>
  </si>
  <si>
    <t>SZU632</t>
  </si>
  <si>
    <t>SZU633</t>
  </si>
  <si>
    <t>SZU634</t>
  </si>
  <si>
    <t>SZU635</t>
  </si>
  <si>
    <t>SZU636</t>
  </si>
  <si>
    <t>SZU637</t>
  </si>
  <si>
    <t>TBL523</t>
  </si>
  <si>
    <t>CHANA</t>
  </si>
  <si>
    <t>STAR TRUCK SC1022BB13D</t>
  </si>
  <si>
    <t>TDS609</t>
  </si>
  <si>
    <t>TDS611</t>
  </si>
  <si>
    <t>TFS038</t>
  </si>
  <si>
    <t>HYUNDAI</t>
  </si>
  <si>
    <t>H100</t>
  </si>
  <si>
    <t>TGK230</t>
  </si>
  <si>
    <t>TGK231</t>
  </si>
  <si>
    <t>TGK232</t>
  </si>
  <si>
    <t>MILLER EDISON PINILLA</t>
  </si>
  <si>
    <t>TGK233</t>
  </si>
  <si>
    <t>TGK234</t>
  </si>
  <si>
    <t>TGK235</t>
  </si>
  <si>
    <t>TGK236</t>
  </si>
  <si>
    <t>TGK237</t>
  </si>
  <si>
    <t>TGK238</t>
  </si>
  <si>
    <t>TGK239</t>
  </si>
  <si>
    <t>TGK240</t>
  </si>
  <si>
    <t>TGK867</t>
  </si>
  <si>
    <t>TGK868</t>
  </si>
  <si>
    <t>TGK870</t>
  </si>
  <si>
    <t>THX042</t>
  </si>
  <si>
    <t>MICHAEL MURCIA</t>
  </si>
  <si>
    <t>THX043</t>
  </si>
  <si>
    <t>THX134</t>
  </si>
  <si>
    <t>THX135</t>
  </si>
  <si>
    <t>THX136</t>
  </si>
  <si>
    <t>THX138</t>
  </si>
  <si>
    <t>THX139</t>
  </si>
  <si>
    <t>THX141</t>
  </si>
  <si>
    <t>THX145</t>
  </si>
  <si>
    <t>TTN789</t>
  </si>
  <si>
    <t>TTP165</t>
  </si>
  <si>
    <t>TZS734</t>
  </si>
  <si>
    <t>NQR</t>
  </si>
  <si>
    <t>TZS735</t>
  </si>
  <si>
    <t>TZS736</t>
  </si>
  <si>
    <t>FRR</t>
  </si>
  <si>
    <t>UFR507</t>
  </si>
  <si>
    <t>UFY679</t>
  </si>
  <si>
    <t>H100 PORTER</t>
  </si>
  <si>
    <t>UFY681</t>
  </si>
  <si>
    <t>UFY682</t>
  </si>
  <si>
    <t>UFY683</t>
  </si>
  <si>
    <t>UFY684</t>
  </si>
  <si>
    <t>OSCAR LEONARDO MOJICA</t>
  </si>
  <si>
    <t>UFY686</t>
  </si>
  <si>
    <t>UFY688</t>
  </si>
  <si>
    <t>UFY689</t>
  </si>
  <si>
    <t>UFY697</t>
  </si>
  <si>
    <t>GABRIEL LOPEZ</t>
  </si>
  <si>
    <t>UFY761</t>
  </si>
  <si>
    <t>UFY762</t>
  </si>
  <si>
    <t>UFZ000</t>
  </si>
  <si>
    <t>UFZ298</t>
  </si>
  <si>
    <t>UFZ299</t>
  </si>
  <si>
    <t>UFZ375</t>
  </si>
  <si>
    <t>UFZ502</t>
  </si>
  <si>
    <t>UFZ515</t>
  </si>
  <si>
    <t>UFZ530</t>
  </si>
  <si>
    <t>HD 65</t>
  </si>
  <si>
    <t>UFZ539</t>
  </si>
  <si>
    <t>UFZ657</t>
  </si>
  <si>
    <t>UFZ665</t>
  </si>
  <si>
    <t>UFZ666</t>
  </si>
  <si>
    <t>UFZ668</t>
  </si>
  <si>
    <t>UZK253</t>
  </si>
  <si>
    <t>UZK254</t>
  </si>
  <si>
    <t>UZK255</t>
  </si>
  <si>
    <t>VIV394</t>
  </si>
  <si>
    <t>WCT509</t>
  </si>
  <si>
    <t>WCT510</t>
  </si>
  <si>
    <t>WCT511</t>
  </si>
  <si>
    <t>WCT512</t>
  </si>
  <si>
    <t>GUILLERMO CARDENAS</t>
  </si>
  <si>
    <t>WCT513</t>
  </si>
  <si>
    <t>WCT514</t>
  </si>
  <si>
    <t>WCT515</t>
  </si>
  <si>
    <t>WCT592</t>
  </si>
  <si>
    <t>WCT593</t>
  </si>
  <si>
    <t>WCT594</t>
  </si>
  <si>
    <t>WCT595</t>
  </si>
  <si>
    <t>WCT597</t>
  </si>
  <si>
    <t>WCT599</t>
  </si>
  <si>
    <t>WCT632</t>
  </si>
  <si>
    <t>WCT633</t>
  </si>
  <si>
    <t>WCT636</t>
  </si>
  <si>
    <t>WCT637</t>
  </si>
  <si>
    <t>WCT638</t>
  </si>
  <si>
    <t>WCT640</t>
  </si>
  <si>
    <t>WCT641</t>
  </si>
  <si>
    <t>WCT642</t>
  </si>
  <si>
    <t>WCT643</t>
  </si>
  <si>
    <t>WCT644</t>
  </si>
  <si>
    <t>WCT646</t>
  </si>
  <si>
    <t>GABRIEL PERDOMO</t>
  </si>
  <si>
    <t>WCT648</t>
  </si>
  <si>
    <t>WCV164</t>
  </si>
  <si>
    <t>WCV165</t>
  </si>
  <si>
    <t>WCV166</t>
  </si>
  <si>
    <t>WCX813</t>
  </si>
  <si>
    <t>WCX814</t>
  </si>
  <si>
    <t>WCX815</t>
  </si>
  <si>
    <t>WCX816</t>
  </si>
  <si>
    <t>WCX817</t>
  </si>
  <si>
    <t>WCX818</t>
  </si>
  <si>
    <t>WCX819</t>
  </si>
  <si>
    <t>WEP812</t>
  </si>
  <si>
    <t>WEP813</t>
  </si>
  <si>
    <t>WEP814</t>
  </si>
  <si>
    <t>WEP815</t>
  </si>
  <si>
    <t>WEP816</t>
  </si>
  <si>
    <t>WEP817</t>
  </si>
  <si>
    <t>WEP989</t>
  </si>
  <si>
    <t>WEQ665</t>
  </si>
  <si>
    <t>WEQ666</t>
  </si>
  <si>
    <t>ALEJANDRA LUENGAS</t>
  </si>
  <si>
    <t>WEQ669</t>
  </si>
  <si>
    <t>WEQ801</t>
  </si>
  <si>
    <t>WEQ803</t>
  </si>
  <si>
    <t>WEQ806</t>
  </si>
  <si>
    <t>WEQ807</t>
  </si>
  <si>
    <t>WEQ808</t>
  </si>
  <si>
    <t>WEQ809</t>
  </si>
  <si>
    <t>WEX607</t>
  </si>
  <si>
    <t>WEX609</t>
  </si>
  <si>
    <t>WGG448</t>
  </si>
  <si>
    <t>WGG449</t>
  </si>
  <si>
    <t>WGG450</t>
  </si>
  <si>
    <t>WGG451</t>
  </si>
  <si>
    <t>WGG452</t>
  </si>
  <si>
    <t>WGG453</t>
  </si>
  <si>
    <t>WGG455</t>
  </si>
  <si>
    <t>WLR362</t>
  </si>
  <si>
    <t>WLR363</t>
  </si>
  <si>
    <t>WLR364</t>
  </si>
  <si>
    <t>WLR365</t>
  </si>
  <si>
    <t>WLR366</t>
  </si>
  <si>
    <t>WLR949</t>
  </si>
  <si>
    <t>WLR950</t>
  </si>
  <si>
    <t>WLR951</t>
  </si>
  <si>
    <t>WLR952</t>
  </si>
  <si>
    <t>WLR953</t>
  </si>
  <si>
    <t>WLS437</t>
  </si>
  <si>
    <t>WOU751</t>
  </si>
  <si>
    <t>WOU752</t>
  </si>
  <si>
    <t>WOU753</t>
  </si>
  <si>
    <t>WOU754</t>
  </si>
  <si>
    <t>WOU755</t>
  </si>
  <si>
    <t>WOU756</t>
  </si>
  <si>
    <t>WOU757</t>
  </si>
  <si>
    <t>WOU758</t>
  </si>
  <si>
    <t>WOU759</t>
  </si>
  <si>
    <t>WOV089</t>
  </si>
  <si>
    <t>WTL806</t>
  </si>
  <si>
    <t>YXW53A</t>
  </si>
  <si>
    <t>TS 185</t>
  </si>
  <si>
    <t>KSP666</t>
  </si>
  <si>
    <t>KSP661</t>
  </si>
  <si>
    <t>KSP825</t>
  </si>
  <si>
    <t>KNL013</t>
  </si>
  <si>
    <t>KSO515</t>
  </si>
  <si>
    <t>052NAF</t>
  </si>
  <si>
    <t>NORTE</t>
  </si>
  <si>
    <t>CARIBE</t>
  </si>
  <si>
    <t>CARTAGENA</t>
  </si>
  <si>
    <t>053NAF</t>
  </si>
  <si>
    <t>055NAF</t>
  </si>
  <si>
    <t>VALLEDUPAR</t>
  </si>
  <si>
    <t>EQZ308</t>
  </si>
  <si>
    <t>CERETE</t>
  </si>
  <si>
    <t>EQZ537</t>
  </si>
  <si>
    <t>SANTA MARTA</t>
  </si>
  <si>
    <t>ERK883</t>
  </si>
  <si>
    <t>BARRANQUILLA</t>
  </si>
  <si>
    <t>ERK894</t>
  </si>
  <si>
    <t>SANTANDER</t>
  </si>
  <si>
    <t>CUCUTA</t>
  </si>
  <si>
    <t>FSU187</t>
  </si>
  <si>
    <t>CAUCASIA</t>
  </si>
  <si>
    <t>FSU196</t>
  </si>
  <si>
    <t>FSU203</t>
  </si>
  <si>
    <t>FSU205</t>
  </si>
  <si>
    <t>FSU208</t>
  </si>
  <si>
    <t>FSU215</t>
  </si>
  <si>
    <t>FSU237</t>
  </si>
  <si>
    <t>FSU325</t>
  </si>
  <si>
    <t>SINCELEJO</t>
  </si>
  <si>
    <t xml:space="preserve">NPR </t>
  </si>
  <si>
    <t>FSU328</t>
  </si>
  <si>
    <t xml:space="preserve">BUCARAMANGA </t>
  </si>
  <si>
    <t>FSU330</t>
  </si>
  <si>
    <t>FSU332</t>
  </si>
  <si>
    <t>JKU116</t>
  </si>
  <si>
    <t>JTY604</t>
  </si>
  <si>
    <t>JTY830</t>
  </si>
  <si>
    <t>JTY831</t>
  </si>
  <si>
    <t>BUCARAMANGA</t>
  </si>
  <si>
    <t>JTY832</t>
  </si>
  <si>
    <t>JTY840</t>
  </si>
  <si>
    <t>JTY871</t>
  </si>
  <si>
    <t>KNY983</t>
  </si>
  <si>
    <t>KNY984</t>
  </si>
  <si>
    <t>KNZ137</t>
  </si>
  <si>
    <t>KNZ404</t>
  </si>
  <si>
    <t>KNZ454</t>
  </si>
  <si>
    <t>KNZ456</t>
  </si>
  <si>
    <t>KSO756</t>
  </si>
  <si>
    <t>KSO757</t>
  </si>
  <si>
    <t>KSO989</t>
  </si>
  <si>
    <t>KSO990</t>
  </si>
  <si>
    <t>KSO993</t>
  </si>
  <si>
    <t>KSO995</t>
  </si>
  <si>
    <t>SBL033</t>
  </si>
  <si>
    <t>KODIAK 157</t>
  </si>
  <si>
    <t>SBV494</t>
  </si>
  <si>
    <t>SDT687</t>
  </si>
  <si>
    <t>NNR PARTNER</t>
  </si>
  <si>
    <t>SOD316</t>
  </si>
  <si>
    <t>SON057</t>
  </si>
  <si>
    <t>MONTERIA</t>
  </si>
  <si>
    <t>SON348</t>
  </si>
  <si>
    <t>SOO673</t>
  </si>
  <si>
    <t>SOQ254</t>
  </si>
  <si>
    <t>SPH048</t>
  </si>
  <si>
    <t>SPM848</t>
  </si>
  <si>
    <t>SPM850</t>
  </si>
  <si>
    <t>SPM851</t>
  </si>
  <si>
    <t>SPM853</t>
  </si>
  <si>
    <t>SPM854</t>
  </si>
  <si>
    <t>SPM862</t>
  </si>
  <si>
    <t>SPM864</t>
  </si>
  <si>
    <t>SPM867</t>
  </si>
  <si>
    <t>SPM871</t>
  </si>
  <si>
    <t>SPM882</t>
  </si>
  <si>
    <t>SPM885</t>
  </si>
  <si>
    <t>SPW143</t>
  </si>
  <si>
    <t>SPW182</t>
  </si>
  <si>
    <t>SPW187</t>
  </si>
  <si>
    <t>RIOS BUELVAS DAGOBERTO</t>
  </si>
  <si>
    <t>SXI962</t>
  </si>
  <si>
    <t>SXI963</t>
  </si>
  <si>
    <t>SXI965</t>
  </si>
  <si>
    <t>SZO296</t>
  </si>
  <si>
    <t>SZO405</t>
  </si>
  <si>
    <t>SZO845</t>
  </si>
  <si>
    <t>SZO847</t>
  </si>
  <si>
    <t>SZT940</t>
  </si>
  <si>
    <t>SZW247</t>
  </si>
  <si>
    <t>TFP647</t>
  </si>
  <si>
    <t>HD 78</t>
  </si>
  <si>
    <t>THX152</t>
  </si>
  <si>
    <t>TOB872</t>
  </si>
  <si>
    <t>KODIAK 241</t>
  </si>
  <si>
    <t>TOC265</t>
  </si>
  <si>
    <t>TOC270</t>
  </si>
  <si>
    <t>UFZ302</t>
  </si>
  <si>
    <t>UFZ535</t>
  </si>
  <si>
    <t>UFZ631</t>
  </si>
  <si>
    <t>UFZ655</t>
  </si>
  <si>
    <t>UFZ661</t>
  </si>
  <si>
    <t>UFZ663</t>
  </si>
  <si>
    <t>UFZ664</t>
  </si>
  <si>
    <t>UFZ671</t>
  </si>
  <si>
    <t>MAGANGUE</t>
  </si>
  <si>
    <t>WCT635</t>
  </si>
  <si>
    <t>WEQ712</t>
  </si>
  <si>
    <t>WEQ713</t>
  </si>
  <si>
    <t>YAR450</t>
  </si>
  <si>
    <t>KSP824</t>
  </si>
  <si>
    <t>KSP667</t>
  </si>
  <si>
    <t>SPM865</t>
  </si>
  <si>
    <t>SZO846</t>
  </si>
  <si>
    <t>051NAF</t>
  </si>
  <si>
    <t>ERK882</t>
  </si>
  <si>
    <t>ERK888</t>
  </si>
  <si>
    <t>ERK889</t>
  </si>
  <si>
    <t>FSU169</t>
  </si>
  <si>
    <t>FSU197</t>
  </si>
  <si>
    <t>FSU206</t>
  </si>
  <si>
    <t>SAN GIL</t>
  </si>
  <si>
    <t>FSU219</t>
  </si>
  <si>
    <t>FSU320</t>
  </si>
  <si>
    <t>JTY596</t>
  </si>
  <si>
    <t>JTY838</t>
  </si>
  <si>
    <t>JTY873</t>
  </si>
  <si>
    <t>KNY981</t>
  </si>
  <si>
    <t>KNY982</t>
  </si>
  <si>
    <t>KNZ053</t>
  </si>
  <si>
    <t>KSO760</t>
  </si>
  <si>
    <t>KSO986</t>
  </si>
  <si>
    <t>KSO987</t>
  </si>
  <si>
    <t>KSO991</t>
  </si>
  <si>
    <t>KSP832</t>
  </si>
  <si>
    <t>SNM901</t>
  </si>
  <si>
    <t>NHR TURBO</t>
  </si>
  <si>
    <t>GUSTAVO PATIÑO</t>
  </si>
  <si>
    <t>SNM903</t>
  </si>
  <si>
    <t>SAUL PABON MORENO</t>
  </si>
  <si>
    <t>SNM906</t>
  </si>
  <si>
    <t>SOB602</t>
  </si>
  <si>
    <t>SOB780</t>
  </si>
  <si>
    <t>JORGE LUIS AREVALO SANCHEZ</t>
  </si>
  <si>
    <t>SOC990</t>
  </si>
  <si>
    <t>SOD458</t>
  </si>
  <si>
    <t>SOD459</t>
  </si>
  <si>
    <t>SOQ055</t>
  </si>
  <si>
    <t>SOQ253</t>
  </si>
  <si>
    <t>SPH171</t>
  </si>
  <si>
    <t>SPM896</t>
  </si>
  <si>
    <t>SPW145</t>
  </si>
  <si>
    <t>SXI952</t>
  </si>
  <si>
    <t>SXY756</t>
  </si>
  <si>
    <t>SXZ145</t>
  </si>
  <si>
    <t>SXZ244</t>
  </si>
  <si>
    <t>SXZ245</t>
  </si>
  <si>
    <t>SXZ248</t>
  </si>
  <si>
    <t>SZO266</t>
  </si>
  <si>
    <t>SZO297</t>
  </si>
  <si>
    <t>SZW249</t>
  </si>
  <si>
    <t>TFQ922</t>
  </si>
  <si>
    <t>THX137</t>
  </si>
  <si>
    <t>THX155</t>
  </si>
  <si>
    <t>THX159</t>
  </si>
  <si>
    <t>THX160</t>
  </si>
  <si>
    <t>TOC271</t>
  </si>
  <si>
    <t>TTN938</t>
  </si>
  <si>
    <t>TTO005</t>
  </si>
  <si>
    <t>TVA157</t>
  </si>
  <si>
    <t>UFY764</t>
  </si>
  <si>
    <t>UFY765</t>
  </si>
  <si>
    <t>UFZ005</t>
  </si>
  <si>
    <t>UFZ010</t>
  </si>
  <si>
    <t>MARCO ANTONIO MARTINEZ SUAREZ</t>
  </si>
  <si>
    <t>UFZ012</t>
  </si>
  <si>
    <t>UFZ523</t>
  </si>
  <si>
    <t>UFZ654</t>
  </si>
  <si>
    <t>UFZ658</t>
  </si>
  <si>
    <t>UFZ662</t>
  </si>
  <si>
    <t>UYY089</t>
  </si>
  <si>
    <t>KODIAK TANDEM</t>
  </si>
  <si>
    <t>WGG454</t>
  </si>
  <si>
    <t>WHO396</t>
  </si>
  <si>
    <t>YAR463</t>
  </si>
  <si>
    <t>CARLOS ANIBAL MALDONADO WILCHES</t>
  </si>
  <si>
    <t>KNZ431</t>
  </si>
  <si>
    <t>KSP662</t>
  </si>
  <si>
    <t>049NAF</t>
  </si>
  <si>
    <t>SUR</t>
  </si>
  <si>
    <t>ANTIOQUIA</t>
  </si>
  <si>
    <t>BELLO</t>
  </si>
  <si>
    <t>Mtto 50% Iglp / 50% Aliado</t>
  </si>
  <si>
    <t xml:space="preserve">ANDERSON ABAD DUQUE LOPEZ
</t>
  </si>
  <si>
    <t>EQZ998</t>
  </si>
  <si>
    <t>EQZ999</t>
  </si>
  <si>
    <t>ERK881</t>
  </si>
  <si>
    <t>ERK886</t>
  </si>
  <si>
    <t>ERK887</t>
  </si>
  <si>
    <t>PUERTO BERRIO</t>
  </si>
  <si>
    <t>ERK890</t>
  </si>
  <si>
    <t>ERK893</t>
  </si>
  <si>
    <t>FSU171</t>
  </si>
  <si>
    <t>APARTADO</t>
  </si>
  <si>
    <t>FSU199</t>
  </si>
  <si>
    <t>FSU207</t>
  </si>
  <si>
    <t>FSU213</t>
  </si>
  <si>
    <t>FSU214</t>
  </si>
  <si>
    <t>FSU220</t>
  </si>
  <si>
    <t>FSU241</t>
  </si>
  <si>
    <t>MARINILLA</t>
  </si>
  <si>
    <t>FSU326</t>
  </si>
  <si>
    <t>FSU327</t>
  </si>
  <si>
    <t>STA ROSA DE OSOS</t>
  </si>
  <si>
    <t>JTY843</t>
  </si>
  <si>
    <t>JTY845</t>
  </si>
  <si>
    <t>JTY846</t>
  </si>
  <si>
    <t>JTY847</t>
  </si>
  <si>
    <t>JTZ105</t>
  </si>
  <si>
    <t>JUK032</t>
  </si>
  <si>
    <t>KNY980</t>
  </si>
  <si>
    <t>KNZ051</t>
  </si>
  <si>
    <t>KNZ054</t>
  </si>
  <si>
    <t>KNZ455</t>
  </si>
  <si>
    <t>SBL366</t>
  </si>
  <si>
    <t>CARLOS HUMBERTO GARCIA ZULETA</t>
  </si>
  <si>
    <t>SNM905</t>
  </si>
  <si>
    <t>SOQ056</t>
  </si>
  <si>
    <t>SPM852</t>
  </si>
  <si>
    <t>SPM878</t>
  </si>
  <si>
    <t>SPM917</t>
  </si>
  <si>
    <t>SPW140</t>
  </si>
  <si>
    <t>SPW180</t>
  </si>
  <si>
    <t>SPW181</t>
  </si>
  <si>
    <t>SPW183</t>
  </si>
  <si>
    <t xml:space="preserve">VICTOR MANUEL JIMENEZ CORREA
</t>
  </si>
  <si>
    <t>SPW189</t>
  </si>
  <si>
    <t>SXI954</t>
  </si>
  <si>
    <t>SZO272</t>
  </si>
  <si>
    <t>SZO299</t>
  </si>
  <si>
    <t>SZO409</t>
  </si>
  <si>
    <t>SZO911</t>
  </si>
  <si>
    <t>DUVER ALBEIRO FERRARO HIGUITA</t>
  </si>
  <si>
    <t>SZT939</t>
  </si>
  <si>
    <t>SZT941</t>
  </si>
  <si>
    <t>SZT943</t>
  </si>
  <si>
    <t>SZT944</t>
  </si>
  <si>
    <t>SZT945</t>
  </si>
  <si>
    <t>SZW248</t>
  </si>
  <si>
    <t xml:space="preserve">JOSE GREGORIO CIRO ZAPATA
</t>
  </si>
  <si>
    <t>SZW250</t>
  </si>
  <si>
    <t xml:space="preserve">OSCAR ALONSO AGUDELO BOTERO
</t>
  </si>
  <si>
    <t>SZW251</t>
  </si>
  <si>
    <t>SZX655</t>
  </si>
  <si>
    <t>SZX656</t>
  </si>
  <si>
    <t>SZX657</t>
  </si>
  <si>
    <t>THX041</t>
  </si>
  <si>
    <t>THX142</t>
  </si>
  <si>
    <t>THX143</t>
  </si>
  <si>
    <t>THX144</t>
  </si>
  <si>
    <t>THX146</t>
  </si>
  <si>
    <t>CAMILO LONDOÑO POSADA</t>
  </si>
  <si>
    <t>THX148</t>
  </si>
  <si>
    <t>THX150</t>
  </si>
  <si>
    <t>THX151</t>
  </si>
  <si>
    <t>THX153</t>
  </si>
  <si>
    <t>THX156</t>
  </si>
  <si>
    <t>THX157</t>
  </si>
  <si>
    <t>THX161</t>
  </si>
  <si>
    <t>TTP166</t>
  </si>
  <si>
    <t>UFY692</t>
  </si>
  <si>
    <t>UFZ226</t>
  </si>
  <si>
    <t>UFZ547</t>
  </si>
  <si>
    <t>UFZ670</t>
  </si>
  <si>
    <t>UFZ672</t>
  </si>
  <si>
    <t>WCT645</t>
  </si>
  <si>
    <t>WEQ667</t>
  </si>
  <si>
    <t>WEX608</t>
  </si>
  <si>
    <t>SXI927</t>
  </si>
  <si>
    <t>YAR400</t>
  </si>
  <si>
    <t>YUMBO</t>
  </si>
  <si>
    <t>EQY959</t>
  </si>
  <si>
    <t>MANIZALES</t>
  </si>
  <si>
    <t>ANDRES ARISTIZABAL</t>
  </si>
  <si>
    <t>EQZ507</t>
  </si>
  <si>
    <t>SANTA ROSA</t>
  </si>
  <si>
    <t>JUAN CARLOS MARTINEZ MONTOYA</t>
  </si>
  <si>
    <t>EQZ520</t>
  </si>
  <si>
    <t>JAMUNDI</t>
  </si>
  <si>
    <t>EQZ996</t>
  </si>
  <si>
    <t>FABIAN SANDOVAL</t>
  </si>
  <si>
    <t>EQZ997</t>
  </si>
  <si>
    <t>FSU209</t>
  </si>
  <si>
    <t>FSU211</t>
  </si>
  <si>
    <t>FSU216</t>
  </si>
  <si>
    <t>FSU218</t>
  </si>
  <si>
    <t>JKU118</t>
  </si>
  <si>
    <t>JKU119</t>
  </si>
  <si>
    <t>JTY597</t>
  </si>
  <si>
    <t>JTY599</t>
  </si>
  <si>
    <t>JTY601</t>
  </si>
  <si>
    <t>JTY829</t>
  </si>
  <si>
    <t>JTY833</t>
  </si>
  <si>
    <t>JTY836</t>
  </si>
  <si>
    <t>JTY839</t>
  </si>
  <si>
    <t>KNL015</t>
  </si>
  <si>
    <t>KNL016</t>
  </si>
  <si>
    <t>KNZ050</t>
  </si>
  <si>
    <t>KNZ052</t>
  </si>
  <si>
    <t>KNZ068</t>
  </si>
  <si>
    <t>KNZ070</t>
  </si>
  <si>
    <t>KNZ138</t>
  </si>
  <si>
    <t>BUENAVENTURA</t>
  </si>
  <si>
    <t>KOK511</t>
  </si>
  <si>
    <t>KSO758</t>
  </si>
  <si>
    <t>KSO759</t>
  </si>
  <si>
    <t>KSO787</t>
  </si>
  <si>
    <t>KSO988</t>
  </si>
  <si>
    <t>KSO992</t>
  </si>
  <si>
    <t>KSP656</t>
  </si>
  <si>
    <t>KSP660</t>
  </si>
  <si>
    <t>KSP821</t>
  </si>
  <si>
    <t>KSP823</t>
  </si>
  <si>
    <t>SMG687</t>
  </si>
  <si>
    <t>SNM900</t>
  </si>
  <si>
    <t>SOC279</t>
  </si>
  <si>
    <t>SOC991</t>
  </si>
  <si>
    <t>SOC993</t>
  </si>
  <si>
    <t>SOD315</t>
  </si>
  <si>
    <t>SOE456</t>
  </si>
  <si>
    <t>SON050</t>
  </si>
  <si>
    <t>SON051</t>
  </si>
  <si>
    <t>SON052</t>
  </si>
  <si>
    <t>SON053</t>
  </si>
  <si>
    <t>SON054</t>
  </si>
  <si>
    <t>SON055</t>
  </si>
  <si>
    <t>SON331</t>
  </si>
  <si>
    <t>POPAYAN</t>
  </si>
  <si>
    <t>SON347</t>
  </si>
  <si>
    <t>SON666</t>
  </si>
  <si>
    <t>ARMENIA</t>
  </si>
  <si>
    <t>RELEVOS</t>
  </si>
  <si>
    <t>SON667</t>
  </si>
  <si>
    <t>OSCAR GAVIRIA</t>
  </si>
  <si>
    <t>SOO674</t>
  </si>
  <si>
    <t>SOQ252</t>
  </si>
  <si>
    <t>SPM845</t>
  </si>
  <si>
    <t>SPM846</t>
  </si>
  <si>
    <t>SPM849</t>
  </si>
  <si>
    <t>SPM855</t>
  </si>
  <si>
    <t>OCTAVIO RINCON</t>
  </si>
  <si>
    <t>SPM856</t>
  </si>
  <si>
    <t>SPM858</t>
  </si>
  <si>
    <t>SPM859</t>
  </si>
  <si>
    <t>SPM861</t>
  </si>
  <si>
    <t>SPM863</t>
  </si>
  <si>
    <t>SPM866</t>
  </si>
  <si>
    <t>SPM873</t>
  </si>
  <si>
    <t>ORLANDO AGUDELO</t>
  </si>
  <si>
    <t>SPM877</t>
  </si>
  <si>
    <t>SPM886</t>
  </si>
  <si>
    <t>SPM887</t>
  </si>
  <si>
    <t>SPM891</t>
  </si>
  <si>
    <t>SPM893</t>
  </si>
  <si>
    <t>HD 72</t>
  </si>
  <si>
    <t>SPM901</t>
  </si>
  <si>
    <t>SPM908</t>
  </si>
  <si>
    <t>JHONATAN ANGEL AUDOR</t>
  </si>
  <si>
    <t>SPM910</t>
  </si>
  <si>
    <t>SPM911</t>
  </si>
  <si>
    <t>SPM915</t>
  </si>
  <si>
    <t>SPM922</t>
  </si>
  <si>
    <t>SPV493</t>
  </si>
  <si>
    <t>SPW142</t>
  </si>
  <si>
    <t>SPW147</t>
  </si>
  <si>
    <t>SPW184</t>
  </si>
  <si>
    <t>SXI950</t>
  </si>
  <si>
    <t>SXI956</t>
  </si>
  <si>
    <t>SXI969</t>
  </si>
  <si>
    <t>SXY757</t>
  </si>
  <si>
    <t>SXZ143</t>
  </si>
  <si>
    <t>SXZ240</t>
  </si>
  <si>
    <t>SXZ241</t>
  </si>
  <si>
    <t>JUAN ARANGO</t>
  </si>
  <si>
    <t>SXZ246</t>
  </si>
  <si>
    <t>SZT691</t>
  </si>
  <si>
    <t>SZT853</t>
  </si>
  <si>
    <t>TFQ919</t>
  </si>
  <si>
    <t>TFQ920</t>
  </si>
  <si>
    <t>TFQ921</t>
  </si>
  <si>
    <t>TOC266</t>
  </si>
  <si>
    <t>TOC269</t>
  </si>
  <si>
    <t>TTN959</t>
  </si>
  <si>
    <t>UFY695</t>
  </si>
  <si>
    <t>UFY696</t>
  </si>
  <si>
    <t>UFY766</t>
  </si>
  <si>
    <t>UFY768</t>
  </si>
  <si>
    <t>UFY770</t>
  </si>
  <si>
    <t>UFZ013</t>
  </si>
  <si>
    <t>UFZ371</t>
  </si>
  <si>
    <t>UFZ373</t>
  </si>
  <si>
    <t>UFZ374</t>
  </si>
  <si>
    <t>UFZ376</t>
  </si>
  <si>
    <t>FABIAN GAVIRIA</t>
  </si>
  <si>
    <t>UFZ377</t>
  </si>
  <si>
    <t>CESAR GONZALES</t>
  </si>
  <si>
    <t>UFZ378</t>
  </si>
  <si>
    <t>UFZ379</t>
  </si>
  <si>
    <t>UFZ380</t>
  </si>
  <si>
    <t>UFZ381</t>
  </si>
  <si>
    <t>UFZ383</t>
  </si>
  <si>
    <t>UFZ385</t>
  </si>
  <si>
    <t>UFZ389</t>
  </si>
  <si>
    <t>UFZ480</t>
  </si>
  <si>
    <t>VICTOR ARIAS</t>
  </si>
  <si>
    <t>UFZ482</t>
  </si>
  <si>
    <t>UFZ483</t>
  </si>
  <si>
    <t>PROVISIONAL TALLER</t>
  </si>
  <si>
    <t>UFZ484</t>
  </si>
  <si>
    <t>UFZ486</t>
  </si>
  <si>
    <t>UFZ489</t>
  </si>
  <si>
    <t>UFZ491</t>
  </si>
  <si>
    <t>UFZ492</t>
  </si>
  <si>
    <t>UFZ493</t>
  </si>
  <si>
    <t>UFZ498</t>
  </si>
  <si>
    <t>UFZ499</t>
  </si>
  <si>
    <t>UFZ500</t>
  </si>
  <si>
    <t>EISEN FAJARDO</t>
  </si>
  <si>
    <t>UFZ501</t>
  </si>
  <si>
    <t>UFZ505</t>
  </si>
  <si>
    <t>UFZ508</t>
  </si>
  <si>
    <t>UFZ511</t>
  </si>
  <si>
    <t>UFZ513</t>
  </si>
  <si>
    <t>UFZ517</t>
  </si>
  <si>
    <t>UFZ519</t>
  </si>
  <si>
    <t>UFZ521</t>
  </si>
  <si>
    <t>UFZ525</t>
  </si>
  <si>
    <t>UFZ536</t>
  </si>
  <si>
    <t>UFZ537</t>
  </si>
  <si>
    <t>UFZ538</t>
  </si>
  <si>
    <t>UFZ540</t>
  </si>
  <si>
    <t>UFZ543</t>
  </si>
  <si>
    <t>UFZ659</t>
  </si>
  <si>
    <t>UFZ667</t>
  </si>
  <si>
    <t>VEM122</t>
  </si>
  <si>
    <t>VMT631</t>
  </si>
  <si>
    <t>WCT598</t>
  </si>
  <si>
    <t>WCT639</t>
  </si>
  <si>
    <t>WEQ800</t>
  </si>
  <si>
    <t>JUAN CARLOS CARABALI</t>
  </si>
  <si>
    <t>WEQ802</t>
  </si>
  <si>
    <t>WEQ805</t>
  </si>
  <si>
    <t>WOU716</t>
  </si>
  <si>
    <t>WOV054</t>
  </si>
  <si>
    <t>WOV055</t>
  </si>
  <si>
    <t>N300</t>
  </si>
  <si>
    <t>WOV056</t>
  </si>
  <si>
    <t>WOV058</t>
  </si>
  <si>
    <t>YAP944</t>
  </si>
  <si>
    <t>YAQ034</t>
  </si>
  <si>
    <t>SUPER CARRY CARGO</t>
  </si>
  <si>
    <t>YAQ035</t>
  </si>
  <si>
    <t>YAQ038</t>
  </si>
  <si>
    <t>YAQ074</t>
  </si>
  <si>
    <t>YAQ166</t>
  </si>
  <si>
    <t>YAQ348</t>
  </si>
  <si>
    <t>YAQ507</t>
  </si>
  <si>
    <t>YAQ566</t>
  </si>
  <si>
    <t>YAQ568</t>
  </si>
  <si>
    <t>YAQ571</t>
  </si>
  <si>
    <t>YAQ575</t>
  </si>
  <si>
    <t>YAQ587</t>
  </si>
  <si>
    <t>YAQ588</t>
  </si>
  <si>
    <t>YAQ589</t>
  </si>
  <si>
    <t>YAR222</t>
  </si>
  <si>
    <t>YAR223</t>
  </si>
  <si>
    <t>YAR224</t>
  </si>
  <si>
    <t>YAR226</t>
  </si>
  <si>
    <t>YAR244</t>
  </si>
  <si>
    <t>YAR250</t>
  </si>
  <si>
    <t>YAR258</t>
  </si>
  <si>
    <t>YAR379</t>
  </si>
  <si>
    <t>YAR381</t>
  </si>
  <si>
    <t>YAR448</t>
  </si>
  <si>
    <t>YAR459</t>
  </si>
  <si>
    <t>YAR460</t>
  </si>
  <si>
    <t>YAR464</t>
  </si>
  <si>
    <t>YAR468</t>
  </si>
  <si>
    <t>YAR492</t>
  </si>
  <si>
    <t>KSP665</t>
  </si>
  <si>
    <t>KSP830</t>
  </si>
  <si>
    <t>KSP658</t>
  </si>
  <si>
    <t>KSP664</t>
  </si>
  <si>
    <t>KSQ004</t>
  </si>
  <si>
    <t>KSP663</t>
  </si>
  <si>
    <t>KSP833</t>
  </si>
  <si>
    <t>KSP826</t>
  </si>
  <si>
    <t>KSO994</t>
  </si>
  <si>
    <t>KSQ006</t>
  </si>
  <si>
    <t>SPM892</t>
  </si>
  <si>
    <t>YAR378</t>
  </si>
  <si>
    <t>KSQ007</t>
  </si>
  <si>
    <t>Total</t>
  </si>
  <si>
    <t>N° Documento2</t>
  </si>
  <si>
    <t>Cap Vh</t>
  </si>
  <si>
    <t>Cap Util (kg)</t>
  </si>
  <si>
    <t>Cap Inst (Kg)</t>
  </si>
  <si>
    <t>% Ut</t>
  </si>
  <si>
    <t>09. Sep</t>
  </si>
  <si>
    <t>**</t>
  </si>
  <si>
    <t xml:space="preserve">17783299       </t>
  </si>
  <si>
    <t>DIAZ MENDEZ ALEXANDER</t>
  </si>
  <si>
    <t xml:space="preserve">52790620       </t>
  </si>
  <si>
    <t>CORDOBA PATAQUIVA DONNA LISETTE</t>
  </si>
  <si>
    <t xml:space="preserve">5348905        </t>
  </si>
  <si>
    <t>BURBANO ERAZO OSCAR ORLANDO</t>
  </si>
  <si>
    <t xml:space="preserve">91360601       </t>
  </si>
  <si>
    <t>AMADO HERREÑO NICEFORO</t>
  </si>
  <si>
    <t xml:space="preserve">12256895       </t>
  </si>
  <si>
    <t>PINTO SANCHEZ EIDER</t>
  </si>
  <si>
    <t xml:space="preserve">94392704       </t>
  </si>
  <si>
    <t>CASTAÑO VELANDIA LUIS HERNANDO</t>
  </si>
  <si>
    <t xml:space="preserve">94429458       </t>
  </si>
  <si>
    <t>ARANGO BUITRAGO VICTOR HUGO</t>
  </si>
  <si>
    <t xml:space="preserve">11445090       </t>
  </si>
  <si>
    <t>MUNOZ MURCIA EDWIN LEONARDO</t>
  </si>
  <si>
    <t xml:space="preserve">1020712348     </t>
  </si>
  <si>
    <t>TRIANA ESPINEL NESTOR CAMILO</t>
  </si>
  <si>
    <t xml:space="preserve">79847779       </t>
  </si>
  <si>
    <t>RODRIGUEZ NAVARRO ELISEO FERNANDO</t>
  </si>
  <si>
    <t xml:space="preserve">17655129       </t>
  </si>
  <si>
    <t>PARDO BURGOS LUIS ARIEL</t>
  </si>
  <si>
    <t xml:space="preserve">18185538       </t>
  </si>
  <si>
    <t>PERDOMO SABI ECIFREDY</t>
  </si>
  <si>
    <t xml:space="preserve">83226520       </t>
  </si>
  <si>
    <t>PARRA MEDINA EDGAR</t>
  </si>
  <si>
    <t xml:space="preserve">1053331458     </t>
  </si>
  <si>
    <t>BONILLA JAIMES LUIS CARLOS</t>
  </si>
  <si>
    <t xml:space="preserve">79736632       </t>
  </si>
  <si>
    <t>SANCHEZ RODRIGUEZ ANDERSON</t>
  </si>
  <si>
    <t xml:space="preserve">10174892       </t>
  </si>
  <si>
    <t>BELTRAN SANCHEZ LUIS ALBERTO</t>
  </si>
  <si>
    <t xml:space="preserve">74282624       </t>
  </si>
  <si>
    <t>BALLESTEROS WILLIAM ANDRES</t>
  </si>
  <si>
    <t xml:space="preserve">74170036       </t>
  </si>
  <si>
    <t>DIAZ FUENTES ANDRES</t>
  </si>
  <si>
    <t>BERNARDO CORTES</t>
  </si>
  <si>
    <t>ANDRES QUINAYAS</t>
  </si>
  <si>
    <t>LIBARDO AVILA</t>
  </si>
  <si>
    <t>JAIRO ROJAS</t>
  </si>
  <si>
    <t>JOHN GONZALEZ</t>
  </si>
  <si>
    <t>SIN CONDUCTOR FIJO</t>
  </si>
  <si>
    <t>ANDRES OCASIONES</t>
  </si>
  <si>
    <t xml:space="preserve">74283129       </t>
  </si>
  <si>
    <t>SEGURA DAZA WILMER ALEXANDER</t>
  </si>
  <si>
    <t xml:space="preserve">93291251       </t>
  </si>
  <si>
    <t>AGUIRRE LLANOS EDILBERTO</t>
  </si>
  <si>
    <t xml:space="preserve">6802563        </t>
  </si>
  <si>
    <t>NARANJO CASTRO DANIEL</t>
  </si>
  <si>
    <t xml:space="preserve">3155595        </t>
  </si>
  <si>
    <t>PEREZ VARGAS WILLIAM RAUL</t>
  </si>
  <si>
    <t>TRANSPORTES</t>
  </si>
  <si>
    <t xml:space="preserve">7250220        </t>
  </si>
  <si>
    <t>HERNANDEZ BUSTOS ADELMO</t>
  </si>
  <si>
    <t xml:space="preserve">12266504       </t>
  </si>
  <si>
    <t>MENESES CUELLAR NORVEY</t>
  </si>
  <si>
    <t>JUAN CARLOS GARZON</t>
  </si>
  <si>
    <t xml:space="preserve">10178861       </t>
  </si>
  <si>
    <t>ZAMBRANO RAMIREZ LUIS GUILLERMO</t>
  </si>
  <si>
    <t xml:space="preserve">28686722       </t>
  </si>
  <si>
    <t>PERDOMO OVIEDO AMPARO</t>
  </si>
  <si>
    <t xml:space="preserve">79221604       </t>
  </si>
  <si>
    <t>MACANA PEREZ MARCO ANTONIO</t>
  </si>
  <si>
    <t xml:space="preserve">79827688       </t>
  </si>
  <si>
    <t>QUINTERO BARRETO WILLIAM ALBERTO</t>
  </si>
  <si>
    <t xml:space="preserve">10180926       </t>
  </si>
  <si>
    <t>RAMOS  EDUIN</t>
  </si>
  <si>
    <t xml:space="preserve">1105671149     </t>
  </si>
  <si>
    <t>ZAPATA SANCHEZ VICTOR ALFONSO</t>
  </si>
  <si>
    <t xml:space="preserve">1072422938     </t>
  </si>
  <si>
    <t>PALOMAR PARRA EDWIN JULIAN</t>
  </si>
  <si>
    <t xml:space="preserve">79589699       </t>
  </si>
  <si>
    <t>CARDOZO  RAUL</t>
  </si>
  <si>
    <t xml:space="preserve">3171403        </t>
  </si>
  <si>
    <t>PINILLA PINEROS JUAN CARLOS</t>
  </si>
  <si>
    <t xml:space="preserve">3024873        </t>
  </si>
  <si>
    <t>GUTIERREZ RODRIGUEZ JORGE FAIR</t>
  </si>
  <si>
    <t xml:space="preserve">12180486       </t>
  </si>
  <si>
    <t>ANACONA CORDOBA CARLOS OLIMPO</t>
  </si>
  <si>
    <t xml:space="preserve">4090806        </t>
  </si>
  <si>
    <t>AMADO ALDANA CARLOS ALIRIO</t>
  </si>
  <si>
    <t>JAIRO BURGOS</t>
  </si>
  <si>
    <t xml:space="preserve">3090329        </t>
  </si>
  <si>
    <t>HERNANDEZ ANGEL GUILLERMO</t>
  </si>
  <si>
    <t xml:space="preserve">375997         </t>
  </si>
  <si>
    <t>DIAZ AVILA RODRIGO</t>
  </si>
  <si>
    <t xml:space="preserve">7301411        </t>
  </si>
  <si>
    <t>SALGADO ABRIL JOSE JERSAIN</t>
  </si>
  <si>
    <t xml:space="preserve">13929214       </t>
  </si>
  <si>
    <t>SEPULVEDA HERRERA MARIO</t>
  </si>
  <si>
    <t xml:space="preserve">1074130475     </t>
  </si>
  <si>
    <t>PARRADO LOPEZ CARLOS ANDRES</t>
  </si>
  <si>
    <t xml:space="preserve">83218584       </t>
  </si>
  <si>
    <t>VELEZ CHAVARRO JAIVER</t>
  </si>
  <si>
    <t xml:space="preserve">79824837       </t>
  </si>
  <si>
    <t>RIOS GUERRA NELSON YOVANNI</t>
  </si>
  <si>
    <t xml:space="preserve">79266522       </t>
  </si>
  <si>
    <t>SANABRIA RODRIGUEZ CARLOS LIBARDO</t>
  </si>
  <si>
    <t xml:space="preserve">79004412       </t>
  </si>
  <si>
    <t>MORENO SABOGAL RODOLFO</t>
  </si>
  <si>
    <t xml:space="preserve">4968703        </t>
  </si>
  <si>
    <t>CUELLAR SUAREZ NELSON</t>
  </si>
  <si>
    <t xml:space="preserve">7305518        </t>
  </si>
  <si>
    <t>CRUZ VARELA JORGE ARMANDO</t>
  </si>
  <si>
    <t xml:space="preserve">3158780        </t>
  </si>
  <si>
    <t>RAMOS MORENO MAURICIO</t>
  </si>
  <si>
    <t>SUBASTA</t>
  </si>
  <si>
    <t xml:space="preserve">4252280        </t>
  </si>
  <si>
    <t>DIAZ FUENTES NILSON</t>
  </si>
  <si>
    <t xml:space="preserve">70303177       </t>
  </si>
  <si>
    <t>HENAO MARTINEZ ORLANDO</t>
  </si>
  <si>
    <t xml:space="preserve">3159567        </t>
  </si>
  <si>
    <t>SARMIENTO  EMILSON</t>
  </si>
  <si>
    <t xml:space="preserve">7223456        </t>
  </si>
  <si>
    <t>AVELLANEDA JULIO ANTONIO</t>
  </si>
  <si>
    <t xml:space="preserve">80277771       </t>
  </si>
  <si>
    <t>YATE JOSE VICENTE</t>
  </si>
  <si>
    <t xml:space="preserve">80351964       </t>
  </si>
  <si>
    <t>GONZALEZ GUTIERREZ LUIS ADOLFO</t>
  </si>
  <si>
    <t xml:space="preserve">3085945        </t>
  </si>
  <si>
    <t>ENCISO TORRIJOS MARCO ANTONIO</t>
  </si>
  <si>
    <t xml:space="preserve">80283261       </t>
  </si>
  <si>
    <t>BOGOTA BELTRAN CARLOS IGNACIO</t>
  </si>
  <si>
    <t xml:space="preserve">35250577       </t>
  </si>
  <si>
    <t>RODRIGUEZ BERNAL SANDRA</t>
  </si>
  <si>
    <t xml:space="preserve">80276442       </t>
  </si>
  <si>
    <t>HERRERA CRUZ LUIS CARLOS</t>
  </si>
  <si>
    <t xml:space="preserve">18104078       </t>
  </si>
  <si>
    <t>VALLEJO MANCHABAJOY ISAI</t>
  </si>
  <si>
    <t xml:space="preserve">4090572        </t>
  </si>
  <si>
    <t>AMADO ALDANA CARLOS MANUEL</t>
  </si>
  <si>
    <t xml:space="preserve">19389409       </t>
  </si>
  <si>
    <t>MENDOZA HERRERA RUPERTO</t>
  </si>
  <si>
    <t xml:space="preserve">7305425        </t>
  </si>
  <si>
    <t>GONZALEZ PARRA MIGUEL ANTONIO</t>
  </si>
  <si>
    <t xml:space="preserve">79210220       </t>
  </si>
  <si>
    <t>BUITRAGO BOLANOS JOSE GUSTAVO</t>
  </si>
  <si>
    <t xml:space="preserve">16186421       </t>
  </si>
  <si>
    <t>BARON HOYOS ELVER</t>
  </si>
  <si>
    <t xml:space="preserve">16191524       </t>
  </si>
  <si>
    <t>SON MONTAÑA ELIAS</t>
  </si>
  <si>
    <t xml:space="preserve">4198272        </t>
  </si>
  <si>
    <t>AMADO ALDANA LUIS JAVIER</t>
  </si>
  <si>
    <t xml:space="preserve">18385749       </t>
  </si>
  <si>
    <t>ROMERO PULIDO WILSON</t>
  </si>
  <si>
    <t xml:space="preserve">12231586       </t>
  </si>
  <si>
    <t>DELGADO VELA MANUEL ANTONIO</t>
  </si>
  <si>
    <t xml:space="preserve">93131041       </t>
  </si>
  <si>
    <t>VESGA  ALVARO</t>
  </si>
  <si>
    <t xml:space="preserve">13616258       </t>
  </si>
  <si>
    <t>ARIZA  CARLOS HOOVER</t>
  </si>
  <si>
    <t xml:space="preserve">1049794120     </t>
  </si>
  <si>
    <t>SALGADO SARMIENTO RODRIGO</t>
  </si>
  <si>
    <t xml:space="preserve">18144684       </t>
  </si>
  <si>
    <t>VARGAS ANGULO HUGO ALBERTO</t>
  </si>
  <si>
    <t xml:space="preserve">1083686504     </t>
  </si>
  <si>
    <t>CAMPAÑA PINEDA GERSON</t>
  </si>
  <si>
    <t xml:space="preserve">83042067       </t>
  </si>
  <si>
    <t>CUELLAR NAVEROS JUAN CARLOS</t>
  </si>
  <si>
    <t xml:space="preserve">16864143       </t>
  </si>
  <si>
    <t>GONZALEZ RODRIGUEZ HECTOR FABIO</t>
  </si>
  <si>
    <t xml:space="preserve">93287188       </t>
  </si>
  <si>
    <t>ARIAS  ERNESTO</t>
  </si>
  <si>
    <t xml:space="preserve">1062292334     </t>
  </si>
  <si>
    <t>CAMAYO QUINTANA LEIDY JULIETH</t>
  </si>
  <si>
    <t xml:space="preserve">1054554487     </t>
  </si>
  <si>
    <t>MEDINA CARDONA MIGUEL ANTONIO</t>
  </si>
  <si>
    <t>EN SIBERIA EN REPARACION</t>
  </si>
  <si>
    <t xml:space="preserve">1126452165     </t>
  </si>
  <si>
    <t>ARMERO MUESES YONATAN VARNEY</t>
  </si>
  <si>
    <t xml:space="preserve">93152963       </t>
  </si>
  <si>
    <t>ACOSTA SAIDIZA MAURICIO</t>
  </si>
  <si>
    <t xml:space="preserve">82394480       </t>
  </si>
  <si>
    <t>ROMERO TORRES ROLANDO JAVIER</t>
  </si>
  <si>
    <t xml:space="preserve">3273085        </t>
  </si>
  <si>
    <t>BUITRAGO ORJUELA OMAR ARNULFO</t>
  </si>
  <si>
    <t xml:space="preserve">1120352593     </t>
  </si>
  <si>
    <t>HERNANDEZ LOAIZA JOHN FREDDY</t>
  </si>
  <si>
    <t xml:space="preserve">74280490       </t>
  </si>
  <si>
    <t>HERRERA  DANIEL HUGO</t>
  </si>
  <si>
    <t xml:space="preserve">5969303        </t>
  </si>
  <si>
    <t>AROCA ROMERO JOSE FILADELFO</t>
  </si>
  <si>
    <t xml:space="preserve">11255578       </t>
  </si>
  <si>
    <t>CASTILLO CASTILLO OSCAR ANTONIO</t>
  </si>
  <si>
    <t>EDWAR GONZALEZ</t>
  </si>
  <si>
    <t xml:space="preserve">80730783       </t>
  </si>
  <si>
    <t>DIAZ  FREDY</t>
  </si>
  <si>
    <t xml:space="preserve">80021718       </t>
  </si>
  <si>
    <t>ROJAS PEÑA HECTOR EDILSON</t>
  </si>
  <si>
    <t xml:space="preserve">79263601       </t>
  </si>
  <si>
    <t>VENTURA GARZON JACINTO ANTONIO</t>
  </si>
  <si>
    <t xml:space="preserve">6009148        </t>
  </si>
  <si>
    <t>CELY VARGAS HECTOR HERNAN</t>
  </si>
  <si>
    <t xml:space="preserve">80266206       </t>
  </si>
  <si>
    <t>JIMENEZ CUERVO JUAN DE JESUS</t>
  </si>
  <si>
    <t xml:space="preserve">6667772        </t>
  </si>
  <si>
    <t>CASTAÑO DUARTE CAMILO HUMBERTO</t>
  </si>
  <si>
    <t xml:space="preserve">74858565       </t>
  </si>
  <si>
    <t>VELAZCO RINCON UVALDO</t>
  </si>
  <si>
    <t xml:space="preserve">11320273       </t>
  </si>
  <si>
    <t>PERDOMO TRUJILLO GABRIEL</t>
  </si>
  <si>
    <t xml:space="preserve">79119755       </t>
  </si>
  <si>
    <t>ALFEREZ  ABELARDO</t>
  </si>
  <si>
    <t xml:space="preserve">80004213       </t>
  </si>
  <si>
    <t>MEDINA MEDINA JOSE ANGEL</t>
  </si>
  <si>
    <t xml:space="preserve">79734086       </t>
  </si>
  <si>
    <t>CORDERO MOJICA JULIO ARMANDO</t>
  </si>
  <si>
    <t xml:space="preserve">80397293       </t>
  </si>
  <si>
    <t>PENAGOS VALERIANO JUAN CARLOS</t>
  </si>
  <si>
    <t>ALIRIO CUERVO</t>
  </si>
  <si>
    <t xml:space="preserve">1068972221     </t>
  </si>
  <si>
    <t>ARCHILA HORTUA WILMER FERNEY</t>
  </si>
  <si>
    <t>JOSE RUIZ</t>
  </si>
  <si>
    <t>Sin asingación - varado</t>
  </si>
  <si>
    <t xml:space="preserve">14229215       </t>
  </si>
  <si>
    <t>PEÑA FERIA JOSE PARMENIO</t>
  </si>
  <si>
    <t xml:space="preserve">51856228       </t>
  </si>
  <si>
    <t>PARRA CASTILLO MARIA NANCY</t>
  </si>
  <si>
    <t xml:space="preserve">16186973       </t>
  </si>
  <si>
    <t>MONTOYA MADRID LORENZO DE JESUS</t>
  </si>
  <si>
    <t>WILLIAM ARCINIEGAS</t>
  </si>
  <si>
    <t>JEISON ROJAS</t>
  </si>
  <si>
    <t>JAIME JIMENEZ</t>
  </si>
  <si>
    <t xml:space="preserve">17842923       </t>
  </si>
  <si>
    <t>MORENO GAMEZ CARLOS ANTONIO</t>
  </si>
  <si>
    <t xml:space="preserve">72196317       </t>
  </si>
  <si>
    <t>LLERENA ARRIETA LUIS RAMIRO</t>
  </si>
  <si>
    <t>NELSONMARAQUEZ</t>
  </si>
  <si>
    <t xml:space="preserve">JUAN CAMAÑO </t>
  </si>
  <si>
    <t xml:space="preserve">ANDRES  SIERRA </t>
  </si>
  <si>
    <t>CARLOS ESPINOZA</t>
  </si>
  <si>
    <t xml:space="preserve">91213004       </t>
  </si>
  <si>
    <t>MEDINA CACERES WILLIAM</t>
  </si>
  <si>
    <t>francisco gonzalez</t>
  </si>
  <si>
    <t xml:space="preserve">LEONARDO QUIROGA </t>
  </si>
  <si>
    <t>LUIS EMIRO GONZALEZ MULETT</t>
  </si>
  <si>
    <t xml:space="preserve">JUA DANIEL </t>
  </si>
  <si>
    <t xml:space="preserve">YULDER SALAS </t>
  </si>
  <si>
    <t>DAVIDA AGUILAR</t>
  </si>
  <si>
    <t>ALEXANDER PACHECO GALINDO</t>
  </si>
  <si>
    <t>JHON DIAZ</t>
  </si>
  <si>
    <t>PEDRO MARTINEZ</t>
  </si>
  <si>
    <t xml:space="preserve">73559455       </t>
  </si>
  <si>
    <t>MONTES CASTANO MARIO RAFAEL</t>
  </si>
  <si>
    <t xml:space="preserve">73126502       </t>
  </si>
  <si>
    <t>ESCALANTE CORDOBA ALFONSO</t>
  </si>
  <si>
    <t>JOSE LUIS VERGARA ACOSTA</t>
  </si>
  <si>
    <t>FRANK RAMIRO QUINTANA</t>
  </si>
  <si>
    <t>JULIO SIERRA</t>
  </si>
  <si>
    <t>YONIS SALGADO</t>
  </si>
  <si>
    <t xml:space="preserve">72137594       </t>
  </si>
  <si>
    <t>RODRIGUEZ MARAÑON ELVER DE JESUS</t>
  </si>
  <si>
    <t>JAVIER FLORES</t>
  </si>
  <si>
    <t>EDUARDO LUIS MATTOS BOLAÑOS</t>
  </si>
  <si>
    <t>ELIECER BOTELLO MEJIA</t>
  </si>
  <si>
    <t xml:space="preserve">73507193       </t>
  </si>
  <si>
    <t>PEREZ VALENTIN ALFONSO JOSE</t>
  </si>
  <si>
    <t xml:space="preserve">EDAGRDO  ELIAS ESCOBAR </t>
  </si>
  <si>
    <t xml:space="preserve">CARALOS  GONZALEZ EMPLEADO </t>
  </si>
  <si>
    <t xml:space="preserve">92543124       </t>
  </si>
  <si>
    <t>PEÑA TORRES MAURICIO</t>
  </si>
  <si>
    <t>HUMBERTO MIGUEL GONZALEZ VERGARA</t>
  </si>
  <si>
    <t>ADALBERTO SEGURA ARANZALEZ</t>
  </si>
  <si>
    <t>RODOLFO BELTRAN PATERNINA</t>
  </si>
  <si>
    <t xml:space="preserve">SIN ASIGNAR  </t>
  </si>
  <si>
    <t xml:space="preserve">91177584       </t>
  </si>
  <si>
    <t>BARAJAS NOCOVE ENRIQUE</t>
  </si>
  <si>
    <t xml:space="preserve">78033625       </t>
  </si>
  <si>
    <t>CHICA HERNANDEZ RICHARD DOMINGO</t>
  </si>
  <si>
    <t xml:space="preserve">92520690       </t>
  </si>
  <si>
    <t xml:space="preserve">26229305       </t>
  </si>
  <si>
    <t>JIMENEZ CORREA MARTA LUZ</t>
  </si>
  <si>
    <t xml:space="preserve">85477397       </t>
  </si>
  <si>
    <t>MORENO DE LUQUE CARLOS JOSE</t>
  </si>
  <si>
    <t>LEONEL ORTIZ</t>
  </si>
  <si>
    <t xml:space="preserve">73079740       </t>
  </si>
  <si>
    <t>MORENO LORA YESID DE JESUS</t>
  </si>
  <si>
    <t xml:space="preserve">RICHAR CHICA </t>
  </si>
  <si>
    <t xml:space="preserve">1103101503     </t>
  </si>
  <si>
    <t>FLOREZ LORA JAVIER ELIAS</t>
  </si>
  <si>
    <t xml:space="preserve">1101440685     </t>
  </si>
  <si>
    <t>MENDOZA FLOREZ ALI FERNEI</t>
  </si>
  <si>
    <t xml:space="preserve">15047548       </t>
  </si>
  <si>
    <t>MORENO ZUÑIGA EDISON JOSE</t>
  </si>
  <si>
    <t xml:space="preserve">91288772       </t>
  </si>
  <si>
    <t>MOLINA TAPIAS JOSE FELIX</t>
  </si>
  <si>
    <t xml:space="preserve">JORGE SOLANO </t>
  </si>
  <si>
    <t>JOSE FELIX MOLINA TAPIAS</t>
  </si>
  <si>
    <t xml:space="preserve">77191750       </t>
  </si>
  <si>
    <t>BOTELLO MEJIA ELIECER</t>
  </si>
  <si>
    <t>CARLOS GONAZALEZ</t>
  </si>
  <si>
    <t xml:space="preserve">63316163       </t>
  </si>
  <si>
    <t>PARDO BLANCO ELIZABETH</t>
  </si>
  <si>
    <t xml:space="preserve">91136131       </t>
  </si>
  <si>
    <t>PAEZ OLARTE EDINSON</t>
  </si>
  <si>
    <t xml:space="preserve">88158577       </t>
  </si>
  <si>
    <t>ESPINOSA SERRANO MIGUEL ANGEL</t>
  </si>
  <si>
    <t xml:space="preserve">88275004       </t>
  </si>
  <si>
    <t>TORRES CONTRERAS JHONATAN GABRIEL</t>
  </si>
  <si>
    <t xml:space="preserve">1117502076     </t>
  </si>
  <si>
    <t>GOMEZ VARGAS ERWIN MAURICIO</t>
  </si>
  <si>
    <t xml:space="preserve">91272730       </t>
  </si>
  <si>
    <t>SUAREZ  ROQUE ULIO</t>
  </si>
  <si>
    <t xml:space="preserve">13494934       </t>
  </si>
  <si>
    <t>MALDONADO WILCHES CARLOS ANIBAL</t>
  </si>
  <si>
    <t xml:space="preserve">NORBERTO AFANDAOR </t>
  </si>
  <si>
    <t xml:space="preserve">TECNICOS </t>
  </si>
  <si>
    <t xml:space="preserve">91179385       </t>
  </si>
  <si>
    <t>CALDERON PORRAS ORLANDO</t>
  </si>
  <si>
    <t xml:space="preserve">88273778       </t>
  </si>
  <si>
    <t>VILLAMIZAR SANCHEZ JHON JAIRO</t>
  </si>
  <si>
    <t xml:space="preserve">ERWIN BARAJAS </t>
  </si>
  <si>
    <t>PEDRO TOLOZA</t>
  </si>
  <si>
    <t xml:space="preserve">FREDY CAR4DENAS </t>
  </si>
  <si>
    <t>norberto chinchilla</t>
  </si>
  <si>
    <t>BLADIMIR</t>
  </si>
  <si>
    <t>CARLOS MALDONADO</t>
  </si>
  <si>
    <t xml:space="preserve">ORLANDO CALDERON </t>
  </si>
  <si>
    <t>FABIAN  PINZON</t>
  </si>
  <si>
    <t xml:space="preserve">91222539       </t>
  </si>
  <si>
    <t>PABON MORENO SAUL</t>
  </si>
  <si>
    <t xml:space="preserve">88157654       </t>
  </si>
  <si>
    <t>ESPINOSA SERRANO FERNELDY ANTONIO</t>
  </si>
  <si>
    <t xml:space="preserve">91178985       </t>
  </si>
  <si>
    <t>SUAREZ GALVIS ALFREDO</t>
  </si>
  <si>
    <t xml:space="preserve">13702886       </t>
  </si>
  <si>
    <t>SANABRIA ACEVEDO JUAN MANUEL</t>
  </si>
  <si>
    <t xml:space="preserve">13862691       </t>
  </si>
  <si>
    <t>ROJAS  JOSE</t>
  </si>
  <si>
    <t xml:space="preserve">1090397527     </t>
  </si>
  <si>
    <t>MARQUEZ OROZCO NELSON AYRTOM</t>
  </si>
  <si>
    <t xml:space="preserve">13701254       </t>
  </si>
  <si>
    <t>SUAREZ  JOSE MANUEL</t>
  </si>
  <si>
    <t xml:space="preserve">91540489       </t>
  </si>
  <si>
    <t>PINZON URIBE FABIAN ANDRES</t>
  </si>
  <si>
    <t xml:space="preserve">37726719       </t>
  </si>
  <si>
    <t>ALVAREZ ROJAS ALEXANDRA</t>
  </si>
  <si>
    <t xml:space="preserve">91266362       </t>
  </si>
  <si>
    <t>ROJAS BARRAGAN ONOFRE</t>
  </si>
  <si>
    <t xml:space="preserve">91179643       </t>
  </si>
  <si>
    <t>HERNANDEZ JIMENEZ SERGIO</t>
  </si>
  <si>
    <t>ALVARO</t>
  </si>
  <si>
    <t>SERGIO SANCHEZ</t>
  </si>
  <si>
    <t xml:space="preserve">JOSE ANGARITA </t>
  </si>
  <si>
    <t xml:space="preserve">91451576       </t>
  </si>
  <si>
    <t>PIMIENTO BELTRAN GABRIEL</t>
  </si>
  <si>
    <t xml:space="preserve">5689927        </t>
  </si>
  <si>
    <t>RANGEL CAMACHO HECTOR</t>
  </si>
  <si>
    <t>OMAR MELENDEZ</t>
  </si>
  <si>
    <t>OMAR BETANCOURT</t>
  </si>
  <si>
    <t xml:space="preserve">1101204909     </t>
  </si>
  <si>
    <t>LUNA RINCON HELMER XAVIER</t>
  </si>
  <si>
    <t xml:space="preserve">71053866       </t>
  </si>
  <si>
    <t>GOMEZ MONTOYA RAFAEL IGNACIO</t>
  </si>
  <si>
    <t xml:space="preserve">71747063       </t>
  </si>
  <si>
    <t>BENAVIDES CUELLAR JOSE MANUEL</t>
  </si>
  <si>
    <t xml:space="preserve">71312536       </t>
  </si>
  <si>
    <t>VASCO CANO ROBINSON ANDRES</t>
  </si>
  <si>
    <t xml:space="preserve">71174894       </t>
  </si>
  <si>
    <t>PALACIO MARIN JOSE ALEXANDER</t>
  </si>
  <si>
    <t xml:space="preserve">8101796        </t>
  </si>
  <si>
    <t>FERRARO HIGUITA DUVER ALVEIRO</t>
  </si>
  <si>
    <t xml:space="preserve">71142360       </t>
  </si>
  <si>
    <t>ARGUMEDO BOHORQUEZ JHON FREDY</t>
  </si>
  <si>
    <t xml:space="preserve">900459366      </t>
  </si>
  <si>
    <t>GLP LOGISTICA SAS</t>
  </si>
  <si>
    <t xml:space="preserve">8435389        </t>
  </si>
  <si>
    <t>HIGUITA BETANCUR FERNEY ANTONIO</t>
  </si>
  <si>
    <t xml:space="preserve">71172414       </t>
  </si>
  <si>
    <t>MARIN ACEVEDO HECTOR EDUARDO</t>
  </si>
  <si>
    <t xml:space="preserve">1023722736     </t>
  </si>
  <si>
    <t>AVENDAÑO RODAS JULIAN ESTEBAN</t>
  </si>
  <si>
    <t xml:space="preserve">71215358       </t>
  </si>
  <si>
    <t>GUZMAN CHAVISTA HECTOR</t>
  </si>
  <si>
    <t xml:space="preserve">8458310        </t>
  </si>
  <si>
    <t>RESTREPO CHALARCA RUBEN DE JESUS</t>
  </si>
  <si>
    <t xml:space="preserve">1036942800     </t>
  </si>
  <si>
    <t>OCAMPO ALARCON JONATHAN</t>
  </si>
  <si>
    <t xml:space="preserve">901269856      </t>
  </si>
  <si>
    <t>SERVIGAS A SU SERVICIO SAS</t>
  </si>
  <si>
    <t xml:space="preserve">15342410       </t>
  </si>
  <si>
    <t>AGUDELO BOTERO OSCAR ALONSO</t>
  </si>
  <si>
    <t xml:space="preserve">1039696881     </t>
  </si>
  <si>
    <t>MUNERA CIRO DANIEL</t>
  </si>
  <si>
    <t>UBER ALONSO ORTEGA</t>
  </si>
  <si>
    <t xml:space="preserve">94262420       </t>
  </si>
  <si>
    <t>MARTINEZ MONTOYA JUAN CARLOS</t>
  </si>
  <si>
    <t xml:space="preserve">10484782       </t>
  </si>
  <si>
    <t>SANDOVAL  JAIRO ORLANDO</t>
  </si>
  <si>
    <t xml:space="preserve">88275315       </t>
  </si>
  <si>
    <t>SANDOVAL GUTIERREZ FABIAN ALEXIS</t>
  </si>
  <si>
    <t xml:space="preserve">10488839       </t>
  </si>
  <si>
    <t>MUÑOZ CANO ALVEIRO</t>
  </si>
  <si>
    <t>ALEXIS CALERO</t>
  </si>
  <si>
    <t>DAVINSON PINZON</t>
  </si>
  <si>
    <t>HARVI PEÑA</t>
  </si>
  <si>
    <t>JOSE DUVAN LONDOÑO GIRALDO</t>
  </si>
  <si>
    <t>RICARDO ALONSO PEREZ RODRIGUEZ</t>
  </si>
  <si>
    <t>FRANCISCO JAVIER MARTINEZ</t>
  </si>
  <si>
    <t>JUAN CARLOS RAMIREZ HURTADO</t>
  </si>
  <si>
    <t>CESAR RAMIREZ NOREÑA</t>
  </si>
  <si>
    <t>SAMIR CAMACHO</t>
  </si>
  <si>
    <t>NELSON VELANDIA PALACIOS</t>
  </si>
  <si>
    <t>PABLO CESAR CARABALI</t>
  </si>
  <si>
    <t>PENDIENTE ASIGNACION</t>
  </si>
  <si>
    <t>BACKUP EQUIRENT</t>
  </si>
  <si>
    <t>MATEO SIERRA</t>
  </si>
  <si>
    <t>AZAEL MEDINA</t>
  </si>
  <si>
    <t>HAROLD ARROYAVE</t>
  </si>
  <si>
    <t>JESUS GUAMANGA</t>
  </si>
  <si>
    <t>MARIO JAIR TORREZ CAICEDO</t>
  </si>
  <si>
    <t>GABRIEL RAMIREZ GARCIA</t>
  </si>
  <si>
    <t>GUILLERMO PIALEJO</t>
  </si>
  <si>
    <t xml:space="preserve">15920401       </t>
  </si>
  <si>
    <t>MARTINEZ MORALES JHON JAIRO</t>
  </si>
  <si>
    <t xml:space="preserve">15896671       </t>
  </si>
  <si>
    <t>CARDONA CASTAÑO HUMBERTO</t>
  </si>
  <si>
    <t xml:space="preserve">96359555       </t>
  </si>
  <si>
    <t>ECHEVERRI MOLINA JULIAN DE JESUS</t>
  </si>
  <si>
    <t xml:space="preserve">75074760       </t>
  </si>
  <si>
    <t>MUNOZ OSORIO FERNAN ALONSO</t>
  </si>
  <si>
    <t xml:space="preserve">9910443        </t>
  </si>
  <si>
    <t>CRUZ MEJIA YONIER ANDREY</t>
  </si>
  <si>
    <t xml:space="preserve">14471042       </t>
  </si>
  <si>
    <t>YEPES USUGA JOAQUIN ALONSO</t>
  </si>
  <si>
    <t>FARIT GONZALEZ</t>
  </si>
  <si>
    <t xml:space="preserve">24835836       </t>
  </si>
  <si>
    <t>LOPEZ DE AGUIRRE RUBELIA</t>
  </si>
  <si>
    <t xml:space="preserve">10315862       </t>
  </si>
  <si>
    <t>GIRON IMBACHI YIMI ALBERTO</t>
  </si>
  <si>
    <t xml:space="preserve">9696643        </t>
  </si>
  <si>
    <t>TORO PESCADOR JULIAN ANDRES</t>
  </si>
  <si>
    <t xml:space="preserve">6110295        </t>
  </si>
  <si>
    <t>ALFONSO GUERRERO RAUL</t>
  </si>
  <si>
    <t xml:space="preserve">94265425       </t>
  </si>
  <si>
    <t>CASTAÑEDA ANAYA VICTOR MANUEL</t>
  </si>
  <si>
    <t xml:space="preserve">18531333       </t>
  </si>
  <si>
    <t>LOPEZ MUNOZ JOSE DUVAN</t>
  </si>
  <si>
    <t>LUIS FERNANDO CANCHIMBO</t>
  </si>
  <si>
    <t xml:space="preserve">1111745154     </t>
  </si>
  <si>
    <t>RUIZ JIMENEZ DARIO ERNESTO</t>
  </si>
  <si>
    <t xml:space="preserve">4613715        </t>
  </si>
  <si>
    <t>CAMAYO PAME JOSE ELIAS</t>
  </si>
  <si>
    <t xml:space="preserve">16460421       </t>
  </si>
  <si>
    <t>RAMOS GALLEGO WILMER</t>
  </si>
  <si>
    <t xml:space="preserve">1093217151     </t>
  </si>
  <si>
    <t>BERMUDEZ BARBOSA DAVID ANDRES</t>
  </si>
  <si>
    <t xml:space="preserve">18531114       </t>
  </si>
  <si>
    <t>LOPEZ MUNOZ JOSE GERMAN</t>
  </si>
  <si>
    <t xml:space="preserve">18596221       </t>
  </si>
  <si>
    <t>RAMIREZ LLANO JORGE WILSON</t>
  </si>
  <si>
    <t xml:space="preserve">805005148      </t>
  </si>
  <si>
    <t>YUMBOGAS SAS</t>
  </si>
  <si>
    <t>VICTOR MOLINA</t>
  </si>
  <si>
    <t xml:space="preserve">15989735       </t>
  </si>
  <si>
    <t>ALFONSO VALENCIA ORLANDO DAVID</t>
  </si>
  <si>
    <t xml:space="preserve">16669313       </t>
  </si>
  <si>
    <t>RINCON LONDONO OCTAVIO</t>
  </si>
  <si>
    <t>YAMIT GIRON</t>
  </si>
  <si>
    <t xml:space="preserve">6157942        </t>
  </si>
  <si>
    <t>OCORO MONTAÑO CARLOS ARTURO</t>
  </si>
  <si>
    <t xml:space="preserve">18592123       </t>
  </si>
  <si>
    <t>TAMAYO HURTADO VICTOR MARIO</t>
  </si>
  <si>
    <t xml:space="preserve">76331539       </t>
  </si>
  <si>
    <t>VICTORIA LUBO WILMER JOSE</t>
  </si>
  <si>
    <t xml:space="preserve">10555516       </t>
  </si>
  <si>
    <t>DIAZ ROJAS RAMON ALBERTO</t>
  </si>
  <si>
    <t>CARLOS BEDOYA</t>
  </si>
  <si>
    <t xml:space="preserve">10292388       </t>
  </si>
  <si>
    <t>LOPEZ HURTADO RAFAEL ANTONIO</t>
  </si>
  <si>
    <t xml:space="preserve">66679645       </t>
  </si>
  <si>
    <t>DOSMAN REBELLON MARIA SORLEY</t>
  </si>
  <si>
    <t>FERNANDO CUENCA</t>
  </si>
  <si>
    <t xml:space="preserve">7545517        </t>
  </si>
  <si>
    <t>ORTEGA LOPEZ MARTIN FABIO</t>
  </si>
  <si>
    <t xml:space="preserve">12168724       </t>
  </si>
  <si>
    <t>MUÑOZ GUERRERO LUIS EDUARDO</t>
  </si>
  <si>
    <t xml:space="preserve">18415903       </t>
  </si>
  <si>
    <t>JARAMILLO CASTILLO JOSE FERNANDO</t>
  </si>
  <si>
    <t xml:space="preserve">75099432       </t>
  </si>
  <si>
    <t>RAMIREZ GARCIA GABRIEL</t>
  </si>
  <si>
    <t xml:space="preserve">16553709       </t>
  </si>
  <si>
    <t>CARDONA MEJIA OSCAR ADOLFO</t>
  </si>
  <si>
    <t xml:space="preserve">16052848       </t>
  </si>
  <si>
    <t>RIOS  JOSE BENICIO</t>
  </si>
  <si>
    <t xml:space="preserve">94419930       </t>
  </si>
  <si>
    <t>SANTIAGO ROSERO LEANDRO</t>
  </si>
  <si>
    <t xml:space="preserve">1111739602     </t>
  </si>
  <si>
    <t>ARIAS ACEVEDO VICTOR ALFONSO</t>
  </si>
  <si>
    <t>FREDY MEJIA</t>
  </si>
  <si>
    <t xml:space="preserve">16843578       </t>
  </si>
  <si>
    <t>FAJARDO URCUE EYSEN HOOBER</t>
  </si>
  <si>
    <t xml:space="preserve">16214926       </t>
  </si>
  <si>
    <t>CORREA RESTREPO JUAN CARLOS</t>
  </si>
  <si>
    <t xml:space="preserve">10532222       </t>
  </si>
  <si>
    <t>OROZCO PEREZ JORGE DE JESUS</t>
  </si>
  <si>
    <t>YHONATAN JARAMILLO</t>
  </si>
  <si>
    <t xml:space="preserve">94228120       </t>
  </si>
  <si>
    <t>MENDEZ LIBREROS FREDDY</t>
  </si>
  <si>
    <t>JAUNIER MARIN</t>
  </si>
  <si>
    <t xml:space="preserve">76323227       </t>
  </si>
  <si>
    <t>PAPAMIJA TANDIOY SEGUNDO GERARDO</t>
  </si>
  <si>
    <t xml:space="preserve">16456104       </t>
  </si>
  <si>
    <t>CAMAYO HERRERA FREDY</t>
  </si>
  <si>
    <t xml:space="preserve">16458005       </t>
  </si>
  <si>
    <t>ORTEGON SANCHEZ JHON JAIRO</t>
  </si>
  <si>
    <t xml:space="preserve">94420019       </t>
  </si>
  <si>
    <t>SANTIAGO ROSERO LUIS FERNANDO</t>
  </si>
  <si>
    <t xml:space="preserve">76211412       </t>
  </si>
  <si>
    <t>MENDEZ HOYOS MAURO</t>
  </si>
  <si>
    <t xml:space="preserve">18615735       </t>
  </si>
  <si>
    <t>GOMEZ ARIAS HERNAN</t>
  </si>
  <si>
    <t xml:space="preserve">89009557       </t>
  </si>
  <si>
    <t>SERNA SOTO ANIBAL</t>
  </si>
  <si>
    <t xml:space="preserve">16225682       </t>
  </si>
  <si>
    <t>AGUDELO MONCADA LUIS ORLANDO</t>
  </si>
  <si>
    <t xml:space="preserve">16479359       </t>
  </si>
  <si>
    <t>ARBOLEDA CORDOBA JOSE NIEVE</t>
  </si>
  <si>
    <t xml:space="preserve">94406762       </t>
  </si>
  <si>
    <t>DIAZ LEMUS ROBINSON ALBERTO</t>
  </si>
  <si>
    <t xml:space="preserve">MOVIMIENTOS INTERNOS PLANTA </t>
  </si>
  <si>
    <t xml:space="preserve">94373864       </t>
  </si>
  <si>
    <t>ZUBIETA  CARLOS ALBERTO</t>
  </si>
  <si>
    <t>WILLIAN USA</t>
  </si>
  <si>
    <t>ALVARO DE JESUS DURANGO ACEVEDO</t>
  </si>
  <si>
    <t>URIEL QUIROZ</t>
  </si>
  <si>
    <t>KEVIN ANDRES IBARRA</t>
  </si>
  <si>
    <t xml:space="preserve">18416624       </t>
  </si>
  <si>
    <t>GARCIA LONDONO JAIRO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</si>
</sst>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0"/>
      <color theme="0"/>
      <name val="Arial Narrow"/>
      <family val="2"/>
    </font>
    <font>
      <b/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0" fontId="2" fillId="6" borderId="0" xfId="0" quotePrefix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3" fontId="2" fillId="4" borderId="0" xfId="0" quotePrefix="1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right"/>
    </xf>
    <xf numFmtId="164" fontId="0" fillId="0" borderId="1" xfId="0" applyNumberFormat="1" applyBorder="1"/>
    <xf numFmtId="10" fontId="0" fillId="0" borderId="1" xfId="0" applyNumberFormat="1" applyBorder="1"/>
    <xf numFmtId="3" fontId="1" fillId="0" borderId="1" xfId="0" applyNumberFormat="1" applyFont="1" applyBorder="1"/>
    <xf numFmtId="3" fontId="0" fillId="0" borderId="1" xfId="0" applyNumberFormat="1" applyBorder="1"/>
    <xf numFmtId="0" fontId="1" fillId="0" borderId="1" xfId="0" applyFont="1" applyBorder="1" applyAlignment="1">
      <alignment horizontal="right"/>
    </xf>
    <xf numFmtId="0" fontId="1" fillId="0" borderId="1" xfId="0" quotePrefix="1" applyFont="1" applyBorder="1" applyAlignment="1">
      <alignment horizontal="left"/>
    </xf>
    <xf numFmtId="0" fontId="0" fillId="8" borderId="1" xfId="0" applyFill="1" applyBorder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/>
    </xf>
    <xf numFmtId="3" fontId="3" fillId="2" borderId="0" xfId="0" applyNumberFormat="1" applyFont="1" applyFill="1"/>
    <xf numFmtId="10" fontId="3" fillId="2" borderId="0" xfId="0" applyNumberFormat="1" applyFont="1" applyFill="1"/>
    <xf numFmtId="1" fontId="3" fillId="2" borderId="0" xfId="0" applyNumberFormat="1" applyFont="1" applyFill="1"/>
    <xf numFmtId="3" fontId="0" fillId="0" borderId="0" xfId="0" applyNumberFormat="1"/>
    <xf numFmtId="14" fontId="0" fillId="0" borderId="0" xfId="0" applyNumberFormat="1"/>
    <xf numFmtId="0" fontId="2" fillId="5" borderId="0" xfId="0" applyFont="1" applyFill="1" applyAlignment="1">
      <alignment horizontal="left" vertical="center"/>
    </xf>
    <xf numFmtId="10" fontId="2" fillId="5" borderId="0" xfId="0" applyNumberFormat="1" applyFont="1" applyFill="1" applyAlignment="1">
      <alignment horizontal="left" vertical="center"/>
    </xf>
    <xf numFmtId="0" fontId="2" fillId="9" borderId="0" xfId="0" quotePrefix="1" applyFont="1" applyFill="1" applyAlignment="1">
      <alignment horizontal="center" vertical="center"/>
    </xf>
    <xf numFmtId="9" fontId="0" fillId="0" borderId="1" xfId="0" applyNumberFormat="1" applyBorder="1"/>
    <xf numFmtId="1" fontId="0" fillId="0" borderId="1" xfId="0" applyNumberFormat="1" applyBorder="1"/>
    <xf numFmtId="3" fontId="1" fillId="0" borderId="1" xfId="0" quotePrefix="1" applyNumberFormat="1" applyFont="1" applyBorder="1" applyAlignment="1">
      <alignment horizontal="left"/>
    </xf>
    <xf numFmtId="9" fontId="3" fillId="2" borderId="0" xfId="0" applyNumberFormat="1" applyFont="1" applyFill="1"/>
  </cellXfs>
  <cellStyles count="1">
    <cellStyle name="Normal" xfId="0" builtinId="0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3" formatCode="0%"/>
      <fill>
        <patternFill patternType="solid">
          <fgColor indexed="64"/>
          <bgColor theme="4" tint="-0.499984740745262"/>
        </patternFill>
      </fill>
    </dxf>
    <dxf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4" tint="-0.499984740745262"/>
        </patternFill>
      </fill>
    </dxf>
    <dxf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theme="4" tint="-0.499984740745262"/>
        </patternFill>
      </fill>
    </dxf>
    <dxf>
      <numFmt numFmtId="3" formatCode="#,##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14" formatCode="0.00%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14" formatCode="0.00%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</dxf>
    <dxf>
      <numFmt numFmtId="164" formatCode="0.0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" formatCode="#,##0"/>
      <fill>
        <patternFill patternType="solid">
          <fgColor indexed="64"/>
          <bgColor theme="4" tint="-0.49998474074526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alignment horizontal="left" vertical="bottom" textRotation="0" wrapText="0" indent="0" justifyLastLine="0" shrinkToFit="0" readingOrder="0"/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border diagonalUp="0" diagonalDown="0" outline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dashed">
          <color theme="0" tint="-0.249977111117893"/>
        </left>
        <right style="dashed">
          <color theme="0" tint="-0.249977111117893"/>
        </right>
        <top style="dashed">
          <color theme="0" tint="-0.249977111117893"/>
        </top>
        <bottom style="dashed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dagas1-my.sharepoint.com/personal/andres_rubiano_empresasgasco_co/Documents/Documentos%20JT/Informes%20Gestion/2022/Trans%20Nacional%20Sep/Inventario%20de%20Vehiculos%20Sept%202022_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dagas1-my.sharepoint.com/personal/andres_rubiano_empresasgasco_co/Documents/Escritorio/ventas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Inventario Vehiculos"/>
      <sheetName val="PESV"/>
      <sheetName val="nov_checklist"/>
      <sheetName val="comparendos"/>
      <sheetName val="idrive"/>
      <sheetName val="tramites"/>
      <sheetName val="costos"/>
      <sheetName val="costoERP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 xml:space="preserve">Cliente factura  </v>
          </cell>
          <cell r="O1" t="str">
            <v xml:space="preserve">Peso en KG    </v>
          </cell>
        </row>
        <row r="2">
          <cell r="F2" t="str">
            <v xml:space="preserve">804002825      </v>
          </cell>
          <cell r="O2">
            <v>6900</v>
          </cell>
        </row>
        <row r="3">
          <cell r="F3" t="str">
            <v xml:space="preserve">901175206      </v>
          </cell>
          <cell r="O3">
            <v>2479.8000000000002</v>
          </cell>
        </row>
        <row r="4">
          <cell r="F4" t="str">
            <v xml:space="preserve">901175206      </v>
          </cell>
          <cell r="O4">
            <v>973.8</v>
          </cell>
        </row>
        <row r="5">
          <cell r="F5" t="str">
            <v xml:space="preserve">901175206      </v>
          </cell>
          <cell r="O5">
            <v>1869</v>
          </cell>
        </row>
        <row r="6">
          <cell r="F6" t="str">
            <v xml:space="preserve">901020967      </v>
          </cell>
          <cell r="O6">
            <v>4040</v>
          </cell>
        </row>
        <row r="7">
          <cell r="F7" t="str">
            <v xml:space="preserve">51958738       </v>
          </cell>
          <cell r="O7">
            <v>447.58</v>
          </cell>
        </row>
        <row r="8">
          <cell r="F8" t="str">
            <v xml:space="preserve">800051929      </v>
          </cell>
          <cell r="O8">
            <v>249.69</v>
          </cell>
        </row>
        <row r="9">
          <cell r="F9" t="str">
            <v xml:space="preserve">830002131      </v>
          </cell>
          <cell r="O9">
            <v>26.49</v>
          </cell>
        </row>
        <row r="10">
          <cell r="F10" t="str">
            <v xml:space="preserve">830002131      </v>
          </cell>
          <cell r="O10">
            <v>26.49</v>
          </cell>
        </row>
        <row r="11">
          <cell r="F11" t="str">
            <v xml:space="preserve">830101778      </v>
          </cell>
          <cell r="O11">
            <v>486.29</v>
          </cell>
        </row>
        <row r="12">
          <cell r="F12" t="str">
            <v xml:space="preserve">860008940      </v>
          </cell>
          <cell r="O12">
            <v>200.89</v>
          </cell>
        </row>
        <row r="13">
          <cell r="F13" t="str">
            <v xml:space="preserve">860033045      </v>
          </cell>
          <cell r="O13">
            <v>1292.0999999999999</v>
          </cell>
        </row>
        <row r="14">
          <cell r="F14" t="str">
            <v xml:space="preserve">860033045      </v>
          </cell>
          <cell r="O14">
            <v>314.43</v>
          </cell>
        </row>
        <row r="15">
          <cell r="F15" t="str">
            <v xml:space="preserve">800167200      </v>
          </cell>
          <cell r="O15">
            <v>1637.2</v>
          </cell>
        </row>
        <row r="16">
          <cell r="F16" t="str">
            <v xml:space="preserve">830010738      </v>
          </cell>
          <cell r="O16">
            <v>1858.8</v>
          </cell>
        </row>
        <row r="17">
          <cell r="F17" t="str">
            <v xml:space="preserve">800049083      </v>
          </cell>
          <cell r="O17">
            <v>670</v>
          </cell>
        </row>
        <row r="18">
          <cell r="F18" t="str">
            <v xml:space="preserve">860518811      </v>
          </cell>
          <cell r="O18">
            <v>1008.3</v>
          </cell>
        </row>
        <row r="19">
          <cell r="F19" t="str">
            <v xml:space="preserve">860518811      </v>
          </cell>
          <cell r="O19">
            <v>1592.6</v>
          </cell>
        </row>
        <row r="20">
          <cell r="F20" t="str">
            <v xml:space="preserve">900497538      </v>
          </cell>
          <cell r="O20">
            <v>2850.3</v>
          </cell>
        </row>
        <row r="21">
          <cell r="F21" t="str">
            <v xml:space="preserve">900754843      </v>
          </cell>
          <cell r="O21">
            <v>2317.3000000000002</v>
          </cell>
        </row>
        <row r="22">
          <cell r="F22" t="str">
            <v xml:space="preserve">800209179      </v>
          </cell>
          <cell r="O22">
            <v>45</v>
          </cell>
        </row>
        <row r="23">
          <cell r="F23" t="str">
            <v xml:space="preserve">805005148      </v>
          </cell>
          <cell r="O23">
            <v>27</v>
          </cell>
        </row>
        <row r="24">
          <cell r="F24" t="str">
            <v xml:space="preserve">805005148      </v>
          </cell>
          <cell r="O24">
            <v>1494</v>
          </cell>
        </row>
        <row r="25">
          <cell r="F25" t="str">
            <v xml:space="preserve">805005148      </v>
          </cell>
          <cell r="O25">
            <v>180</v>
          </cell>
        </row>
        <row r="26">
          <cell r="F26" t="str">
            <v xml:space="preserve">805005148      </v>
          </cell>
          <cell r="O26">
            <v>90</v>
          </cell>
        </row>
        <row r="27">
          <cell r="F27" t="str">
            <v xml:space="preserve">805005148      </v>
          </cell>
          <cell r="O27">
            <v>900</v>
          </cell>
        </row>
        <row r="28">
          <cell r="F28" t="str">
            <v xml:space="preserve">805005148      </v>
          </cell>
          <cell r="O28">
            <v>270</v>
          </cell>
        </row>
        <row r="29">
          <cell r="F29" t="str">
            <v xml:space="preserve">805005148      </v>
          </cell>
          <cell r="O29">
            <v>135</v>
          </cell>
        </row>
        <row r="30">
          <cell r="F30" t="str">
            <v xml:space="preserve">805005148      </v>
          </cell>
          <cell r="O30">
            <v>450</v>
          </cell>
        </row>
        <row r="31">
          <cell r="F31" t="str">
            <v xml:space="preserve">805005148      </v>
          </cell>
          <cell r="O31">
            <v>1242</v>
          </cell>
        </row>
        <row r="32">
          <cell r="F32" t="str">
            <v xml:space="preserve">805005148      </v>
          </cell>
          <cell r="O32">
            <v>108</v>
          </cell>
        </row>
        <row r="33">
          <cell r="F33" t="str">
            <v xml:space="preserve">1130605276     </v>
          </cell>
          <cell r="O33">
            <v>9</v>
          </cell>
        </row>
        <row r="34">
          <cell r="F34" t="str">
            <v xml:space="preserve">1130605276     </v>
          </cell>
          <cell r="O34">
            <v>60</v>
          </cell>
        </row>
        <row r="35">
          <cell r="F35" t="str">
            <v xml:space="preserve">1130605276     </v>
          </cell>
          <cell r="O35">
            <v>360</v>
          </cell>
        </row>
        <row r="36">
          <cell r="F36" t="str">
            <v xml:space="preserve">1130605276     </v>
          </cell>
          <cell r="O36">
            <v>45</v>
          </cell>
        </row>
        <row r="37">
          <cell r="F37" t="str">
            <v xml:space="preserve">94464104       </v>
          </cell>
          <cell r="O37">
            <v>396</v>
          </cell>
        </row>
        <row r="38">
          <cell r="F38" t="str">
            <v xml:space="preserve">16458005       </v>
          </cell>
          <cell r="O38">
            <v>15</v>
          </cell>
        </row>
        <row r="39">
          <cell r="F39" t="str">
            <v xml:space="preserve">16458005       </v>
          </cell>
          <cell r="O39">
            <v>270</v>
          </cell>
        </row>
        <row r="40">
          <cell r="F40" t="str">
            <v xml:space="preserve">901204907      </v>
          </cell>
          <cell r="O40">
            <v>18</v>
          </cell>
        </row>
        <row r="41">
          <cell r="F41" t="str">
            <v xml:space="preserve">901204907      </v>
          </cell>
          <cell r="O41">
            <v>18</v>
          </cell>
        </row>
        <row r="42">
          <cell r="F42" t="str">
            <v xml:space="preserve">94419930       </v>
          </cell>
          <cell r="O42">
            <v>18</v>
          </cell>
        </row>
        <row r="43">
          <cell r="F43" t="str">
            <v xml:space="preserve">94419930       </v>
          </cell>
          <cell r="O43">
            <v>90</v>
          </cell>
        </row>
        <row r="44">
          <cell r="F44" t="str">
            <v xml:space="preserve">16669313       </v>
          </cell>
          <cell r="O44">
            <v>15</v>
          </cell>
        </row>
        <row r="45">
          <cell r="F45" t="str">
            <v xml:space="preserve">16669313       </v>
          </cell>
          <cell r="O45">
            <v>1368</v>
          </cell>
        </row>
        <row r="46">
          <cell r="F46" t="str">
            <v xml:space="preserve">16669313       </v>
          </cell>
          <cell r="O46">
            <v>45</v>
          </cell>
        </row>
        <row r="47">
          <cell r="F47" t="str">
            <v xml:space="preserve">16669313       </v>
          </cell>
          <cell r="O47">
            <v>54</v>
          </cell>
        </row>
        <row r="48">
          <cell r="F48" t="str">
            <v xml:space="preserve">16669313       </v>
          </cell>
          <cell r="O48">
            <v>4.5</v>
          </cell>
        </row>
        <row r="49">
          <cell r="F49" t="str">
            <v xml:space="preserve">900034686      </v>
          </cell>
          <cell r="O49">
            <v>225</v>
          </cell>
        </row>
        <row r="50">
          <cell r="F50" t="str">
            <v xml:space="preserve">900034686      </v>
          </cell>
          <cell r="O50">
            <v>54</v>
          </cell>
        </row>
        <row r="51">
          <cell r="F51" t="str">
            <v xml:space="preserve">901551934      </v>
          </cell>
          <cell r="O51">
            <v>180</v>
          </cell>
        </row>
        <row r="52">
          <cell r="F52" t="str">
            <v xml:space="preserve">16460421       </v>
          </cell>
          <cell r="O52">
            <v>9</v>
          </cell>
        </row>
        <row r="53">
          <cell r="F53" t="str">
            <v xml:space="preserve">16460421       </v>
          </cell>
          <cell r="O53">
            <v>45</v>
          </cell>
        </row>
        <row r="54">
          <cell r="F54" t="str">
            <v xml:space="preserve">16460421       </v>
          </cell>
          <cell r="O54">
            <v>90</v>
          </cell>
        </row>
        <row r="55">
          <cell r="F55" t="str">
            <v xml:space="preserve">16460421       </v>
          </cell>
          <cell r="O55">
            <v>648</v>
          </cell>
        </row>
        <row r="56">
          <cell r="F56" t="str">
            <v xml:space="preserve">16460421       </v>
          </cell>
          <cell r="O56">
            <v>45</v>
          </cell>
        </row>
        <row r="57">
          <cell r="F57" t="str">
            <v xml:space="preserve">805004427      </v>
          </cell>
          <cell r="O57">
            <v>216</v>
          </cell>
        </row>
        <row r="58">
          <cell r="F58" t="str">
            <v xml:space="preserve">890906525      </v>
          </cell>
          <cell r="O58">
            <v>18</v>
          </cell>
        </row>
        <row r="59">
          <cell r="F59" t="str">
            <v xml:space="preserve">901382327      </v>
          </cell>
          <cell r="O59">
            <v>18</v>
          </cell>
        </row>
        <row r="60">
          <cell r="F60" t="str">
            <v xml:space="preserve">75099432       </v>
          </cell>
          <cell r="O60">
            <v>555</v>
          </cell>
        </row>
        <row r="61">
          <cell r="F61" t="str">
            <v xml:space="preserve">75099432       </v>
          </cell>
          <cell r="O61">
            <v>90</v>
          </cell>
        </row>
        <row r="62">
          <cell r="F62" t="str">
            <v xml:space="preserve">75099432       </v>
          </cell>
          <cell r="O62">
            <v>90</v>
          </cell>
        </row>
        <row r="63">
          <cell r="F63" t="str">
            <v xml:space="preserve">94406762       </v>
          </cell>
          <cell r="O63">
            <v>2475</v>
          </cell>
        </row>
        <row r="64">
          <cell r="F64" t="str">
            <v xml:space="preserve">94406762       </v>
          </cell>
          <cell r="O64">
            <v>225</v>
          </cell>
        </row>
        <row r="65">
          <cell r="F65" t="str">
            <v xml:space="preserve">1111745154     </v>
          </cell>
          <cell r="O65">
            <v>405</v>
          </cell>
        </row>
        <row r="66">
          <cell r="F66" t="str">
            <v xml:space="preserve">1111745154     </v>
          </cell>
          <cell r="O66">
            <v>18</v>
          </cell>
        </row>
        <row r="67">
          <cell r="F67" t="str">
            <v xml:space="preserve">1111745154     </v>
          </cell>
          <cell r="O67">
            <v>90</v>
          </cell>
        </row>
        <row r="68">
          <cell r="F68" t="str">
            <v xml:space="preserve">71734502       </v>
          </cell>
          <cell r="O68">
            <v>135</v>
          </cell>
        </row>
        <row r="69">
          <cell r="F69" t="str">
            <v xml:space="preserve">71734502       </v>
          </cell>
          <cell r="O69">
            <v>45</v>
          </cell>
        </row>
        <row r="70">
          <cell r="F70" t="str">
            <v xml:space="preserve">16214926       </v>
          </cell>
          <cell r="O70">
            <v>45</v>
          </cell>
        </row>
        <row r="71">
          <cell r="F71" t="str">
            <v xml:space="preserve">16214926       </v>
          </cell>
          <cell r="O71">
            <v>45</v>
          </cell>
        </row>
        <row r="72">
          <cell r="F72" t="str">
            <v xml:space="preserve">10007888       </v>
          </cell>
          <cell r="O72">
            <v>150</v>
          </cell>
        </row>
        <row r="73">
          <cell r="F73" t="str">
            <v xml:space="preserve">10007888       </v>
          </cell>
          <cell r="O73">
            <v>72</v>
          </cell>
        </row>
        <row r="74">
          <cell r="F74" t="str">
            <v xml:space="preserve">1088256267     </v>
          </cell>
          <cell r="O74">
            <v>135</v>
          </cell>
        </row>
        <row r="75">
          <cell r="F75" t="str">
            <v xml:space="preserve">1088256267     </v>
          </cell>
          <cell r="O75">
            <v>90</v>
          </cell>
        </row>
        <row r="76">
          <cell r="F76" t="str">
            <v xml:space="preserve">1088256267     </v>
          </cell>
          <cell r="O76">
            <v>135</v>
          </cell>
        </row>
        <row r="77">
          <cell r="F77" t="str">
            <v xml:space="preserve">15896671       </v>
          </cell>
          <cell r="O77">
            <v>9</v>
          </cell>
        </row>
        <row r="78">
          <cell r="F78" t="str">
            <v xml:space="preserve">15896671       </v>
          </cell>
          <cell r="O78">
            <v>300</v>
          </cell>
        </row>
        <row r="79">
          <cell r="F79" t="str">
            <v xml:space="preserve">15896671       </v>
          </cell>
          <cell r="O79">
            <v>135</v>
          </cell>
        </row>
        <row r="80">
          <cell r="F80" t="str">
            <v xml:space="preserve">4527357        </v>
          </cell>
          <cell r="O80">
            <v>675</v>
          </cell>
        </row>
        <row r="81">
          <cell r="F81" t="str">
            <v xml:space="preserve">4527357        </v>
          </cell>
          <cell r="O81">
            <v>270</v>
          </cell>
        </row>
        <row r="82">
          <cell r="F82" t="str">
            <v xml:space="preserve">16225675       </v>
          </cell>
          <cell r="O82">
            <v>108</v>
          </cell>
        </row>
        <row r="83">
          <cell r="F83" t="str">
            <v xml:space="preserve">16225675       </v>
          </cell>
          <cell r="O83">
            <v>45</v>
          </cell>
        </row>
        <row r="84">
          <cell r="F84" t="str">
            <v xml:space="preserve">16225675       </v>
          </cell>
          <cell r="O84">
            <v>9</v>
          </cell>
        </row>
        <row r="85">
          <cell r="F85" t="str">
            <v xml:space="preserve">16225675       </v>
          </cell>
          <cell r="O85">
            <v>1020</v>
          </cell>
        </row>
        <row r="86">
          <cell r="F86" t="str">
            <v xml:space="preserve">805005148      </v>
          </cell>
          <cell r="O86">
            <v>1962</v>
          </cell>
        </row>
        <row r="87">
          <cell r="F87" t="str">
            <v xml:space="preserve">805005148      </v>
          </cell>
          <cell r="O87">
            <v>2286</v>
          </cell>
        </row>
        <row r="88">
          <cell r="F88" t="str">
            <v xml:space="preserve">805005148      </v>
          </cell>
          <cell r="O88">
            <v>135</v>
          </cell>
        </row>
        <row r="89">
          <cell r="F89" t="str">
            <v xml:space="preserve">805005148      </v>
          </cell>
          <cell r="O89">
            <v>150</v>
          </cell>
        </row>
        <row r="90">
          <cell r="F90" t="str">
            <v xml:space="preserve">805005148      </v>
          </cell>
          <cell r="O90">
            <v>936</v>
          </cell>
        </row>
        <row r="91">
          <cell r="F91" t="str">
            <v xml:space="preserve">10303909       </v>
          </cell>
          <cell r="O91">
            <v>225</v>
          </cell>
        </row>
        <row r="92">
          <cell r="F92" t="str">
            <v xml:space="preserve">10532222       </v>
          </cell>
          <cell r="O92">
            <v>30</v>
          </cell>
        </row>
        <row r="93">
          <cell r="F93" t="str">
            <v xml:space="preserve">10532222       </v>
          </cell>
          <cell r="O93">
            <v>18</v>
          </cell>
        </row>
        <row r="94">
          <cell r="F94" t="str">
            <v xml:space="preserve">12168724       </v>
          </cell>
          <cell r="O94">
            <v>75</v>
          </cell>
        </row>
        <row r="95">
          <cell r="F95" t="str">
            <v xml:space="preserve">12168724       </v>
          </cell>
          <cell r="O95">
            <v>720</v>
          </cell>
        </row>
        <row r="96">
          <cell r="F96" t="str">
            <v xml:space="preserve">9900047        </v>
          </cell>
          <cell r="O96">
            <v>90</v>
          </cell>
        </row>
        <row r="97">
          <cell r="F97" t="str">
            <v xml:space="preserve">9900047        </v>
          </cell>
          <cell r="O97">
            <v>45</v>
          </cell>
        </row>
        <row r="98">
          <cell r="F98" t="str">
            <v xml:space="preserve">4613715        </v>
          </cell>
          <cell r="O98">
            <v>45</v>
          </cell>
        </row>
        <row r="99">
          <cell r="F99" t="str">
            <v xml:space="preserve">4613715        </v>
          </cell>
          <cell r="O99">
            <v>450</v>
          </cell>
        </row>
        <row r="100">
          <cell r="F100" t="str">
            <v xml:space="preserve">4613715        </v>
          </cell>
          <cell r="O100">
            <v>540</v>
          </cell>
        </row>
        <row r="101">
          <cell r="F101" t="str">
            <v xml:space="preserve">9805400        </v>
          </cell>
          <cell r="O101">
            <v>45</v>
          </cell>
        </row>
        <row r="102">
          <cell r="F102" t="str">
            <v xml:space="preserve">10488839       </v>
          </cell>
          <cell r="O102">
            <v>4.5</v>
          </cell>
        </row>
        <row r="103">
          <cell r="F103" t="str">
            <v xml:space="preserve">10488839       </v>
          </cell>
          <cell r="O103">
            <v>900</v>
          </cell>
        </row>
        <row r="104">
          <cell r="F104" t="str">
            <v xml:space="preserve">10484782       </v>
          </cell>
          <cell r="O104">
            <v>15</v>
          </cell>
        </row>
        <row r="105">
          <cell r="F105" t="str">
            <v xml:space="preserve">10555516       </v>
          </cell>
          <cell r="O105">
            <v>30</v>
          </cell>
        </row>
        <row r="106">
          <cell r="F106" t="str">
            <v xml:space="preserve">10555516       </v>
          </cell>
          <cell r="O106">
            <v>414</v>
          </cell>
        </row>
        <row r="107">
          <cell r="F107" t="str">
            <v xml:space="preserve">10555516       </v>
          </cell>
          <cell r="O107">
            <v>90</v>
          </cell>
        </row>
        <row r="108">
          <cell r="F108" t="str">
            <v xml:space="preserve">10555516       </v>
          </cell>
          <cell r="O108">
            <v>60</v>
          </cell>
        </row>
        <row r="109">
          <cell r="F109" t="str">
            <v xml:space="preserve">900444531      </v>
          </cell>
          <cell r="O109">
            <v>162</v>
          </cell>
        </row>
        <row r="110">
          <cell r="F110" t="str">
            <v xml:space="preserve">26050336       </v>
          </cell>
          <cell r="O110">
            <v>36</v>
          </cell>
        </row>
        <row r="111">
          <cell r="F111" t="str">
            <v xml:space="preserve">26050336       </v>
          </cell>
          <cell r="O111">
            <v>60</v>
          </cell>
        </row>
        <row r="112">
          <cell r="F112" t="str">
            <v xml:space="preserve">26050336       </v>
          </cell>
          <cell r="O112">
            <v>360</v>
          </cell>
        </row>
        <row r="113">
          <cell r="F113" t="str">
            <v xml:space="preserve">830001241      </v>
          </cell>
          <cell r="O113">
            <v>360</v>
          </cell>
        </row>
        <row r="114">
          <cell r="F114" t="str">
            <v xml:space="preserve">91179385       </v>
          </cell>
          <cell r="O114">
            <v>648</v>
          </cell>
        </row>
        <row r="115">
          <cell r="F115" t="str">
            <v xml:space="preserve">91179385       </v>
          </cell>
          <cell r="O115">
            <v>90</v>
          </cell>
        </row>
        <row r="116">
          <cell r="F116" t="str">
            <v xml:space="preserve">79384689       </v>
          </cell>
          <cell r="O116">
            <v>75</v>
          </cell>
        </row>
        <row r="117">
          <cell r="F117" t="str">
            <v xml:space="preserve">79384689       </v>
          </cell>
          <cell r="O117">
            <v>90</v>
          </cell>
        </row>
        <row r="118">
          <cell r="F118" t="str">
            <v xml:space="preserve">13494934       </v>
          </cell>
          <cell r="O118">
            <v>285</v>
          </cell>
        </row>
        <row r="119">
          <cell r="F119" t="str">
            <v xml:space="preserve">13494934       </v>
          </cell>
          <cell r="O119">
            <v>135</v>
          </cell>
        </row>
        <row r="120">
          <cell r="F120" t="str">
            <v xml:space="preserve">88188644       </v>
          </cell>
          <cell r="O120">
            <v>525</v>
          </cell>
        </row>
        <row r="121">
          <cell r="F121" t="str">
            <v xml:space="preserve">88188644       </v>
          </cell>
          <cell r="O121">
            <v>90</v>
          </cell>
        </row>
        <row r="122">
          <cell r="F122" t="str">
            <v xml:space="preserve">1117502076     </v>
          </cell>
          <cell r="O122">
            <v>252</v>
          </cell>
        </row>
        <row r="123">
          <cell r="F123" t="str">
            <v xml:space="preserve">1117502076     </v>
          </cell>
          <cell r="O123">
            <v>45</v>
          </cell>
        </row>
        <row r="124">
          <cell r="F124" t="str">
            <v xml:space="preserve">91266362       </v>
          </cell>
          <cell r="O124">
            <v>180</v>
          </cell>
        </row>
        <row r="125">
          <cell r="F125" t="str">
            <v xml:space="preserve">91222539       </v>
          </cell>
          <cell r="O125">
            <v>30</v>
          </cell>
        </row>
        <row r="126">
          <cell r="F126" t="str">
            <v xml:space="preserve">91222539       </v>
          </cell>
          <cell r="O126">
            <v>360</v>
          </cell>
        </row>
        <row r="127">
          <cell r="F127" t="str">
            <v xml:space="preserve">91222539       </v>
          </cell>
          <cell r="O127">
            <v>570</v>
          </cell>
        </row>
        <row r="128">
          <cell r="F128" t="str">
            <v xml:space="preserve">91222539       </v>
          </cell>
          <cell r="O128">
            <v>720</v>
          </cell>
        </row>
        <row r="129">
          <cell r="F129" t="str">
            <v xml:space="preserve">91222539       </v>
          </cell>
          <cell r="O129">
            <v>450</v>
          </cell>
        </row>
        <row r="130">
          <cell r="F130" t="str">
            <v xml:space="preserve">13701254       </v>
          </cell>
          <cell r="O130">
            <v>750</v>
          </cell>
        </row>
        <row r="131">
          <cell r="F131" t="str">
            <v xml:space="preserve">13701254       </v>
          </cell>
          <cell r="O131">
            <v>90</v>
          </cell>
        </row>
        <row r="132">
          <cell r="F132" t="str">
            <v xml:space="preserve">13701254       </v>
          </cell>
          <cell r="O132">
            <v>135</v>
          </cell>
        </row>
        <row r="133">
          <cell r="F133" t="str">
            <v xml:space="preserve">26229305       </v>
          </cell>
          <cell r="O133">
            <v>900</v>
          </cell>
        </row>
        <row r="134">
          <cell r="F134" t="str">
            <v xml:space="preserve">26229305       </v>
          </cell>
          <cell r="O134">
            <v>675</v>
          </cell>
        </row>
        <row r="135">
          <cell r="F135" t="str">
            <v xml:space="preserve">901096204      </v>
          </cell>
          <cell r="O135">
            <v>1890</v>
          </cell>
        </row>
        <row r="136">
          <cell r="F136" t="str">
            <v xml:space="preserve">901096204      </v>
          </cell>
          <cell r="O136">
            <v>90</v>
          </cell>
        </row>
        <row r="137">
          <cell r="F137" t="str">
            <v xml:space="preserve">901096204      </v>
          </cell>
          <cell r="O137">
            <v>105</v>
          </cell>
        </row>
        <row r="138">
          <cell r="F138" t="str">
            <v xml:space="preserve">901096204      </v>
          </cell>
          <cell r="O138">
            <v>54</v>
          </cell>
        </row>
        <row r="139">
          <cell r="F139" t="str">
            <v xml:space="preserve">72137594       </v>
          </cell>
          <cell r="O139">
            <v>360</v>
          </cell>
        </row>
        <row r="140">
          <cell r="F140" t="str">
            <v xml:space="preserve">72137594       </v>
          </cell>
          <cell r="O140">
            <v>432</v>
          </cell>
        </row>
        <row r="141">
          <cell r="F141" t="str">
            <v xml:space="preserve">72137594       </v>
          </cell>
          <cell r="O141">
            <v>45</v>
          </cell>
        </row>
        <row r="142">
          <cell r="F142" t="str">
            <v xml:space="preserve">72196317       </v>
          </cell>
          <cell r="O142">
            <v>240</v>
          </cell>
        </row>
        <row r="143">
          <cell r="F143" t="str">
            <v xml:space="preserve">72196317       </v>
          </cell>
          <cell r="O143">
            <v>180</v>
          </cell>
        </row>
        <row r="144">
          <cell r="F144" t="str">
            <v xml:space="preserve">72196317       </v>
          </cell>
          <cell r="O144">
            <v>180</v>
          </cell>
        </row>
        <row r="145">
          <cell r="F145" t="str">
            <v xml:space="preserve">72196317       </v>
          </cell>
          <cell r="O145">
            <v>180</v>
          </cell>
        </row>
        <row r="146">
          <cell r="F146" t="str">
            <v xml:space="preserve">73079740       </v>
          </cell>
          <cell r="O146">
            <v>180</v>
          </cell>
        </row>
        <row r="147">
          <cell r="F147" t="str">
            <v xml:space="preserve">73079740       </v>
          </cell>
          <cell r="O147">
            <v>522</v>
          </cell>
        </row>
        <row r="148">
          <cell r="F148" t="str">
            <v xml:space="preserve">15047548       </v>
          </cell>
          <cell r="O148">
            <v>45</v>
          </cell>
        </row>
        <row r="149">
          <cell r="F149" t="str">
            <v xml:space="preserve">15047548       </v>
          </cell>
          <cell r="O149">
            <v>270</v>
          </cell>
        </row>
        <row r="150">
          <cell r="F150" t="str">
            <v xml:space="preserve">15047548       </v>
          </cell>
          <cell r="O150">
            <v>450</v>
          </cell>
        </row>
        <row r="151">
          <cell r="F151" t="str">
            <v xml:space="preserve">92520690       </v>
          </cell>
          <cell r="O151">
            <v>120</v>
          </cell>
        </row>
        <row r="152">
          <cell r="F152" t="str">
            <v xml:space="preserve">92520690       </v>
          </cell>
          <cell r="O152">
            <v>1350</v>
          </cell>
        </row>
        <row r="153">
          <cell r="F153" t="str">
            <v xml:space="preserve">80266206       </v>
          </cell>
          <cell r="O153">
            <v>45</v>
          </cell>
        </row>
        <row r="154">
          <cell r="F154" t="str">
            <v xml:space="preserve">80266206       </v>
          </cell>
          <cell r="O154">
            <v>30</v>
          </cell>
        </row>
        <row r="155">
          <cell r="F155" t="str">
            <v xml:space="preserve">80266206       </v>
          </cell>
          <cell r="O155">
            <v>306</v>
          </cell>
        </row>
        <row r="156">
          <cell r="F156" t="str">
            <v xml:space="preserve">80266206       </v>
          </cell>
          <cell r="O156">
            <v>90</v>
          </cell>
        </row>
        <row r="157">
          <cell r="F157" t="str">
            <v xml:space="preserve">1111739602     </v>
          </cell>
          <cell r="O157">
            <v>15</v>
          </cell>
        </row>
        <row r="158">
          <cell r="F158" t="str">
            <v xml:space="preserve">1111739602     </v>
          </cell>
          <cell r="O158">
            <v>915</v>
          </cell>
        </row>
        <row r="159">
          <cell r="F159" t="str">
            <v xml:space="preserve">1111739602     </v>
          </cell>
          <cell r="O159">
            <v>1305</v>
          </cell>
        </row>
        <row r="160">
          <cell r="F160" t="str">
            <v xml:space="preserve">1111739602     </v>
          </cell>
          <cell r="O160">
            <v>135</v>
          </cell>
        </row>
        <row r="161">
          <cell r="F161" t="str">
            <v xml:space="preserve">9867640        </v>
          </cell>
          <cell r="O161">
            <v>105</v>
          </cell>
        </row>
        <row r="162">
          <cell r="F162" t="str">
            <v xml:space="preserve">9867640        </v>
          </cell>
          <cell r="O162">
            <v>108</v>
          </cell>
        </row>
        <row r="163">
          <cell r="F163" t="str">
            <v xml:space="preserve">9867640        </v>
          </cell>
          <cell r="O163">
            <v>45</v>
          </cell>
        </row>
        <row r="164">
          <cell r="F164" t="str">
            <v xml:space="preserve">10315862       </v>
          </cell>
          <cell r="O164">
            <v>15</v>
          </cell>
        </row>
        <row r="165">
          <cell r="F165" t="str">
            <v xml:space="preserve">10315862       </v>
          </cell>
          <cell r="O165">
            <v>270</v>
          </cell>
        </row>
        <row r="166">
          <cell r="F166" t="str">
            <v xml:space="preserve">91540489       </v>
          </cell>
          <cell r="O166">
            <v>144</v>
          </cell>
        </row>
        <row r="167">
          <cell r="F167" t="str">
            <v xml:space="preserve">91540489       </v>
          </cell>
          <cell r="O167">
            <v>270</v>
          </cell>
        </row>
        <row r="168">
          <cell r="F168" t="str">
            <v xml:space="preserve">91540489       </v>
          </cell>
          <cell r="O168">
            <v>60</v>
          </cell>
        </row>
        <row r="169">
          <cell r="F169" t="str">
            <v xml:space="preserve">74170036       </v>
          </cell>
          <cell r="O169">
            <v>216</v>
          </cell>
        </row>
        <row r="170">
          <cell r="F170" t="str">
            <v xml:space="preserve">74170036       </v>
          </cell>
          <cell r="O170">
            <v>180</v>
          </cell>
        </row>
        <row r="171">
          <cell r="F171" t="str">
            <v xml:space="preserve">4252280        </v>
          </cell>
          <cell r="O171">
            <v>90</v>
          </cell>
        </row>
        <row r="172">
          <cell r="F172" t="str">
            <v xml:space="preserve">35250577       </v>
          </cell>
          <cell r="O172">
            <v>198</v>
          </cell>
        </row>
        <row r="173">
          <cell r="F173" t="str">
            <v xml:space="preserve">35250577       </v>
          </cell>
          <cell r="O173">
            <v>135</v>
          </cell>
        </row>
        <row r="174">
          <cell r="F174" t="str">
            <v xml:space="preserve">800130632      </v>
          </cell>
          <cell r="O174">
            <v>45</v>
          </cell>
        </row>
        <row r="175">
          <cell r="F175" t="str">
            <v xml:space="preserve">19389409       </v>
          </cell>
          <cell r="O175">
            <v>216</v>
          </cell>
        </row>
        <row r="176">
          <cell r="F176" t="str">
            <v xml:space="preserve">19389409       </v>
          </cell>
          <cell r="O176">
            <v>90</v>
          </cell>
        </row>
        <row r="177">
          <cell r="F177" t="str">
            <v xml:space="preserve">12266504       </v>
          </cell>
          <cell r="O177">
            <v>480</v>
          </cell>
        </row>
        <row r="178">
          <cell r="F178" t="str">
            <v xml:space="preserve">12266504       </v>
          </cell>
          <cell r="O178">
            <v>36</v>
          </cell>
        </row>
        <row r="179">
          <cell r="F179" t="str">
            <v xml:space="preserve">12266504       </v>
          </cell>
          <cell r="O179">
            <v>90</v>
          </cell>
        </row>
        <row r="180">
          <cell r="F180" t="str">
            <v xml:space="preserve">12266504       </v>
          </cell>
          <cell r="O180">
            <v>225</v>
          </cell>
        </row>
        <row r="181">
          <cell r="F181" t="str">
            <v xml:space="preserve">12266504       </v>
          </cell>
          <cell r="O181">
            <v>45</v>
          </cell>
        </row>
        <row r="182">
          <cell r="F182" t="str">
            <v xml:space="preserve">12231586       </v>
          </cell>
          <cell r="O182">
            <v>150</v>
          </cell>
        </row>
        <row r="183">
          <cell r="F183" t="str">
            <v xml:space="preserve">12231586       </v>
          </cell>
          <cell r="O183">
            <v>54</v>
          </cell>
        </row>
        <row r="184">
          <cell r="F184" t="str">
            <v xml:space="preserve">12231586       </v>
          </cell>
          <cell r="O184">
            <v>180</v>
          </cell>
        </row>
        <row r="185">
          <cell r="F185" t="str">
            <v xml:space="preserve">83042067       </v>
          </cell>
          <cell r="O185">
            <v>120</v>
          </cell>
        </row>
        <row r="186">
          <cell r="F186" t="str">
            <v xml:space="preserve">83042067       </v>
          </cell>
          <cell r="O186">
            <v>315</v>
          </cell>
        </row>
        <row r="187">
          <cell r="F187" t="str">
            <v xml:space="preserve">11445090       </v>
          </cell>
          <cell r="O187">
            <v>180</v>
          </cell>
        </row>
        <row r="188">
          <cell r="F188" t="str">
            <v xml:space="preserve">11445090       </v>
          </cell>
          <cell r="O188">
            <v>45</v>
          </cell>
        </row>
        <row r="189">
          <cell r="F189" t="str">
            <v xml:space="preserve">11445090       </v>
          </cell>
          <cell r="O189">
            <v>162</v>
          </cell>
        </row>
        <row r="190">
          <cell r="F190" t="str">
            <v xml:space="preserve">80024551       </v>
          </cell>
          <cell r="O190">
            <v>126</v>
          </cell>
        </row>
        <row r="191">
          <cell r="F191" t="str">
            <v xml:space="preserve">80024551       </v>
          </cell>
          <cell r="O191">
            <v>450</v>
          </cell>
        </row>
        <row r="192">
          <cell r="F192" t="str">
            <v xml:space="preserve">860519235      </v>
          </cell>
          <cell r="O192">
            <v>90</v>
          </cell>
        </row>
        <row r="193">
          <cell r="F193" t="str">
            <v xml:space="preserve">7305728        </v>
          </cell>
          <cell r="O193">
            <v>90</v>
          </cell>
        </row>
        <row r="194">
          <cell r="F194" t="str">
            <v xml:space="preserve">7305728        </v>
          </cell>
          <cell r="O194">
            <v>252</v>
          </cell>
        </row>
        <row r="195">
          <cell r="F195" t="str">
            <v xml:space="preserve">7305728        </v>
          </cell>
          <cell r="O195">
            <v>225</v>
          </cell>
        </row>
        <row r="196">
          <cell r="F196" t="str">
            <v xml:space="preserve">7545517        </v>
          </cell>
          <cell r="O196">
            <v>27</v>
          </cell>
        </row>
        <row r="197">
          <cell r="F197" t="str">
            <v xml:space="preserve">7545517        </v>
          </cell>
          <cell r="O197">
            <v>30</v>
          </cell>
        </row>
        <row r="198">
          <cell r="F198" t="str">
            <v xml:space="preserve">7545517        </v>
          </cell>
          <cell r="O198">
            <v>252</v>
          </cell>
        </row>
        <row r="199">
          <cell r="F199" t="str">
            <v xml:space="preserve">10185600       </v>
          </cell>
          <cell r="O199">
            <v>135</v>
          </cell>
        </row>
        <row r="200">
          <cell r="F200" t="str">
            <v xml:space="preserve">1101440685     </v>
          </cell>
          <cell r="O200">
            <v>300</v>
          </cell>
        </row>
        <row r="201">
          <cell r="F201" t="str">
            <v xml:space="preserve">1101440685     </v>
          </cell>
          <cell r="O201">
            <v>1062</v>
          </cell>
        </row>
        <row r="202">
          <cell r="F202" t="str">
            <v xml:space="preserve">1101440685     </v>
          </cell>
          <cell r="O202">
            <v>45</v>
          </cell>
        </row>
        <row r="203">
          <cell r="F203" t="str">
            <v xml:space="preserve">1039696881     </v>
          </cell>
          <cell r="O203">
            <v>18</v>
          </cell>
        </row>
        <row r="204">
          <cell r="F204" t="str">
            <v xml:space="preserve">1039696881     </v>
          </cell>
          <cell r="O204">
            <v>810</v>
          </cell>
        </row>
        <row r="205">
          <cell r="F205" t="str">
            <v xml:space="preserve">1039696881     </v>
          </cell>
          <cell r="O205">
            <v>45</v>
          </cell>
        </row>
        <row r="206">
          <cell r="F206" t="str">
            <v xml:space="preserve">1039696881     </v>
          </cell>
          <cell r="O206">
            <v>9</v>
          </cell>
        </row>
        <row r="207">
          <cell r="F207" t="str">
            <v xml:space="preserve">1039696881     </v>
          </cell>
          <cell r="O207">
            <v>198</v>
          </cell>
        </row>
        <row r="208">
          <cell r="F208" t="str">
            <v xml:space="preserve">15342410       </v>
          </cell>
          <cell r="O208">
            <v>750</v>
          </cell>
        </row>
        <row r="209">
          <cell r="F209" t="str">
            <v xml:space="preserve">88273778       </v>
          </cell>
          <cell r="O209">
            <v>300</v>
          </cell>
        </row>
        <row r="210">
          <cell r="F210" t="str">
            <v xml:space="preserve">88273778       </v>
          </cell>
          <cell r="O210">
            <v>45</v>
          </cell>
        </row>
        <row r="211">
          <cell r="F211" t="str">
            <v xml:space="preserve">1090397527     </v>
          </cell>
          <cell r="O211">
            <v>1200</v>
          </cell>
        </row>
        <row r="212">
          <cell r="F212" t="str">
            <v xml:space="preserve">1090397527     </v>
          </cell>
          <cell r="O212">
            <v>225</v>
          </cell>
        </row>
        <row r="213">
          <cell r="F213" t="str">
            <v xml:space="preserve">1090397527     </v>
          </cell>
          <cell r="O213">
            <v>315</v>
          </cell>
        </row>
        <row r="214">
          <cell r="F214" t="str">
            <v xml:space="preserve">1090397527     </v>
          </cell>
          <cell r="O214">
            <v>45</v>
          </cell>
        </row>
        <row r="215">
          <cell r="F215" t="str">
            <v xml:space="preserve">1090397527     </v>
          </cell>
          <cell r="O215">
            <v>75</v>
          </cell>
        </row>
        <row r="216">
          <cell r="F216" t="str">
            <v xml:space="preserve">1090397527     </v>
          </cell>
          <cell r="O216">
            <v>945</v>
          </cell>
        </row>
        <row r="217">
          <cell r="F217" t="str">
            <v xml:space="preserve">71142360       </v>
          </cell>
          <cell r="O217">
            <v>1305</v>
          </cell>
        </row>
        <row r="218">
          <cell r="F218" t="str">
            <v xml:space="preserve">71142360       </v>
          </cell>
          <cell r="O218">
            <v>90</v>
          </cell>
        </row>
        <row r="219">
          <cell r="F219" t="str">
            <v xml:space="preserve">71142360       </v>
          </cell>
          <cell r="O219">
            <v>558</v>
          </cell>
        </row>
        <row r="220">
          <cell r="F220" t="str">
            <v xml:space="preserve">71142360       </v>
          </cell>
          <cell r="O220">
            <v>90</v>
          </cell>
        </row>
        <row r="221">
          <cell r="F221" t="str">
            <v xml:space="preserve">71142360       </v>
          </cell>
          <cell r="O221">
            <v>378</v>
          </cell>
        </row>
        <row r="222">
          <cell r="F222" t="str">
            <v xml:space="preserve">71142360       </v>
          </cell>
          <cell r="O222">
            <v>45</v>
          </cell>
        </row>
        <row r="223">
          <cell r="F223" t="str">
            <v xml:space="preserve">71142360       </v>
          </cell>
          <cell r="O223">
            <v>855</v>
          </cell>
        </row>
        <row r="224">
          <cell r="F224" t="str">
            <v xml:space="preserve">71142360       </v>
          </cell>
          <cell r="O224">
            <v>522</v>
          </cell>
        </row>
        <row r="225">
          <cell r="F225" t="str">
            <v xml:space="preserve">71142360       </v>
          </cell>
          <cell r="O225">
            <v>225</v>
          </cell>
        </row>
        <row r="226">
          <cell r="F226" t="str">
            <v xml:space="preserve">73559455       </v>
          </cell>
          <cell r="O226">
            <v>165</v>
          </cell>
        </row>
        <row r="227">
          <cell r="F227" t="str">
            <v xml:space="preserve">73559455       </v>
          </cell>
          <cell r="O227">
            <v>252</v>
          </cell>
        </row>
        <row r="228">
          <cell r="F228" t="str">
            <v xml:space="preserve">860001697      </v>
          </cell>
          <cell r="O228">
            <v>548.20000000000005</v>
          </cell>
        </row>
        <row r="229">
          <cell r="F229" t="str">
            <v xml:space="preserve">830099238      </v>
          </cell>
          <cell r="O229">
            <v>80</v>
          </cell>
        </row>
        <row r="230">
          <cell r="F230" t="str">
            <v xml:space="preserve">860005265      </v>
          </cell>
          <cell r="O230">
            <v>645.85</v>
          </cell>
        </row>
        <row r="231">
          <cell r="F231" t="str">
            <v xml:space="preserve">860005265      </v>
          </cell>
          <cell r="O231">
            <v>995</v>
          </cell>
        </row>
        <row r="232">
          <cell r="F232" t="str">
            <v xml:space="preserve">860047066      </v>
          </cell>
          <cell r="O232">
            <v>40</v>
          </cell>
        </row>
        <row r="233">
          <cell r="F233" t="str">
            <v xml:space="preserve">5874334        </v>
          </cell>
          <cell r="O233">
            <v>540</v>
          </cell>
        </row>
        <row r="234">
          <cell r="F234" t="str">
            <v xml:space="preserve">5874334        </v>
          </cell>
          <cell r="O234">
            <v>15</v>
          </cell>
        </row>
        <row r="235">
          <cell r="F235" t="str">
            <v xml:space="preserve">800032071      </v>
          </cell>
          <cell r="O235">
            <v>100</v>
          </cell>
        </row>
        <row r="236">
          <cell r="F236" t="str">
            <v xml:space="preserve">800032071      </v>
          </cell>
          <cell r="O236">
            <v>120</v>
          </cell>
        </row>
        <row r="237">
          <cell r="F237" t="str">
            <v xml:space="preserve">860001697      </v>
          </cell>
          <cell r="O237">
            <v>387.95</v>
          </cell>
        </row>
        <row r="238">
          <cell r="F238" t="str">
            <v xml:space="preserve">860502509      </v>
          </cell>
          <cell r="O238">
            <v>258.35000000000002</v>
          </cell>
        </row>
        <row r="239">
          <cell r="F239" t="str">
            <v xml:space="preserve">900239671      </v>
          </cell>
          <cell r="O239">
            <v>72</v>
          </cell>
        </row>
        <row r="240">
          <cell r="F240" t="str">
            <v xml:space="preserve">901079460      </v>
          </cell>
          <cell r="O240">
            <v>328.4</v>
          </cell>
        </row>
        <row r="241">
          <cell r="F241" t="str">
            <v xml:space="preserve">830006735      </v>
          </cell>
          <cell r="O241">
            <v>531.70000000000005</v>
          </cell>
        </row>
        <row r="242">
          <cell r="F242" t="str">
            <v xml:space="preserve">830094679      </v>
          </cell>
          <cell r="O242">
            <v>100</v>
          </cell>
        </row>
        <row r="243">
          <cell r="F243" t="str">
            <v xml:space="preserve">800090890      </v>
          </cell>
          <cell r="O243">
            <v>19</v>
          </cell>
        </row>
        <row r="244">
          <cell r="F244" t="str">
            <v xml:space="preserve">800090890      </v>
          </cell>
          <cell r="O244">
            <v>38</v>
          </cell>
        </row>
        <row r="245">
          <cell r="F245" t="str">
            <v xml:space="preserve">890903939      </v>
          </cell>
          <cell r="O245">
            <v>200.5</v>
          </cell>
        </row>
        <row r="246">
          <cell r="F246" t="str">
            <v xml:space="preserve">890903939      </v>
          </cell>
          <cell r="O246">
            <v>1174.7</v>
          </cell>
        </row>
        <row r="247">
          <cell r="F247" t="str">
            <v xml:space="preserve">890903939      </v>
          </cell>
          <cell r="O247">
            <v>293.66000000000003</v>
          </cell>
        </row>
        <row r="248">
          <cell r="F248" t="str">
            <v xml:space="preserve">211            </v>
          </cell>
          <cell r="O248">
            <v>1260</v>
          </cell>
        </row>
        <row r="249">
          <cell r="F249" t="str">
            <v xml:space="preserve">211            </v>
          </cell>
          <cell r="O249">
            <v>180</v>
          </cell>
        </row>
        <row r="250">
          <cell r="F250" t="str">
            <v xml:space="preserve">811016729      </v>
          </cell>
          <cell r="O250">
            <v>72</v>
          </cell>
        </row>
        <row r="251">
          <cell r="F251" t="str">
            <v xml:space="preserve">811032699      </v>
          </cell>
          <cell r="O251">
            <v>18</v>
          </cell>
        </row>
        <row r="252">
          <cell r="F252" t="str">
            <v xml:space="preserve">830095213      </v>
          </cell>
          <cell r="O252">
            <v>180</v>
          </cell>
        </row>
        <row r="253">
          <cell r="F253" t="str">
            <v xml:space="preserve">830095213      </v>
          </cell>
          <cell r="O253">
            <v>90</v>
          </cell>
        </row>
        <row r="254">
          <cell r="F254" t="str">
            <v xml:space="preserve">860002576      </v>
          </cell>
          <cell r="O254">
            <v>54</v>
          </cell>
        </row>
        <row r="255">
          <cell r="F255" t="str">
            <v xml:space="preserve">860002576      </v>
          </cell>
          <cell r="O255">
            <v>36</v>
          </cell>
        </row>
        <row r="256">
          <cell r="F256" t="str">
            <v xml:space="preserve">890903939      </v>
          </cell>
          <cell r="O256">
            <v>454.96</v>
          </cell>
        </row>
        <row r="257">
          <cell r="F257" t="str">
            <v xml:space="preserve">899999049      </v>
          </cell>
          <cell r="O257">
            <v>180</v>
          </cell>
        </row>
        <row r="258">
          <cell r="F258" t="str">
            <v xml:space="preserve">900275396      </v>
          </cell>
          <cell r="O258">
            <v>135</v>
          </cell>
        </row>
        <row r="259">
          <cell r="F259" t="str">
            <v xml:space="preserve">900302144      </v>
          </cell>
          <cell r="O259">
            <v>36</v>
          </cell>
        </row>
        <row r="260">
          <cell r="F260" t="str">
            <v xml:space="preserve">900543199      </v>
          </cell>
          <cell r="O260">
            <v>45</v>
          </cell>
        </row>
        <row r="261">
          <cell r="F261" t="str">
            <v xml:space="preserve">900820045      </v>
          </cell>
          <cell r="O261">
            <v>72</v>
          </cell>
        </row>
        <row r="262">
          <cell r="F262" t="str">
            <v xml:space="preserve">900968793      </v>
          </cell>
          <cell r="O262">
            <v>36</v>
          </cell>
        </row>
        <row r="263">
          <cell r="F263" t="str">
            <v xml:space="preserve">900968793      </v>
          </cell>
          <cell r="O263">
            <v>36</v>
          </cell>
        </row>
        <row r="264">
          <cell r="F264" t="str">
            <v xml:space="preserve">901000237      </v>
          </cell>
          <cell r="O264">
            <v>108</v>
          </cell>
        </row>
        <row r="265">
          <cell r="F265" t="str">
            <v xml:space="preserve">901196694      </v>
          </cell>
          <cell r="O265">
            <v>36</v>
          </cell>
        </row>
        <row r="266">
          <cell r="F266" t="str">
            <v xml:space="preserve">830009573      </v>
          </cell>
          <cell r="O266">
            <v>80</v>
          </cell>
        </row>
        <row r="267">
          <cell r="F267" t="str">
            <v xml:space="preserve">830010908      </v>
          </cell>
          <cell r="O267">
            <v>20</v>
          </cell>
        </row>
        <row r="268">
          <cell r="F268" t="str">
            <v xml:space="preserve">860001697      </v>
          </cell>
          <cell r="O268">
            <v>1045.0999999999999</v>
          </cell>
        </row>
        <row r="269">
          <cell r="F269" t="str">
            <v xml:space="preserve">10215830       </v>
          </cell>
          <cell r="O269">
            <v>163.6</v>
          </cell>
        </row>
        <row r="270">
          <cell r="F270" t="str">
            <v xml:space="preserve">10270172       </v>
          </cell>
          <cell r="O270">
            <v>214.3</v>
          </cell>
        </row>
        <row r="271">
          <cell r="F271" t="str">
            <v xml:space="preserve">30281441       </v>
          </cell>
          <cell r="O271">
            <v>58</v>
          </cell>
        </row>
        <row r="272">
          <cell r="F272" t="str">
            <v xml:space="preserve">30310943       </v>
          </cell>
          <cell r="O272">
            <v>79.599999999999994</v>
          </cell>
        </row>
        <row r="273">
          <cell r="F273" t="str">
            <v xml:space="preserve">19132851       </v>
          </cell>
          <cell r="O273">
            <v>599.6</v>
          </cell>
        </row>
        <row r="274">
          <cell r="F274" t="str">
            <v xml:space="preserve">19138279       </v>
          </cell>
          <cell r="O274">
            <v>122.8</v>
          </cell>
        </row>
        <row r="275">
          <cell r="F275" t="str">
            <v xml:space="preserve">23315527       </v>
          </cell>
          <cell r="O275">
            <v>48.8</v>
          </cell>
        </row>
        <row r="276">
          <cell r="F276" t="str">
            <v xml:space="preserve">30206395       </v>
          </cell>
          <cell r="O276">
            <v>323.89999999999998</v>
          </cell>
        </row>
        <row r="277">
          <cell r="F277" t="str">
            <v xml:space="preserve">30206395       </v>
          </cell>
          <cell r="O277">
            <v>801</v>
          </cell>
        </row>
        <row r="278">
          <cell r="F278" t="str">
            <v xml:space="preserve">30206395       </v>
          </cell>
          <cell r="O278">
            <v>1214.4000000000001</v>
          </cell>
        </row>
        <row r="279">
          <cell r="F279" t="str">
            <v xml:space="preserve">30206395       </v>
          </cell>
          <cell r="O279">
            <v>460.2</v>
          </cell>
        </row>
        <row r="280">
          <cell r="F280" t="str">
            <v xml:space="preserve">7120547        </v>
          </cell>
          <cell r="O280">
            <v>68.2</v>
          </cell>
        </row>
        <row r="281">
          <cell r="F281" t="str">
            <v xml:space="preserve">7128442        </v>
          </cell>
          <cell r="O281">
            <v>30.1</v>
          </cell>
        </row>
        <row r="282">
          <cell r="F282" t="str">
            <v xml:space="preserve">800231596      </v>
          </cell>
          <cell r="O282">
            <v>1251.5</v>
          </cell>
        </row>
        <row r="283">
          <cell r="F283" t="str">
            <v xml:space="preserve">901488798      </v>
          </cell>
          <cell r="O283">
            <v>281.89999999999998</v>
          </cell>
        </row>
        <row r="284">
          <cell r="F284" t="str">
            <v xml:space="preserve">800230447      </v>
          </cell>
          <cell r="O284">
            <v>1320.8</v>
          </cell>
        </row>
        <row r="285">
          <cell r="F285" t="str">
            <v xml:space="preserve">860000794      </v>
          </cell>
          <cell r="O285">
            <v>626.20000000000005</v>
          </cell>
        </row>
        <row r="286">
          <cell r="F286" t="str">
            <v xml:space="preserve">860002536      </v>
          </cell>
          <cell r="O286">
            <v>1204.5</v>
          </cell>
        </row>
        <row r="287">
          <cell r="F287" t="str">
            <v xml:space="preserve">860002536      </v>
          </cell>
          <cell r="O287">
            <v>438.7</v>
          </cell>
        </row>
        <row r="288">
          <cell r="F288" t="str">
            <v xml:space="preserve">900327148      </v>
          </cell>
          <cell r="O288">
            <v>338.9</v>
          </cell>
        </row>
        <row r="289">
          <cell r="F289" t="str">
            <v xml:space="preserve">901221052      </v>
          </cell>
          <cell r="O289">
            <v>1631.6</v>
          </cell>
        </row>
        <row r="290">
          <cell r="F290" t="str">
            <v xml:space="preserve">70052771       </v>
          </cell>
          <cell r="O290">
            <v>153</v>
          </cell>
        </row>
        <row r="291">
          <cell r="F291" t="str">
            <v xml:space="preserve">800092723      </v>
          </cell>
          <cell r="O291">
            <v>75</v>
          </cell>
        </row>
        <row r="292">
          <cell r="F292" t="str">
            <v xml:space="preserve">800230447      </v>
          </cell>
          <cell r="O292">
            <v>72</v>
          </cell>
        </row>
        <row r="293">
          <cell r="F293" t="str">
            <v xml:space="preserve">811014849      </v>
          </cell>
          <cell r="O293">
            <v>36</v>
          </cell>
        </row>
        <row r="294">
          <cell r="F294" t="str">
            <v xml:space="preserve">811014849      </v>
          </cell>
          <cell r="O294">
            <v>72</v>
          </cell>
        </row>
        <row r="295">
          <cell r="F295" t="str">
            <v xml:space="preserve">811014849      </v>
          </cell>
          <cell r="O295">
            <v>144</v>
          </cell>
        </row>
        <row r="296">
          <cell r="F296" t="str">
            <v xml:space="preserve">860013809      </v>
          </cell>
          <cell r="O296">
            <v>162</v>
          </cell>
        </row>
        <row r="297">
          <cell r="F297" t="str">
            <v xml:space="preserve">860020382      </v>
          </cell>
          <cell r="O297">
            <v>30</v>
          </cell>
        </row>
        <row r="298">
          <cell r="F298" t="str">
            <v xml:space="preserve">890900424      </v>
          </cell>
          <cell r="O298">
            <v>60</v>
          </cell>
        </row>
        <row r="299">
          <cell r="F299" t="str">
            <v xml:space="preserve">890904713      </v>
          </cell>
          <cell r="O299">
            <v>45</v>
          </cell>
        </row>
        <row r="300">
          <cell r="F300" t="str">
            <v xml:space="preserve">890904996      </v>
          </cell>
          <cell r="O300">
            <v>105</v>
          </cell>
        </row>
        <row r="301">
          <cell r="F301" t="str">
            <v xml:space="preserve">890904996      </v>
          </cell>
          <cell r="O301">
            <v>72</v>
          </cell>
        </row>
        <row r="302">
          <cell r="F302" t="str">
            <v xml:space="preserve">890906407      </v>
          </cell>
          <cell r="O302">
            <v>36</v>
          </cell>
        </row>
        <row r="303">
          <cell r="F303" t="str">
            <v xml:space="preserve">890918272      </v>
          </cell>
          <cell r="O303">
            <v>72</v>
          </cell>
        </row>
        <row r="304">
          <cell r="F304" t="str">
            <v xml:space="preserve">901436775      </v>
          </cell>
          <cell r="O304">
            <v>120</v>
          </cell>
        </row>
        <row r="305">
          <cell r="F305" t="str">
            <v xml:space="preserve">101            </v>
          </cell>
          <cell r="O305">
            <v>18</v>
          </cell>
        </row>
        <row r="306">
          <cell r="F306" t="str">
            <v xml:space="preserve">101            </v>
          </cell>
          <cell r="O306">
            <v>9</v>
          </cell>
        </row>
        <row r="307">
          <cell r="F307" t="str">
            <v xml:space="preserve">101            </v>
          </cell>
          <cell r="O307">
            <v>15</v>
          </cell>
        </row>
        <row r="308">
          <cell r="F308" t="str">
            <v xml:space="preserve">101            </v>
          </cell>
          <cell r="O308">
            <v>54</v>
          </cell>
        </row>
        <row r="309">
          <cell r="F309" t="str">
            <v xml:space="preserve">890903939      </v>
          </cell>
          <cell r="O309">
            <v>94</v>
          </cell>
        </row>
        <row r="310">
          <cell r="F310" t="str">
            <v xml:space="preserve">213            </v>
          </cell>
          <cell r="O310">
            <v>45</v>
          </cell>
        </row>
        <row r="311">
          <cell r="F311" t="str">
            <v xml:space="preserve">890302609      </v>
          </cell>
          <cell r="O311">
            <v>183</v>
          </cell>
        </row>
        <row r="312">
          <cell r="F312" t="str">
            <v xml:space="preserve">890302955      </v>
          </cell>
          <cell r="O312">
            <v>18</v>
          </cell>
        </row>
        <row r="313">
          <cell r="F313" t="str">
            <v xml:space="preserve">890304607      </v>
          </cell>
          <cell r="O313">
            <v>90</v>
          </cell>
        </row>
        <row r="314">
          <cell r="F314" t="str">
            <v xml:space="preserve">890903939      </v>
          </cell>
          <cell r="O314">
            <v>171</v>
          </cell>
        </row>
        <row r="315">
          <cell r="F315" t="str">
            <v xml:space="preserve">890903939      </v>
          </cell>
          <cell r="O315">
            <v>338</v>
          </cell>
        </row>
        <row r="316">
          <cell r="F316" t="str">
            <v xml:space="preserve">900385892      </v>
          </cell>
          <cell r="O316">
            <v>270</v>
          </cell>
        </row>
        <row r="317">
          <cell r="F317" t="str">
            <v xml:space="preserve">900555944      </v>
          </cell>
          <cell r="O317">
            <v>18</v>
          </cell>
        </row>
        <row r="318">
          <cell r="F318" t="str">
            <v xml:space="preserve">901167377      </v>
          </cell>
          <cell r="O318">
            <v>61.5</v>
          </cell>
        </row>
        <row r="319">
          <cell r="F319" t="str">
            <v xml:space="preserve">39620366       </v>
          </cell>
          <cell r="O319">
            <v>35.799999999999997</v>
          </cell>
        </row>
        <row r="320">
          <cell r="F320" t="str">
            <v xml:space="preserve">800134497      </v>
          </cell>
          <cell r="O320">
            <v>500.3</v>
          </cell>
        </row>
        <row r="321">
          <cell r="F321" t="str">
            <v xml:space="preserve">860058831      </v>
          </cell>
          <cell r="O321">
            <v>1391.2</v>
          </cell>
        </row>
        <row r="322">
          <cell r="F322" t="str">
            <v xml:space="preserve">860058831      </v>
          </cell>
          <cell r="O322">
            <v>500.2</v>
          </cell>
        </row>
        <row r="323">
          <cell r="F323" t="str">
            <v xml:space="preserve">860001697      </v>
          </cell>
          <cell r="O323">
            <v>265.75</v>
          </cell>
        </row>
        <row r="324">
          <cell r="F324" t="str">
            <v xml:space="preserve">110            </v>
          </cell>
          <cell r="O324">
            <v>306</v>
          </cell>
        </row>
        <row r="325">
          <cell r="F325" t="str">
            <v xml:space="preserve">42795633       </v>
          </cell>
          <cell r="O325">
            <v>129.6</v>
          </cell>
        </row>
        <row r="326">
          <cell r="F326" t="str">
            <v xml:space="preserve">890900161      </v>
          </cell>
          <cell r="O326">
            <v>817</v>
          </cell>
        </row>
        <row r="327">
          <cell r="F327" t="str">
            <v xml:space="preserve">890906119      </v>
          </cell>
          <cell r="O327">
            <v>233.9</v>
          </cell>
        </row>
        <row r="328">
          <cell r="F328" t="str">
            <v xml:space="preserve">890910131      </v>
          </cell>
          <cell r="O328">
            <v>544.9</v>
          </cell>
        </row>
        <row r="329">
          <cell r="F329" t="str">
            <v xml:space="preserve">900652958      </v>
          </cell>
          <cell r="O329">
            <v>137.5</v>
          </cell>
        </row>
        <row r="330">
          <cell r="F330" t="str">
            <v xml:space="preserve">901107328      </v>
          </cell>
          <cell r="O330">
            <v>90.9</v>
          </cell>
        </row>
        <row r="331">
          <cell r="F331" t="str">
            <v xml:space="preserve">901142147      </v>
          </cell>
          <cell r="O331">
            <v>334.6</v>
          </cell>
        </row>
        <row r="332">
          <cell r="F332" t="str">
            <v xml:space="preserve">22547707       </v>
          </cell>
          <cell r="O332">
            <v>18</v>
          </cell>
        </row>
        <row r="333">
          <cell r="F333" t="str">
            <v xml:space="preserve">811014849      </v>
          </cell>
          <cell r="O333">
            <v>36</v>
          </cell>
        </row>
        <row r="334">
          <cell r="F334" t="str">
            <v xml:space="preserve">811014849      </v>
          </cell>
          <cell r="O334">
            <v>72</v>
          </cell>
        </row>
        <row r="335">
          <cell r="F335" t="str">
            <v xml:space="preserve">890900161      </v>
          </cell>
          <cell r="O335">
            <v>30</v>
          </cell>
        </row>
        <row r="336">
          <cell r="F336" t="str">
            <v xml:space="preserve">890900161      </v>
          </cell>
          <cell r="O336">
            <v>45</v>
          </cell>
        </row>
        <row r="337">
          <cell r="F337" t="str">
            <v xml:space="preserve">900313945      </v>
          </cell>
          <cell r="O337">
            <v>135</v>
          </cell>
        </row>
        <row r="338">
          <cell r="F338" t="str">
            <v xml:space="preserve">900599145      </v>
          </cell>
          <cell r="O338">
            <v>54</v>
          </cell>
        </row>
        <row r="339">
          <cell r="F339" t="str">
            <v xml:space="preserve">802004090      </v>
          </cell>
          <cell r="O339">
            <v>72</v>
          </cell>
        </row>
        <row r="340">
          <cell r="F340" t="str">
            <v xml:space="preserve">805012977      </v>
          </cell>
          <cell r="O340">
            <v>90</v>
          </cell>
        </row>
        <row r="341">
          <cell r="F341" t="str">
            <v xml:space="preserve">860020382      </v>
          </cell>
          <cell r="O341">
            <v>18</v>
          </cell>
        </row>
        <row r="342">
          <cell r="F342" t="str">
            <v xml:space="preserve">890106278      </v>
          </cell>
          <cell r="O342">
            <v>36</v>
          </cell>
        </row>
        <row r="343">
          <cell r="F343" t="str">
            <v xml:space="preserve">890312630      </v>
          </cell>
          <cell r="O343">
            <v>45</v>
          </cell>
        </row>
        <row r="344">
          <cell r="F344" t="str">
            <v xml:space="preserve">899999049      </v>
          </cell>
          <cell r="O344">
            <v>36</v>
          </cell>
        </row>
        <row r="345">
          <cell r="F345" t="str">
            <v xml:space="preserve">900818921      </v>
          </cell>
          <cell r="O345">
            <v>513</v>
          </cell>
        </row>
        <row r="346">
          <cell r="F346" t="str">
            <v xml:space="preserve">900896300      </v>
          </cell>
          <cell r="O346">
            <v>141</v>
          </cell>
        </row>
        <row r="347">
          <cell r="F347" t="str">
            <v xml:space="preserve">901026262      </v>
          </cell>
          <cell r="O347">
            <v>90</v>
          </cell>
        </row>
        <row r="348">
          <cell r="F348" t="str">
            <v xml:space="preserve">800134497      </v>
          </cell>
          <cell r="O348">
            <v>1793.8</v>
          </cell>
        </row>
        <row r="349">
          <cell r="F349" t="str">
            <v xml:space="preserve">860002119      </v>
          </cell>
          <cell r="O349">
            <v>1106.5999999999999</v>
          </cell>
        </row>
        <row r="350">
          <cell r="F350" t="str">
            <v xml:space="preserve">1037572101     </v>
          </cell>
          <cell r="O350">
            <v>109.8</v>
          </cell>
        </row>
        <row r="351">
          <cell r="F351" t="str">
            <v xml:space="preserve">830010738      </v>
          </cell>
          <cell r="O351">
            <v>101.2</v>
          </cell>
        </row>
        <row r="352">
          <cell r="F352" t="str">
            <v xml:space="preserve">900280406      </v>
          </cell>
          <cell r="O352">
            <v>105.6</v>
          </cell>
        </row>
        <row r="353">
          <cell r="F353" t="str">
            <v xml:space="preserve">900617912      </v>
          </cell>
          <cell r="O353">
            <v>126.3</v>
          </cell>
        </row>
        <row r="354">
          <cell r="F354" t="str">
            <v xml:space="preserve">900750257      </v>
          </cell>
          <cell r="O354">
            <v>545.29999999999995</v>
          </cell>
        </row>
        <row r="355">
          <cell r="F355" t="str">
            <v xml:space="preserve">901038325      </v>
          </cell>
          <cell r="O355">
            <v>63.2</v>
          </cell>
        </row>
        <row r="356">
          <cell r="F356" t="str">
            <v xml:space="preserve">830107012      </v>
          </cell>
          <cell r="O356">
            <v>72</v>
          </cell>
        </row>
        <row r="357">
          <cell r="F357" t="str">
            <v xml:space="preserve">39538743       </v>
          </cell>
          <cell r="O357">
            <v>40.200000000000003</v>
          </cell>
        </row>
        <row r="358">
          <cell r="F358" t="str">
            <v xml:space="preserve">75056610       </v>
          </cell>
          <cell r="O358">
            <v>224.2</v>
          </cell>
        </row>
        <row r="359">
          <cell r="F359" t="str">
            <v xml:space="preserve">800141632      </v>
          </cell>
          <cell r="O359">
            <v>121.4</v>
          </cell>
        </row>
        <row r="360">
          <cell r="F360" t="str">
            <v xml:space="preserve">800141632      </v>
          </cell>
          <cell r="O360">
            <v>102.1</v>
          </cell>
        </row>
        <row r="361">
          <cell r="F361" t="str">
            <v xml:space="preserve">808001557      </v>
          </cell>
          <cell r="O361">
            <v>1001.3</v>
          </cell>
        </row>
        <row r="362">
          <cell r="F362" t="str">
            <v xml:space="preserve">808001557      </v>
          </cell>
          <cell r="O362">
            <v>680.7</v>
          </cell>
        </row>
        <row r="363">
          <cell r="F363" t="str">
            <v xml:space="preserve">808001557      </v>
          </cell>
          <cell r="O363">
            <v>461.1</v>
          </cell>
        </row>
        <row r="364">
          <cell r="F364" t="str">
            <v xml:space="preserve">808001557      </v>
          </cell>
          <cell r="O364">
            <v>550.5</v>
          </cell>
        </row>
        <row r="365">
          <cell r="F365" t="str">
            <v xml:space="preserve">830036921      </v>
          </cell>
          <cell r="O365">
            <v>260</v>
          </cell>
        </row>
        <row r="366">
          <cell r="F366" t="str">
            <v xml:space="preserve">10163145       </v>
          </cell>
          <cell r="O366">
            <v>101.1</v>
          </cell>
        </row>
        <row r="367">
          <cell r="F367" t="str">
            <v xml:space="preserve">24711613       </v>
          </cell>
          <cell r="O367">
            <v>167.4</v>
          </cell>
        </row>
        <row r="368">
          <cell r="F368" t="str">
            <v xml:space="preserve">52656913       </v>
          </cell>
          <cell r="O368">
            <v>290.89999999999998</v>
          </cell>
        </row>
        <row r="369">
          <cell r="F369" t="str">
            <v xml:space="preserve">811014849      </v>
          </cell>
          <cell r="O369">
            <v>2309</v>
          </cell>
        </row>
        <row r="370">
          <cell r="F370" t="str">
            <v xml:space="preserve">901149500      </v>
          </cell>
          <cell r="O370">
            <v>207.8</v>
          </cell>
        </row>
        <row r="371">
          <cell r="F371" t="str">
            <v xml:space="preserve">830010738      </v>
          </cell>
          <cell r="O371">
            <v>2299.9</v>
          </cell>
        </row>
        <row r="372">
          <cell r="F372" t="str">
            <v xml:space="preserve">900474647      </v>
          </cell>
          <cell r="O372">
            <v>837.2</v>
          </cell>
        </row>
        <row r="373">
          <cell r="F373" t="str">
            <v xml:space="preserve">1113640703     </v>
          </cell>
          <cell r="O373">
            <v>469.9</v>
          </cell>
        </row>
        <row r="374">
          <cell r="F374" t="str">
            <v xml:space="preserve">890320250      </v>
          </cell>
          <cell r="O374">
            <v>1057</v>
          </cell>
        </row>
        <row r="375">
          <cell r="F375" t="str">
            <v xml:space="preserve">890325676      </v>
          </cell>
          <cell r="O375">
            <v>652.29999999999995</v>
          </cell>
        </row>
        <row r="376">
          <cell r="F376" t="str">
            <v xml:space="preserve">890325676      </v>
          </cell>
          <cell r="O376">
            <v>1755.1</v>
          </cell>
        </row>
        <row r="377">
          <cell r="F377" t="str">
            <v xml:space="preserve">900497719      </v>
          </cell>
          <cell r="O377">
            <v>158.1</v>
          </cell>
        </row>
        <row r="378">
          <cell r="F378" t="str">
            <v xml:space="preserve">901177420      </v>
          </cell>
          <cell r="O378">
            <v>614.6</v>
          </cell>
        </row>
        <row r="379">
          <cell r="F379" t="str">
            <v xml:space="preserve">901516022      </v>
          </cell>
          <cell r="O379">
            <v>328.6</v>
          </cell>
        </row>
        <row r="380">
          <cell r="F380" t="str">
            <v xml:space="preserve">860001697      </v>
          </cell>
          <cell r="O380">
            <v>280.8</v>
          </cell>
        </row>
        <row r="381">
          <cell r="F381" t="str">
            <v xml:space="preserve">860001697      </v>
          </cell>
          <cell r="O381">
            <v>376.26</v>
          </cell>
        </row>
        <row r="382">
          <cell r="F382" t="str">
            <v xml:space="preserve">860001697      </v>
          </cell>
          <cell r="O382">
            <v>86.88</v>
          </cell>
        </row>
        <row r="383">
          <cell r="F383" t="str">
            <v xml:space="preserve">804002825      </v>
          </cell>
          <cell r="O383">
            <v>7050</v>
          </cell>
        </row>
        <row r="384">
          <cell r="F384" t="str">
            <v xml:space="preserve">79686344       </v>
          </cell>
          <cell r="O384">
            <v>43.81</v>
          </cell>
        </row>
        <row r="385">
          <cell r="F385" t="str">
            <v xml:space="preserve">811014849      </v>
          </cell>
          <cell r="O385">
            <v>688</v>
          </cell>
        </row>
        <row r="386">
          <cell r="F386" t="str">
            <v xml:space="preserve">830026277      </v>
          </cell>
          <cell r="O386">
            <v>2300.17</v>
          </cell>
        </row>
        <row r="387">
          <cell r="F387" t="str">
            <v xml:space="preserve">830074627      </v>
          </cell>
          <cell r="O387">
            <v>648.53</v>
          </cell>
        </row>
        <row r="388">
          <cell r="F388" t="str">
            <v xml:space="preserve">860513290      </v>
          </cell>
          <cell r="O388">
            <v>305.55</v>
          </cell>
        </row>
        <row r="389">
          <cell r="F389" t="str">
            <v xml:space="preserve">860518994      </v>
          </cell>
          <cell r="O389">
            <v>85.04</v>
          </cell>
        </row>
        <row r="390">
          <cell r="F390" t="str">
            <v xml:space="preserve">891300382      </v>
          </cell>
          <cell r="O390">
            <v>50.52</v>
          </cell>
        </row>
        <row r="391">
          <cell r="F391" t="str">
            <v xml:space="preserve">891300382      </v>
          </cell>
          <cell r="O391">
            <v>54.32</v>
          </cell>
        </row>
        <row r="392">
          <cell r="F392" t="str">
            <v xml:space="preserve">891300382      </v>
          </cell>
          <cell r="O392">
            <v>53.24</v>
          </cell>
        </row>
        <row r="393">
          <cell r="F393" t="str">
            <v xml:space="preserve">79059597       </v>
          </cell>
          <cell r="O393">
            <v>1261.5999999999999</v>
          </cell>
        </row>
        <row r="394">
          <cell r="F394" t="str">
            <v xml:space="preserve">79581982       </v>
          </cell>
          <cell r="O394">
            <v>279.5</v>
          </cell>
        </row>
        <row r="395">
          <cell r="F395" t="str">
            <v xml:space="preserve">79609109       </v>
          </cell>
          <cell r="O395">
            <v>164.9</v>
          </cell>
        </row>
        <row r="396">
          <cell r="F396" t="str">
            <v xml:space="preserve">830010738      </v>
          </cell>
          <cell r="O396">
            <v>313.2</v>
          </cell>
        </row>
        <row r="397">
          <cell r="F397" t="str">
            <v xml:space="preserve">830010738      </v>
          </cell>
          <cell r="O397">
            <v>254.9</v>
          </cell>
        </row>
        <row r="398">
          <cell r="F398" t="str">
            <v xml:space="preserve">860011109      </v>
          </cell>
          <cell r="O398">
            <v>3088</v>
          </cell>
        </row>
        <row r="399">
          <cell r="F399" t="str">
            <v xml:space="preserve">800154428      </v>
          </cell>
          <cell r="O399">
            <v>410.4</v>
          </cell>
        </row>
        <row r="400">
          <cell r="F400" t="str">
            <v xml:space="preserve">830073592      </v>
          </cell>
          <cell r="O400">
            <v>1350.2</v>
          </cell>
        </row>
        <row r="401">
          <cell r="F401" t="str">
            <v xml:space="preserve">830089204      </v>
          </cell>
          <cell r="O401">
            <v>673.7</v>
          </cell>
        </row>
        <row r="402">
          <cell r="F402" t="str">
            <v xml:space="preserve">830091965      </v>
          </cell>
          <cell r="O402">
            <v>650</v>
          </cell>
        </row>
        <row r="403">
          <cell r="F403" t="str">
            <v xml:space="preserve">860005986      </v>
          </cell>
          <cell r="O403">
            <v>1080</v>
          </cell>
        </row>
        <row r="404">
          <cell r="F404" t="str">
            <v xml:space="preserve">823001882      </v>
          </cell>
          <cell r="O404">
            <v>45</v>
          </cell>
        </row>
        <row r="405">
          <cell r="F405" t="str">
            <v xml:space="preserve">805005148      </v>
          </cell>
          <cell r="O405">
            <v>45</v>
          </cell>
        </row>
        <row r="406">
          <cell r="F406" t="str">
            <v xml:space="preserve">805005148      </v>
          </cell>
          <cell r="O406">
            <v>165</v>
          </cell>
        </row>
        <row r="407">
          <cell r="F407" t="str">
            <v xml:space="preserve">805005148      </v>
          </cell>
          <cell r="O407">
            <v>1584</v>
          </cell>
        </row>
        <row r="408">
          <cell r="F408" t="str">
            <v xml:space="preserve">805005148      </v>
          </cell>
          <cell r="O408">
            <v>630</v>
          </cell>
        </row>
        <row r="409">
          <cell r="F409" t="str">
            <v xml:space="preserve">805005148      </v>
          </cell>
          <cell r="O409">
            <v>36</v>
          </cell>
        </row>
        <row r="410">
          <cell r="F410" t="str">
            <v xml:space="preserve">805005148      </v>
          </cell>
          <cell r="O410">
            <v>45</v>
          </cell>
        </row>
        <row r="411">
          <cell r="F411" t="str">
            <v xml:space="preserve">805005148      </v>
          </cell>
          <cell r="O411">
            <v>846</v>
          </cell>
        </row>
        <row r="412">
          <cell r="F412" t="str">
            <v xml:space="preserve">1130605276     </v>
          </cell>
          <cell r="O412">
            <v>4.5</v>
          </cell>
        </row>
        <row r="413">
          <cell r="F413" t="str">
            <v xml:space="preserve">1130605276     </v>
          </cell>
          <cell r="O413">
            <v>105</v>
          </cell>
        </row>
        <row r="414">
          <cell r="F414" t="str">
            <v xml:space="preserve">1130605276     </v>
          </cell>
          <cell r="O414">
            <v>540</v>
          </cell>
        </row>
        <row r="415">
          <cell r="F415" t="str">
            <v xml:space="preserve">1130605276     </v>
          </cell>
          <cell r="O415">
            <v>135</v>
          </cell>
        </row>
        <row r="416">
          <cell r="F416" t="str">
            <v xml:space="preserve">94050412       </v>
          </cell>
          <cell r="O416">
            <v>360</v>
          </cell>
        </row>
        <row r="417">
          <cell r="F417" t="str">
            <v xml:space="preserve">88275315       </v>
          </cell>
          <cell r="O417">
            <v>9</v>
          </cell>
        </row>
        <row r="418">
          <cell r="F418" t="str">
            <v xml:space="preserve">88275315       </v>
          </cell>
          <cell r="O418">
            <v>36</v>
          </cell>
        </row>
        <row r="419">
          <cell r="F419" t="str">
            <v xml:space="preserve">88275315       </v>
          </cell>
          <cell r="O419">
            <v>1962</v>
          </cell>
        </row>
        <row r="420">
          <cell r="F420" t="str">
            <v xml:space="preserve">88275315       </v>
          </cell>
          <cell r="O420">
            <v>45</v>
          </cell>
        </row>
        <row r="421">
          <cell r="F421" t="str">
            <v xml:space="preserve">890315430      </v>
          </cell>
          <cell r="O421">
            <v>54</v>
          </cell>
        </row>
        <row r="422">
          <cell r="F422" t="str">
            <v xml:space="preserve">890315430      </v>
          </cell>
          <cell r="O422">
            <v>135</v>
          </cell>
        </row>
        <row r="423">
          <cell r="F423" t="str">
            <v xml:space="preserve">901040860      </v>
          </cell>
          <cell r="O423">
            <v>18</v>
          </cell>
        </row>
        <row r="424">
          <cell r="F424" t="str">
            <v xml:space="preserve">94464104       </v>
          </cell>
          <cell r="O424">
            <v>90</v>
          </cell>
        </row>
        <row r="425">
          <cell r="F425" t="str">
            <v xml:space="preserve">94464104       </v>
          </cell>
          <cell r="O425">
            <v>225</v>
          </cell>
        </row>
        <row r="426">
          <cell r="F426" t="str">
            <v xml:space="preserve">94464104       </v>
          </cell>
          <cell r="O426">
            <v>27</v>
          </cell>
        </row>
        <row r="427">
          <cell r="F427" t="str">
            <v xml:space="preserve">94464104       </v>
          </cell>
          <cell r="O427">
            <v>60</v>
          </cell>
        </row>
        <row r="428">
          <cell r="F428" t="str">
            <v xml:space="preserve">94464104       </v>
          </cell>
          <cell r="O428">
            <v>414</v>
          </cell>
        </row>
        <row r="429">
          <cell r="F429" t="str">
            <v xml:space="preserve">16458005       </v>
          </cell>
          <cell r="O429">
            <v>216</v>
          </cell>
        </row>
        <row r="430">
          <cell r="F430" t="str">
            <v xml:space="preserve">16458005       </v>
          </cell>
          <cell r="O430">
            <v>45</v>
          </cell>
        </row>
        <row r="431">
          <cell r="F431" t="str">
            <v xml:space="preserve">94419930       </v>
          </cell>
          <cell r="O431">
            <v>306</v>
          </cell>
        </row>
        <row r="432">
          <cell r="F432" t="str">
            <v xml:space="preserve">94419930       </v>
          </cell>
          <cell r="O432">
            <v>180</v>
          </cell>
        </row>
        <row r="433">
          <cell r="F433" t="str">
            <v xml:space="preserve">16669313       </v>
          </cell>
          <cell r="O433">
            <v>18</v>
          </cell>
        </row>
        <row r="434">
          <cell r="F434" t="str">
            <v xml:space="preserve">16669313       </v>
          </cell>
          <cell r="O434">
            <v>918</v>
          </cell>
        </row>
        <row r="435">
          <cell r="F435" t="str">
            <v xml:space="preserve">900034686      </v>
          </cell>
          <cell r="O435">
            <v>54</v>
          </cell>
        </row>
        <row r="436">
          <cell r="F436" t="str">
            <v xml:space="preserve">900034686      </v>
          </cell>
          <cell r="O436">
            <v>180</v>
          </cell>
        </row>
        <row r="437">
          <cell r="F437" t="str">
            <v xml:space="preserve">900034686      </v>
          </cell>
          <cell r="O437">
            <v>72</v>
          </cell>
        </row>
        <row r="438">
          <cell r="F438" t="str">
            <v xml:space="preserve">900034686      </v>
          </cell>
          <cell r="O438">
            <v>90</v>
          </cell>
        </row>
        <row r="439">
          <cell r="F439" t="str">
            <v xml:space="preserve">901551934      </v>
          </cell>
          <cell r="O439">
            <v>45</v>
          </cell>
        </row>
        <row r="440">
          <cell r="F440" t="str">
            <v xml:space="preserve">16460421       </v>
          </cell>
          <cell r="O440">
            <v>9</v>
          </cell>
        </row>
        <row r="441">
          <cell r="F441" t="str">
            <v xml:space="preserve">16460421       </v>
          </cell>
          <cell r="O441">
            <v>45</v>
          </cell>
        </row>
        <row r="442">
          <cell r="F442" t="str">
            <v xml:space="preserve">16460421       </v>
          </cell>
          <cell r="O442">
            <v>30</v>
          </cell>
        </row>
        <row r="443">
          <cell r="F443" t="str">
            <v xml:space="preserve">16460421       </v>
          </cell>
          <cell r="O443">
            <v>630</v>
          </cell>
        </row>
        <row r="444">
          <cell r="F444" t="str">
            <v xml:space="preserve">16460421       </v>
          </cell>
          <cell r="O444">
            <v>90</v>
          </cell>
        </row>
        <row r="445">
          <cell r="F445" t="str">
            <v xml:space="preserve">75074760       </v>
          </cell>
          <cell r="O445">
            <v>9</v>
          </cell>
        </row>
        <row r="446">
          <cell r="F446" t="str">
            <v xml:space="preserve">75074760       </v>
          </cell>
          <cell r="O446">
            <v>150</v>
          </cell>
        </row>
        <row r="447">
          <cell r="F447" t="str">
            <v xml:space="preserve">9910443        </v>
          </cell>
          <cell r="O447">
            <v>2475</v>
          </cell>
        </row>
        <row r="448">
          <cell r="F448" t="str">
            <v xml:space="preserve">9910443        </v>
          </cell>
          <cell r="O448">
            <v>225</v>
          </cell>
        </row>
        <row r="449">
          <cell r="F449" t="str">
            <v xml:space="preserve">75099432       </v>
          </cell>
          <cell r="O449">
            <v>60</v>
          </cell>
        </row>
        <row r="450">
          <cell r="F450" t="str">
            <v xml:space="preserve">75099432       </v>
          </cell>
          <cell r="O450">
            <v>90</v>
          </cell>
        </row>
        <row r="451">
          <cell r="F451" t="str">
            <v xml:space="preserve">96359555       </v>
          </cell>
          <cell r="O451">
            <v>9</v>
          </cell>
        </row>
        <row r="452">
          <cell r="F452" t="str">
            <v xml:space="preserve">96359555       </v>
          </cell>
          <cell r="O452">
            <v>1275</v>
          </cell>
        </row>
        <row r="453">
          <cell r="F453" t="str">
            <v xml:space="preserve">96359555       </v>
          </cell>
          <cell r="O453">
            <v>1440</v>
          </cell>
        </row>
        <row r="454">
          <cell r="F454" t="str">
            <v xml:space="preserve">10237057       </v>
          </cell>
          <cell r="O454">
            <v>18</v>
          </cell>
        </row>
        <row r="455">
          <cell r="F455" t="str">
            <v xml:space="preserve">901555731      </v>
          </cell>
          <cell r="O455">
            <v>135</v>
          </cell>
        </row>
        <row r="456">
          <cell r="F456" t="str">
            <v xml:space="preserve">1111745154     </v>
          </cell>
          <cell r="O456">
            <v>225</v>
          </cell>
        </row>
        <row r="457">
          <cell r="F457" t="str">
            <v xml:space="preserve">1111745154     </v>
          </cell>
          <cell r="O457">
            <v>90</v>
          </cell>
        </row>
        <row r="458">
          <cell r="F458" t="str">
            <v xml:space="preserve">14471042       </v>
          </cell>
          <cell r="O458">
            <v>165</v>
          </cell>
        </row>
        <row r="459">
          <cell r="F459" t="str">
            <v xml:space="preserve">16479359       </v>
          </cell>
          <cell r="O459">
            <v>225</v>
          </cell>
        </row>
        <row r="460">
          <cell r="F460" t="str">
            <v xml:space="preserve">16479359       </v>
          </cell>
          <cell r="O460">
            <v>135</v>
          </cell>
        </row>
        <row r="461">
          <cell r="F461" t="str">
            <v xml:space="preserve">29233836       </v>
          </cell>
          <cell r="O461">
            <v>4.5</v>
          </cell>
        </row>
        <row r="462">
          <cell r="F462" t="str">
            <v xml:space="preserve">29233836       </v>
          </cell>
          <cell r="O462">
            <v>300</v>
          </cell>
        </row>
        <row r="463">
          <cell r="F463" t="str">
            <v xml:space="preserve">10007888       </v>
          </cell>
          <cell r="O463">
            <v>75</v>
          </cell>
        </row>
        <row r="464">
          <cell r="F464" t="str">
            <v xml:space="preserve">10007888       </v>
          </cell>
          <cell r="O464">
            <v>18</v>
          </cell>
        </row>
        <row r="465">
          <cell r="F465" t="str">
            <v xml:space="preserve">1088256267     </v>
          </cell>
          <cell r="O465">
            <v>225</v>
          </cell>
        </row>
        <row r="466">
          <cell r="F466" t="str">
            <v xml:space="preserve">1088256267     </v>
          </cell>
          <cell r="O466">
            <v>90</v>
          </cell>
        </row>
        <row r="467">
          <cell r="F467" t="str">
            <v xml:space="preserve">1088256267     </v>
          </cell>
          <cell r="O467">
            <v>90</v>
          </cell>
        </row>
        <row r="468">
          <cell r="F468" t="str">
            <v xml:space="preserve">16225682       </v>
          </cell>
          <cell r="O468">
            <v>18</v>
          </cell>
        </row>
        <row r="469">
          <cell r="F469" t="str">
            <v xml:space="preserve">16225682       </v>
          </cell>
          <cell r="O469">
            <v>108</v>
          </cell>
        </row>
        <row r="470">
          <cell r="F470" t="str">
            <v xml:space="preserve">16225682       </v>
          </cell>
          <cell r="O470">
            <v>90</v>
          </cell>
        </row>
        <row r="471">
          <cell r="F471" t="str">
            <v xml:space="preserve">16225682       </v>
          </cell>
          <cell r="O471">
            <v>90</v>
          </cell>
        </row>
        <row r="472">
          <cell r="F472" t="str">
            <v xml:space="preserve">10144092       </v>
          </cell>
          <cell r="O472">
            <v>315</v>
          </cell>
        </row>
        <row r="473">
          <cell r="F473" t="str">
            <v xml:space="preserve">10144092       </v>
          </cell>
          <cell r="O473">
            <v>18</v>
          </cell>
        </row>
        <row r="474">
          <cell r="F474" t="str">
            <v xml:space="preserve">10144092       </v>
          </cell>
          <cell r="O474">
            <v>45</v>
          </cell>
        </row>
        <row r="475">
          <cell r="F475" t="str">
            <v xml:space="preserve">16225675       </v>
          </cell>
          <cell r="O475">
            <v>18</v>
          </cell>
        </row>
        <row r="476">
          <cell r="F476" t="str">
            <v xml:space="preserve">16225675       </v>
          </cell>
          <cell r="O476">
            <v>9</v>
          </cell>
        </row>
        <row r="477">
          <cell r="F477" t="str">
            <v xml:space="preserve">16225675       </v>
          </cell>
          <cell r="O477">
            <v>375</v>
          </cell>
        </row>
        <row r="478">
          <cell r="F478" t="str">
            <v xml:space="preserve">16225675       </v>
          </cell>
          <cell r="O478">
            <v>54</v>
          </cell>
        </row>
        <row r="479">
          <cell r="F479" t="str">
            <v xml:space="preserve">18596221       </v>
          </cell>
          <cell r="O479">
            <v>165</v>
          </cell>
        </row>
        <row r="480">
          <cell r="F480" t="str">
            <v xml:space="preserve">18596221       </v>
          </cell>
          <cell r="O480">
            <v>36</v>
          </cell>
        </row>
        <row r="481">
          <cell r="F481" t="str">
            <v xml:space="preserve">805005148      </v>
          </cell>
          <cell r="O481">
            <v>2178</v>
          </cell>
        </row>
        <row r="482">
          <cell r="F482" t="str">
            <v xml:space="preserve">805005148      </v>
          </cell>
          <cell r="O482">
            <v>270</v>
          </cell>
        </row>
        <row r="483">
          <cell r="F483" t="str">
            <v xml:space="preserve">805005148      </v>
          </cell>
          <cell r="O483">
            <v>15</v>
          </cell>
        </row>
        <row r="484">
          <cell r="F484" t="str">
            <v xml:space="preserve">805005148      </v>
          </cell>
          <cell r="O484">
            <v>612</v>
          </cell>
        </row>
        <row r="485">
          <cell r="F485" t="str">
            <v xml:space="preserve">901303668      </v>
          </cell>
          <cell r="O485">
            <v>135</v>
          </cell>
        </row>
        <row r="486">
          <cell r="F486" t="str">
            <v xml:space="preserve">76336108       </v>
          </cell>
          <cell r="O486">
            <v>378</v>
          </cell>
        </row>
        <row r="487">
          <cell r="F487" t="str">
            <v xml:space="preserve">76336108       </v>
          </cell>
          <cell r="O487">
            <v>45</v>
          </cell>
        </row>
        <row r="488">
          <cell r="F488" t="str">
            <v xml:space="preserve">12168724       </v>
          </cell>
          <cell r="O488">
            <v>360</v>
          </cell>
        </row>
        <row r="489">
          <cell r="F489" t="str">
            <v xml:space="preserve">10755493       </v>
          </cell>
          <cell r="O489">
            <v>45</v>
          </cell>
        </row>
        <row r="490">
          <cell r="F490" t="str">
            <v xml:space="preserve">76331539       </v>
          </cell>
          <cell r="O490">
            <v>45</v>
          </cell>
        </row>
        <row r="491">
          <cell r="F491" t="str">
            <v xml:space="preserve">76331539       </v>
          </cell>
          <cell r="O491">
            <v>648</v>
          </cell>
        </row>
        <row r="492">
          <cell r="F492" t="str">
            <v xml:space="preserve">9900047        </v>
          </cell>
          <cell r="O492">
            <v>108</v>
          </cell>
        </row>
        <row r="493">
          <cell r="F493" t="str">
            <v xml:space="preserve">18416624       </v>
          </cell>
          <cell r="O493">
            <v>45</v>
          </cell>
        </row>
        <row r="494">
          <cell r="F494" t="str">
            <v xml:space="preserve">18416624       </v>
          </cell>
          <cell r="O494">
            <v>90</v>
          </cell>
        </row>
        <row r="495">
          <cell r="F495" t="str">
            <v xml:space="preserve">4613715        </v>
          </cell>
          <cell r="O495">
            <v>405</v>
          </cell>
        </row>
        <row r="496">
          <cell r="F496" t="str">
            <v xml:space="preserve">4613715        </v>
          </cell>
          <cell r="O496">
            <v>198</v>
          </cell>
        </row>
        <row r="497">
          <cell r="F497" t="str">
            <v xml:space="preserve">4613715        </v>
          </cell>
          <cell r="O497">
            <v>90</v>
          </cell>
        </row>
        <row r="498">
          <cell r="F498" t="str">
            <v xml:space="preserve">9805400        </v>
          </cell>
          <cell r="O498">
            <v>105</v>
          </cell>
        </row>
        <row r="499">
          <cell r="F499" t="str">
            <v xml:space="preserve">9805400        </v>
          </cell>
          <cell r="O499">
            <v>144</v>
          </cell>
        </row>
        <row r="500">
          <cell r="F500" t="str">
            <v xml:space="preserve">6110295        </v>
          </cell>
          <cell r="O500">
            <v>285</v>
          </cell>
        </row>
        <row r="501">
          <cell r="F501" t="str">
            <v xml:space="preserve">6110295        </v>
          </cell>
          <cell r="O501">
            <v>234</v>
          </cell>
        </row>
        <row r="502">
          <cell r="F502" t="str">
            <v xml:space="preserve">805005148      </v>
          </cell>
          <cell r="O502">
            <v>774</v>
          </cell>
        </row>
        <row r="503">
          <cell r="F503" t="str">
            <v xml:space="preserve">805005148      </v>
          </cell>
          <cell r="O503">
            <v>630</v>
          </cell>
        </row>
        <row r="504">
          <cell r="F504" t="str">
            <v xml:space="preserve">805005148      </v>
          </cell>
          <cell r="O504">
            <v>405</v>
          </cell>
        </row>
        <row r="505">
          <cell r="F505" t="str">
            <v xml:space="preserve">805005148      </v>
          </cell>
          <cell r="O505">
            <v>666</v>
          </cell>
        </row>
        <row r="506">
          <cell r="F506" t="str">
            <v xml:space="preserve">10488839       </v>
          </cell>
          <cell r="O506">
            <v>4.5</v>
          </cell>
        </row>
        <row r="507">
          <cell r="F507" t="str">
            <v xml:space="preserve">10488839       </v>
          </cell>
          <cell r="O507">
            <v>30</v>
          </cell>
        </row>
        <row r="508">
          <cell r="F508" t="str">
            <v xml:space="preserve">10488839       </v>
          </cell>
          <cell r="O508">
            <v>864</v>
          </cell>
        </row>
        <row r="509">
          <cell r="F509" t="str">
            <v xml:space="preserve">16843578       </v>
          </cell>
          <cell r="O509">
            <v>1782</v>
          </cell>
        </row>
        <row r="510">
          <cell r="F510" t="str">
            <v xml:space="preserve">16843578       </v>
          </cell>
          <cell r="O510">
            <v>1548</v>
          </cell>
        </row>
        <row r="511">
          <cell r="F511" t="str">
            <v xml:space="preserve">16843578       </v>
          </cell>
          <cell r="O511">
            <v>90</v>
          </cell>
        </row>
        <row r="512">
          <cell r="F512" t="str">
            <v xml:space="preserve">900034686      </v>
          </cell>
          <cell r="O512">
            <v>45</v>
          </cell>
        </row>
        <row r="513">
          <cell r="F513" t="str">
            <v xml:space="preserve">900034686      </v>
          </cell>
          <cell r="O513">
            <v>18</v>
          </cell>
        </row>
        <row r="514">
          <cell r="F514" t="str">
            <v xml:space="preserve">900034686      </v>
          </cell>
          <cell r="O514">
            <v>90</v>
          </cell>
        </row>
        <row r="515">
          <cell r="F515" t="str">
            <v xml:space="preserve">16849293       </v>
          </cell>
          <cell r="O515">
            <v>15</v>
          </cell>
        </row>
        <row r="516">
          <cell r="F516" t="str">
            <v xml:space="preserve">16849293       </v>
          </cell>
          <cell r="O516">
            <v>198</v>
          </cell>
        </row>
        <row r="517">
          <cell r="F517" t="str">
            <v xml:space="preserve">16849293       </v>
          </cell>
          <cell r="O517">
            <v>135</v>
          </cell>
        </row>
        <row r="518">
          <cell r="F518" t="str">
            <v xml:space="preserve">79736632       </v>
          </cell>
          <cell r="O518">
            <v>504</v>
          </cell>
        </row>
        <row r="519">
          <cell r="F519" t="str">
            <v xml:space="preserve">79736632       </v>
          </cell>
          <cell r="O519">
            <v>135</v>
          </cell>
        </row>
        <row r="520">
          <cell r="F520" t="str">
            <v xml:space="preserve">830133323      </v>
          </cell>
          <cell r="O520">
            <v>18</v>
          </cell>
        </row>
        <row r="521">
          <cell r="F521" t="str">
            <v xml:space="preserve">830133323      </v>
          </cell>
          <cell r="O521">
            <v>18</v>
          </cell>
        </row>
        <row r="522">
          <cell r="F522" t="str">
            <v xml:space="preserve">26050336       </v>
          </cell>
          <cell r="O522">
            <v>18</v>
          </cell>
        </row>
        <row r="523">
          <cell r="F523" t="str">
            <v xml:space="preserve">26050336       </v>
          </cell>
          <cell r="O523">
            <v>30</v>
          </cell>
        </row>
        <row r="524">
          <cell r="F524" t="str">
            <v xml:space="preserve">26050336       </v>
          </cell>
          <cell r="O524">
            <v>162</v>
          </cell>
        </row>
        <row r="525">
          <cell r="F525" t="str">
            <v xml:space="preserve">26050336       </v>
          </cell>
          <cell r="O525">
            <v>45</v>
          </cell>
        </row>
        <row r="526">
          <cell r="F526" t="str">
            <v xml:space="preserve">22087503       </v>
          </cell>
          <cell r="O526">
            <v>90</v>
          </cell>
        </row>
        <row r="527">
          <cell r="F527" t="str">
            <v xml:space="preserve">71747063       </v>
          </cell>
          <cell r="O527">
            <v>15</v>
          </cell>
        </row>
        <row r="528">
          <cell r="F528" t="str">
            <v xml:space="preserve">71747063       </v>
          </cell>
          <cell r="O528">
            <v>1278</v>
          </cell>
        </row>
        <row r="529">
          <cell r="F529" t="str">
            <v xml:space="preserve">71747063       </v>
          </cell>
          <cell r="O529">
            <v>855</v>
          </cell>
        </row>
        <row r="530">
          <cell r="F530" t="str">
            <v xml:space="preserve">71215358       </v>
          </cell>
          <cell r="O530">
            <v>9</v>
          </cell>
        </row>
        <row r="531">
          <cell r="F531" t="str">
            <v xml:space="preserve">71215358       </v>
          </cell>
          <cell r="O531">
            <v>306</v>
          </cell>
        </row>
        <row r="532">
          <cell r="F532" t="str">
            <v xml:space="preserve">71215358       </v>
          </cell>
          <cell r="O532">
            <v>54</v>
          </cell>
        </row>
        <row r="533">
          <cell r="F533" t="str">
            <v xml:space="preserve">71215358       </v>
          </cell>
          <cell r="O533">
            <v>105</v>
          </cell>
        </row>
        <row r="534">
          <cell r="F534" t="str">
            <v xml:space="preserve">71215358       </v>
          </cell>
          <cell r="O534">
            <v>108</v>
          </cell>
        </row>
        <row r="535">
          <cell r="F535" t="str">
            <v xml:space="preserve">71215358       </v>
          </cell>
          <cell r="O535">
            <v>45</v>
          </cell>
        </row>
        <row r="536">
          <cell r="F536" t="str">
            <v xml:space="preserve">91179385       </v>
          </cell>
          <cell r="O536">
            <v>846</v>
          </cell>
        </row>
        <row r="537">
          <cell r="F537" t="str">
            <v xml:space="preserve">91179385       </v>
          </cell>
          <cell r="O537">
            <v>270</v>
          </cell>
        </row>
        <row r="538">
          <cell r="F538" t="str">
            <v xml:space="preserve">88157654       </v>
          </cell>
          <cell r="O538">
            <v>600</v>
          </cell>
        </row>
        <row r="539">
          <cell r="F539" t="str">
            <v xml:space="preserve">88157654       </v>
          </cell>
          <cell r="O539">
            <v>360</v>
          </cell>
        </row>
        <row r="540">
          <cell r="F540" t="str">
            <v xml:space="preserve">13494934       </v>
          </cell>
          <cell r="O540">
            <v>120</v>
          </cell>
        </row>
        <row r="541">
          <cell r="F541" t="str">
            <v xml:space="preserve">13494934       </v>
          </cell>
          <cell r="O541">
            <v>36</v>
          </cell>
        </row>
        <row r="542">
          <cell r="F542" t="str">
            <v xml:space="preserve">13494934       </v>
          </cell>
          <cell r="O542">
            <v>180</v>
          </cell>
        </row>
        <row r="543">
          <cell r="F543" t="str">
            <v xml:space="preserve">88188644       </v>
          </cell>
          <cell r="O543">
            <v>9</v>
          </cell>
        </row>
        <row r="544">
          <cell r="F544" t="str">
            <v xml:space="preserve">1117502076     </v>
          </cell>
          <cell r="O544">
            <v>288</v>
          </cell>
        </row>
        <row r="545">
          <cell r="F545" t="str">
            <v xml:space="preserve">1117502076     </v>
          </cell>
          <cell r="O545">
            <v>45</v>
          </cell>
        </row>
        <row r="546">
          <cell r="F546" t="str">
            <v xml:space="preserve">1117502076     </v>
          </cell>
          <cell r="O546">
            <v>15</v>
          </cell>
        </row>
        <row r="547">
          <cell r="F547" t="str">
            <v xml:space="preserve">1117502076     </v>
          </cell>
          <cell r="O547">
            <v>144</v>
          </cell>
        </row>
        <row r="548">
          <cell r="F548" t="str">
            <v xml:space="preserve">1117502076     </v>
          </cell>
          <cell r="O548">
            <v>45</v>
          </cell>
        </row>
        <row r="549">
          <cell r="F549" t="str">
            <v xml:space="preserve">91451576       </v>
          </cell>
          <cell r="O549">
            <v>216</v>
          </cell>
        </row>
        <row r="550">
          <cell r="F550" t="str">
            <v xml:space="preserve">91266362       </v>
          </cell>
          <cell r="O550">
            <v>216</v>
          </cell>
        </row>
        <row r="551">
          <cell r="F551" t="str">
            <v xml:space="preserve">13537217       </v>
          </cell>
          <cell r="O551">
            <v>45</v>
          </cell>
        </row>
        <row r="552">
          <cell r="F552" t="str">
            <v xml:space="preserve">13537217       </v>
          </cell>
          <cell r="O552">
            <v>342</v>
          </cell>
        </row>
        <row r="553">
          <cell r="F553" t="str">
            <v xml:space="preserve">91179643       </v>
          </cell>
          <cell r="O553">
            <v>108</v>
          </cell>
        </row>
        <row r="554">
          <cell r="F554" t="str">
            <v xml:space="preserve">91179643       </v>
          </cell>
          <cell r="O554">
            <v>72</v>
          </cell>
        </row>
        <row r="555">
          <cell r="F555" t="str">
            <v xml:space="preserve">91067422       </v>
          </cell>
          <cell r="O555">
            <v>210</v>
          </cell>
        </row>
        <row r="556">
          <cell r="F556" t="str">
            <v xml:space="preserve">91067422       </v>
          </cell>
          <cell r="O556">
            <v>18</v>
          </cell>
        </row>
        <row r="557">
          <cell r="F557" t="str">
            <v xml:space="preserve">91067422       </v>
          </cell>
          <cell r="O557">
            <v>45</v>
          </cell>
        </row>
        <row r="558">
          <cell r="F558" t="str">
            <v xml:space="preserve">91067422       </v>
          </cell>
          <cell r="O558">
            <v>45</v>
          </cell>
        </row>
        <row r="559">
          <cell r="F559" t="str">
            <v xml:space="preserve">91067422       </v>
          </cell>
          <cell r="O559">
            <v>54</v>
          </cell>
        </row>
        <row r="560">
          <cell r="F560" t="str">
            <v xml:space="preserve">91067422       </v>
          </cell>
          <cell r="O560">
            <v>315</v>
          </cell>
        </row>
        <row r="561">
          <cell r="F561" t="str">
            <v xml:space="preserve">91067422       </v>
          </cell>
          <cell r="O561">
            <v>105</v>
          </cell>
        </row>
        <row r="562">
          <cell r="F562" t="str">
            <v xml:space="preserve">91067422       </v>
          </cell>
          <cell r="O562">
            <v>54</v>
          </cell>
        </row>
        <row r="563">
          <cell r="F563" t="str">
            <v xml:space="preserve">91067422       </v>
          </cell>
          <cell r="O563">
            <v>45</v>
          </cell>
        </row>
        <row r="564">
          <cell r="F564" t="str">
            <v xml:space="preserve">91272730       </v>
          </cell>
          <cell r="O564">
            <v>120</v>
          </cell>
        </row>
        <row r="565">
          <cell r="F565" t="str">
            <v xml:space="preserve">91272730       </v>
          </cell>
          <cell r="O565">
            <v>18</v>
          </cell>
        </row>
        <row r="566">
          <cell r="F566" t="str">
            <v xml:space="preserve">91272730       </v>
          </cell>
          <cell r="O566">
            <v>90</v>
          </cell>
        </row>
        <row r="567">
          <cell r="F567" t="str">
            <v xml:space="preserve">26229305       </v>
          </cell>
          <cell r="O567">
            <v>1050</v>
          </cell>
        </row>
        <row r="568">
          <cell r="F568" t="str">
            <v xml:space="preserve">26229305       </v>
          </cell>
          <cell r="O568">
            <v>90</v>
          </cell>
        </row>
        <row r="569">
          <cell r="F569" t="str">
            <v xml:space="preserve">26229305       </v>
          </cell>
          <cell r="O569">
            <v>90</v>
          </cell>
        </row>
        <row r="570">
          <cell r="F570" t="str">
            <v xml:space="preserve">901096204      </v>
          </cell>
          <cell r="O570">
            <v>75</v>
          </cell>
        </row>
        <row r="571">
          <cell r="F571" t="str">
            <v xml:space="preserve">901096204      </v>
          </cell>
          <cell r="O571">
            <v>2034</v>
          </cell>
        </row>
        <row r="572">
          <cell r="F572" t="str">
            <v xml:space="preserve">73134768       </v>
          </cell>
          <cell r="O572">
            <v>405</v>
          </cell>
        </row>
        <row r="573">
          <cell r="F573" t="str">
            <v xml:space="preserve">73134768       </v>
          </cell>
          <cell r="O573">
            <v>522</v>
          </cell>
        </row>
        <row r="574">
          <cell r="F574" t="str">
            <v xml:space="preserve">73238025       </v>
          </cell>
          <cell r="O574">
            <v>4302</v>
          </cell>
        </row>
        <row r="575">
          <cell r="F575" t="str">
            <v xml:space="preserve">73238025       </v>
          </cell>
          <cell r="O575">
            <v>945</v>
          </cell>
        </row>
        <row r="576">
          <cell r="F576" t="str">
            <v xml:space="preserve">77191750       </v>
          </cell>
          <cell r="O576">
            <v>828</v>
          </cell>
        </row>
        <row r="577">
          <cell r="F577" t="str">
            <v xml:space="preserve">72196317       </v>
          </cell>
          <cell r="O577">
            <v>150</v>
          </cell>
        </row>
        <row r="578">
          <cell r="F578" t="str">
            <v xml:space="preserve">72196317       </v>
          </cell>
          <cell r="O578">
            <v>54</v>
          </cell>
        </row>
        <row r="579">
          <cell r="F579" t="str">
            <v xml:space="preserve">73079740       </v>
          </cell>
          <cell r="O579">
            <v>15</v>
          </cell>
        </row>
        <row r="580">
          <cell r="F580" t="str">
            <v xml:space="preserve">73079740       </v>
          </cell>
          <cell r="O580">
            <v>540</v>
          </cell>
        </row>
        <row r="581">
          <cell r="F581" t="str">
            <v xml:space="preserve">73079740       </v>
          </cell>
          <cell r="O581">
            <v>45</v>
          </cell>
        </row>
        <row r="582">
          <cell r="F582" t="str">
            <v xml:space="preserve">15047548       </v>
          </cell>
          <cell r="O582">
            <v>9</v>
          </cell>
        </row>
        <row r="583">
          <cell r="F583" t="str">
            <v xml:space="preserve">15047548       </v>
          </cell>
          <cell r="O583">
            <v>45</v>
          </cell>
        </row>
        <row r="584">
          <cell r="F584" t="str">
            <v xml:space="preserve">15047548       </v>
          </cell>
          <cell r="O584">
            <v>594</v>
          </cell>
        </row>
        <row r="585">
          <cell r="F585" t="str">
            <v xml:space="preserve">1020712348     </v>
          </cell>
          <cell r="O585">
            <v>15</v>
          </cell>
        </row>
        <row r="586">
          <cell r="F586" t="str">
            <v xml:space="preserve">1020712348     </v>
          </cell>
          <cell r="O586">
            <v>900</v>
          </cell>
        </row>
        <row r="587">
          <cell r="F587" t="str">
            <v xml:space="preserve">1020712348     </v>
          </cell>
          <cell r="O587">
            <v>540</v>
          </cell>
        </row>
        <row r="588">
          <cell r="F588" t="str">
            <v xml:space="preserve">80266206       </v>
          </cell>
          <cell r="O588">
            <v>63</v>
          </cell>
        </row>
        <row r="589">
          <cell r="F589" t="str">
            <v xml:space="preserve">80266206       </v>
          </cell>
          <cell r="O589">
            <v>30</v>
          </cell>
        </row>
        <row r="590">
          <cell r="F590" t="str">
            <v xml:space="preserve">80266206       </v>
          </cell>
          <cell r="O590">
            <v>270</v>
          </cell>
        </row>
        <row r="591">
          <cell r="F591" t="str">
            <v xml:space="preserve">80266206       </v>
          </cell>
          <cell r="O591">
            <v>90</v>
          </cell>
        </row>
        <row r="592">
          <cell r="F592" t="str">
            <v xml:space="preserve">79119755       </v>
          </cell>
          <cell r="O592">
            <v>108</v>
          </cell>
        </row>
        <row r="593">
          <cell r="F593" t="str">
            <v xml:space="preserve">79119755       </v>
          </cell>
          <cell r="O593">
            <v>150</v>
          </cell>
        </row>
        <row r="594">
          <cell r="F594" t="str">
            <v xml:space="preserve">79119755       </v>
          </cell>
          <cell r="O594">
            <v>900</v>
          </cell>
        </row>
        <row r="595">
          <cell r="F595" t="str">
            <v xml:space="preserve">1111739602     </v>
          </cell>
          <cell r="O595">
            <v>45</v>
          </cell>
        </row>
        <row r="596">
          <cell r="F596" t="str">
            <v xml:space="preserve">1111739602     </v>
          </cell>
          <cell r="O596">
            <v>45</v>
          </cell>
        </row>
        <row r="597">
          <cell r="F597" t="str">
            <v xml:space="preserve">1111739602     </v>
          </cell>
          <cell r="O597">
            <v>285</v>
          </cell>
        </row>
        <row r="598">
          <cell r="F598" t="str">
            <v xml:space="preserve">1111739602     </v>
          </cell>
          <cell r="O598">
            <v>1080</v>
          </cell>
        </row>
        <row r="599">
          <cell r="F599" t="str">
            <v xml:space="preserve">1111739602     </v>
          </cell>
          <cell r="O599">
            <v>450</v>
          </cell>
        </row>
        <row r="600">
          <cell r="F600" t="str">
            <v xml:space="preserve">88168843       </v>
          </cell>
          <cell r="O600">
            <v>27</v>
          </cell>
        </row>
        <row r="601">
          <cell r="F601" t="str">
            <v xml:space="preserve">88168843       </v>
          </cell>
          <cell r="O601">
            <v>30</v>
          </cell>
        </row>
        <row r="602">
          <cell r="F602" t="str">
            <v xml:space="preserve">88168843       </v>
          </cell>
          <cell r="O602">
            <v>198</v>
          </cell>
        </row>
        <row r="603">
          <cell r="F603" t="str">
            <v xml:space="preserve">88168843       </v>
          </cell>
          <cell r="O603">
            <v>45</v>
          </cell>
        </row>
        <row r="604">
          <cell r="F604" t="str">
            <v xml:space="preserve">88168843       </v>
          </cell>
          <cell r="O604">
            <v>27</v>
          </cell>
        </row>
        <row r="605">
          <cell r="F605" t="str">
            <v xml:space="preserve">88168843       </v>
          </cell>
          <cell r="O605">
            <v>72</v>
          </cell>
        </row>
        <row r="606">
          <cell r="F606" t="str">
            <v xml:space="preserve">79221604       </v>
          </cell>
          <cell r="O606">
            <v>9</v>
          </cell>
        </row>
        <row r="607">
          <cell r="F607" t="str">
            <v xml:space="preserve">79221604       </v>
          </cell>
          <cell r="O607">
            <v>15</v>
          </cell>
        </row>
        <row r="608">
          <cell r="F608" t="str">
            <v xml:space="preserve">79221604       </v>
          </cell>
          <cell r="O608">
            <v>450</v>
          </cell>
        </row>
        <row r="609">
          <cell r="F609" t="str">
            <v xml:space="preserve">79221604       </v>
          </cell>
          <cell r="O609">
            <v>90</v>
          </cell>
        </row>
        <row r="610">
          <cell r="F610" t="str">
            <v xml:space="preserve">79221604       </v>
          </cell>
          <cell r="O610">
            <v>90</v>
          </cell>
        </row>
        <row r="611">
          <cell r="F611" t="str">
            <v xml:space="preserve">79221604       </v>
          </cell>
          <cell r="O611">
            <v>270</v>
          </cell>
        </row>
        <row r="612">
          <cell r="F612" t="str">
            <v xml:space="preserve">10315862       </v>
          </cell>
          <cell r="O612">
            <v>15</v>
          </cell>
        </row>
        <row r="613">
          <cell r="F613" t="str">
            <v xml:space="preserve">10315862       </v>
          </cell>
          <cell r="O613">
            <v>90</v>
          </cell>
        </row>
        <row r="614">
          <cell r="F614" t="str">
            <v xml:space="preserve">1103101503     </v>
          </cell>
          <cell r="O614">
            <v>540</v>
          </cell>
        </row>
        <row r="615">
          <cell r="F615" t="str">
            <v xml:space="preserve">1103101503     </v>
          </cell>
          <cell r="O615">
            <v>225</v>
          </cell>
        </row>
        <row r="616">
          <cell r="F616" t="str">
            <v xml:space="preserve">1103101503     </v>
          </cell>
          <cell r="O616">
            <v>4.5</v>
          </cell>
        </row>
        <row r="617">
          <cell r="F617" t="str">
            <v xml:space="preserve">1103101503     </v>
          </cell>
          <cell r="O617">
            <v>234</v>
          </cell>
        </row>
        <row r="618">
          <cell r="F618" t="str">
            <v xml:space="preserve">1103101503     </v>
          </cell>
          <cell r="O618">
            <v>135</v>
          </cell>
        </row>
        <row r="619">
          <cell r="F619" t="str">
            <v xml:space="preserve">73166349       </v>
          </cell>
          <cell r="O619">
            <v>120</v>
          </cell>
        </row>
        <row r="620">
          <cell r="F620" t="str">
            <v xml:space="preserve">73166349       </v>
          </cell>
          <cell r="O620">
            <v>486</v>
          </cell>
        </row>
        <row r="621">
          <cell r="F621" t="str">
            <v xml:space="preserve">73166349       </v>
          </cell>
          <cell r="O621">
            <v>90</v>
          </cell>
        </row>
        <row r="622">
          <cell r="F622" t="str">
            <v xml:space="preserve">73507193       </v>
          </cell>
          <cell r="O622">
            <v>255</v>
          </cell>
        </row>
        <row r="623">
          <cell r="F623" t="str">
            <v xml:space="preserve">73507193       </v>
          </cell>
          <cell r="O623">
            <v>360</v>
          </cell>
        </row>
        <row r="624">
          <cell r="F624" t="str">
            <v xml:space="preserve">73507193       </v>
          </cell>
          <cell r="O624">
            <v>90</v>
          </cell>
        </row>
        <row r="625">
          <cell r="F625" t="str">
            <v xml:space="preserve">94429458       </v>
          </cell>
          <cell r="O625">
            <v>2745</v>
          </cell>
        </row>
        <row r="626">
          <cell r="F626" t="str">
            <v xml:space="preserve">94429458       </v>
          </cell>
          <cell r="O626">
            <v>350</v>
          </cell>
        </row>
        <row r="627">
          <cell r="F627" t="str">
            <v xml:space="preserve">94429458       </v>
          </cell>
          <cell r="O627">
            <v>1845</v>
          </cell>
        </row>
        <row r="628">
          <cell r="F628" t="str">
            <v xml:space="preserve">94429458       </v>
          </cell>
          <cell r="O628">
            <v>405</v>
          </cell>
        </row>
        <row r="629">
          <cell r="F629" t="str">
            <v xml:space="preserve">74170036       </v>
          </cell>
          <cell r="O629">
            <v>288</v>
          </cell>
        </row>
        <row r="630">
          <cell r="F630" t="str">
            <v xml:space="preserve">74170036       </v>
          </cell>
          <cell r="O630">
            <v>360</v>
          </cell>
        </row>
        <row r="631">
          <cell r="F631" t="str">
            <v xml:space="preserve">7305518        </v>
          </cell>
          <cell r="O631">
            <v>1260</v>
          </cell>
        </row>
        <row r="632">
          <cell r="F632" t="str">
            <v xml:space="preserve">7305518        </v>
          </cell>
          <cell r="O632">
            <v>630</v>
          </cell>
        </row>
        <row r="633">
          <cell r="F633" t="str">
            <v xml:space="preserve">7305425        </v>
          </cell>
          <cell r="O633">
            <v>15</v>
          </cell>
        </row>
        <row r="634">
          <cell r="F634" t="str">
            <v xml:space="preserve">7305425        </v>
          </cell>
          <cell r="O634">
            <v>45</v>
          </cell>
        </row>
        <row r="635">
          <cell r="F635" t="str">
            <v xml:space="preserve">7301411        </v>
          </cell>
          <cell r="O635">
            <v>315</v>
          </cell>
        </row>
        <row r="636">
          <cell r="F636" t="str">
            <v xml:space="preserve">4252280        </v>
          </cell>
          <cell r="O636">
            <v>360</v>
          </cell>
        </row>
        <row r="637">
          <cell r="F637" t="str">
            <v xml:space="preserve">4252280        </v>
          </cell>
          <cell r="O637">
            <v>270</v>
          </cell>
        </row>
        <row r="638">
          <cell r="F638" t="str">
            <v xml:space="preserve">17655129       </v>
          </cell>
          <cell r="O638">
            <v>450</v>
          </cell>
        </row>
        <row r="639">
          <cell r="F639" t="str">
            <v xml:space="preserve">17655129       </v>
          </cell>
          <cell r="O639">
            <v>90</v>
          </cell>
        </row>
        <row r="640">
          <cell r="F640" t="str">
            <v xml:space="preserve">1083686504     </v>
          </cell>
          <cell r="O640">
            <v>225</v>
          </cell>
        </row>
        <row r="641">
          <cell r="F641" t="str">
            <v xml:space="preserve">1083686504     </v>
          </cell>
          <cell r="O641">
            <v>90</v>
          </cell>
        </row>
        <row r="642">
          <cell r="F642" t="str">
            <v xml:space="preserve">35250577       </v>
          </cell>
          <cell r="O642">
            <v>144</v>
          </cell>
        </row>
        <row r="643">
          <cell r="F643" t="str">
            <v xml:space="preserve">35250577       </v>
          </cell>
          <cell r="O643">
            <v>45</v>
          </cell>
        </row>
        <row r="644">
          <cell r="F644" t="str">
            <v xml:space="preserve">35250577       </v>
          </cell>
          <cell r="O644">
            <v>90</v>
          </cell>
        </row>
        <row r="645">
          <cell r="F645" t="str">
            <v xml:space="preserve">18185538       </v>
          </cell>
          <cell r="O645">
            <v>270</v>
          </cell>
        </row>
        <row r="646">
          <cell r="F646" t="str">
            <v xml:space="preserve">18185538       </v>
          </cell>
          <cell r="O646">
            <v>135</v>
          </cell>
        </row>
        <row r="647">
          <cell r="F647" t="str">
            <v xml:space="preserve">18185538       </v>
          </cell>
          <cell r="O647">
            <v>750</v>
          </cell>
        </row>
        <row r="648">
          <cell r="F648" t="str">
            <v xml:space="preserve">18185538       </v>
          </cell>
          <cell r="O648">
            <v>540</v>
          </cell>
        </row>
        <row r="649">
          <cell r="F649" t="str">
            <v xml:space="preserve">83226520       </v>
          </cell>
          <cell r="O649">
            <v>225</v>
          </cell>
        </row>
        <row r="650">
          <cell r="F650" t="str">
            <v xml:space="preserve">12266504       </v>
          </cell>
          <cell r="O650">
            <v>375</v>
          </cell>
        </row>
        <row r="651">
          <cell r="F651" t="str">
            <v xml:space="preserve">12266504       </v>
          </cell>
          <cell r="O651">
            <v>36</v>
          </cell>
        </row>
        <row r="652">
          <cell r="F652" t="str">
            <v xml:space="preserve">12266504       </v>
          </cell>
          <cell r="O652">
            <v>90</v>
          </cell>
        </row>
        <row r="653">
          <cell r="F653" t="str">
            <v xml:space="preserve">12266504       </v>
          </cell>
          <cell r="O653">
            <v>465</v>
          </cell>
        </row>
        <row r="654">
          <cell r="F654" t="str">
            <v xml:space="preserve">12266504       </v>
          </cell>
          <cell r="O654">
            <v>45</v>
          </cell>
        </row>
        <row r="655">
          <cell r="F655" t="str">
            <v xml:space="preserve">12266504       </v>
          </cell>
          <cell r="O655">
            <v>345</v>
          </cell>
        </row>
        <row r="656">
          <cell r="F656" t="str">
            <v xml:space="preserve">83042067       </v>
          </cell>
          <cell r="O656">
            <v>90</v>
          </cell>
        </row>
        <row r="657">
          <cell r="F657" t="str">
            <v xml:space="preserve">83042067       </v>
          </cell>
          <cell r="O657">
            <v>36</v>
          </cell>
        </row>
        <row r="658">
          <cell r="F658" t="str">
            <v xml:space="preserve">83042067       </v>
          </cell>
          <cell r="O658">
            <v>180</v>
          </cell>
        </row>
        <row r="659">
          <cell r="F659" t="str">
            <v xml:space="preserve">1062292334     </v>
          </cell>
          <cell r="O659">
            <v>225</v>
          </cell>
        </row>
        <row r="660">
          <cell r="F660" t="str">
            <v xml:space="preserve">1062292334     </v>
          </cell>
          <cell r="O660">
            <v>45</v>
          </cell>
        </row>
        <row r="661">
          <cell r="F661" t="str">
            <v xml:space="preserve">1062292334     </v>
          </cell>
          <cell r="O661">
            <v>666</v>
          </cell>
        </row>
        <row r="662">
          <cell r="F662" t="str">
            <v xml:space="preserve">11445090       </v>
          </cell>
          <cell r="O662">
            <v>90</v>
          </cell>
        </row>
        <row r="663">
          <cell r="F663" t="str">
            <v xml:space="preserve">11445090       </v>
          </cell>
          <cell r="O663">
            <v>30</v>
          </cell>
        </row>
        <row r="664">
          <cell r="F664" t="str">
            <v xml:space="preserve">11445090       </v>
          </cell>
          <cell r="O664">
            <v>774</v>
          </cell>
        </row>
        <row r="665">
          <cell r="F665" t="str">
            <v xml:space="preserve">11445090       </v>
          </cell>
          <cell r="O665">
            <v>135</v>
          </cell>
        </row>
        <row r="666">
          <cell r="F666" t="str">
            <v xml:space="preserve">1068972221     </v>
          </cell>
          <cell r="O666">
            <v>216</v>
          </cell>
        </row>
        <row r="667">
          <cell r="F667" t="str">
            <v xml:space="preserve">1015995477     </v>
          </cell>
          <cell r="O667">
            <v>90</v>
          </cell>
        </row>
        <row r="668">
          <cell r="F668" t="str">
            <v xml:space="preserve">80351964       </v>
          </cell>
          <cell r="O668">
            <v>126</v>
          </cell>
        </row>
        <row r="669">
          <cell r="F669" t="str">
            <v xml:space="preserve">80351964       </v>
          </cell>
          <cell r="O669">
            <v>288</v>
          </cell>
        </row>
        <row r="670">
          <cell r="F670" t="str">
            <v xml:space="preserve">80351964       </v>
          </cell>
          <cell r="O670">
            <v>45</v>
          </cell>
        </row>
        <row r="671">
          <cell r="F671" t="str">
            <v xml:space="preserve">4090572        </v>
          </cell>
          <cell r="O671">
            <v>558</v>
          </cell>
        </row>
        <row r="672">
          <cell r="F672" t="str">
            <v xml:space="preserve">4090572        </v>
          </cell>
          <cell r="O672">
            <v>135</v>
          </cell>
        </row>
        <row r="673">
          <cell r="F673" t="str">
            <v xml:space="preserve">80024551       </v>
          </cell>
          <cell r="O673">
            <v>18</v>
          </cell>
        </row>
        <row r="674">
          <cell r="F674" t="str">
            <v xml:space="preserve">80024551       </v>
          </cell>
          <cell r="O674">
            <v>864</v>
          </cell>
        </row>
        <row r="675">
          <cell r="F675" t="str">
            <v xml:space="preserve">80024551       </v>
          </cell>
          <cell r="O675">
            <v>315</v>
          </cell>
        </row>
        <row r="676">
          <cell r="F676" t="str">
            <v xml:space="preserve">860070770      </v>
          </cell>
          <cell r="O676">
            <v>45</v>
          </cell>
        </row>
        <row r="677">
          <cell r="F677" t="str">
            <v xml:space="preserve">4198272        </v>
          </cell>
          <cell r="O677">
            <v>63</v>
          </cell>
        </row>
        <row r="678">
          <cell r="F678" t="str">
            <v xml:space="preserve">4198272        </v>
          </cell>
          <cell r="O678">
            <v>135</v>
          </cell>
        </row>
        <row r="679">
          <cell r="F679" t="str">
            <v xml:space="preserve">4198272        </v>
          </cell>
          <cell r="O679">
            <v>45</v>
          </cell>
        </row>
        <row r="680">
          <cell r="F680" t="str">
            <v xml:space="preserve">4090806        </v>
          </cell>
          <cell r="O680">
            <v>36</v>
          </cell>
        </row>
        <row r="681">
          <cell r="F681" t="str">
            <v xml:space="preserve">4090806        </v>
          </cell>
          <cell r="O681">
            <v>72</v>
          </cell>
        </row>
        <row r="682">
          <cell r="F682" t="str">
            <v xml:space="preserve">4090806        </v>
          </cell>
          <cell r="O682">
            <v>30</v>
          </cell>
        </row>
        <row r="683">
          <cell r="F683" t="str">
            <v xml:space="preserve">79339314       </v>
          </cell>
          <cell r="O683">
            <v>150</v>
          </cell>
        </row>
        <row r="684">
          <cell r="F684" t="str">
            <v xml:space="preserve">79339314       </v>
          </cell>
          <cell r="O684">
            <v>135</v>
          </cell>
        </row>
        <row r="685">
          <cell r="F685" t="str">
            <v xml:space="preserve">11379585       </v>
          </cell>
          <cell r="O685">
            <v>30</v>
          </cell>
        </row>
        <row r="686">
          <cell r="F686" t="str">
            <v xml:space="preserve">11379585       </v>
          </cell>
          <cell r="O686">
            <v>684</v>
          </cell>
        </row>
        <row r="687">
          <cell r="F687" t="str">
            <v xml:space="preserve">11379585       </v>
          </cell>
          <cell r="O687">
            <v>585</v>
          </cell>
        </row>
        <row r="688">
          <cell r="F688" t="str">
            <v xml:space="preserve">3171403        </v>
          </cell>
          <cell r="O688">
            <v>9</v>
          </cell>
        </row>
        <row r="689">
          <cell r="F689" t="str">
            <v xml:space="preserve">3171403        </v>
          </cell>
          <cell r="O689">
            <v>15</v>
          </cell>
        </row>
        <row r="690">
          <cell r="F690" t="str">
            <v xml:space="preserve">3171403        </v>
          </cell>
          <cell r="O690">
            <v>162</v>
          </cell>
        </row>
        <row r="691">
          <cell r="F691" t="str">
            <v xml:space="preserve">3171403        </v>
          </cell>
          <cell r="O691">
            <v>270</v>
          </cell>
        </row>
        <row r="692">
          <cell r="F692" t="str">
            <v xml:space="preserve">7305728        </v>
          </cell>
          <cell r="O692">
            <v>390</v>
          </cell>
        </row>
        <row r="693">
          <cell r="F693" t="str">
            <v xml:space="preserve">7305728        </v>
          </cell>
          <cell r="O693">
            <v>216</v>
          </cell>
        </row>
        <row r="694">
          <cell r="F694" t="str">
            <v xml:space="preserve">1093217151     </v>
          </cell>
          <cell r="O694">
            <v>300</v>
          </cell>
        </row>
        <row r="695">
          <cell r="F695" t="str">
            <v xml:space="preserve">1101440685     </v>
          </cell>
          <cell r="O695">
            <v>435</v>
          </cell>
        </row>
        <row r="696">
          <cell r="F696" t="str">
            <v xml:space="preserve">1101440685     </v>
          </cell>
          <cell r="O696">
            <v>810</v>
          </cell>
        </row>
        <row r="697">
          <cell r="F697" t="str">
            <v xml:space="preserve">1023722736     </v>
          </cell>
          <cell r="O697">
            <v>600</v>
          </cell>
        </row>
        <row r="698">
          <cell r="F698" t="str">
            <v xml:space="preserve">1023722736     </v>
          </cell>
          <cell r="O698">
            <v>90</v>
          </cell>
        </row>
        <row r="699">
          <cell r="F699" t="str">
            <v xml:space="preserve">1039696881     </v>
          </cell>
          <cell r="O699">
            <v>108</v>
          </cell>
        </row>
        <row r="700">
          <cell r="F700" t="str">
            <v xml:space="preserve">1039696881     </v>
          </cell>
          <cell r="O700">
            <v>360</v>
          </cell>
        </row>
        <row r="701">
          <cell r="F701" t="str">
            <v xml:space="preserve">1039696881     </v>
          </cell>
          <cell r="O701">
            <v>18</v>
          </cell>
        </row>
        <row r="702">
          <cell r="F702" t="str">
            <v xml:space="preserve">1039696881     </v>
          </cell>
          <cell r="O702">
            <v>1458</v>
          </cell>
        </row>
        <row r="703">
          <cell r="F703" t="str">
            <v xml:space="preserve">1039696881     </v>
          </cell>
          <cell r="O703">
            <v>45</v>
          </cell>
        </row>
        <row r="704">
          <cell r="F704" t="str">
            <v xml:space="preserve">1039696881     </v>
          </cell>
          <cell r="O704">
            <v>225</v>
          </cell>
        </row>
        <row r="705">
          <cell r="F705" t="str">
            <v xml:space="preserve">1092154547     </v>
          </cell>
          <cell r="O705">
            <v>30</v>
          </cell>
        </row>
        <row r="706">
          <cell r="F706" t="str">
            <v xml:space="preserve">1092154547     </v>
          </cell>
          <cell r="O706">
            <v>504</v>
          </cell>
        </row>
        <row r="707">
          <cell r="F707" t="str">
            <v xml:space="preserve">15381508       </v>
          </cell>
          <cell r="O707">
            <v>510</v>
          </cell>
        </row>
        <row r="708">
          <cell r="F708" t="str">
            <v xml:space="preserve">15381508       </v>
          </cell>
          <cell r="O708">
            <v>252</v>
          </cell>
        </row>
        <row r="709">
          <cell r="F709" t="str">
            <v xml:space="preserve">15381508       </v>
          </cell>
          <cell r="O709">
            <v>180</v>
          </cell>
        </row>
        <row r="710">
          <cell r="F710" t="str">
            <v xml:space="preserve">10178861       </v>
          </cell>
          <cell r="O710">
            <v>522</v>
          </cell>
        </row>
        <row r="711">
          <cell r="F711" t="str">
            <v xml:space="preserve">10178861       </v>
          </cell>
          <cell r="O711">
            <v>45</v>
          </cell>
        </row>
        <row r="712">
          <cell r="F712" t="str">
            <v xml:space="preserve">6802563        </v>
          </cell>
          <cell r="O712">
            <v>90</v>
          </cell>
        </row>
        <row r="713">
          <cell r="F713" t="str">
            <v xml:space="preserve">6802563        </v>
          </cell>
          <cell r="O713">
            <v>360</v>
          </cell>
        </row>
        <row r="714">
          <cell r="F714" t="str">
            <v xml:space="preserve">88273778       </v>
          </cell>
          <cell r="O714">
            <v>270</v>
          </cell>
        </row>
        <row r="715">
          <cell r="F715" t="str">
            <v xml:space="preserve">88273778       </v>
          </cell>
          <cell r="O715">
            <v>90</v>
          </cell>
        </row>
        <row r="716">
          <cell r="F716" t="str">
            <v xml:space="preserve">13476066       </v>
          </cell>
          <cell r="O716">
            <v>165</v>
          </cell>
        </row>
        <row r="717">
          <cell r="F717" t="str">
            <v xml:space="preserve">13476066       </v>
          </cell>
          <cell r="O717">
            <v>45</v>
          </cell>
        </row>
        <row r="718">
          <cell r="F718" t="str">
            <v xml:space="preserve">13476066       </v>
          </cell>
          <cell r="O718">
            <v>90</v>
          </cell>
        </row>
        <row r="719">
          <cell r="F719" t="str">
            <v xml:space="preserve">98711342       </v>
          </cell>
          <cell r="O719">
            <v>18</v>
          </cell>
        </row>
        <row r="720">
          <cell r="F720" t="str">
            <v xml:space="preserve">98711342       </v>
          </cell>
          <cell r="O720">
            <v>198</v>
          </cell>
        </row>
        <row r="721">
          <cell r="F721" t="str">
            <v xml:space="preserve">98711342       </v>
          </cell>
          <cell r="O721">
            <v>45</v>
          </cell>
        </row>
        <row r="722">
          <cell r="F722" t="str">
            <v xml:space="preserve">37726719       </v>
          </cell>
          <cell r="O722">
            <v>300</v>
          </cell>
        </row>
        <row r="723">
          <cell r="F723" t="str">
            <v xml:space="preserve">37726719       </v>
          </cell>
          <cell r="O723">
            <v>900</v>
          </cell>
        </row>
        <row r="724">
          <cell r="F724" t="str">
            <v xml:space="preserve">37726719       </v>
          </cell>
          <cell r="O724">
            <v>135</v>
          </cell>
        </row>
        <row r="725">
          <cell r="F725" t="str">
            <v xml:space="preserve">1036942800     </v>
          </cell>
          <cell r="O725">
            <v>315</v>
          </cell>
        </row>
        <row r="726">
          <cell r="F726" t="str">
            <v xml:space="preserve">94420654       </v>
          </cell>
          <cell r="O726">
            <v>360</v>
          </cell>
        </row>
        <row r="727">
          <cell r="F727" t="str">
            <v xml:space="preserve">1090397527     </v>
          </cell>
          <cell r="O727">
            <v>675</v>
          </cell>
        </row>
        <row r="728">
          <cell r="F728" t="str">
            <v xml:space="preserve">1090397527     </v>
          </cell>
          <cell r="O728">
            <v>540</v>
          </cell>
        </row>
        <row r="729">
          <cell r="F729" t="str">
            <v xml:space="preserve">1090397527     </v>
          </cell>
          <cell r="O729">
            <v>645</v>
          </cell>
        </row>
        <row r="730">
          <cell r="F730" t="str">
            <v xml:space="preserve">1090397527     </v>
          </cell>
          <cell r="O730">
            <v>90</v>
          </cell>
        </row>
        <row r="731">
          <cell r="F731" t="str">
            <v xml:space="preserve">1090397527     </v>
          </cell>
          <cell r="O731">
            <v>405</v>
          </cell>
        </row>
        <row r="732">
          <cell r="F732" t="str">
            <v xml:space="preserve">1090397527     </v>
          </cell>
          <cell r="O732">
            <v>210</v>
          </cell>
        </row>
        <row r="733">
          <cell r="F733" t="str">
            <v xml:space="preserve">1090397527     </v>
          </cell>
          <cell r="O733">
            <v>765</v>
          </cell>
        </row>
        <row r="734">
          <cell r="F734" t="str">
            <v xml:space="preserve">1090397527     </v>
          </cell>
          <cell r="O734">
            <v>270</v>
          </cell>
        </row>
        <row r="735">
          <cell r="F735" t="str">
            <v xml:space="preserve">1090397527     </v>
          </cell>
          <cell r="O735">
            <v>360</v>
          </cell>
        </row>
        <row r="736">
          <cell r="F736" t="str">
            <v xml:space="preserve">1090397527     </v>
          </cell>
          <cell r="O736">
            <v>360</v>
          </cell>
        </row>
        <row r="737">
          <cell r="F737" t="str">
            <v xml:space="preserve">1053331458     </v>
          </cell>
          <cell r="O737">
            <v>375</v>
          </cell>
        </row>
        <row r="738">
          <cell r="F738" t="str">
            <v xml:space="preserve">1053331458     </v>
          </cell>
          <cell r="O738">
            <v>576</v>
          </cell>
        </row>
        <row r="739">
          <cell r="F739" t="str">
            <v xml:space="preserve">1053331458     </v>
          </cell>
          <cell r="O739">
            <v>360</v>
          </cell>
        </row>
        <row r="740">
          <cell r="F740" t="str">
            <v xml:space="preserve">73126502       </v>
          </cell>
          <cell r="O740">
            <v>315</v>
          </cell>
        </row>
        <row r="741">
          <cell r="F741" t="str">
            <v xml:space="preserve">73126502       </v>
          </cell>
          <cell r="O741">
            <v>180</v>
          </cell>
        </row>
        <row r="742">
          <cell r="F742" t="str">
            <v xml:space="preserve">73126502       </v>
          </cell>
          <cell r="O742">
            <v>45</v>
          </cell>
        </row>
        <row r="743">
          <cell r="F743" t="str">
            <v xml:space="preserve">71142360       </v>
          </cell>
          <cell r="O743">
            <v>135</v>
          </cell>
        </row>
        <row r="744">
          <cell r="F744" t="str">
            <v xml:space="preserve">71142360       </v>
          </cell>
          <cell r="O744">
            <v>432</v>
          </cell>
        </row>
        <row r="745">
          <cell r="F745" t="str">
            <v xml:space="preserve">71142360       </v>
          </cell>
          <cell r="O745">
            <v>225</v>
          </cell>
        </row>
        <row r="746">
          <cell r="F746" t="str">
            <v xml:space="preserve">71142360       </v>
          </cell>
          <cell r="O746">
            <v>135</v>
          </cell>
        </row>
        <row r="747">
          <cell r="F747" t="str">
            <v xml:space="preserve">71142360       </v>
          </cell>
          <cell r="O747">
            <v>882</v>
          </cell>
        </row>
        <row r="748">
          <cell r="F748" t="str">
            <v xml:space="preserve">71142360       </v>
          </cell>
          <cell r="O748">
            <v>360</v>
          </cell>
        </row>
        <row r="749">
          <cell r="F749" t="str">
            <v xml:space="preserve">71142360       </v>
          </cell>
          <cell r="O749">
            <v>576</v>
          </cell>
        </row>
        <row r="750">
          <cell r="F750" t="str">
            <v xml:space="preserve">71142360       </v>
          </cell>
          <cell r="O750">
            <v>45</v>
          </cell>
        </row>
        <row r="751">
          <cell r="F751" t="str">
            <v xml:space="preserve">800255713      </v>
          </cell>
          <cell r="O751">
            <v>240</v>
          </cell>
        </row>
        <row r="752">
          <cell r="F752" t="str">
            <v xml:space="preserve">860001697      </v>
          </cell>
          <cell r="O752">
            <v>238.71</v>
          </cell>
        </row>
        <row r="753">
          <cell r="F753" t="str">
            <v xml:space="preserve">860002523      </v>
          </cell>
          <cell r="O753">
            <v>140</v>
          </cell>
        </row>
        <row r="754">
          <cell r="F754" t="str">
            <v xml:space="preserve">860005265      </v>
          </cell>
          <cell r="O754">
            <v>891</v>
          </cell>
        </row>
        <row r="755">
          <cell r="F755" t="str">
            <v xml:space="preserve">860005265      </v>
          </cell>
          <cell r="O755">
            <v>658.45</v>
          </cell>
        </row>
        <row r="756">
          <cell r="F756" t="str">
            <v xml:space="preserve">800012375      </v>
          </cell>
          <cell r="O756">
            <v>180</v>
          </cell>
        </row>
        <row r="757">
          <cell r="F757" t="str">
            <v xml:space="preserve">800052377      </v>
          </cell>
          <cell r="O757">
            <v>72</v>
          </cell>
        </row>
        <row r="758">
          <cell r="F758" t="str">
            <v xml:space="preserve">800052377      </v>
          </cell>
          <cell r="O758">
            <v>126</v>
          </cell>
        </row>
        <row r="759">
          <cell r="F759" t="str">
            <v xml:space="preserve">800150267      </v>
          </cell>
          <cell r="O759">
            <v>36</v>
          </cell>
        </row>
        <row r="760">
          <cell r="F760" t="str">
            <v xml:space="preserve">805018495      </v>
          </cell>
          <cell r="O760">
            <v>162</v>
          </cell>
        </row>
        <row r="761">
          <cell r="F761" t="str">
            <v xml:space="preserve">815002042      </v>
          </cell>
          <cell r="O761">
            <v>108</v>
          </cell>
        </row>
        <row r="762">
          <cell r="F762" t="str">
            <v xml:space="preserve">821000169      </v>
          </cell>
          <cell r="O762">
            <v>98</v>
          </cell>
        </row>
        <row r="763">
          <cell r="F763" t="str">
            <v xml:space="preserve">890302594      </v>
          </cell>
          <cell r="O763">
            <v>18</v>
          </cell>
        </row>
        <row r="764">
          <cell r="F764" t="str">
            <v xml:space="preserve">890302594      </v>
          </cell>
          <cell r="O764">
            <v>90</v>
          </cell>
        </row>
        <row r="765">
          <cell r="F765" t="str">
            <v xml:space="preserve">890302594      </v>
          </cell>
          <cell r="O765">
            <v>126</v>
          </cell>
        </row>
        <row r="766">
          <cell r="F766" t="str">
            <v xml:space="preserve">890903939      </v>
          </cell>
          <cell r="O766">
            <v>95</v>
          </cell>
        </row>
        <row r="767">
          <cell r="F767" t="str">
            <v xml:space="preserve">890903939      </v>
          </cell>
          <cell r="O767">
            <v>171</v>
          </cell>
        </row>
        <row r="768">
          <cell r="F768" t="str">
            <v xml:space="preserve">891301549      </v>
          </cell>
          <cell r="O768">
            <v>54</v>
          </cell>
        </row>
        <row r="769">
          <cell r="F769" t="str">
            <v xml:space="preserve">891301549      </v>
          </cell>
          <cell r="O769">
            <v>135</v>
          </cell>
        </row>
        <row r="770">
          <cell r="F770" t="str">
            <v xml:space="preserve">891301594      </v>
          </cell>
          <cell r="O770">
            <v>54</v>
          </cell>
        </row>
        <row r="771">
          <cell r="F771" t="str">
            <v xml:space="preserve">901547329      </v>
          </cell>
          <cell r="O771">
            <v>675</v>
          </cell>
        </row>
        <row r="772">
          <cell r="F772" t="str">
            <v xml:space="preserve">800067861      </v>
          </cell>
          <cell r="O772">
            <v>102.1</v>
          </cell>
        </row>
        <row r="773">
          <cell r="F773" t="str">
            <v xml:space="preserve">811014849      </v>
          </cell>
          <cell r="O773">
            <v>134.85</v>
          </cell>
        </row>
        <row r="774">
          <cell r="F774" t="str">
            <v xml:space="preserve">811020038      </v>
          </cell>
          <cell r="O774">
            <v>80</v>
          </cell>
        </row>
        <row r="775">
          <cell r="F775" t="str">
            <v xml:space="preserve">860001697      </v>
          </cell>
          <cell r="O775">
            <v>392.2</v>
          </cell>
        </row>
        <row r="776">
          <cell r="F776" t="str">
            <v xml:space="preserve">860001697      </v>
          </cell>
          <cell r="O776">
            <v>202.03</v>
          </cell>
        </row>
        <row r="777">
          <cell r="F777" t="str">
            <v xml:space="preserve">860001697      </v>
          </cell>
          <cell r="O777">
            <v>555.5</v>
          </cell>
        </row>
        <row r="778">
          <cell r="F778" t="str">
            <v xml:space="preserve">860020382      </v>
          </cell>
          <cell r="O778">
            <v>60</v>
          </cell>
        </row>
        <row r="779">
          <cell r="F779" t="str">
            <v xml:space="preserve">203            </v>
          </cell>
          <cell r="O779">
            <v>15</v>
          </cell>
        </row>
        <row r="780">
          <cell r="F780" t="str">
            <v xml:space="preserve">900617912      </v>
          </cell>
          <cell r="O780">
            <v>45</v>
          </cell>
        </row>
        <row r="781">
          <cell r="F781" t="str">
            <v xml:space="preserve">101            </v>
          </cell>
          <cell r="O781">
            <v>18</v>
          </cell>
        </row>
        <row r="782">
          <cell r="F782" t="str">
            <v xml:space="preserve">101            </v>
          </cell>
          <cell r="O782">
            <v>18</v>
          </cell>
        </row>
        <row r="783">
          <cell r="F783" t="str">
            <v xml:space="preserve">101            </v>
          </cell>
          <cell r="O783">
            <v>15</v>
          </cell>
        </row>
        <row r="784">
          <cell r="F784" t="str">
            <v xml:space="preserve">101            </v>
          </cell>
          <cell r="O784">
            <v>90</v>
          </cell>
        </row>
        <row r="785">
          <cell r="F785" t="str">
            <v xml:space="preserve">102            </v>
          </cell>
          <cell r="O785">
            <v>15</v>
          </cell>
        </row>
        <row r="786">
          <cell r="F786" t="str">
            <v xml:space="preserve">102            </v>
          </cell>
          <cell r="O786">
            <v>18</v>
          </cell>
        </row>
        <row r="787">
          <cell r="F787" t="str">
            <v xml:space="preserve">30305213       </v>
          </cell>
          <cell r="O787">
            <v>36</v>
          </cell>
        </row>
        <row r="788">
          <cell r="F788" t="str">
            <v xml:space="preserve">30305213       </v>
          </cell>
          <cell r="O788">
            <v>45</v>
          </cell>
        </row>
        <row r="789">
          <cell r="F789" t="str">
            <v xml:space="preserve">800042175      </v>
          </cell>
          <cell r="O789">
            <v>90</v>
          </cell>
        </row>
        <row r="790">
          <cell r="F790" t="str">
            <v xml:space="preserve">800044807      </v>
          </cell>
          <cell r="O790">
            <v>54</v>
          </cell>
        </row>
        <row r="791">
          <cell r="F791" t="str">
            <v xml:space="preserve">800090890      </v>
          </cell>
          <cell r="O791">
            <v>72</v>
          </cell>
        </row>
        <row r="792">
          <cell r="F792" t="str">
            <v xml:space="preserve">810003962      </v>
          </cell>
          <cell r="O792">
            <v>36</v>
          </cell>
        </row>
        <row r="793">
          <cell r="F793" t="str">
            <v xml:space="preserve">810003962      </v>
          </cell>
          <cell r="O793">
            <v>90</v>
          </cell>
        </row>
        <row r="794">
          <cell r="F794" t="str">
            <v xml:space="preserve">890805453      </v>
          </cell>
          <cell r="O794">
            <v>36</v>
          </cell>
        </row>
        <row r="795">
          <cell r="F795" t="str">
            <v xml:space="preserve">900322842      </v>
          </cell>
          <cell r="O795">
            <v>45</v>
          </cell>
        </row>
        <row r="796">
          <cell r="F796" t="str">
            <v xml:space="preserve">900543878      </v>
          </cell>
          <cell r="O796">
            <v>18</v>
          </cell>
        </row>
        <row r="797">
          <cell r="F797" t="str">
            <v xml:space="preserve">901555731      </v>
          </cell>
          <cell r="O797">
            <v>90</v>
          </cell>
        </row>
        <row r="798">
          <cell r="F798" t="str">
            <v xml:space="preserve">901555731      </v>
          </cell>
          <cell r="O798">
            <v>45</v>
          </cell>
        </row>
        <row r="799">
          <cell r="F799" t="str">
            <v xml:space="preserve">32772122       </v>
          </cell>
          <cell r="O799">
            <v>300</v>
          </cell>
        </row>
        <row r="800">
          <cell r="F800" t="str">
            <v xml:space="preserve">32772122       </v>
          </cell>
          <cell r="O800">
            <v>180</v>
          </cell>
        </row>
        <row r="801">
          <cell r="F801" t="str">
            <v xml:space="preserve">32772122       </v>
          </cell>
          <cell r="O801">
            <v>90</v>
          </cell>
        </row>
        <row r="802">
          <cell r="F802" t="str">
            <v xml:space="preserve">73186091       </v>
          </cell>
          <cell r="O802">
            <v>300</v>
          </cell>
        </row>
        <row r="803">
          <cell r="F803" t="str">
            <v xml:space="preserve">8795144        </v>
          </cell>
          <cell r="O803">
            <v>75</v>
          </cell>
        </row>
        <row r="804">
          <cell r="F804" t="str">
            <v xml:space="preserve">8795144        </v>
          </cell>
          <cell r="O804">
            <v>36</v>
          </cell>
        </row>
        <row r="805">
          <cell r="F805" t="str">
            <v xml:space="preserve">890300406      </v>
          </cell>
          <cell r="O805">
            <v>180</v>
          </cell>
        </row>
        <row r="806">
          <cell r="F806" t="str">
            <v xml:space="preserve">212            </v>
          </cell>
          <cell r="O806">
            <v>210</v>
          </cell>
        </row>
        <row r="807">
          <cell r="F807" t="str">
            <v xml:space="preserve">212            </v>
          </cell>
          <cell r="O807">
            <v>90</v>
          </cell>
        </row>
        <row r="808">
          <cell r="F808" t="str">
            <v xml:space="preserve">212            </v>
          </cell>
          <cell r="O808">
            <v>90</v>
          </cell>
        </row>
        <row r="809">
          <cell r="F809" t="str">
            <v xml:space="preserve">800230447      </v>
          </cell>
          <cell r="O809">
            <v>60</v>
          </cell>
        </row>
        <row r="810">
          <cell r="F810" t="str">
            <v xml:space="preserve">811047008      </v>
          </cell>
          <cell r="O810">
            <v>36</v>
          </cell>
        </row>
        <row r="811">
          <cell r="F811" t="str">
            <v xml:space="preserve">860031786      </v>
          </cell>
          <cell r="O811">
            <v>90</v>
          </cell>
        </row>
        <row r="812">
          <cell r="F812" t="str">
            <v xml:space="preserve">860031786      </v>
          </cell>
          <cell r="O812">
            <v>18</v>
          </cell>
        </row>
        <row r="813">
          <cell r="F813" t="str">
            <v xml:space="preserve">890903475      </v>
          </cell>
          <cell r="O813">
            <v>80</v>
          </cell>
        </row>
        <row r="814">
          <cell r="F814" t="str">
            <v xml:space="preserve">900049818      </v>
          </cell>
          <cell r="O814">
            <v>32</v>
          </cell>
        </row>
        <row r="815">
          <cell r="F815" t="str">
            <v xml:space="preserve">811014849      </v>
          </cell>
          <cell r="O815">
            <v>280.2</v>
          </cell>
        </row>
        <row r="816">
          <cell r="F816" t="str">
            <v xml:space="preserve">830016868      </v>
          </cell>
          <cell r="O816">
            <v>2250</v>
          </cell>
        </row>
        <row r="817">
          <cell r="F817" t="str">
            <v xml:space="preserve">860001697      </v>
          </cell>
          <cell r="O817">
            <v>306.39999999999998</v>
          </cell>
        </row>
        <row r="818">
          <cell r="F818" t="str">
            <v xml:space="preserve">890205142      </v>
          </cell>
          <cell r="O818">
            <v>135</v>
          </cell>
        </row>
        <row r="819">
          <cell r="F819" t="str">
            <v xml:space="preserve">890205142      </v>
          </cell>
          <cell r="O819">
            <v>2880</v>
          </cell>
        </row>
        <row r="820">
          <cell r="F820" t="str">
            <v xml:space="preserve">800090890      </v>
          </cell>
          <cell r="O820">
            <v>32</v>
          </cell>
        </row>
        <row r="821">
          <cell r="F821" t="str">
            <v xml:space="preserve">800090890      </v>
          </cell>
          <cell r="O821">
            <v>19</v>
          </cell>
        </row>
        <row r="822">
          <cell r="F822" t="str">
            <v xml:space="preserve">800090890      </v>
          </cell>
          <cell r="O822">
            <v>16</v>
          </cell>
        </row>
        <row r="823">
          <cell r="F823" t="str">
            <v xml:space="preserve">800090890      </v>
          </cell>
          <cell r="O823">
            <v>38</v>
          </cell>
        </row>
        <row r="824">
          <cell r="F824" t="str">
            <v xml:space="preserve">811014849      </v>
          </cell>
          <cell r="O824">
            <v>144</v>
          </cell>
        </row>
        <row r="825">
          <cell r="F825" t="str">
            <v xml:space="preserve">811014849      </v>
          </cell>
          <cell r="O825">
            <v>144</v>
          </cell>
        </row>
        <row r="826">
          <cell r="F826" t="str">
            <v xml:space="preserve">890903939      </v>
          </cell>
          <cell r="O826">
            <v>205.68</v>
          </cell>
        </row>
        <row r="827">
          <cell r="F827" t="str">
            <v xml:space="preserve">890903939      </v>
          </cell>
          <cell r="O827">
            <v>135</v>
          </cell>
        </row>
        <row r="828">
          <cell r="F828" t="str">
            <v xml:space="preserve">890903939      </v>
          </cell>
          <cell r="O828">
            <v>18.649999999999999</v>
          </cell>
        </row>
        <row r="829">
          <cell r="F829" t="str">
            <v xml:space="preserve">890903939      </v>
          </cell>
          <cell r="O829">
            <v>1219.05</v>
          </cell>
        </row>
        <row r="830">
          <cell r="F830" t="str">
            <v xml:space="preserve">211            </v>
          </cell>
          <cell r="O830">
            <v>375</v>
          </cell>
        </row>
        <row r="831">
          <cell r="F831" t="str">
            <v xml:space="preserve">211            </v>
          </cell>
          <cell r="O831">
            <v>288</v>
          </cell>
        </row>
        <row r="832">
          <cell r="F832" t="str">
            <v xml:space="preserve">211            </v>
          </cell>
          <cell r="O832">
            <v>135</v>
          </cell>
        </row>
        <row r="833">
          <cell r="F833" t="str">
            <v xml:space="preserve">211            </v>
          </cell>
          <cell r="O833">
            <v>216</v>
          </cell>
        </row>
        <row r="834">
          <cell r="F834" t="str">
            <v xml:space="preserve">211            </v>
          </cell>
          <cell r="O834">
            <v>45</v>
          </cell>
        </row>
        <row r="835">
          <cell r="F835" t="str">
            <v xml:space="preserve">802015827      </v>
          </cell>
          <cell r="O835">
            <v>75</v>
          </cell>
        </row>
        <row r="836">
          <cell r="F836" t="str">
            <v xml:space="preserve">811032699      </v>
          </cell>
          <cell r="O836">
            <v>108</v>
          </cell>
        </row>
        <row r="837">
          <cell r="F837" t="str">
            <v xml:space="preserve">830094679      </v>
          </cell>
          <cell r="O837">
            <v>165</v>
          </cell>
        </row>
        <row r="838">
          <cell r="F838" t="str">
            <v xml:space="preserve">830095213      </v>
          </cell>
          <cell r="O838">
            <v>270</v>
          </cell>
        </row>
        <row r="839">
          <cell r="F839" t="str">
            <v xml:space="preserve">830095213      </v>
          </cell>
          <cell r="O839">
            <v>234</v>
          </cell>
        </row>
        <row r="840">
          <cell r="F840" t="str">
            <v xml:space="preserve">890406520      </v>
          </cell>
          <cell r="O840">
            <v>15</v>
          </cell>
        </row>
        <row r="841">
          <cell r="F841" t="str">
            <v xml:space="preserve">890903939      </v>
          </cell>
          <cell r="O841">
            <v>379.04</v>
          </cell>
        </row>
        <row r="842">
          <cell r="F842" t="str">
            <v xml:space="preserve">900820045      </v>
          </cell>
          <cell r="O842">
            <v>36</v>
          </cell>
        </row>
        <row r="843">
          <cell r="F843" t="str">
            <v xml:space="preserve">900968793      </v>
          </cell>
          <cell r="O843">
            <v>36</v>
          </cell>
        </row>
        <row r="844">
          <cell r="F844" t="str">
            <v xml:space="preserve">830036921      </v>
          </cell>
          <cell r="O844">
            <v>291.14999999999998</v>
          </cell>
        </row>
        <row r="845">
          <cell r="F845" t="str">
            <v xml:space="preserve">830122420      </v>
          </cell>
          <cell r="O845">
            <v>20</v>
          </cell>
        </row>
        <row r="846">
          <cell r="F846" t="str">
            <v xml:space="preserve">860001697      </v>
          </cell>
          <cell r="O846">
            <v>1105.3499999999999</v>
          </cell>
        </row>
        <row r="847">
          <cell r="F847" t="str">
            <v xml:space="preserve">860048371      </v>
          </cell>
          <cell r="O847">
            <v>40</v>
          </cell>
        </row>
        <row r="848">
          <cell r="F848" t="str">
            <v xml:space="preserve">404            </v>
          </cell>
          <cell r="O848">
            <v>15</v>
          </cell>
        </row>
        <row r="849">
          <cell r="F849" t="str">
            <v xml:space="preserve">800229035      </v>
          </cell>
          <cell r="O849">
            <v>120</v>
          </cell>
        </row>
        <row r="850">
          <cell r="F850" t="str">
            <v xml:space="preserve">800229035      </v>
          </cell>
          <cell r="O850">
            <v>240</v>
          </cell>
        </row>
        <row r="851">
          <cell r="F851" t="str">
            <v xml:space="preserve">800229035      </v>
          </cell>
          <cell r="O851">
            <v>195</v>
          </cell>
        </row>
        <row r="852">
          <cell r="F852" t="str">
            <v xml:space="preserve">830076368      </v>
          </cell>
          <cell r="O852">
            <v>126</v>
          </cell>
        </row>
        <row r="853">
          <cell r="F853" t="str">
            <v xml:space="preserve">901325847      </v>
          </cell>
          <cell r="O853">
            <v>105</v>
          </cell>
        </row>
        <row r="854">
          <cell r="F854" t="str">
            <v xml:space="preserve">901491446      </v>
          </cell>
          <cell r="O854">
            <v>200.8</v>
          </cell>
        </row>
        <row r="855">
          <cell r="F855" t="str">
            <v xml:space="preserve">16222743       </v>
          </cell>
          <cell r="O855">
            <v>80.3</v>
          </cell>
        </row>
        <row r="856">
          <cell r="F856" t="str">
            <v xml:space="preserve">29623619       </v>
          </cell>
          <cell r="O856">
            <v>258.89999999999998</v>
          </cell>
        </row>
        <row r="857">
          <cell r="F857" t="str">
            <v xml:space="preserve">30305213       </v>
          </cell>
          <cell r="O857">
            <v>36.299999999999997</v>
          </cell>
        </row>
        <row r="858">
          <cell r="F858" t="str">
            <v xml:space="preserve">53070701       </v>
          </cell>
          <cell r="O858">
            <v>126</v>
          </cell>
        </row>
        <row r="859">
          <cell r="F859" t="str">
            <v xml:space="preserve">79845495       </v>
          </cell>
          <cell r="O859">
            <v>150.30000000000001</v>
          </cell>
        </row>
        <row r="860">
          <cell r="F860" t="str">
            <v xml:space="preserve">810006204      </v>
          </cell>
          <cell r="O860">
            <v>105.3</v>
          </cell>
        </row>
        <row r="861">
          <cell r="F861" t="str">
            <v xml:space="preserve">900322842      </v>
          </cell>
          <cell r="O861">
            <v>84.1</v>
          </cell>
        </row>
        <row r="862">
          <cell r="F862" t="str">
            <v xml:space="preserve">901457609      </v>
          </cell>
          <cell r="O862">
            <v>148.19999999999999</v>
          </cell>
        </row>
        <row r="863">
          <cell r="F863" t="str">
            <v xml:space="preserve">9865767        </v>
          </cell>
          <cell r="O863">
            <v>25.5</v>
          </cell>
        </row>
        <row r="864">
          <cell r="F864" t="str">
            <v xml:space="preserve">1115188970     </v>
          </cell>
          <cell r="O864">
            <v>297.8</v>
          </cell>
        </row>
        <row r="865">
          <cell r="F865" t="str">
            <v xml:space="preserve">1115188970     </v>
          </cell>
          <cell r="O865">
            <v>299.39999999999998</v>
          </cell>
        </row>
        <row r="866">
          <cell r="F866" t="str">
            <v xml:space="preserve">805016657      </v>
          </cell>
          <cell r="O866">
            <v>1987.2</v>
          </cell>
        </row>
        <row r="867">
          <cell r="F867" t="str">
            <v xml:space="preserve">805020621      </v>
          </cell>
          <cell r="O867">
            <v>232.3</v>
          </cell>
        </row>
        <row r="868">
          <cell r="F868" t="str">
            <v xml:space="preserve">817004851      </v>
          </cell>
          <cell r="O868">
            <v>147.80000000000001</v>
          </cell>
        </row>
        <row r="869">
          <cell r="F869" t="str">
            <v xml:space="preserve">890200474      </v>
          </cell>
          <cell r="O869">
            <v>348.2</v>
          </cell>
        </row>
        <row r="870">
          <cell r="F870" t="str">
            <v xml:space="preserve">900131689      </v>
          </cell>
          <cell r="O870">
            <v>1307.4000000000001</v>
          </cell>
        </row>
        <row r="871">
          <cell r="F871" t="str">
            <v xml:space="preserve">900133796      </v>
          </cell>
          <cell r="O871">
            <v>658.3</v>
          </cell>
        </row>
        <row r="872">
          <cell r="F872" t="str">
            <v xml:space="preserve">900314134      </v>
          </cell>
          <cell r="O872">
            <v>1521.9</v>
          </cell>
        </row>
        <row r="873">
          <cell r="F873" t="str">
            <v xml:space="preserve">900372193      </v>
          </cell>
          <cell r="O873">
            <v>320.2</v>
          </cell>
        </row>
        <row r="874">
          <cell r="F874" t="str">
            <v xml:space="preserve">900547034      </v>
          </cell>
          <cell r="O874">
            <v>269.89999999999998</v>
          </cell>
        </row>
        <row r="875">
          <cell r="F875" t="str">
            <v xml:space="preserve">832006599      </v>
          </cell>
          <cell r="O875">
            <v>5682.1</v>
          </cell>
        </row>
        <row r="876">
          <cell r="F876" t="str">
            <v xml:space="preserve">800220087      </v>
          </cell>
          <cell r="O876">
            <v>2400</v>
          </cell>
        </row>
        <row r="877">
          <cell r="F877" t="str">
            <v xml:space="preserve">830009573      </v>
          </cell>
          <cell r="O877">
            <v>671.3</v>
          </cell>
        </row>
        <row r="878">
          <cell r="F878" t="str">
            <v xml:space="preserve">830010738      </v>
          </cell>
          <cell r="O878">
            <v>211.6</v>
          </cell>
        </row>
        <row r="879">
          <cell r="F879" t="str">
            <v xml:space="preserve">830010738      </v>
          </cell>
          <cell r="O879">
            <v>1585.9</v>
          </cell>
        </row>
        <row r="880">
          <cell r="F880" t="str">
            <v xml:space="preserve">860058831      </v>
          </cell>
          <cell r="O880">
            <v>1088.5</v>
          </cell>
        </row>
        <row r="881">
          <cell r="F881" t="str">
            <v xml:space="preserve">860032450      </v>
          </cell>
          <cell r="O881">
            <v>2001</v>
          </cell>
        </row>
        <row r="882">
          <cell r="F882" t="str">
            <v xml:space="preserve">860524772      </v>
          </cell>
          <cell r="O882">
            <v>772.8</v>
          </cell>
        </row>
        <row r="883">
          <cell r="F883" t="str">
            <v xml:space="preserve">900121480      </v>
          </cell>
          <cell r="O883">
            <v>121</v>
          </cell>
        </row>
        <row r="884">
          <cell r="F884" t="str">
            <v xml:space="preserve">900639245      </v>
          </cell>
          <cell r="O884">
            <v>185.3</v>
          </cell>
        </row>
        <row r="885">
          <cell r="F885" t="str">
            <v xml:space="preserve">901123983      </v>
          </cell>
          <cell r="O885">
            <v>1407.6</v>
          </cell>
        </row>
        <row r="886">
          <cell r="F886" t="str">
            <v xml:space="preserve">901409625      </v>
          </cell>
          <cell r="O886">
            <v>785.2</v>
          </cell>
        </row>
        <row r="887">
          <cell r="F887" t="str">
            <v xml:space="preserve">860001697      </v>
          </cell>
          <cell r="O887">
            <v>407.26</v>
          </cell>
        </row>
        <row r="888">
          <cell r="F888" t="str">
            <v xml:space="preserve">860001697      </v>
          </cell>
          <cell r="O888">
            <v>541.74</v>
          </cell>
        </row>
        <row r="889">
          <cell r="F889" t="str">
            <v xml:space="preserve">212            </v>
          </cell>
          <cell r="O889">
            <v>18</v>
          </cell>
        </row>
        <row r="890">
          <cell r="F890" t="str">
            <v xml:space="preserve">900569044      </v>
          </cell>
          <cell r="O890">
            <v>45</v>
          </cell>
        </row>
        <row r="891">
          <cell r="F891" t="str">
            <v xml:space="preserve">890903939      </v>
          </cell>
          <cell r="O891">
            <v>520.46</v>
          </cell>
        </row>
        <row r="892">
          <cell r="F892" t="str">
            <v xml:space="preserve">70052771       </v>
          </cell>
          <cell r="O892">
            <v>36</v>
          </cell>
        </row>
        <row r="893">
          <cell r="F893" t="str">
            <v xml:space="preserve">800147650      </v>
          </cell>
          <cell r="O893">
            <v>60</v>
          </cell>
        </row>
        <row r="894">
          <cell r="F894" t="str">
            <v xml:space="preserve">811020038      </v>
          </cell>
          <cell r="O894">
            <v>18</v>
          </cell>
        </row>
        <row r="895">
          <cell r="F895" t="str">
            <v xml:space="preserve">811022351      </v>
          </cell>
          <cell r="O895">
            <v>144</v>
          </cell>
        </row>
        <row r="896">
          <cell r="F896" t="str">
            <v xml:space="preserve">811034230      </v>
          </cell>
          <cell r="O896">
            <v>18</v>
          </cell>
        </row>
        <row r="897">
          <cell r="F897" t="str">
            <v xml:space="preserve">811035741      </v>
          </cell>
          <cell r="O897">
            <v>45</v>
          </cell>
        </row>
        <row r="898">
          <cell r="F898" t="str">
            <v xml:space="preserve">811035741      </v>
          </cell>
          <cell r="O898">
            <v>108</v>
          </cell>
        </row>
        <row r="899">
          <cell r="F899" t="str">
            <v xml:space="preserve">860013809      </v>
          </cell>
          <cell r="O899">
            <v>162</v>
          </cell>
        </row>
        <row r="900">
          <cell r="F900" t="str">
            <v xml:space="preserve">860020382      </v>
          </cell>
          <cell r="O900">
            <v>60</v>
          </cell>
        </row>
        <row r="901">
          <cell r="F901" t="str">
            <v xml:space="preserve">890907406      </v>
          </cell>
          <cell r="O901">
            <v>45</v>
          </cell>
        </row>
        <row r="902">
          <cell r="F902" t="str">
            <v xml:space="preserve">899999049      </v>
          </cell>
          <cell r="O902">
            <v>72</v>
          </cell>
        </row>
        <row r="903">
          <cell r="F903" t="str">
            <v xml:space="preserve">900049818      </v>
          </cell>
          <cell r="O903">
            <v>30</v>
          </cell>
        </row>
        <row r="904">
          <cell r="F904" t="str">
            <v xml:space="preserve">901436775      </v>
          </cell>
          <cell r="O904">
            <v>135</v>
          </cell>
        </row>
        <row r="905">
          <cell r="F905" t="str">
            <v xml:space="preserve">210            </v>
          </cell>
          <cell r="O905">
            <v>1440</v>
          </cell>
        </row>
        <row r="906">
          <cell r="F906" t="str">
            <v xml:space="preserve">210            </v>
          </cell>
          <cell r="O906">
            <v>45</v>
          </cell>
        </row>
        <row r="907">
          <cell r="F907" t="str">
            <v xml:space="preserve">101            </v>
          </cell>
          <cell r="O907">
            <v>162</v>
          </cell>
        </row>
        <row r="908">
          <cell r="F908" t="str">
            <v xml:space="preserve">101            </v>
          </cell>
          <cell r="O908">
            <v>4.5</v>
          </cell>
        </row>
        <row r="909">
          <cell r="F909" t="str">
            <v xml:space="preserve">101            </v>
          </cell>
          <cell r="O909">
            <v>36</v>
          </cell>
        </row>
        <row r="910">
          <cell r="F910" t="str">
            <v xml:space="preserve">101            </v>
          </cell>
          <cell r="O910">
            <v>45</v>
          </cell>
        </row>
        <row r="911">
          <cell r="F911" t="str">
            <v xml:space="preserve">101            </v>
          </cell>
          <cell r="O911">
            <v>54</v>
          </cell>
        </row>
        <row r="912">
          <cell r="F912" t="str">
            <v xml:space="preserve">101            </v>
          </cell>
          <cell r="O912">
            <v>15</v>
          </cell>
        </row>
        <row r="913">
          <cell r="F913" t="str">
            <v xml:space="preserve">101            </v>
          </cell>
          <cell r="O913">
            <v>18</v>
          </cell>
        </row>
        <row r="914">
          <cell r="F914" t="str">
            <v xml:space="preserve">101            </v>
          </cell>
          <cell r="O914">
            <v>45</v>
          </cell>
        </row>
        <row r="915">
          <cell r="F915" t="str">
            <v xml:space="preserve">860020382      </v>
          </cell>
          <cell r="O915">
            <v>96</v>
          </cell>
        </row>
        <row r="916">
          <cell r="F916" t="str">
            <v xml:space="preserve">404            </v>
          </cell>
          <cell r="O916">
            <v>225</v>
          </cell>
        </row>
        <row r="917">
          <cell r="F917" t="str">
            <v xml:space="preserve">404            </v>
          </cell>
          <cell r="O917">
            <v>90</v>
          </cell>
        </row>
        <row r="918">
          <cell r="F918" t="str">
            <v xml:space="preserve">404            </v>
          </cell>
          <cell r="O918">
            <v>45</v>
          </cell>
        </row>
        <row r="919">
          <cell r="F919" t="str">
            <v xml:space="preserve">210            </v>
          </cell>
          <cell r="O919">
            <v>30</v>
          </cell>
        </row>
        <row r="920">
          <cell r="F920" t="str">
            <v xml:space="preserve">210            </v>
          </cell>
          <cell r="O920">
            <v>450</v>
          </cell>
        </row>
        <row r="921">
          <cell r="F921" t="str">
            <v xml:space="preserve">210            </v>
          </cell>
          <cell r="O921">
            <v>90</v>
          </cell>
        </row>
        <row r="922">
          <cell r="F922" t="str">
            <v xml:space="preserve">800003267      </v>
          </cell>
          <cell r="O922">
            <v>144</v>
          </cell>
        </row>
        <row r="923">
          <cell r="F923" t="str">
            <v xml:space="preserve">800115720      </v>
          </cell>
          <cell r="O923">
            <v>18</v>
          </cell>
        </row>
        <row r="924">
          <cell r="F924" t="str">
            <v xml:space="preserve">800161451      </v>
          </cell>
          <cell r="O924">
            <v>36</v>
          </cell>
        </row>
        <row r="925">
          <cell r="F925" t="str">
            <v xml:space="preserve">805026018      </v>
          </cell>
          <cell r="O925">
            <v>18</v>
          </cell>
        </row>
        <row r="926">
          <cell r="F926" t="str">
            <v xml:space="preserve">817004766      </v>
          </cell>
          <cell r="O926">
            <v>90</v>
          </cell>
        </row>
        <row r="927">
          <cell r="F927" t="str">
            <v xml:space="preserve">890302609      </v>
          </cell>
          <cell r="O927">
            <v>126</v>
          </cell>
        </row>
        <row r="928">
          <cell r="F928" t="str">
            <v xml:space="preserve">890304611      </v>
          </cell>
          <cell r="O928">
            <v>30</v>
          </cell>
        </row>
        <row r="929">
          <cell r="F929" t="str">
            <v xml:space="preserve">890321924      </v>
          </cell>
          <cell r="O929">
            <v>54</v>
          </cell>
        </row>
        <row r="930">
          <cell r="F930" t="str">
            <v xml:space="preserve">890903939      </v>
          </cell>
          <cell r="O930">
            <v>279</v>
          </cell>
        </row>
        <row r="931">
          <cell r="F931" t="str">
            <v xml:space="preserve">890903939      </v>
          </cell>
          <cell r="O931">
            <v>261</v>
          </cell>
        </row>
        <row r="932">
          <cell r="F932" t="str">
            <v xml:space="preserve">900233101      </v>
          </cell>
          <cell r="O932">
            <v>90</v>
          </cell>
        </row>
        <row r="933">
          <cell r="F933" t="str">
            <v xml:space="preserve">901149931      </v>
          </cell>
          <cell r="O933">
            <v>54</v>
          </cell>
        </row>
        <row r="934">
          <cell r="F934" t="str">
            <v xml:space="preserve">901167377      </v>
          </cell>
          <cell r="O934">
            <v>220</v>
          </cell>
        </row>
        <row r="935">
          <cell r="F935" t="str">
            <v xml:space="preserve">901204601      </v>
          </cell>
          <cell r="O935">
            <v>18</v>
          </cell>
        </row>
        <row r="936">
          <cell r="F936" t="str">
            <v xml:space="preserve">1066184116     </v>
          </cell>
          <cell r="O936">
            <v>54</v>
          </cell>
        </row>
        <row r="937">
          <cell r="F937" t="str">
            <v xml:space="preserve">407            </v>
          </cell>
          <cell r="O937">
            <v>0</v>
          </cell>
        </row>
        <row r="938">
          <cell r="F938" t="str">
            <v xml:space="preserve">830095563      </v>
          </cell>
          <cell r="O938">
            <v>15</v>
          </cell>
        </row>
        <row r="939">
          <cell r="F939" t="str">
            <v xml:space="preserve">901029741      </v>
          </cell>
          <cell r="O939">
            <v>756</v>
          </cell>
        </row>
        <row r="940">
          <cell r="F940" t="str">
            <v xml:space="preserve">20454645       </v>
          </cell>
          <cell r="O940">
            <v>57.5</v>
          </cell>
        </row>
        <row r="941">
          <cell r="F941" t="str">
            <v xml:space="preserve">830016868      </v>
          </cell>
          <cell r="O941">
            <v>153.80000000000001</v>
          </cell>
        </row>
        <row r="942">
          <cell r="F942" t="str">
            <v xml:space="preserve">832001844      </v>
          </cell>
          <cell r="O942">
            <v>680.1</v>
          </cell>
        </row>
        <row r="943">
          <cell r="F943" t="str">
            <v xml:space="preserve">860032450      </v>
          </cell>
          <cell r="O943">
            <v>2620.3000000000002</v>
          </cell>
        </row>
        <row r="944">
          <cell r="F944" t="str">
            <v xml:space="preserve">860032450      </v>
          </cell>
          <cell r="O944">
            <v>194.9</v>
          </cell>
        </row>
        <row r="945">
          <cell r="F945" t="str">
            <v xml:space="preserve">900462245      </v>
          </cell>
          <cell r="O945">
            <v>559.4</v>
          </cell>
        </row>
        <row r="946">
          <cell r="F946" t="str">
            <v xml:space="preserve">79322129       </v>
          </cell>
          <cell r="O946">
            <v>302</v>
          </cell>
        </row>
        <row r="947">
          <cell r="F947" t="str">
            <v xml:space="preserve">42795633       </v>
          </cell>
          <cell r="O947">
            <v>140.30000000000001</v>
          </cell>
        </row>
        <row r="948">
          <cell r="F948" t="str">
            <v xml:space="preserve">811014849      </v>
          </cell>
          <cell r="O948">
            <v>973.6</v>
          </cell>
        </row>
        <row r="949">
          <cell r="F949" t="str">
            <v xml:space="preserve">811014849      </v>
          </cell>
          <cell r="O949">
            <v>594.4</v>
          </cell>
        </row>
        <row r="950">
          <cell r="F950" t="str">
            <v xml:space="preserve">890910131      </v>
          </cell>
          <cell r="O950">
            <v>624.9</v>
          </cell>
        </row>
        <row r="951">
          <cell r="F951" t="str">
            <v xml:space="preserve">890910131      </v>
          </cell>
          <cell r="O951">
            <v>223.1</v>
          </cell>
        </row>
        <row r="952">
          <cell r="F952" t="str">
            <v xml:space="preserve">212            </v>
          </cell>
          <cell r="O952">
            <v>60</v>
          </cell>
        </row>
        <row r="953">
          <cell r="F953" t="str">
            <v xml:space="preserve">212            </v>
          </cell>
          <cell r="O953">
            <v>90</v>
          </cell>
        </row>
        <row r="954">
          <cell r="F954" t="str">
            <v xml:space="preserve">212            </v>
          </cell>
          <cell r="O954">
            <v>234</v>
          </cell>
        </row>
        <row r="955">
          <cell r="F955" t="str">
            <v xml:space="preserve">830042112      </v>
          </cell>
          <cell r="O955">
            <v>45</v>
          </cell>
        </row>
        <row r="956">
          <cell r="F956" t="str">
            <v xml:space="preserve">900495908      </v>
          </cell>
          <cell r="O956">
            <v>45</v>
          </cell>
        </row>
        <row r="957">
          <cell r="F957" t="str">
            <v xml:space="preserve">890900161      </v>
          </cell>
          <cell r="O957">
            <v>150</v>
          </cell>
        </row>
        <row r="958">
          <cell r="F958" t="str">
            <v xml:space="preserve">900603554      </v>
          </cell>
          <cell r="O958">
            <v>36</v>
          </cell>
        </row>
        <row r="959">
          <cell r="F959" t="str">
            <v xml:space="preserve">213            </v>
          </cell>
          <cell r="O959">
            <v>36</v>
          </cell>
        </row>
        <row r="960">
          <cell r="F960" t="str">
            <v xml:space="preserve">805007674      </v>
          </cell>
          <cell r="O960">
            <v>630</v>
          </cell>
        </row>
        <row r="961">
          <cell r="F961" t="str">
            <v xml:space="preserve">805011264      </v>
          </cell>
          <cell r="O961">
            <v>36</v>
          </cell>
        </row>
        <row r="962">
          <cell r="F962" t="str">
            <v xml:space="preserve">805012977      </v>
          </cell>
          <cell r="O962">
            <v>54</v>
          </cell>
        </row>
        <row r="963">
          <cell r="F963" t="str">
            <v xml:space="preserve">815004320      </v>
          </cell>
          <cell r="O963">
            <v>54</v>
          </cell>
        </row>
        <row r="964">
          <cell r="F964" t="str">
            <v xml:space="preserve">860020382      </v>
          </cell>
          <cell r="O964">
            <v>36</v>
          </cell>
        </row>
        <row r="965">
          <cell r="F965" t="str">
            <v xml:space="preserve">860020382      </v>
          </cell>
          <cell r="O965">
            <v>54</v>
          </cell>
        </row>
        <row r="966">
          <cell r="F966" t="str">
            <v xml:space="preserve">860047066      </v>
          </cell>
          <cell r="O966">
            <v>72</v>
          </cell>
        </row>
        <row r="967">
          <cell r="F967" t="str">
            <v xml:space="preserve">890307885      </v>
          </cell>
          <cell r="O967">
            <v>144</v>
          </cell>
        </row>
        <row r="968">
          <cell r="F968" t="str">
            <v xml:space="preserve">890308085      </v>
          </cell>
          <cell r="O968">
            <v>54</v>
          </cell>
        </row>
        <row r="969">
          <cell r="F969" t="str">
            <v xml:space="preserve">890311251      </v>
          </cell>
          <cell r="O969">
            <v>72</v>
          </cell>
        </row>
        <row r="970">
          <cell r="F970" t="str">
            <v xml:space="preserve">890319254      </v>
          </cell>
          <cell r="O970">
            <v>18</v>
          </cell>
        </row>
        <row r="971">
          <cell r="F971" t="str">
            <v xml:space="preserve">890322007      </v>
          </cell>
          <cell r="O971">
            <v>216</v>
          </cell>
        </row>
        <row r="972">
          <cell r="F972" t="str">
            <v xml:space="preserve">890332889      </v>
          </cell>
          <cell r="O972">
            <v>63</v>
          </cell>
        </row>
        <row r="973">
          <cell r="F973" t="str">
            <v xml:space="preserve">900818921      </v>
          </cell>
          <cell r="O973">
            <v>468</v>
          </cell>
        </row>
        <row r="974">
          <cell r="F974" t="str">
            <v xml:space="preserve">900896300      </v>
          </cell>
          <cell r="O974">
            <v>144</v>
          </cell>
        </row>
        <row r="975">
          <cell r="F975" t="str">
            <v xml:space="preserve">901026262      </v>
          </cell>
          <cell r="O975">
            <v>72</v>
          </cell>
        </row>
        <row r="976">
          <cell r="F976" t="str">
            <v xml:space="preserve">901430325      </v>
          </cell>
          <cell r="O976">
            <v>18</v>
          </cell>
        </row>
        <row r="977">
          <cell r="F977" t="str">
            <v xml:space="preserve">212            </v>
          </cell>
          <cell r="O977">
            <v>180</v>
          </cell>
        </row>
        <row r="978">
          <cell r="F978" t="str">
            <v xml:space="preserve">212            </v>
          </cell>
          <cell r="O978">
            <v>216</v>
          </cell>
        </row>
        <row r="979">
          <cell r="F979" t="str">
            <v xml:space="preserve">212            </v>
          </cell>
          <cell r="O979">
            <v>36</v>
          </cell>
        </row>
        <row r="980">
          <cell r="F980" t="str">
            <v xml:space="preserve">830042112      </v>
          </cell>
          <cell r="O980">
            <v>45</v>
          </cell>
        </row>
        <row r="981">
          <cell r="F981" t="str">
            <v xml:space="preserve">900495908      </v>
          </cell>
          <cell r="O981">
            <v>18</v>
          </cell>
        </row>
        <row r="982">
          <cell r="F982" t="str">
            <v xml:space="preserve">890903939      </v>
          </cell>
          <cell r="O982">
            <v>94.3</v>
          </cell>
        </row>
        <row r="983">
          <cell r="F983" t="str">
            <v xml:space="preserve">860403972      </v>
          </cell>
          <cell r="O983">
            <v>600.1</v>
          </cell>
        </row>
        <row r="984">
          <cell r="F984" t="str">
            <v xml:space="preserve">860403972      </v>
          </cell>
          <cell r="O984">
            <v>4001</v>
          </cell>
        </row>
        <row r="985">
          <cell r="F985" t="str">
            <v xml:space="preserve">860403972      </v>
          </cell>
          <cell r="O985">
            <v>800.4</v>
          </cell>
        </row>
        <row r="986">
          <cell r="F986" t="str">
            <v xml:space="preserve">890312630      </v>
          </cell>
          <cell r="O986">
            <v>5038.8999999999996</v>
          </cell>
        </row>
        <row r="987">
          <cell r="F987" t="str">
            <v xml:space="preserve">900490692      </v>
          </cell>
          <cell r="O987">
            <v>801.7</v>
          </cell>
        </row>
        <row r="988">
          <cell r="F988" t="str">
            <v xml:space="preserve">901247983      </v>
          </cell>
          <cell r="O988">
            <v>3760</v>
          </cell>
        </row>
        <row r="989">
          <cell r="F989" t="str">
            <v xml:space="preserve">1098357433     </v>
          </cell>
          <cell r="O989">
            <v>1196.2</v>
          </cell>
        </row>
        <row r="990">
          <cell r="F990" t="str">
            <v xml:space="preserve">1103713552     </v>
          </cell>
          <cell r="O990">
            <v>700</v>
          </cell>
        </row>
        <row r="991">
          <cell r="F991" t="str">
            <v xml:space="preserve">13813001       </v>
          </cell>
          <cell r="O991">
            <v>75.900000000000006</v>
          </cell>
        </row>
        <row r="992">
          <cell r="F992" t="str">
            <v xml:space="preserve">37900917       </v>
          </cell>
          <cell r="O992">
            <v>70</v>
          </cell>
        </row>
        <row r="993">
          <cell r="F993" t="str">
            <v xml:space="preserve">5744924        </v>
          </cell>
          <cell r="O993">
            <v>205.3</v>
          </cell>
        </row>
        <row r="994">
          <cell r="F994" t="str">
            <v xml:space="preserve">900257211      </v>
          </cell>
          <cell r="O994">
            <v>125.4</v>
          </cell>
        </row>
        <row r="995">
          <cell r="F995" t="str">
            <v xml:space="preserve">900870022      </v>
          </cell>
          <cell r="O995">
            <v>98.4</v>
          </cell>
        </row>
        <row r="996">
          <cell r="F996" t="str">
            <v xml:space="preserve">901113026      </v>
          </cell>
          <cell r="O996">
            <v>67.599999999999994</v>
          </cell>
        </row>
        <row r="997">
          <cell r="F997" t="str">
            <v xml:space="preserve">901229707      </v>
          </cell>
          <cell r="O997">
            <v>801.7</v>
          </cell>
        </row>
        <row r="998">
          <cell r="F998" t="str">
            <v xml:space="preserve">901547051      </v>
          </cell>
          <cell r="O998">
            <v>796.4</v>
          </cell>
        </row>
        <row r="999">
          <cell r="F999" t="str">
            <v xml:space="preserve">91068545       </v>
          </cell>
          <cell r="O999">
            <v>40</v>
          </cell>
        </row>
        <row r="1000">
          <cell r="F1000" t="str">
            <v xml:space="preserve">91080609       </v>
          </cell>
          <cell r="O1000">
            <v>58.6</v>
          </cell>
        </row>
        <row r="1001">
          <cell r="F1001" t="str">
            <v xml:space="preserve">91106959       </v>
          </cell>
          <cell r="O1001">
            <v>94</v>
          </cell>
        </row>
        <row r="1002">
          <cell r="F1002" t="str">
            <v xml:space="preserve">91451694       </v>
          </cell>
          <cell r="O1002">
            <v>357.1</v>
          </cell>
        </row>
        <row r="1003">
          <cell r="F1003" t="str">
            <v xml:space="preserve">91515845       </v>
          </cell>
          <cell r="O1003">
            <v>81.900000000000006</v>
          </cell>
        </row>
        <row r="1004">
          <cell r="F1004" t="str">
            <v xml:space="preserve">811014849      </v>
          </cell>
          <cell r="O1004">
            <v>1074</v>
          </cell>
        </row>
        <row r="1005">
          <cell r="F1005" t="str">
            <v xml:space="preserve">8257632        </v>
          </cell>
          <cell r="O1005">
            <v>189.3</v>
          </cell>
        </row>
        <row r="1006">
          <cell r="F1006" t="str">
            <v xml:space="preserve">890900223      </v>
          </cell>
          <cell r="O1006">
            <v>140.30000000000001</v>
          </cell>
        </row>
        <row r="1007">
          <cell r="F1007" t="str">
            <v xml:space="preserve">900316481      </v>
          </cell>
          <cell r="O1007">
            <v>2824.3</v>
          </cell>
        </row>
        <row r="1008">
          <cell r="F1008" t="str">
            <v xml:space="preserve">900756147      </v>
          </cell>
          <cell r="O1008">
            <v>2000.2</v>
          </cell>
        </row>
        <row r="1009">
          <cell r="F1009" t="str">
            <v xml:space="preserve">1097404034     </v>
          </cell>
          <cell r="O1009">
            <v>90</v>
          </cell>
        </row>
        <row r="1010">
          <cell r="F1010" t="str">
            <v xml:space="preserve">1097404034     </v>
          </cell>
          <cell r="O1010">
            <v>1350</v>
          </cell>
        </row>
        <row r="1011">
          <cell r="F1011" t="str">
            <v xml:space="preserve">1097404034     </v>
          </cell>
          <cell r="O1011">
            <v>360</v>
          </cell>
        </row>
        <row r="1012">
          <cell r="F1012" t="str">
            <v xml:space="preserve">79144409       </v>
          </cell>
          <cell r="O1012">
            <v>63.7</v>
          </cell>
        </row>
        <row r="1013">
          <cell r="F1013" t="str">
            <v xml:space="preserve">830128434      </v>
          </cell>
          <cell r="O1013">
            <v>131.1</v>
          </cell>
        </row>
        <row r="1014">
          <cell r="F1014" t="str">
            <v xml:space="preserve">860040407      </v>
          </cell>
          <cell r="O1014">
            <v>155</v>
          </cell>
        </row>
        <row r="1015">
          <cell r="F1015" t="str">
            <v xml:space="preserve">860403972      </v>
          </cell>
          <cell r="O1015">
            <v>1000.5</v>
          </cell>
        </row>
        <row r="1016">
          <cell r="F1016" t="str">
            <v xml:space="preserve">901080720      </v>
          </cell>
          <cell r="O1016">
            <v>146.80000000000001</v>
          </cell>
        </row>
        <row r="1017">
          <cell r="F1017" t="str">
            <v xml:space="preserve">901080720      </v>
          </cell>
          <cell r="O1017">
            <v>73.099999999999994</v>
          </cell>
        </row>
        <row r="1018">
          <cell r="F1018" t="str">
            <v xml:space="preserve">860522164      </v>
          </cell>
          <cell r="O1018">
            <v>3875</v>
          </cell>
        </row>
        <row r="1019">
          <cell r="F1019" t="str">
            <v xml:space="preserve">900474647      </v>
          </cell>
          <cell r="O1019">
            <v>1827</v>
          </cell>
        </row>
        <row r="1020">
          <cell r="F1020" t="str">
            <v xml:space="preserve">39813103       </v>
          </cell>
          <cell r="O1020">
            <v>222.6</v>
          </cell>
        </row>
        <row r="1021">
          <cell r="F1021" t="str">
            <v xml:space="preserve">860058831      </v>
          </cell>
          <cell r="O1021">
            <v>3007.1</v>
          </cell>
        </row>
        <row r="1022">
          <cell r="F1022" t="str">
            <v xml:space="preserve">860403972      </v>
          </cell>
          <cell r="O1022">
            <v>938.9</v>
          </cell>
        </row>
        <row r="1023">
          <cell r="F1023" t="str">
            <v xml:space="preserve">213            </v>
          </cell>
          <cell r="O1023">
            <v>105</v>
          </cell>
        </row>
        <row r="1024">
          <cell r="F1024" t="str">
            <v xml:space="preserve">213            </v>
          </cell>
          <cell r="O1024">
            <v>54</v>
          </cell>
        </row>
        <row r="1025">
          <cell r="F1025" t="str">
            <v xml:space="preserve">900067125      </v>
          </cell>
          <cell r="O1025">
            <v>45</v>
          </cell>
        </row>
        <row r="1026">
          <cell r="F1026" t="str">
            <v xml:space="preserve">800197463      </v>
          </cell>
          <cell r="O1026">
            <v>1160</v>
          </cell>
        </row>
        <row r="1027">
          <cell r="F1027" t="str">
            <v xml:space="preserve">800197463      </v>
          </cell>
          <cell r="O1027">
            <v>429.9</v>
          </cell>
        </row>
        <row r="1028">
          <cell r="F1028" t="str">
            <v xml:space="preserve">805017257      </v>
          </cell>
          <cell r="O1028">
            <v>329.4</v>
          </cell>
        </row>
        <row r="1029">
          <cell r="F1029" t="str">
            <v xml:space="preserve">890300431      </v>
          </cell>
          <cell r="O1029">
            <v>986.2</v>
          </cell>
        </row>
        <row r="1030">
          <cell r="F1030" t="str">
            <v xml:space="preserve">890904713      </v>
          </cell>
          <cell r="O1030">
            <v>56.9</v>
          </cell>
        </row>
        <row r="1031">
          <cell r="F1031" t="str">
            <v xml:space="preserve">900030756      </v>
          </cell>
          <cell r="O1031">
            <v>2300</v>
          </cell>
        </row>
        <row r="1032">
          <cell r="F1032" t="str">
            <v xml:space="preserve">860001697      </v>
          </cell>
          <cell r="O1032">
            <v>192.8</v>
          </cell>
        </row>
        <row r="1033">
          <cell r="F1033" t="str">
            <v xml:space="preserve">860001697      </v>
          </cell>
          <cell r="O1033">
            <v>108.88</v>
          </cell>
        </row>
        <row r="1034">
          <cell r="F1034" t="str">
            <v xml:space="preserve">51793568       </v>
          </cell>
          <cell r="O1034">
            <v>68.61</v>
          </cell>
        </row>
        <row r="1035">
          <cell r="F1035" t="str">
            <v xml:space="preserve">79434442       </v>
          </cell>
          <cell r="O1035">
            <v>68.34</v>
          </cell>
        </row>
        <row r="1036">
          <cell r="F1036" t="str">
            <v xml:space="preserve">830023429      </v>
          </cell>
          <cell r="O1036">
            <v>133.61000000000001</v>
          </cell>
        </row>
        <row r="1037">
          <cell r="F1037" t="str">
            <v xml:space="preserve">830043931      </v>
          </cell>
          <cell r="O1037">
            <v>105.72</v>
          </cell>
        </row>
        <row r="1038">
          <cell r="F1038" t="str">
            <v xml:space="preserve">830086392      </v>
          </cell>
          <cell r="O1038">
            <v>171.92</v>
          </cell>
        </row>
        <row r="1039">
          <cell r="F1039" t="str">
            <v xml:space="preserve">830086392      </v>
          </cell>
          <cell r="O1039">
            <v>35.590000000000003</v>
          </cell>
        </row>
        <row r="1040">
          <cell r="F1040" t="str">
            <v xml:space="preserve">830086392      </v>
          </cell>
          <cell r="O1040">
            <v>102.19</v>
          </cell>
        </row>
        <row r="1041">
          <cell r="F1041" t="str">
            <v xml:space="preserve">900213632      </v>
          </cell>
          <cell r="O1041">
            <v>177.72</v>
          </cell>
        </row>
        <row r="1042">
          <cell r="F1042" t="str">
            <v xml:space="preserve">900449794      </v>
          </cell>
          <cell r="O1042">
            <v>90.62</v>
          </cell>
        </row>
        <row r="1043">
          <cell r="F1043" t="str">
            <v xml:space="preserve">901350283      </v>
          </cell>
          <cell r="O1043">
            <v>159.80000000000001</v>
          </cell>
        </row>
        <row r="1044">
          <cell r="F1044" t="str">
            <v xml:space="preserve">830016868      </v>
          </cell>
          <cell r="O1044">
            <v>669.8</v>
          </cell>
        </row>
        <row r="1045">
          <cell r="F1045" t="str">
            <v xml:space="preserve">800134497      </v>
          </cell>
          <cell r="O1045">
            <v>1500</v>
          </cell>
        </row>
        <row r="1046">
          <cell r="F1046" t="str">
            <v xml:space="preserve">805005148      </v>
          </cell>
          <cell r="O1046">
            <v>9</v>
          </cell>
        </row>
        <row r="1047">
          <cell r="F1047" t="str">
            <v xml:space="preserve">805005148      </v>
          </cell>
          <cell r="O1047">
            <v>90</v>
          </cell>
        </row>
        <row r="1048">
          <cell r="F1048" t="str">
            <v xml:space="preserve">805005148      </v>
          </cell>
          <cell r="O1048">
            <v>450</v>
          </cell>
        </row>
        <row r="1049">
          <cell r="F1049" t="str">
            <v xml:space="preserve">805005148      </v>
          </cell>
          <cell r="O1049">
            <v>990</v>
          </cell>
        </row>
        <row r="1050">
          <cell r="F1050" t="str">
            <v xml:space="preserve">805005148      </v>
          </cell>
          <cell r="O1050">
            <v>270</v>
          </cell>
        </row>
        <row r="1051">
          <cell r="F1051" t="str">
            <v xml:space="preserve">805005148      </v>
          </cell>
          <cell r="O1051">
            <v>90</v>
          </cell>
        </row>
        <row r="1052">
          <cell r="F1052" t="str">
            <v xml:space="preserve">805005148      </v>
          </cell>
          <cell r="O1052">
            <v>1998</v>
          </cell>
        </row>
        <row r="1053">
          <cell r="F1053" t="str">
            <v xml:space="preserve">805005148      </v>
          </cell>
          <cell r="O1053">
            <v>54</v>
          </cell>
        </row>
        <row r="1054">
          <cell r="F1054" t="str">
            <v xml:space="preserve">805005148      </v>
          </cell>
          <cell r="O1054">
            <v>165</v>
          </cell>
        </row>
        <row r="1055">
          <cell r="F1055" t="str">
            <v xml:space="preserve">805005148      </v>
          </cell>
          <cell r="O1055">
            <v>1584</v>
          </cell>
        </row>
        <row r="1056">
          <cell r="F1056" t="str">
            <v xml:space="preserve">805005148      </v>
          </cell>
          <cell r="O1056">
            <v>630</v>
          </cell>
        </row>
        <row r="1057">
          <cell r="F1057" t="str">
            <v xml:space="preserve">805005148      </v>
          </cell>
          <cell r="O1057">
            <v>1044</v>
          </cell>
        </row>
        <row r="1058">
          <cell r="F1058" t="str">
            <v xml:space="preserve">805005148      </v>
          </cell>
          <cell r="O1058">
            <v>135</v>
          </cell>
        </row>
        <row r="1059">
          <cell r="F1059" t="str">
            <v xml:space="preserve">1130605276     </v>
          </cell>
          <cell r="O1059">
            <v>9</v>
          </cell>
        </row>
        <row r="1060">
          <cell r="F1060" t="str">
            <v xml:space="preserve">1130605276     </v>
          </cell>
          <cell r="O1060">
            <v>60</v>
          </cell>
        </row>
        <row r="1061">
          <cell r="F1061" t="str">
            <v xml:space="preserve">1130605276     </v>
          </cell>
          <cell r="O1061">
            <v>1170</v>
          </cell>
        </row>
        <row r="1062">
          <cell r="F1062" t="str">
            <v xml:space="preserve">1130605276     </v>
          </cell>
          <cell r="O1062">
            <v>45</v>
          </cell>
        </row>
        <row r="1063">
          <cell r="F1063" t="str">
            <v xml:space="preserve">94050412       </v>
          </cell>
          <cell r="O1063">
            <v>45</v>
          </cell>
        </row>
        <row r="1064">
          <cell r="F1064" t="str">
            <v xml:space="preserve">94050412       </v>
          </cell>
          <cell r="O1064">
            <v>360</v>
          </cell>
        </row>
        <row r="1065">
          <cell r="F1065" t="str">
            <v xml:space="preserve">94050412       </v>
          </cell>
          <cell r="O1065">
            <v>90</v>
          </cell>
        </row>
        <row r="1066">
          <cell r="F1066" t="str">
            <v xml:space="preserve">88275315       </v>
          </cell>
          <cell r="O1066">
            <v>60</v>
          </cell>
        </row>
        <row r="1067">
          <cell r="F1067" t="str">
            <v xml:space="preserve">88275315       </v>
          </cell>
          <cell r="O1067">
            <v>1764</v>
          </cell>
        </row>
        <row r="1068">
          <cell r="F1068" t="str">
            <v xml:space="preserve">88275315       </v>
          </cell>
          <cell r="O1068">
            <v>180</v>
          </cell>
        </row>
        <row r="1069">
          <cell r="F1069" t="str">
            <v xml:space="preserve">94464104       </v>
          </cell>
          <cell r="O1069">
            <v>180</v>
          </cell>
        </row>
        <row r="1070">
          <cell r="F1070" t="str">
            <v xml:space="preserve">94464104       </v>
          </cell>
          <cell r="O1070">
            <v>360</v>
          </cell>
        </row>
        <row r="1071">
          <cell r="F1071" t="str">
            <v xml:space="preserve">94464104       </v>
          </cell>
          <cell r="O1071">
            <v>27</v>
          </cell>
        </row>
        <row r="1072">
          <cell r="F1072" t="str">
            <v xml:space="preserve">94464104       </v>
          </cell>
          <cell r="O1072">
            <v>30</v>
          </cell>
        </row>
        <row r="1073">
          <cell r="F1073" t="str">
            <v xml:space="preserve">94464104       </v>
          </cell>
          <cell r="O1073">
            <v>405</v>
          </cell>
        </row>
        <row r="1074">
          <cell r="F1074" t="str">
            <v xml:space="preserve">94464104       </v>
          </cell>
          <cell r="O1074">
            <v>162</v>
          </cell>
        </row>
        <row r="1075">
          <cell r="F1075" t="str">
            <v xml:space="preserve">16458005       </v>
          </cell>
          <cell r="O1075">
            <v>45</v>
          </cell>
        </row>
        <row r="1076">
          <cell r="F1076" t="str">
            <v xml:space="preserve">16458005       </v>
          </cell>
          <cell r="O1076">
            <v>216</v>
          </cell>
        </row>
        <row r="1077">
          <cell r="F1077" t="str">
            <v xml:space="preserve">94419930       </v>
          </cell>
          <cell r="O1077">
            <v>360</v>
          </cell>
        </row>
        <row r="1078">
          <cell r="F1078" t="str">
            <v xml:space="preserve">94419930       </v>
          </cell>
          <cell r="O1078">
            <v>90</v>
          </cell>
        </row>
        <row r="1079">
          <cell r="F1079" t="str">
            <v xml:space="preserve">94420019       </v>
          </cell>
          <cell r="O1079">
            <v>15</v>
          </cell>
        </row>
        <row r="1080">
          <cell r="F1080" t="str">
            <v xml:space="preserve">94420019       </v>
          </cell>
          <cell r="O1080">
            <v>45</v>
          </cell>
        </row>
        <row r="1081">
          <cell r="F1081" t="str">
            <v xml:space="preserve">16669313       </v>
          </cell>
          <cell r="O1081">
            <v>9</v>
          </cell>
        </row>
        <row r="1082">
          <cell r="F1082" t="str">
            <v xml:space="preserve">16669313       </v>
          </cell>
          <cell r="O1082">
            <v>15</v>
          </cell>
        </row>
        <row r="1083">
          <cell r="F1083" t="str">
            <v xml:space="preserve">16669313       </v>
          </cell>
          <cell r="O1083">
            <v>234</v>
          </cell>
        </row>
        <row r="1084">
          <cell r="F1084" t="str">
            <v xml:space="preserve">16669313       </v>
          </cell>
          <cell r="O1084">
            <v>90</v>
          </cell>
        </row>
        <row r="1085">
          <cell r="F1085" t="str">
            <v xml:space="preserve">75074760       </v>
          </cell>
          <cell r="O1085">
            <v>54</v>
          </cell>
        </row>
        <row r="1086">
          <cell r="F1086" t="str">
            <v xml:space="preserve">75074760       </v>
          </cell>
          <cell r="O1086">
            <v>300</v>
          </cell>
        </row>
        <row r="1087">
          <cell r="F1087" t="str">
            <v xml:space="preserve">75074760       </v>
          </cell>
          <cell r="O1087">
            <v>90</v>
          </cell>
        </row>
        <row r="1088">
          <cell r="F1088" t="str">
            <v xml:space="preserve">75074760       </v>
          </cell>
          <cell r="O1088">
            <v>63</v>
          </cell>
        </row>
        <row r="1089">
          <cell r="F1089" t="str">
            <v xml:space="preserve">75074760       </v>
          </cell>
          <cell r="O1089">
            <v>300</v>
          </cell>
        </row>
        <row r="1090">
          <cell r="F1090" t="str">
            <v xml:space="preserve">75074760       </v>
          </cell>
          <cell r="O1090">
            <v>36</v>
          </cell>
        </row>
        <row r="1091">
          <cell r="F1091" t="str">
            <v xml:space="preserve">75074760       </v>
          </cell>
          <cell r="O1091">
            <v>90</v>
          </cell>
        </row>
        <row r="1092">
          <cell r="F1092" t="str">
            <v xml:space="preserve">75099432       </v>
          </cell>
          <cell r="O1092">
            <v>900</v>
          </cell>
        </row>
        <row r="1093">
          <cell r="F1093" t="str">
            <v xml:space="preserve">75099432       </v>
          </cell>
          <cell r="O1093">
            <v>45</v>
          </cell>
        </row>
        <row r="1094">
          <cell r="F1094" t="str">
            <v xml:space="preserve">75099432       </v>
          </cell>
          <cell r="O1094">
            <v>72</v>
          </cell>
        </row>
        <row r="1095">
          <cell r="F1095" t="str">
            <v xml:space="preserve">75099432       </v>
          </cell>
          <cell r="O1095">
            <v>735</v>
          </cell>
        </row>
        <row r="1096">
          <cell r="F1096" t="str">
            <v xml:space="preserve">75099432       </v>
          </cell>
          <cell r="O1096">
            <v>486</v>
          </cell>
        </row>
        <row r="1097">
          <cell r="F1097" t="str">
            <v xml:space="preserve">75099432       </v>
          </cell>
          <cell r="O1097">
            <v>18</v>
          </cell>
        </row>
        <row r="1098">
          <cell r="F1098" t="str">
            <v xml:space="preserve">75099432       </v>
          </cell>
          <cell r="O1098">
            <v>945</v>
          </cell>
        </row>
        <row r="1099">
          <cell r="F1099" t="str">
            <v xml:space="preserve">75099432       </v>
          </cell>
          <cell r="O1099">
            <v>270</v>
          </cell>
        </row>
        <row r="1100">
          <cell r="F1100" t="str">
            <v xml:space="preserve">75099432       </v>
          </cell>
          <cell r="O1100">
            <v>90</v>
          </cell>
        </row>
        <row r="1101">
          <cell r="F1101" t="str">
            <v xml:space="preserve">10237057       </v>
          </cell>
          <cell r="O1101">
            <v>9</v>
          </cell>
        </row>
        <row r="1102">
          <cell r="F1102" t="str">
            <v xml:space="preserve">900069017      </v>
          </cell>
          <cell r="O1102">
            <v>9</v>
          </cell>
        </row>
        <row r="1103">
          <cell r="F1103" t="str">
            <v xml:space="preserve">901555731      </v>
          </cell>
          <cell r="O1103">
            <v>18</v>
          </cell>
        </row>
        <row r="1104">
          <cell r="F1104" t="str">
            <v xml:space="preserve">901555731      </v>
          </cell>
          <cell r="O1104">
            <v>45</v>
          </cell>
        </row>
        <row r="1105">
          <cell r="F1105" t="str">
            <v xml:space="preserve">6157942        </v>
          </cell>
          <cell r="O1105">
            <v>630</v>
          </cell>
        </row>
        <row r="1106">
          <cell r="F1106" t="str">
            <v xml:space="preserve">6157942        </v>
          </cell>
          <cell r="O1106">
            <v>18</v>
          </cell>
        </row>
        <row r="1107">
          <cell r="F1107" t="str">
            <v xml:space="preserve">6157942        </v>
          </cell>
          <cell r="O1107">
            <v>45</v>
          </cell>
        </row>
        <row r="1108">
          <cell r="F1108" t="str">
            <v xml:space="preserve">1111745154     </v>
          </cell>
          <cell r="O1108">
            <v>330</v>
          </cell>
        </row>
        <row r="1109">
          <cell r="F1109" t="str">
            <v xml:space="preserve">1111745154     </v>
          </cell>
          <cell r="O1109">
            <v>72</v>
          </cell>
        </row>
        <row r="1110">
          <cell r="F1110" t="str">
            <v xml:space="preserve">1111745154     </v>
          </cell>
          <cell r="O1110">
            <v>975</v>
          </cell>
        </row>
        <row r="1111">
          <cell r="F1111" t="str">
            <v xml:space="preserve">1111745154     </v>
          </cell>
          <cell r="O1111">
            <v>180</v>
          </cell>
        </row>
        <row r="1112">
          <cell r="F1112" t="str">
            <v xml:space="preserve">16479359       </v>
          </cell>
          <cell r="O1112">
            <v>150</v>
          </cell>
        </row>
        <row r="1113">
          <cell r="F1113" t="str">
            <v xml:space="preserve">16479359       </v>
          </cell>
          <cell r="O1113">
            <v>90</v>
          </cell>
        </row>
        <row r="1114">
          <cell r="F1114" t="str">
            <v xml:space="preserve">16479359       </v>
          </cell>
          <cell r="O1114">
            <v>135</v>
          </cell>
        </row>
        <row r="1115">
          <cell r="F1115" t="str">
            <v xml:space="preserve">29233836       </v>
          </cell>
          <cell r="O1115">
            <v>450</v>
          </cell>
        </row>
        <row r="1116">
          <cell r="F1116" t="str">
            <v xml:space="preserve">1088256267     </v>
          </cell>
          <cell r="O1116">
            <v>9</v>
          </cell>
        </row>
        <row r="1117">
          <cell r="F1117" t="str">
            <v xml:space="preserve">1088256267     </v>
          </cell>
          <cell r="O1117">
            <v>165</v>
          </cell>
        </row>
        <row r="1118">
          <cell r="F1118" t="str">
            <v xml:space="preserve">1088256267     </v>
          </cell>
          <cell r="O1118">
            <v>108</v>
          </cell>
        </row>
        <row r="1119">
          <cell r="F1119" t="str">
            <v xml:space="preserve">1088256267     </v>
          </cell>
          <cell r="O1119">
            <v>45</v>
          </cell>
        </row>
        <row r="1120">
          <cell r="F1120" t="str">
            <v xml:space="preserve">66676270       </v>
          </cell>
          <cell r="O1120">
            <v>90</v>
          </cell>
        </row>
        <row r="1121">
          <cell r="F1121" t="str">
            <v xml:space="preserve">66676270       </v>
          </cell>
          <cell r="O1121">
            <v>360</v>
          </cell>
        </row>
        <row r="1122">
          <cell r="F1122" t="str">
            <v xml:space="preserve">66676270       </v>
          </cell>
          <cell r="O1122">
            <v>90</v>
          </cell>
        </row>
        <row r="1123">
          <cell r="F1123" t="str">
            <v xml:space="preserve">94228120       </v>
          </cell>
          <cell r="O1123">
            <v>90</v>
          </cell>
        </row>
        <row r="1124">
          <cell r="F1124" t="str">
            <v xml:space="preserve">94228120       </v>
          </cell>
          <cell r="O1124">
            <v>120</v>
          </cell>
        </row>
        <row r="1125">
          <cell r="F1125" t="str">
            <v xml:space="preserve">94228120       </v>
          </cell>
          <cell r="O1125">
            <v>270</v>
          </cell>
        </row>
        <row r="1126">
          <cell r="F1126" t="str">
            <v xml:space="preserve">94228120       </v>
          </cell>
          <cell r="O1126">
            <v>135</v>
          </cell>
        </row>
        <row r="1127">
          <cell r="F1127" t="str">
            <v xml:space="preserve">15896671       </v>
          </cell>
          <cell r="O1127">
            <v>300</v>
          </cell>
        </row>
        <row r="1128">
          <cell r="F1128" t="str">
            <v xml:space="preserve">15896671       </v>
          </cell>
          <cell r="O1128">
            <v>90</v>
          </cell>
        </row>
        <row r="1129">
          <cell r="F1129" t="str">
            <v xml:space="preserve">66679645       </v>
          </cell>
          <cell r="O1129">
            <v>27</v>
          </cell>
        </row>
        <row r="1130">
          <cell r="F1130" t="str">
            <v xml:space="preserve">66679645       </v>
          </cell>
          <cell r="O1130">
            <v>30</v>
          </cell>
        </row>
        <row r="1131">
          <cell r="F1131" t="str">
            <v xml:space="preserve">66679645       </v>
          </cell>
          <cell r="O1131">
            <v>90</v>
          </cell>
        </row>
        <row r="1132">
          <cell r="F1132" t="str">
            <v xml:space="preserve">16225682       </v>
          </cell>
          <cell r="O1132">
            <v>9</v>
          </cell>
        </row>
        <row r="1133">
          <cell r="F1133" t="str">
            <v xml:space="preserve">16225682       </v>
          </cell>
          <cell r="O1133">
            <v>360</v>
          </cell>
        </row>
        <row r="1134">
          <cell r="F1134" t="str">
            <v xml:space="preserve">16225682       </v>
          </cell>
          <cell r="O1134">
            <v>90</v>
          </cell>
        </row>
        <row r="1135">
          <cell r="F1135" t="str">
            <v xml:space="preserve">10144092       </v>
          </cell>
          <cell r="O1135">
            <v>195</v>
          </cell>
        </row>
        <row r="1136">
          <cell r="F1136" t="str">
            <v xml:space="preserve">24835836       </v>
          </cell>
          <cell r="O1136">
            <v>270</v>
          </cell>
        </row>
        <row r="1137">
          <cell r="F1137" t="str">
            <v xml:space="preserve">24835836       </v>
          </cell>
          <cell r="O1137">
            <v>18</v>
          </cell>
        </row>
        <row r="1138">
          <cell r="F1138" t="str">
            <v xml:space="preserve">18596221       </v>
          </cell>
          <cell r="O1138">
            <v>240</v>
          </cell>
        </row>
        <row r="1139">
          <cell r="F1139" t="str">
            <v xml:space="preserve">18596221       </v>
          </cell>
          <cell r="O1139">
            <v>18</v>
          </cell>
        </row>
        <row r="1140">
          <cell r="F1140" t="str">
            <v xml:space="preserve">76323227       </v>
          </cell>
          <cell r="O1140">
            <v>2682</v>
          </cell>
        </row>
        <row r="1141">
          <cell r="F1141" t="str">
            <v xml:space="preserve">76323227       </v>
          </cell>
          <cell r="O1141">
            <v>90</v>
          </cell>
        </row>
        <row r="1142">
          <cell r="F1142" t="str">
            <v xml:space="preserve">10532222       </v>
          </cell>
          <cell r="O1142">
            <v>15</v>
          </cell>
        </row>
        <row r="1143">
          <cell r="F1143" t="str">
            <v xml:space="preserve">10532222       </v>
          </cell>
          <cell r="O1143">
            <v>144</v>
          </cell>
        </row>
        <row r="1144">
          <cell r="F1144" t="str">
            <v xml:space="preserve">10532222       </v>
          </cell>
          <cell r="O1144">
            <v>45</v>
          </cell>
        </row>
        <row r="1145">
          <cell r="F1145" t="str">
            <v xml:space="preserve">12168724       </v>
          </cell>
          <cell r="O1145">
            <v>30</v>
          </cell>
        </row>
        <row r="1146">
          <cell r="F1146" t="str">
            <v xml:space="preserve">12168724       </v>
          </cell>
          <cell r="O1146">
            <v>450</v>
          </cell>
        </row>
        <row r="1147">
          <cell r="F1147" t="str">
            <v xml:space="preserve">76211412       </v>
          </cell>
          <cell r="O1147">
            <v>45</v>
          </cell>
        </row>
        <row r="1148">
          <cell r="F1148" t="str">
            <v xml:space="preserve">76211412       </v>
          </cell>
          <cell r="O1148">
            <v>126</v>
          </cell>
        </row>
        <row r="1149">
          <cell r="F1149" t="str">
            <v xml:space="preserve">10755493       </v>
          </cell>
          <cell r="O1149">
            <v>180</v>
          </cell>
        </row>
        <row r="1150">
          <cell r="F1150" t="str">
            <v xml:space="preserve">76331539       </v>
          </cell>
          <cell r="O1150">
            <v>468</v>
          </cell>
        </row>
        <row r="1151">
          <cell r="F1151" t="str">
            <v xml:space="preserve">9900047        </v>
          </cell>
          <cell r="O1151">
            <v>9</v>
          </cell>
        </row>
        <row r="1152">
          <cell r="F1152" t="str">
            <v xml:space="preserve">9900047        </v>
          </cell>
          <cell r="O1152">
            <v>90</v>
          </cell>
        </row>
        <row r="1153">
          <cell r="F1153" t="str">
            <v xml:space="preserve">9900047        </v>
          </cell>
          <cell r="O1153">
            <v>108</v>
          </cell>
        </row>
        <row r="1154">
          <cell r="F1154" t="str">
            <v xml:space="preserve">18389245       </v>
          </cell>
          <cell r="O1154">
            <v>225</v>
          </cell>
        </row>
        <row r="1155">
          <cell r="F1155" t="str">
            <v xml:space="preserve">18389245       </v>
          </cell>
          <cell r="O1155">
            <v>54</v>
          </cell>
        </row>
        <row r="1156">
          <cell r="F1156" t="str">
            <v xml:space="preserve">18416624       </v>
          </cell>
          <cell r="O1156">
            <v>18</v>
          </cell>
        </row>
        <row r="1157">
          <cell r="F1157" t="str">
            <v xml:space="preserve">18416624       </v>
          </cell>
          <cell r="O1157">
            <v>15</v>
          </cell>
        </row>
        <row r="1158">
          <cell r="F1158" t="str">
            <v xml:space="preserve">18416624       </v>
          </cell>
          <cell r="O1158">
            <v>126</v>
          </cell>
        </row>
        <row r="1159">
          <cell r="F1159" t="str">
            <v xml:space="preserve">18416624       </v>
          </cell>
          <cell r="O1159">
            <v>45</v>
          </cell>
        </row>
        <row r="1160">
          <cell r="F1160" t="str">
            <v xml:space="preserve">4613715        </v>
          </cell>
          <cell r="O1160">
            <v>27</v>
          </cell>
        </row>
        <row r="1161">
          <cell r="F1161" t="str">
            <v xml:space="preserve">4613715        </v>
          </cell>
          <cell r="O1161">
            <v>495</v>
          </cell>
        </row>
        <row r="1162">
          <cell r="F1162" t="str">
            <v xml:space="preserve">4613715        </v>
          </cell>
          <cell r="O1162">
            <v>594</v>
          </cell>
        </row>
        <row r="1163">
          <cell r="F1163" t="str">
            <v xml:space="preserve">4613715        </v>
          </cell>
          <cell r="O1163">
            <v>135</v>
          </cell>
        </row>
        <row r="1164">
          <cell r="F1164" t="str">
            <v xml:space="preserve">6110295        </v>
          </cell>
          <cell r="O1164">
            <v>36</v>
          </cell>
        </row>
        <row r="1165">
          <cell r="F1165" t="str">
            <v xml:space="preserve">6110295        </v>
          </cell>
          <cell r="O1165">
            <v>480</v>
          </cell>
        </row>
        <row r="1166">
          <cell r="F1166" t="str">
            <v xml:space="preserve">6110295        </v>
          </cell>
          <cell r="O1166">
            <v>396</v>
          </cell>
        </row>
        <row r="1167">
          <cell r="F1167" t="str">
            <v xml:space="preserve">6110295        </v>
          </cell>
          <cell r="O1167">
            <v>90</v>
          </cell>
        </row>
        <row r="1168">
          <cell r="F1168" t="str">
            <v xml:space="preserve">805005148      </v>
          </cell>
          <cell r="O1168">
            <v>18</v>
          </cell>
        </row>
        <row r="1169">
          <cell r="F1169" t="str">
            <v xml:space="preserve">805005148      </v>
          </cell>
          <cell r="O1169">
            <v>30</v>
          </cell>
        </row>
        <row r="1170">
          <cell r="F1170" t="str">
            <v xml:space="preserve">805005148      </v>
          </cell>
          <cell r="O1170">
            <v>216</v>
          </cell>
        </row>
        <row r="1171">
          <cell r="F1171" t="str">
            <v xml:space="preserve">805005148      </v>
          </cell>
          <cell r="O1171">
            <v>90</v>
          </cell>
        </row>
        <row r="1172">
          <cell r="F1172" t="str">
            <v xml:space="preserve">10488839       </v>
          </cell>
          <cell r="O1172">
            <v>30</v>
          </cell>
        </row>
        <row r="1173">
          <cell r="F1173" t="str">
            <v xml:space="preserve">10488839       </v>
          </cell>
          <cell r="O1173">
            <v>1260</v>
          </cell>
        </row>
        <row r="1174">
          <cell r="F1174" t="str">
            <v xml:space="preserve">10488839       </v>
          </cell>
          <cell r="O1174">
            <v>45</v>
          </cell>
        </row>
        <row r="1175">
          <cell r="F1175" t="str">
            <v xml:space="preserve">16843578       </v>
          </cell>
          <cell r="O1175">
            <v>198</v>
          </cell>
        </row>
        <row r="1176">
          <cell r="F1176" t="str">
            <v xml:space="preserve">16849293       </v>
          </cell>
          <cell r="O1176">
            <v>30</v>
          </cell>
        </row>
        <row r="1177">
          <cell r="F1177" t="str">
            <v xml:space="preserve">16849293       </v>
          </cell>
          <cell r="O1177">
            <v>216</v>
          </cell>
        </row>
        <row r="1178">
          <cell r="F1178" t="str">
            <v xml:space="preserve">16849293       </v>
          </cell>
          <cell r="O1178">
            <v>180</v>
          </cell>
        </row>
        <row r="1179">
          <cell r="F1179" t="str">
            <v xml:space="preserve">10555516       </v>
          </cell>
          <cell r="O1179">
            <v>30</v>
          </cell>
        </row>
        <row r="1180">
          <cell r="F1180" t="str">
            <v xml:space="preserve">10555516       </v>
          </cell>
          <cell r="O1180">
            <v>432</v>
          </cell>
        </row>
        <row r="1181">
          <cell r="F1181" t="str">
            <v xml:space="preserve">10555516       </v>
          </cell>
          <cell r="O1181">
            <v>135</v>
          </cell>
        </row>
        <row r="1182">
          <cell r="F1182" t="str">
            <v xml:space="preserve">900444531      </v>
          </cell>
          <cell r="O1182">
            <v>72</v>
          </cell>
        </row>
        <row r="1183">
          <cell r="F1183" t="str">
            <v xml:space="preserve">14229215       </v>
          </cell>
          <cell r="O1183">
            <v>504</v>
          </cell>
        </row>
        <row r="1184">
          <cell r="F1184" t="str">
            <v xml:space="preserve">79736632       </v>
          </cell>
          <cell r="O1184">
            <v>396</v>
          </cell>
        </row>
        <row r="1185">
          <cell r="F1185" t="str">
            <v xml:space="preserve">79736632       </v>
          </cell>
          <cell r="O1185">
            <v>360</v>
          </cell>
        </row>
        <row r="1186">
          <cell r="F1186" t="str">
            <v xml:space="preserve">26050336       </v>
          </cell>
          <cell r="O1186">
            <v>18</v>
          </cell>
        </row>
        <row r="1187">
          <cell r="F1187" t="str">
            <v xml:space="preserve">26050336       </v>
          </cell>
          <cell r="O1187">
            <v>90</v>
          </cell>
        </row>
        <row r="1188">
          <cell r="F1188" t="str">
            <v xml:space="preserve">26050336       </v>
          </cell>
          <cell r="O1188">
            <v>216</v>
          </cell>
        </row>
        <row r="1189">
          <cell r="F1189" t="str">
            <v xml:space="preserve">26050336       </v>
          </cell>
          <cell r="O1189">
            <v>45</v>
          </cell>
        </row>
        <row r="1190">
          <cell r="F1190" t="str">
            <v xml:space="preserve">91360601       </v>
          </cell>
          <cell r="O1190">
            <v>9</v>
          </cell>
        </row>
        <row r="1191">
          <cell r="F1191" t="str">
            <v xml:space="preserve">91360601       </v>
          </cell>
          <cell r="O1191">
            <v>75</v>
          </cell>
        </row>
        <row r="1192">
          <cell r="F1192" t="str">
            <v xml:space="preserve">91360601       </v>
          </cell>
          <cell r="O1192">
            <v>1908</v>
          </cell>
        </row>
        <row r="1193">
          <cell r="F1193" t="str">
            <v xml:space="preserve">91360601       </v>
          </cell>
          <cell r="O1193">
            <v>585</v>
          </cell>
        </row>
        <row r="1194">
          <cell r="F1194" t="str">
            <v xml:space="preserve">79824837       </v>
          </cell>
          <cell r="O1194">
            <v>900</v>
          </cell>
        </row>
        <row r="1195">
          <cell r="F1195" t="str">
            <v xml:space="preserve">79824837       </v>
          </cell>
          <cell r="O1195">
            <v>1656</v>
          </cell>
        </row>
        <row r="1196">
          <cell r="F1196" t="str">
            <v xml:space="preserve">79824837       </v>
          </cell>
          <cell r="O1196">
            <v>360</v>
          </cell>
        </row>
        <row r="1197">
          <cell r="F1197" t="str">
            <v xml:space="preserve">3273085        </v>
          </cell>
          <cell r="O1197">
            <v>900</v>
          </cell>
        </row>
        <row r="1198">
          <cell r="F1198" t="str">
            <v xml:space="preserve">3273085        </v>
          </cell>
          <cell r="O1198">
            <v>702</v>
          </cell>
        </row>
        <row r="1199">
          <cell r="F1199" t="str">
            <v xml:space="preserve">91179385       </v>
          </cell>
          <cell r="O1199">
            <v>9</v>
          </cell>
        </row>
        <row r="1200">
          <cell r="F1200" t="str">
            <v xml:space="preserve">91179385       </v>
          </cell>
          <cell r="O1200">
            <v>15</v>
          </cell>
        </row>
        <row r="1201">
          <cell r="F1201" t="str">
            <v xml:space="preserve">91179385       </v>
          </cell>
          <cell r="O1201">
            <v>576</v>
          </cell>
        </row>
        <row r="1202">
          <cell r="F1202" t="str">
            <v xml:space="preserve">91179385       </v>
          </cell>
          <cell r="O1202">
            <v>270</v>
          </cell>
        </row>
        <row r="1203">
          <cell r="F1203" t="str">
            <v xml:space="preserve">79384689       </v>
          </cell>
          <cell r="O1203">
            <v>165</v>
          </cell>
        </row>
        <row r="1204">
          <cell r="F1204" t="str">
            <v xml:space="preserve">13494934       </v>
          </cell>
          <cell r="O1204">
            <v>210</v>
          </cell>
        </row>
        <row r="1205">
          <cell r="F1205" t="str">
            <v xml:space="preserve">13494934       </v>
          </cell>
          <cell r="O1205">
            <v>90</v>
          </cell>
        </row>
        <row r="1206">
          <cell r="F1206" t="str">
            <v xml:space="preserve">13494934       </v>
          </cell>
          <cell r="O1206">
            <v>90</v>
          </cell>
        </row>
        <row r="1207">
          <cell r="F1207" t="str">
            <v xml:space="preserve">88188644       </v>
          </cell>
          <cell r="O1207">
            <v>600</v>
          </cell>
        </row>
        <row r="1208">
          <cell r="F1208" t="str">
            <v xml:space="preserve">901449776      </v>
          </cell>
          <cell r="O1208">
            <v>45</v>
          </cell>
        </row>
        <row r="1209">
          <cell r="F1209" t="str">
            <v xml:space="preserve">1117502076     </v>
          </cell>
          <cell r="O1209">
            <v>9</v>
          </cell>
        </row>
        <row r="1210">
          <cell r="F1210" t="str">
            <v xml:space="preserve">1117502076     </v>
          </cell>
          <cell r="O1210">
            <v>504</v>
          </cell>
        </row>
        <row r="1211">
          <cell r="F1211" t="str">
            <v xml:space="preserve">1117502076     </v>
          </cell>
          <cell r="O1211">
            <v>45</v>
          </cell>
        </row>
        <row r="1212">
          <cell r="F1212" t="str">
            <v xml:space="preserve">91451576       </v>
          </cell>
          <cell r="O1212">
            <v>162</v>
          </cell>
        </row>
        <row r="1213">
          <cell r="F1213" t="str">
            <v xml:space="preserve">91451576       </v>
          </cell>
          <cell r="O1213">
            <v>90</v>
          </cell>
        </row>
        <row r="1214">
          <cell r="F1214" t="str">
            <v xml:space="preserve">890503966      </v>
          </cell>
          <cell r="O1214">
            <v>615</v>
          </cell>
        </row>
        <row r="1215">
          <cell r="F1215" t="str">
            <v xml:space="preserve">890503966      </v>
          </cell>
          <cell r="O1215">
            <v>180</v>
          </cell>
        </row>
        <row r="1216">
          <cell r="F1216" t="str">
            <v xml:space="preserve">91222539       </v>
          </cell>
          <cell r="O1216">
            <v>450</v>
          </cell>
        </row>
        <row r="1217">
          <cell r="F1217" t="str">
            <v xml:space="preserve">91222539       </v>
          </cell>
          <cell r="O1217">
            <v>630</v>
          </cell>
        </row>
        <row r="1218">
          <cell r="F1218" t="str">
            <v xml:space="preserve">91222539       </v>
          </cell>
          <cell r="O1218">
            <v>135</v>
          </cell>
        </row>
        <row r="1219">
          <cell r="F1219" t="str">
            <v xml:space="preserve">91067422       </v>
          </cell>
          <cell r="O1219">
            <v>270</v>
          </cell>
        </row>
        <row r="1220">
          <cell r="F1220" t="str">
            <v xml:space="preserve">91067422       </v>
          </cell>
          <cell r="O1220">
            <v>360</v>
          </cell>
        </row>
        <row r="1221">
          <cell r="F1221" t="str">
            <v xml:space="preserve">91067422       </v>
          </cell>
          <cell r="O1221">
            <v>120</v>
          </cell>
        </row>
        <row r="1222">
          <cell r="F1222" t="str">
            <v xml:space="preserve">91067422       </v>
          </cell>
          <cell r="O1222">
            <v>36</v>
          </cell>
        </row>
        <row r="1223">
          <cell r="F1223" t="str">
            <v xml:space="preserve">91067422       </v>
          </cell>
          <cell r="O1223">
            <v>45</v>
          </cell>
        </row>
        <row r="1224">
          <cell r="F1224" t="str">
            <v xml:space="preserve">26229305       </v>
          </cell>
          <cell r="O1224">
            <v>1650</v>
          </cell>
        </row>
        <row r="1225">
          <cell r="F1225" t="str">
            <v xml:space="preserve">26229305       </v>
          </cell>
          <cell r="O1225">
            <v>90</v>
          </cell>
        </row>
        <row r="1226">
          <cell r="F1226" t="str">
            <v xml:space="preserve">26229305       </v>
          </cell>
          <cell r="O1226">
            <v>315</v>
          </cell>
        </row>
        <row r="1227">
          <cell r="F1227" t="str">
            <v xml:space="preserve">78033625       </v>
          </cell>
          <cell r="O1227">
            <v>75</v>
          </cell>
        </row>
        <row r="1228">
          <cell r="F1228" t="str">
            <v xml:space="preserve">78033625       </v>
          </cell>
          <cell r="O1228">
            <v>720</v>
          </cell>
        </row>
        <row r="1229">
          <cell r="F1229" t="str">
            <v xml:space="preserve">901096204      </v>
          </cell>
          <cell r="O1229">
            <v>1800</v>
          </cell>
        </row>
        <row r="1230">
          <cell r="F1230" t="str">
            <v xml:space="preserve">91288772       </v>
          </cell>
          <cell r="O1230">
            <v>510</v>
          </cell>
        </row>
        <row r="1231">
          <cell r="F1231" t="str">
            <v xml:space="preserve">77191750       </v>
          </cell>
          <cell r="O1231">
            <v>774</v>
          </cell>
        </row>
        <row r="1232">
          <cell r="F1232" t="str">
            <v xml:space="preserve">91213004       </v>
          </cell>
          <cell r="O1232">
            <v>450</v>
          </cell>
        </row>
        <row r="1233">
          <cell r="F1233" t="str">
            <v xml:space="preserve">9262987        </v>
          </cell>
          <cell r="O1233">
            <v>90</v>
          </cell>
        </row>
        <row r="1234">
          <cell r="F1234" t="str">
            <v xml:space="preserve">1047231108     </v>
          </cell>
          <cell r="O1234">
            <v>360</v>
          </cell>
        </row>
        <row r="1235">
          <cell r="F1235" t="str">
            <v xml:space="preserve">1047231108     </v>
          </cell>
          <cell r="O1235">
            <v>72</v>
          </cell>
        </row>
        <row r="1236">
          <cell r="F1236" t="str">
            <v xml:space="preserve">1047231108     </v>
          </cell>
          <cell r="O1236">
            <v>135</v>
          </cell>
        </row>
        <row r="1237">
          <cell r="F1237" t="str">
            <v xml:space="preserve">1047349327     </v>
          </cell>
          <cell r="O1237">
            <v>225</v>
          </cell>
        </row>
        <row r="1238">
          <cell r="F1238" t="str">
            <v xml:space="preserve">18531333       </v>
          </cell>
          <cell r="O1238">
            <v>2460</v>
          </cell>
        </row>
        <row r="1239">
          <cell r="F1239" t="str">
            <v xml:space="preserve">18531333       </v>
          </cell>
          <cell r="O1239">
            <v>450</v>
          </cell>
        </row>
        <row r="1240">
          <cell r="F1240" t="str">
            <v xml:space="preserve">18531333       </v>
          </cell>
          <cell r="O1240">
            <v>2985</v>
          </cell>
        </row>
        <row r="1241">
          <cell r="F1241" t="str">
            <v xml:space="preserve">18531333       </v>
          </cell>
          <cell r="O1241">
            <v>18</v>
          </cell>
        </row>
        <row r="1242">
          <cell r="F1242" t="str">
            <v xml:space="preserve">18531333       </v>
          </cell>
          <cell r="O1242">
            <v>180</v>
          </cell>
        </row>
        <row r="1243">
          <cell r="F1243" t="str">
            <v xml:space="preserve">1120352593     </v>
          </cell>
          <cell r="O1243">
            <v>2718</v>
          </cell>
        </row>
        <row r="1244">
          <cell r="F1244" t="str">
            <v xml:space="preserve">1120352593     </v>
          </cell>
          <cell r="O1244">
            <v>360</v>
          </cell>
        </row>
        <row r="1245">
          <cell r="F1245" t="str">
            <v xml:space="preserve">11255578       </v>
          </cell>
          <cell r="O1245">
            <v>36</v>
          </cell>
        </row>
        <row r="1246">
          <cell r="F1246" t="str">
            <v xml:space="preserve">11255578       </v>
          </cell>
          <cell r="O1246">
            <v>180</v>
          </cell>
        </row>
        <row r="1247">
          <cell r="F1247" t="str">
            <v xml:space="preserve">79827688       </v>
          </cell>
          <cell r="O1247">
            <v>300</v>
          </cell>
        </row>
        <row r="1248">
          <cell r="F1248" t="str">
            <v xml:space="preserve">79827688       </v>
          </cell>
          <cell r="O1248">
            <v>360</v>
          </cell>
        </row>
        <row r="1249">
          <cell r="F1249" t="str">
            <v xml:space="preserve">79827688       </v>
          </cell>
          <cell r="O1249">
            <v>135</v>
          </cell>
        </row>
        <row r="1250">
          <cell r="F1250" t="str">
            <v xml:space="preserve">79827688       </v>
          </cell>
          <cell r="O1250">
            <v>30</v>
          </cell>
        </row>
        <row r="1251">
          <cell r="F1251" t="str">
            <v xml:space="preserve">79827688       </v>
          </cell>
          <cell r="O1251">
            <v>234</v>
          </cell>
        </row>
        <row r="1252">
          <cell r="F1252" t="str">
            <v xml:space="preserve">79827688       </v>
          </cell>
          <cell r="O1252">
            <v>45</v>
          </cell>
        </row>
        <row r="1253">
          <cell r="F1253" t="str">
            <v xml:space="preserve">92520690       </v>
          </cell>
          <cell r="O1253">
            <v>150</v>
          </cell>
        </row>
        <row r="1254">
          <cell r="F1254" t="str">
            <v xml:space="preserve">92520690       </v>
          </cell>
          <cell r="O1254">
            <v>1602</v>
          </cell>
        </row>
        <row r="1255">
          <cell r="F1255" t="str">
            <v xml:space="preserve">900732129      </v>
          </cell>
          <cell r="O1255">
            <v>1500</v>
          </cell>
        </row>
        <row r="1256">
          <cell r="F1256" t="str">
            <v xml:space="preserve">80266206       </v>
          </cell>
          <cell r="O1256">
            <v>108</v>
          </cell>
        </row>
        <row r="1257">
          <cell r="F1257" t="str">
            <v xml:space="preserve">80266206       </v>
          </cell>
          <cell r="O1257">
            <v>180</v>
          </cell>
        </row>
        <row r="1258">
          <cell r="F1258" t="str">
            <v xml:space="preserve">1111739602     </v>
          </cell>
          <cell r="O1258">
            <v>15</v>
          </cell>
        </row>
        <row r="1259">
          <cell r="F1259" t="str">
            <v xml:space="preserve">1111739602     </v>
          </cell>
          <cell r="O1259">
            <v>45</v>
          </cell>
        </row>
        <row r="1260">
          <cell r="F1260" t="str">
            <v xml:space="preserve">1111739602     </v>
          </cell>
          <cell r="O1260">
            <v>150</v>
          </cell>
        </row>
        <row r="1261">
          <cell r="F1261" t="str">
            <v xml:space="preserve">1101204909     </v>
          </cell>
          <cell r="O1261">
            <v>18</v>
          </cell>
        </row>
        <row r="1262">
          <cell r="F1262" t="str">
            <v xml:space="preserve">1101204909     </v>
          </cell>
          <cell r="O1262">
            <v>135</v>
          </cell>
        </row>
        <row r="1263">
          <cell r="F1263" t="str">
            <v xml:space="preserve">1101204909     </v>
          </cell>
          <cell r="O1263">
            <v>126</v>
          </cell>
        </row>
        <row r="1264">
          <cell r="F1264" t="str">
            <v xml:space="preserve">88168843       </v>
          </cell>
          <cell r="O1264">
            <v>9</v>
          </cell>
        </row>
        <row r="1265">
          <cell r="F1265" t="str">
            <v xml:space="preserve">88168843       </v>
          </cell>
          <cell r="O1265">
            <v>30</v>
          </cell>
        </row>
        <row r="1266">
          <cell r="F1266" t="str">
            <v xml:space="preserve">88168843       </v>
          </cell>
          <cell r="O1266">
            <v>252</v>
          </cell>
        </row>
        <row r="1267">
          <cell r="F1267" t="str">
            <v xml:space="preserve">88168843       </v>
          </cell>
          <cell r="O1267">
            <v>60</v>
          </cell>
        </row>
        <row r="1268">
          <cell r="F1268" t="str">
            <v xml:space="preserve">88168843       </v>
          </cell>
          <cell r="O1268">
            <v>306</v>
          </cell>
        </row>
        <row r="1269">
          <cell r="F1269" t="str">
            <v xml:space="preserve">88168843       </v>
          </cell>
          <cell r="O1269">
            <v>270</v>
          </cell>
        </row>
        <row r="1270">
          <cell r="F1270" t="str">
            <v xml:space="preserve">88168843       </v>
          </cell>
          <cell r="O1270">
            <v>45</v>
          </cell>
        </row>
        <row r="1271">
          <cell r="F1271" t="str">
            <v xml:space="preserve">79266522       </v>
          </cell>
          <cell r="O1271">
            <v>270</v>
          </cell>
        </row>
        <row r="1272">
          <cell r="F1272" t="str">
            <v xml:space="preserve">79221604       </v>
          </cell>
          <cell r="O1272">
            <v>9</v>
          </cell>
        </row>
        <row r="1273">
          <cell r="F1273" t="str">
            <v xml:space="preserve">79221604       </v>
          </cell>
          <cell r="O1273">
            <v>288</v>
          </cell>
        </row>
        <row r="1274">
          <cell r="F1274" t="str">
            <v xml:space="preserve">79221604       </v>
          </cell>
          <cell r="O1274">
            <v>90</v>
          </cell>
        </row>
        <row r="1275">
          <cell r="F1275" t="str">
            <v xml:space="preserve">79221604       </v>
          </cell>
          <cell r="O1275">
            <v>18</v>
          </cell>
        </row>
        <row r="1276">
          <cell r="F1276" t="str">
            <v xml:space="preserve">79221604       </v>
          </cell>
          <cell r="O1276">
            <v>180</v>
          </cell>
        </row>
        <row r="1277">
          <cell r="F1277" t="str">
            <v xml:space="preserve">79221604       </v>
          </cell>
          <cell r="O1277">
            <v>90</v>
          </cell>
        </row>
        <row r="1278">
          <cell r="F1278" t="str">
            <v xml:space="preserve">9867640        </v>
          </cell>
          <cell r="O1278">
            <v>255</v>
          </cell>
        </row>
        <row r="1279">
          <cell r="F1279" t="str">
            <v xml:space="preserve">9867640        </v>
          </cell>
          <cell r="O1279">
            <v>162</v>
          </cell>
        </row>
        <row r="1280">
          <cell r="F1280" t="str">
            <v xml:space="preserve">10315862       </v>
          </cell>
          <cell r="O1280">
            <v>270</v>
          </cell>
        </row>
        <row r="1281">
          <cell r="F1281" t="str">
            <v xml:space="preserve">73079740       </v>
          </cell>
          <cell r="O1281">
            <v>270</v>
          </cell>
        </row>
        <row r="1282">
          <cell r="F1282" t="str">
            <v xml:space="preserve">73079740       </v>
          </cell>
          <cell r="O1282">
            <v>90</v>
          </cell>
        </row>
        <row r="1283">
          <cell r="F1283" t="str">
            <v xml:space="preserve">1083686504     </v>
          </cell>
          <cell r="O1283">
            <v>150</v>
          </cell>
        </row>
        <row r="1284">
          <cell r="F1284" t="str">
            <v xml:space="preserve">12256895       </v>
          </cell>
          <cell r="O1284">
            <v>1050</v>
          </cell>
        </row>
        <row r="1285">
          <cell r="F1285" t="str">
            <v xml:space="preserve">12256895       </v>
          </cell>
          <cell r="O1285">
            <v>90</v>
          </cell>
        </row>
        <row r="1286">
          <cell r="F1286" t="str">
            <v xml:space="preserve">12266504       </v>
          </cell>
          <cell r="O1286">
            <v>270</v>
          </cell>
        </row>
        <row r="1287">
          <cell r="F1287" t="str">
            <v xml:space="preserve">12266504       </v>
          </cell>
          <cell r="O1287">
            <v>36</v>
          </cell>
        </row>
        <row r="1288">
          <cell r="F1288" t="str">
            <v xml:space="preserve">12266504       </v>
          </cell>
          <cell r="O1288">
            <v>90</v>
          </cell>
        </row>
        <row r="1289">
          <cell r="F1289" t="str">
            <v xml:space="preserve">12231586       </v>
          </cell>
          <cell r="O1289">
            <v>165</v>
          </cell>
        </row>
        <row r="1290">
          <cell r="F1290" t="str">
            <v xml:space="preserve">12231586       </v>
          </cell>
          <cell r="O1290">
            <v>72</v>
          </cell>
        </row>
        <row r="1291">
          <cell r="F1291" t="str">
            <v xml:space="preserve">12231586       </v>
          </cell>
          <cell r="O1291">
            <v>180</v>
          </cell>
        </row>
        <row r="1292">
          <cell r="F1292" t="str">
            <v xml:space="preserve">83042067       </v>
          </cell>
          <cell r="O1292">
            <v>90</v>
          </cell>
        </row>
        <row r="1293">
          <cell r="F1293" t="str">
            <v xml:space="preserve">83042067       </v>
          </cell>
          <cell r="O1293">
            <v>36</v>
          </cell>
        </row>
        <row r="1294">
          <cell r="F1294" t="str">
            <v xml:space="preserve">83042067       </v>
          </cell>
          <cell r="O1294">
            <v>225</v>
          </cell>
        </row>
        <row r="1295">
          <cell r="F1295" t="str">
            <v xml:space="preserve">83042067       </v>
          </cell>
          <cell r="O1295">
            <v>285</v>
          </cell>
        </row>
        <row r="1296">
          <cell r="F1296" t="str">
            <v xml:space="preserve">83042067       </v>
          </cell>
          <cell r="O1296">
            <v>360</v>
          </cell>
        </row>
        <row r="1297">
          <cell r="F1297" t="str">
            <v xml:space="preserve">1062292334     </v>
          </cell>
          <cell r="O1297">
            <v>435</v>
          </cell>
        </row>
        <row r="1298">
          <cell r="F1298" t="str">
            <v xml:space="preserve">1062292334     </v>
          </cell>
          <cell r="O1298">
            <v>846</v>
          </cell>
        </row>
        <row r="1299">
          <cell r="F1299" t="str">
            <v xml:space="preserve">1062292334     </v>
          </cell>
          <cell r="O1299">
            <v>135</v>
          </cell>
        </row>
        <row r="1300">
          <cell r="F1300" t="str">
            <v xml:space="preserve">80351964       </v>
          </cell>
          <cell r="O1300">
            <v>90</v>
          </cell>
        </row>
        <row r="1301">
          <cell r="F1301" t="str">
            <v xml:space="preserve">80351964       </v>
          </cell>
          <cell r="O1301">
            <v>15</v>
          </cell>
        </row>
        <row r="1302">
          <cell r="F1302" t="str">
            <v xml:space="preserve">80351964       </v>
          </cell>
          <cell r="O1302">
            <v>252</v>
          </cell>
        </row>
        <row r="1303">
          <cell r="F1303" t="str">
            <v xml:space="preserve">80351964       </v>
          </cell>
          <cell r="O1303">
            <v>45</v>
          </cell>
        </row>
        <row r="1304">
          <cell r="F1304" t="str">
            <v xml:space="preserve">80283261       </v>
          </cell>
          <cell r="O1304">
            <v>9</v>
          </cell>
        </row>
        <row r="1305">
          <cell r="F1305" t="str">
            <v xml:space="preserve">80283261       </v>
          </cell>
          <cell r="O1305">
            <v>15</v>
          </cell>
        </row>
        <row r="1306">
          <cell r="F1306" t="str">
            <v xml:space="preserve">4090572        </v>
          </cell>
          <cell r="O1306">
            <v>30</v>
          </cell>
        </row>
        <row r="1307">
          <cell r="F1307" t="str">
            <v xml:space="preserve">4090572        </v>
          </cell>
          <cell r="O1307">
            <v>540</v>
          </cell>
        </row>
        <row r="1308">
          <cell r="F1308" t="str">
            <v xml:space="preserve">4090572        </v>
          </cell>
          <cell r="O1308">
            <v>45</v>
          </cell>
        </row>
        <row r="1309">
          <cell r="F1309" t="str">
            <v xml:space="preserve">4090572        </v>
          </cell>
          <cell r="O1309">
            <v>54</v>
          </cell>
        </row>
        <row r="1310">
          <cell r="F1310" t="str">
            <v xml:space="preserve">80024551       </v>
          </cell>
          <cell r="O1310">
            <v>63</v>
          </cell>
        </row>
        <row r="1311">
          <cell r="F1311" t="str">
            <v xml:space="preserve">80024551       </v>
          </cell>
          <cell r="O1311">
            <v>105</v>
          </cell>
        </row>
        <row r="1312">
          <cell r="F1312" t="str">
            <v xml:space="preserve">80024551       </v>
          </cell>
          <cell r="O1312">
            <v>1008</v>
          </cell>
        </row>
        <row r="1313">
          <cell r="F1313" t="str">
            <v xml:space="preserve">80024551       </v>
          </cell>
          <cell r="O1313">
            <v>315</v>
          </cell>
        </row>
        <row r="1314">
          <cell r="F1314" t="str">
            <v xml:space="preserve">4090806        </v>
          </cell>
          <cell r="O1314">
            <v>126</v>
          </cell>
        </row>
        <row r="1315">
          <cell r="F1315" t="str">
            <v xml:space="preserve">4090806        </v>
          </cell>
          <cell r="O1315">
            <v>135</v>
          </cell>
        </row>
        <row r="1316">
          <cell r="F1316" t="str">
            <v xml:space="preserve">79339314       </v>
          </cell>
          <cell r="O1316">
            <v>105</v>
          </cell>
        </row>
        <row r="1317">
          <cell r="F1317" t="str">
            <v xml:space="preserve">79339314       </v>
          </cell>
          <cell r="O1317">
            <v>72</v>
          </cell>
        </row>
        <row r="1318">
          <cell r="F1318" t="str">
            <v xml:space="preserve">79339314       </v>
          </cell>
          <cell r="O1318">
            <v>45</v>
          </cell>
        </row>
        <row r="1319">
          <cell r="F1319" t="str">
            <v xml:space="preserve">3171403        </v>
          </cell>
          <cell r="O1319">
            <v>15</v>
          </cell>
        </row>
        <row r="1320">
          <cell r="F1320" t="str">
            <v xml:space="preserve">3171403        </v>
          </cell>
          <cell r="O1320">
            <v>468</v>
          </cell>
        </row>
        <row r="1321">
          <cell r="F1321" t="str">
            <v xml:space="preserve">3171403        </v>
          </cell>
          <cell r="O1321">
            <v>405</v>
          </cell>
        </row>
        <row r="1322">
          <cell r="F1322" t="str">
            <v xml:space="preserve">83218584       </v>
          </cell>
          <cell r="O1322">
            <v>465</v>
          </cell>
        </row>
        <row r="1323">
          <cell r="F1323" t="str">
            <v xml:space="preserve">83218584       </v>
          </cell>
          <cell r="O1323">
            <v>72</v>
          </cell>
        </row>
        <row r="1324">
          <cell r="F1324" t="str">
            <v xml:space="preserve">83218584       </v>
          </cell>
          <cell r="O1324">
            <v>225</v>
          </cell>
        </row>
        <row r="1325">
          <cell r="F1325" t="str">
            <v xml:space="preserve">83218584       </v>
          </cell>
          <cell r="O1325">
            <v>90</v>
          </cell>
        </row>
        <row r="1326">
          <cell r="F1326" t="str">
            <v xml:space="preserve">83218584       </v>
          </cell>
          <cell r="O1326">
            <v>90</v>
          </cell>
        </row>
        <row r="1327">
          <cell r="F1327" t="str">
            <v xml:space="preserve">83218584       </v>
          </cell>
          <cell r="O1327">
            <v>360</v>
          </cell>
        </row>
        <row r="1328">
          <cell r="F1328" t="str">
            <v xml:space="preserve">1114887745     </v>
          </cell>
          <cell r="O1328">
            <v>900</v>
          </cell>
        </row>
        <row r="1329">
          <cell r="F1329" t="str">
            <v xml:space="preserve">1097404034     </v>
          </cell>
          <cell r="O1329">
            <v>15</v>
          </cell>
        </row>
        <row r="1330">
          <cell r="F1330" t="str">
            <v xml:space="preserve">1097404034     </v>
          </cell>
          <cell r="O1330">
            <v>108</v>
          </cell>
        </row>
        <row r="1331">
          <cell r="F1331" t="str">
            <v xml:space="preserve">10185600       </v>
          </cell>
          <cell r="O1331">
            <v>306</v>
          </cell>
        </row>
        <row r="1332">
          <cell r="F1332" t="str">
            <v xml:space="preserve">15989735       </v>
          </cell>
          <cell r="O1332">
            <v>27</v>
          </cell>
        </row>
        <row r="1333">
          <cell r="F1333" t="str">
            <v xml:space="preserve">15989735       </v>
          </cell>
          <cell r="O1333">
            <v>2160</v>
          </cell>
        </row>
        <row r="1334">
          <cell r="F1334" t="str">
            <v xml:space="preserve">15989735       </v>
          </cell>
          <cell r="O1334">
            <v>135</v>
          </cell>
        </row>
        <row r="1335">
          <cell r="F1335" t="str">
            <v xml:space="preserve">1023722736     </v>
          </cell>
          <cell r="O1335">
            <v>270</v>
          </cell>
        </row>
        <row r="1336">
          <cell r="F1336" t="str">
            <v xml:space="preserve">1039696881     </v>
          </cell>
          <cell r="O1336">
            <v>15</v>
          </cell>
        </row>
        <row r="1337">
          <cell r="F1337" t="str">
            <v xml:space="preserve">1039696881     </v>
          </cell>
          <cell r="O1337">
            <v>1458</v>
          </cell>
        </row>
        <row r="1338">
          <cell r="F1338" t="str">
            <v xml:space="preserve">1039696881     </v>
          </cell>
          <cell r="O1338">
            <v>45</v>
          </cell>
        </row>
        <row r="1339">
          <cell r="F1339" t="str">
            <v xml:space="preserve">1039696881     </v>
          </cell>
          <cell r="O1339">
            <v>9</v>
          </cell>
        </row>
        <row r="1340">
          <cell r="F1340" t="str">
            <v xml:space="preserve">1039696881     </v>
          </cell>
          <cell r="O1340">
            <v>9</v>
          </cell>
        </row>
        <row r="1341">
          <cell r="F1341" t="str">
            <v xml:space="preserve">1039696881     </v>
          </cell>
          <cell r="O1341">
            <v>1242</v>
          </cell>
        </row>
        <row r="1342">
          <cell r="F1342" t="str">
            <v xml:space="preserve">16186973       </v>
          </cell>
          <cell r="O1342">
            <v>36</v>
          </cell>
        </row>
        <row r="1343">
          <cell r="F1343" t="str">
            <v xml:space="preserve">16186973       </v>
          </cell>
          <cell r="O1343">
            <v>30</v>
          </cell>
        </row>
        <row r="1344">
          <cell r="F1344" t="str">
            <v xml:space="preserve">16186973       </v>
          </cell>
          <cell r="O1344">
            <v>540</v>
          </cell>
        </row>
        <row r="1345">
          <cell r="F1345" t="str">
            <v xml:space="preserve">16186973       </v>
          </cell>
          <cell r="O1345">
            <v>90</v>
          </cell>
        </row>
        <row r="1346">
          <cell r="F1346" t="str">
            <v xml:space="preserve">16553709       </v>
          </cell>
          <cell r="O1346">
            <v>54</v>
          </cell>
        </row>
        <row r="1347">
          <cell r="F1347" t="str">
            <v xml:space="preserve">16553709       </v>
          </cell>
          <cell r="O1347">
            <v>162</v>
          </cell>
        </row>
        <row r="1348">
          <cell r="F1348" t="str">
            <v xml:space="preserve">1092154547     </v>
          </cell>
          <cell r="O1348">
            <v>27</v>
          </cell>
        </row>
        <row r="1349">
          <cell r="F1349" t="str">
            <v xml:space="preserve">1092154547     </v>
          </cell>
          <cell r="O1349">
            <v>45</v>
          </cell>
        </row>
        <row r="1350">
          <cell r="F1350" t="str">
            <v xml:space="preserve">1092154547     </v>
          </cell>
          <cell r="O1350">
            <v>270</v>
          </cell>
        </row>
        <row r="1351">
          <cell r="F1351" t="str">
            <v xml:space="preserve">1092154547     </v>
          </cell>
          <cell r="O1351">
            <v>30</v>
          </cell>
        </row>
        <row r="1352">
          <cell r="F1352" t="str">
            <v xml:space="preserve">1092154547     </v>
          </cell>
          <cell r="O1352">
            <v>180</v>
          </cell>
        </row>
        <row r="1353">
          <cell r="F1353" t="str">
            <v xml:space="preserve">15342410       </v>
          </cell>
          <cell r="O1353">
            <v>2385</v>
          </cell>
        </row>
        <row r="1354">
          <cell r="F1354" t="str">
            <v xml:space="preserve">15342410       </v>
          </cell>
          <cell r="O1354">
            <v>135</v>
          </cell>
        </row>
        <row r="1355">
          <cell r="F1355" t="str">
            <v xml:space="preserve">91352291       </v>
          </cell>
          <cell r="O1355">
            <v>60</v>
          </cell>
        </row>
        <row r="1356">
          <cell r="F1356" t="str">
            <v xml:space="preserve">91352291       </v>
          </cell>
          <cell r="O1356">
            <v>108</v>
          </cell>
        </row>
        <row r="1357">
          <cell r="F1357" t="str">
            <v xml:space="preserve">91352291       </v>
          </cell>
          <cell r="O1357">
            <v>225</v>
          </cell>
        </row>
        <row r="1358">
          <cell r="F1358" t="str">
            <v xml:space="preserve">91352291       </v>
          </cell>
          <cell r="O1358">
            <v>15</v>
          </cell>
        </row>
        <row r="1359">
          <cell r="F1359" t="str">
            <v xml:space="preserve">91352291       </v>
          </cell>
          <cell r="O1359">
            <v>18</v>
          </cell>
        </row>
        <row r="1360">
          <cell r="F1360" t="str">
            <v xml:space="preserve">91352291       </v>
          </cell>
          <cell r="O1360">
            <v>135</v>
          </cell>
        </row>
        <row r="1361">
          <cell r="F1361" t="str">
            <v xml:space="preserve">91352291       </v>
          </cell>
          <cell r="O1361">
            <v>45</v>
          </cell>
        </row>
        <row r="1362">
          <cell r="F1362" t="str">
            <v xml:space="preserve">91352291       </v>
          </cell>
          <cell r="O1362">
            <v>252</v>
          </cell>
        </row>
        <row r="1363">
          <cell r="F1363" t="str">
            <v xml:space="preserve">88273778       </v>
          </cell>
          <cell r="O1363">
            <v>225</v>
          </cell>
        </row>
        <row r="1364">
          <cell r="F1364" t="str">
            <v xml:space="preserve">88273778       </v>
          </cell>
          <cell r="O1364">
            <v>18</v>
          </cell>
        </row>
        <row r="1365">
          <cell r="F1365" t="str">
            <v xml:space="preserve">88273778       </v>
          </cell>
          <cell r="O1365">
            <v>45</v>
          </cell>
        </row>
        <row r="1366">
          <cell r="F1366" t="str">
            <v xml:space="preserve">13476066       </v>
          </cell>
          <cell r="O1366">
            <v>75</v>
          </cell>
        </row>
        <row r="1367">
          <cell r="F1367" t="str">
            <v xml:space="preserve">13476066       </v>
          </cell>
          <cell r="O1367">
            <v>36</v>
          </cell>
        </row>
        <row r="1368">
          <cell r="F1368" t="str">
            <v xml:space="preserve">13476066       </v>
          </cell>
          <cell r="O1368">
            <v>60</v>
          </cell>
        </row>
        <row r="1369">
          <cell r="F1369" t="str">
            <v xml:space="preserve">13476066       </v>
          </cell>
          <cell r="O1369">
            <v>90</v>
          </cell>
        </row>
        <row r="1370">
          <cell r="F1370" t="str">
            <v xml:space="preserve">13476066       </v>
          </cell>
          <cell r="O1370">
            <v>45</v>
          </cell>
        </row>
        <row r="1371">
          <cell r="F1371" t="str">
            <v xml:space="preserve">13476066       </v>
          </cell>
          <cell r="O1371">
            <v>45</v>
          </cell>
        </row>
        <row r="1372">
          <cell r="F1372" t="str">
            <v xml:space="preserve">98763233       </v>
          </cell>
          <cell r="O1372">
            <v>18</v>
          </cell>
        </row>
        <row r="1373">
          <cell r="F1373" t="str">
            <v xml:space="preserve">98763233       </v>
          </cell>
          <cell r="O1373">
            <v>18</v>
          </cell>
        </row>
        <row r="1374">
          <cell r="F1374" t="str">
            <v xml:space="preserve">10180926       </v>
          </cell>
          <cell r="O1374">
            <v>30</v>
          </cell>
        </row>
        <row r="1375">
          <cell r="F1375" t="str">
            <v xml:space="preserve">10180926       </v>
          </cell>
          <cell r="O1375">
            <v>126</v>
          </cell>
        </row>
        <row r="1376">
          <cell r="F1376" t="str">
            <v xml:space="preserve">901301637      </v>
          </cell>
          <cell r="O1376">
            <v>8172</v>
          </cell>
        </row>
        <row r="1377">
          <cell r="F1377" t="str">
            <v xml:space="preserve">901301637      </v>
          </cell>
          <cell r="O1377">
            <v>90</v>
          </cell>
        </row>
        <row r="1378">
          <cell r="F1378" t="str">
            <v xml:space="preserve">94420654       </v>
          </cell>
          <cell r="O1378">
            <v>126</v>
          </cell>
        </row>
        <row r="1379">
          <cell r="F1379" t="str">
            <v xml:space="preserve">94420654       </v>
          </cell>
          <cell r="O1379">
            <v>135</v>
          </cell>
        </row>
        <row r="1380">
          <cell r="F1380" t="str">
            <v xml:space="preserve">1090397527     </v>
          </cell>
          <cell r="O1380">
            <v>915</v>
          </cell>
        </row>
        <row r="1381">
          <cell r="F1381" t="str">
            <v xml:space="preserve">1090397527     </v>
          </cell>
          <cell r="O1381">
            <v>150</v>
          </cell>
        </row>
        <row r="1382">
          <cell r="F1382" t="str">
            <v xml:space="preserve">1090397527     </v>
          </cell>
          <cell r="O1382">
            <v>810</v>
          </cell>
        </row>
        <row r="1383">
          <cell r="F1383" t="str">
            <v xml:space="preserve">1090397527     </v>
          </cell>
          <cell r="O1383">
            <v>330</v>
          </cell>
        </row>
        <row r="1384">
          <cell r="F1384" t="str">
            <v xml:space="preserve">1090397527     </v>
          </cell>
          <cell r="O1384">
            <v>90</v>
          </cell>
        </row>
        <row r="1385">
          <cell r="F1385" t="str">
            <v xml:space="preserve">1090397527     </v>
          </cell>
          <cell r="O1385">
            <v>300</v>
          </cell>
        </row>
        <row r="1386">
          <cell r="F1386" t="str">
            <v xml:space="preserve">1090397527     </v>
          </cell>
          <cell r="O1386">
            <v>135</v>
          </cell>
        </row>
        <row r="1387">
          <cell r="F1387" t="str">
            <v xml:space="preserve">1090397527     </v>
          </cell>
          <cell r="O1387">
            <v>705</v>
          </cell>
        </row>
        <row r="1388">
          <cell r="F1388" t="str">
            <v xml:space="preserve">1090397527     </v>
          </cell>
          <cell r="O1388">
            <v>90</v>
          </cell>
        </row>
        <row r="1389">
          <cell r="F1389" t="str">
            <v xml:space="preserve">1090397527     </v>
          </cell>
          <cell r="O1389">
            <v>1035</v>
          </cell>
        </row>
        <row r="1390">
          <cell r="F1390" t="str">
            <v xml:space="preserve">71142360       </v>
          </cell>
          <cell r="O1390">
            <v>285</v>
          </cell>
        </row>
        <row r="1391">
          <cell r="F1391" t="str">
            <v xml:space="preserve">71142360       </v>
          </cell>
          <cell r="O1391">
            <v>504</v>
          </cell>
        </row>
        <row r="1392">
          <cell r="F1392" t="str">
            <v xml:space="preserve">71142360       </v>
          </cell>
          <cell r="O1392">
            <v>600</v>
          </cell>
        </row>
        <row r="1393">
          <cell r="F1393" t="str">
            <v xml:space="preserve">71142360       </v>
          </cell>
          <cell r="O1393">
            <v>540</v>
          </cell>
        </row>
        <row r="1394">
          <cell r="F1394" t="str">
            <v xml:space="preserve">71142360       </v>
          </cell>
          <cell r="O1394">
            <v>135</v>
          </cell>
        </row>
        <row r="1395">
          <cell r="F1395" t="str">
            <v xml:space="preserve">24341063       </v>
          </cell>
          <cell r="O1395">
            <v>36</v>
          </cell>
        </row>
        <row r="1396">
          <cell r="F1396" t="str">
            <v xml:space="preserve">24341063       </v>
          </cell>
          <cell r="O1396">
            <v>600</v>
          </cell>
        </row>
        <row r="1397">
          <cell r="F1397" t="str">
            <v xml:space="preserve">24341063       </v>
          </cell>
          <cell r="O1397">
            <v>108</v>
          </cell>
        </row>
        <row r="1398">
          <cell r="F1398" t="str">
            <v xml:space="preserve">24341063       </v>
          </cell>
          <cell r="O1398">
            <v>90</v>
          </cell>
        </row>
        <row r="1399">
          <cell r="F1399" t="str">
            <v xml:space="preserve">24341063       </v>
          </cell>
          <cell r="O1399">
            <v>300</v>
          </cell>
        </row>
        <row r="1400">
          <cell r="F1400" t="str">
            <v xml:space="preserve">24341063       </v>
          </cell>
          <cell r="O1400">
            <v>54</v>
          </cell>
        </row>
        <row r="1401">
          <cell r="F1401" t="str">
            <v xml:space="preserve">16836063       </v>
          </cell>
          <cell r="O1401">
            <v>60</v>
          </cell>
        </row>
        <row r="1402">
          <cell r="F1402" t="str">
            <v xml:space="preserve">17421056       </v>
          </cell>
          <cell r="O1402">
            <v>30</v>
          </cell>
        </row>
        <row r="1403">
          <cell r="F1403" t="str">
            <v xml:space="preserve">73559455       </v>
          </cell>
          <cell r="O1403">
            <v>135</v>
          </cell>
        </row>
        <row r="1404">
          <cell r="F1404" t="str">
            <v xml:space="preserve">73559455       </v>
          </cell>
          <cell r="O1404">
            <v>198</v>
          </cell>
        </row>
        <row r="1405">
          <cell r="F1405" t="str">
            <v xml:space="preserve">890403493      </v>
          </cell>
          <cell r="O1405">
            <v>18</v>
          </cell>
        </row>
        <row r="1406">
          <cell r="F1406" t="str">
            <v xml:space="preserve">94262420       </v>
          </cell>
          <cell r="O1406">
            <v>90</v>
          </cell>
        </row>
        <row r="1407">
          <cell r="F1407" t="str">
            <v xml:space="preserve">94262420       </v>
          </cell>
          <cell r="O1407">
            <v>270</v>
          </cell>
        </row>
        <row r="1408">
          <cell r="F1408" t="str">
            <v xml:space="preserve">94262420       </v>
          </cell>
          <cell r="O1408">
            <v>405</v>
          </cell>
        </row>
        <row r="1409">
          <cell r="F1409" t="str">
            <v xml:space="preserve">94262420       </v>
          </cell>
          <cell r="O1409">
            <v>72</v>
          </cell>
        </row>
        <row r="1410">
          <cell r="F1410" t="str">
            <v xml:space="preserve">94262420       </v>
          </cell>
          <cell r="O1410">
            <v>90</v>
          </cell>
        </row>
        <row r="1411">
          <cell r="F1411" t="str">
            <v xml:space="preserve">94262420       </v>
          </cell>
          <cell r="O1411">
            <v>432</v>
          </cell>
        </row>
        <row r="1412">
          <cell r="F1412" t="str">
            <v xml:space="preserve">94262420       </v>
          </cell>
          <cell r="O1412">
            <v>315</v>
          </cell>
        </row>
        <row r="1413">
          <cell r="F1413" t="str">
            <v xml:space="preserve">94262420       </v>
          </cell>
          <cell r="O1413">
            <v>18</v>
          </cell>
        </row>
        <row r="1414">
          <cell r="F1414" t="str">
            <v xml:space="preserve">1214745372     </v>
          </cell>
          <cell r="O1414">
            <v>288</v>
          </cell>
        </row>
        <row r="1415">
          <cell r="F1415" t="str">
            <v xml:space="preserve">860005265      </v>
          </cell>
          <cell r="O1415">
            <v>962</v>
          </cell>
        </row>
        <row r="1416">
          <cell r="F1416" t="str">
            <v xml:space="preserve">860005265      </v>
          </cell>
          <cell r="O1416">
            <v>606.75</v>
          </cell>
        </row>
        <row r="1417">
          <cell r="F1417" t="str">
            <v xml:space="preserve">203            </v>
          </cell>
          <cell r="O1417">
            <v>36</v>
          </cell>
        </row>
        <row r="1418">
          <cell r="F1418" t="str">
            <v xml:space="preserve">203            </v>
          </cell>
          <cell r="O1418">
            <v>225</v>
          </cell>
        </row>
        <row r="1419">
          <cell r="F1419" t="str">
            <v xml:space="preserve">900084859      </v>
          </cell>
          <cell r="O1419">
            <v>45</v>
          </cell>
        </row>
        <row r="1420">
          <cell r="F1420" t="str">
            <v xml:space="preserve">901485271      </v>
          </cell>
          <cell r="O1420">
            <v>45</v>
          </cell>
        </row>
        <row r="1421">
          <cell r="F1421" t="str">
            <v xml:space="preserve">800012375      </v>
          </cell>
          <cell r="O1421">
            <v>126</v>
          </cell>
        </row>
        <row r="1422">
          <cell r="F1422" t="str">
            <v xml:space="preserve">800052377      </v>
          </cell>
          <cell r="O1422">
            <v>36</v>
          </cell>
        </row>
        <row r="1423">
          <cell r="F1423" t="str">
            <v xml:space="preserve">800197463      </v>
          </cell>
          <cell r="O1423">
            <v>36</v>
          </cell>
        </row>
        <row r="1424">
          <cell r="F1424" t="str">
            <v xml:space="preserve">805018495      </v>
          </cell>
          <cell r="O1424">
            <v>72</v>
          </cell>
        </row>
        <row r="1425">
          <cell r="F1425" t="str">
            <v xml:space="preserve">815000863      </v>
          </cell>
          <cell r="O1425">
            <v>900</v>
          </cell>
        </row>
        <row r="1426">
          <cell r="F1426" t="str">
            <v xml:space="preserve">890903939      </v>
          </cell>
          <cell r="O1426">
            <v>114</v>
          </cell>
        </row>
        <row r="1427">
          <cell r="F1427" t="str">
            <v xml:space="preserve">900772446      </v>
          </cell>
          <cell r="O1427">
            <v>18</v>
          </cell>
        </row>
        <row r="1428">
          <cell r="F1428" t="str">
            <v xml:space="preserve">860001697      </v>
          </cell>
          <cell r="O1428">
            <v>383.15</v>
          </cell>
        </row>
        <row r="1429">
          <cell r="F1429" t="str">
            <v xml:space="preserve">900239671      </v>
          </cell>
          <cell r="O1429">
            <v>72</v>
          </cell>
        </row>
        <row r="1430">
          <cell r="F1430" t="str">
            <v xml:space="preserve">901079460      </v>
          </cell>
          <cell r="O1430">
            <v>352.4</v>
          </cell>
        </row>
        <row r="1431">
          <cell r="F1431" t="str">
            <v xml:space="preserve">101            </v>
          </cell>
          <cell r="O1431">
            <v>45</v>
          </cell>
        </row>
        <row r="1432">
          <cell r="F1432" t="str">
            <v xml:space="preserve">101            </v>
          </cell>
          <cell r="O1432">
            <v>108</v>
          </cell>
        </row>
        <row r="1433">
          <cell r="F1433" t="str">
            <v xml:space="preserve">101            </v>
          </cell>
          <cell r="O1433">
            <v>18</v>
          </cell>
        </row>
        <row r="1434">
          <cell r="F1434" t="str">
            <v xml:space="preserve">101            </v>
          </cell>
          <cell r="O1434">
            <v>18</v>
          </cell>
        </row>
        <row r="1435">
          <cell r="F1435" t="str">
            <v xml:space="preserve">101            </v>
          </cell>
          <cell r="O1435">
            <v>36</v>
          </cell>
        </row>
        <row r="1436">
          <cell r="F1436" t="str">
            <v xml:space="preserve">101            </v>
          </cell>
          <cell r="O1436">
            <v>135</v>
          </cell>
        </row>
        <row r="1437">
          <cell r="F1437" t="str">
            <v xml:space="preserve">101            </v>
          </cell>
          <cell r="O1437">
            <v>36</v>
          </cell>
        </row>
        <row r="1438">
          <cell r="F1438" t="str">
            <v xml:space="preserve">102            </v>
          </cell>
          <cell r="O1438">
            <v>60</v>
          </cell>
        </row>
        <row r="1439">
          <cell r="F1439" t="str">
            <v xml:space="preserve">102            </v>
          </cell>
          <cell r="O1439">
            <v>72</v>
          </cell>
        </row>
        <row r="1440">
          <cell r="F1440" t="str">
            <v xml:space="preserve">102            </v>
          </cell>
          <cell r="O1440">
            <v>90</v>
          </cell>
        </row>
        <row r="1441">
          <cell r="F1441" t="str">
            <v xml:space="preserve">102            </v>
          </cell>
          <cell r="O1441">
            <v>18</v>
          </cell>
        </row>
        <row r="1442">
          <cell r="F1442" t="str">
            <v xml:space="preserve">102            </v>
          </cell>
          <cell r="O1442">
            <v>54</v>
          </cell>
        </row>
        <row r="1443">
          <cell r="F1443" t="str">
            <v xml:space="preserve">102            </v>
          </cell>
          <cell r="O1443">
            <v>18</v>
          </cell>
        </row>
        <row r="1444">
          <cell r="F1444" t="str">
            <v xml:space="preserve">800090890      </v>
          </cell>
          <cell r="O1444">
            <v>54</v>
          </cell>
        </row>
        <row r="1445">
          <cell r="F1445" t="str">
            <v xml:space="preserve">800185306      </v>
          </cell>
          <cell r="O1445">
            <v>36</v>
          </cell>
        </row>
        <row r="1446">
          <cell r="F1446" t="str">
            <v xml:space="preserve">811014849      </v>
          </cell>
          <cell r="O1446">
            <v>54</v>
          </cell>
        </row>
        <row r="1447">
          <cell r="F1447" t="str">
            <v xml:space="preserve">890800450      </v>
          </cell>
          <cell r="O1447">
            <v>18</v>
          </cell>
        </row>
        <row r="1448">
          <cell r="F1448" t="str">
            <v xml:space="preserve">890903939      </v>
          </cell>
          <cell r="O1448">
            <v>108</v>
          </cell>
        </row>
        <row r="1449">
          <cell r="F1449" t="str">
            <v xml:space="preserve">890903939      </v>
          </cell>
          <cell r="O1449">
            <v>54</v>
          </cell>
        </row>
        <row r="1450">
          <cell r="F1450" t="str">
            <v xml:space="preserve">900543878      </v>
          </cell>
          <cell r="O1450">
            <v>36</v>
          </cell>
        </row>
        <row r="1451">
          <cell r="F1451" t="str">
            <v xml:space="preserve">404            </v>
          </cell>
          <cell r="O1451">
            <v>105</v>
          </cell>
        </row>
        <row r="1452">
          <cell r="F1452" t="str">
            <v xml:space="preserve">404            </v>
          </cell>
          <cell r="O1452">
            <v>234</v>
          </cell>
        </row>
        <row r="1453">
          <cell r="F1453" t="str">
            <v xml:space="preserve">404            </v>
          </cell>
          <cell r="O1453">
            <v>45</v>
          </cell>
        </row>
        <row r="1454">
          <cell r="F1454" t="str">
            <v xml:space="preserve">811047008      </v>
          </cell>
          <cell r="O1454">
            <v>18</v>
          </cell>
        </row>
        <row r="1455">
          <cell r="F1455" t="str">
            <v xml:space="preserve">830006735      </v>
          </cell>
          <cell r="O1455">
            <v>671.75</v>
          </cell>
        </row>
        <row r="1456">
          <cell r="F1456" t="str">
            <v xml:space="preserve">830118404      </v>
          </cell>
          <cell r="O1456">
            <v>18</v>
          </cell>
        </row>
        <row r="1457">
          <cell r="F1457" t="str">
            <v xml:space="preserve">860001697      </v>
          </cell>
          <cell r="O1457">
            <v>394.75</v>
          </cell>
        </row>
        <row r="1458">
          <cell r="F1458" t="str">
            <v xml:space="preserve">899999049      </v>
          </cell>
          <cell r="O1458">
            <v>54</v>
          </cell>
        </row>
        <row r="1459">
          <cell r="F1459" t="str">
            <v xml:space="preserve">900603554      </v>
          </cell>
          <cell r="O1459">
            <v>162</v>
          </cell>
        </row>
        <row r="1460">
          <cell r="F1460" t="str">
            <v xml:space="preserve">900705150      </v>
          </cell>
          <cell r="O1460">
            <v>72</v>
          </cell>
        </row>
        <row r="1461">
          <cell r="F1461" t="str">
            <v xml:space="preserve">900805585      </v>
          </cell>
          <cell r="O1461">
            <v>36</v>
          </cell>
        </row>
        <row r="1462">
          <cell r="F1462" t="str">
            <v xml:space="preserve">811014849      </v>
          </cell>
          <cell r="O1462">
            <v>90</v>
          </cell>
        </row>
        <row r="1463">
          <cell r="F1463" t="str">
            <v xml:space="preserve">811014849      </v>
          </cell>
          <cell r="O1463">
            <v>198</v>
          </cell>
        </row>
        <row r="1464">
          <cell r="F1464" t="str">
            <v xml:space="preserve">890903939      </v>
          </cell>
          <cell r="O1464">
            <v>223.44</v>
          </cell>
        </row>
        <row r="1465">
          <cell r="F1465" t="str">
            <v xml:space="preserve">890903939      </v>
          </cell>
          <cell r="O1465">
            <v>192.9</v>
          </cell>
        </row>
        <row r="1466">
          <cell r="F1466" t="str">
            <v xml:space="preserve">890903939      </v>
          </cell>
          <cell r="O1466">
            <v>1119.8499999999999</v>
          </cell>
        </row>
        <row r="1467">
          <cell r="F1467" t="str">
            <v xml:space="preserve">211            </v>
          </cell>
          <cell r="O1467">
            <v>105</v>
          </cell>
        </row>
        <row r="1468">
          <cell r="F1468" t="str">
            <v xml:space="preserve">211            </v>
          </cell>
          <cell r="O1468">
            <v>1620</v>
          </cell>
        </row>
        <row r="1469">
          <cell r="F1469" t="str">
            <v xml:space="preserve">211            </v>
          </cell>
          <cell r="O1469">
            <v>270</v>
          </cell>
        </row>
        <row r="1470">
          <cell r="F1470" t="str">
            <v xml:space="preserve">211            </v>
          </cell>
          <cell r="O1470">
            <v>900</v>
          </cell>
        </row>
        <row r="1471">
          <cell r="F1471" t="str">
            <v xml:space="preserve">211            </v>
          </cell>
          <cell r="O1471">
            <v>90</v>
          </cell>
        </row>
        <row r="1472">
          <cell r="F1472" t="str">
            <v xml:space="preserve">811032699      </v>
          </cell>
          <cell r="O1472">
            <v>36</v>
          </cell>
        </row>
        <row r="1473">
          <cell r="F1473" t="str">
            <v xml:space="preserve">830095213      </v>
          </cell>
          <cell r="O1473">
            <v>252</v>
          </cell>
        </row>
        <row r="1474">
          <cell r="F1474" t="str">
            <v xml:space="preserve">830095213      </v>
          </cell>
          <cell r="O1474">
            <v>45</v>
          </cell>
        </row>
        <row r="1475">
          <cell r="F1475" t="str">
            <v xml:space="preserve">860013771      </v>
          </cell>
          <cell r="O1475">
            <v>180</v>
          </cell>
        </row>
        <row r="1476">
          <cell r="F1476" t="str">
            <v xml:space="preserve">890903939      </v>
          </cell>
          <cell r="O1476">
            <v>454.88</v>
          </cell>
        </row>
        <row r="1477">
          <cell r="F1477" t="str">
            <v xml:space="preserve">890903939      </v>
          </cell>
          <cell r="O1477">
            <v>189.5</v>
          </cell>
        </row>
        <row r="1478">
          <cell r="F1478" t="str">
            <v xml:space="preserve">900543199      </v>
          </cell>
          <cell r="O1478">
            <v>60</v>
          </cell>
        </row>
        <row r="1479">
          <cell r="F1479" t="str">
            <v xml:space="preserve">900820045      </v>
          </cell>
          <cell r="O1479">
            <v>180</v>
          </cell>
        </row>
        <row r="1480">
          <cell r="F1480" t="str">
            <v xml:space="preserve">860001697      </v>
          </cell>
          <cell r="O1480">
            <v>888.7</v>
          </cell>
        </row>
        <row r="1481">
          <cell r="F1481" t="str">
            <v xml:space="preserve">800138514      </v>
          </cell>
          <cell r="O1481">
            <v>110.5</v>
          </cell>
        </row>
        <row r="1482">
          <cell r="F1482" t="str">
            <v xml:space="preserve">800138514      </v>
          </cell>
          <cell r="O1482">
            <v>218.1</v>
          </cell>
        </row>
        <row r="1483">
          <cell r="F1483" t="str">
            <v xml:space="preserve">800183430      </v>
          </cell>
          <cell r="O1483">
            <v>367.6</v>
          </cell>
        </row>
        <row r="1484">
          <cell r="F1484" t="str">
            <v xml:space="preserve">830094679      </v>
          </cell>
          <cell r="O1484">
            <v>722.2</v>
          </cell>
        </row>
        <row r="1485">
          <cell r="F1485" t="str">
            <v xml:space="preserve">810004836      </v>
          </cell>
          <cell r="O1485">
            <v>613.29999999999995</v>
          </cell>
        </row>
        <row r="1486">
          <cell r="F1486" t="str">
            <v xml:space="preserve">810006197      </v>
          </cell>
          <cell r="O1486">
            <v>810</v>
          </cell>
        </row>
        <row r="1487">
          <cell r="F1487" t="str">
            <v xml:space="preserve">890805709      </v>
          </cell>
          <cell r="O1487">
            <v>283.89999999999998</v>
          </cell>
        </row>
        <row r="1488">
          <cell r="F1488" t="str">
            <v xml:space="preserve">830107617      </v>
          </cell>
          <cell r="O1488">
            <v>2770</v>
          </cell>
        </row>
        <row r="1489">
          <cell r="F1489" t="str">
            <v xml:space="preserve">830512556      </v>
          </cell>
          <cell r="O1489">
            <v>473.5</v>
          </cell>
        </row>
        <row r="1490">
          <cell r="F1490" t="str">
            <v xml:space="preserve">860058831      </v>
          </cell>
          <cell r="O1490">
            <v>957.9</v>
          </cell>
        </row>
        <row r="1491">
          <cell r="F1491" t="str">
            <v xml:space="preserve">900030756      </v>
          </cell>
          <cell r="O1491">
            <v>2140</v>
          </cell>
        </row>
        <row r="1492">
          <cell r="F1492" t="str">
            <v xml:space="preserve">900384449      </v>
          </cell>
          <cell r="O1492">
            <v>226.1</v>
          </cell>
        </row>
        <row r="1493">
          <cell r="F1493" t="str">
            <v xml:space="preserve">7128297        </v>
          </cell>
          <cell r="O1493">
            <v>514.79999999999995</v>
          </cell>
        </row>
        <row r="1494">
          <cell r="F1494" t="str">
            <v xml:space="preserve">7316739        </v>
          </cell>
          <cell r="O1494">
            <v>81.400000000000006</v>
          </cell>
        </row>
        <row r="1495">
          <cell r="F1495" t="str">
            <v xml:space="preserve">80412196       </v>
          </cell>
          <cell r="O1495">
            <v>92.6</v>
          </cell>
        </row>
        <row r="1496">
          <cell r="F1496" t="str">
            <v xml:space="preserve">860032450      </v>
          </cell>
          <cell r="O1496">
            <v>5825.3</v>
          </cell>
        </row>
        <row r="1497">
          <cell r="F1497" t="str">
            <v xml:space="preserve">900464792      </v>
          </cell>
          <cell r="O1497">
            <v>442.8</v>
          </cell>
        </row>
        <row r="1498">
          <cell r="F1498" t="str">
            <v xml:space="preserve">101            </v>
          </cell>
          <cell r="O1498">
            <v>36</v>
          </cell>
        </row>
        <row r="1499">
          <cell r="F1499" t="str">
            <v xml:space="preserve">101            </v>
          </cell>
          <cell r="O1499">
            <v>72</v>
          </cell>
        </row>
        <row r="1500">
          <cell r="F1500" t="str">
            <v xml:space="preserve">890903939      </v>
          </cell>
          <cell r="O1500">
            <v>75</v>
          </cell>
        </row>
        <row r="1501">
          <cell r="F1501" t="str">
            <v xml:space="preserve">860001697      </v>
          </cell>
          <cell r="O1501">
            <v>635</v>
          </cell>
        </row>
        <row r="1502">
          <cell r="F1502" t="str">
            <v xml:space="preserve">404            </v>
          </cell>
          <cell r="O1502">
            <v>225</v>
          </cell>
        </row>
        <row r="1503">
          <cell r="F1503" t="str">
            <v xml:space="preserve">404            </v>
          </cell>
          <cell r="O1503">
            <v>90</v>
          </cell>
        </row>
        <row r="1504">
          <cell r="F1504" t="str">
            <v xml:space="preserve">210            </v>
          </cell>
          <cell r="O1504">
            <v>4.5</v>
          </cell>
        </row>
        <row r="1505">
          <cell r="F1505" t="str">
            <v xml:space="preserve">210            </v>
          </cell>
          <cell r="O1505">
            <v>15</v>
          </cell>
        </row>
        <row r="1506">
          <cell r="F1506" t="str">
            <v xml:space="preserve">210            </v>
          </cell>
          <cell r="O1506">
            <v>576</v>
          </cell>
        </row>
        <row r="1507">
          <cell r="F1507" t="str">
            <v xml:space="preserve">805026018      </v>
          </cell>
          <cell r="O1507">
            <v>18</v>
          </cell>
        </row>
        <row r="1508">
          <cell r="F1508" t="str">
            <v xml:space="preserve">811020038      </v>
          </cell>
          <cell r="O1508">
            <v>18</v>
          </cell>
        </row>
        <row r="1509">
          <cell r="F1509" t="str">
            <v xml:space="preserve">890301602      </v>
          </cell>
          <cell r="O1509">
            <v>216</v>
          </cell>
        </row>
        <row r="1510">
          <cell r="F1510" t="str">
            <v xml:space="preserve">890302609      </v>
          </cell>
          <cell r="O1510">
            <v>126</v>
          </cell>
        </row>
        <row r="1511">
          <cell r="F1511" t="str">
            <v xml:space="preserve">890302609      </v>
          </cell>
          <cell r="O1511">
            <v>126</v>
          </cell>
        </row>
        <row r="1512">
          <cell r="F1512" t="str">
            <v xml:space="preserve">890903939      </v>
          </cell>
          <cell r="O1512">
            <v>261</v>
          </cell>
        </row>
        <row r="1513">
          <cell r="F1513" t="str">
            <v xml:space="preserve">890903939      </v>
          </cell>
          <cell r="O1513">
            <v>342</v>
          </cell>
        </row>
        <row r="1514">
          <cell r="F1514" t="str">
            <v xml:space="preserve">900555944      </v>
          </cell>
          <cell r="O1514">
            <v>18</v>
          </cell>
        </row>
        <row r="1515">
          <cell r="F1515" t="str">
            <v xml:space="preserve">900767174      </v>
          </cell>
          <cell r="O1515">
            <v>36</v>
          </cell>
        </row>
        <row r="1516">
          <cell r="F1516" t="str">
            <v xml:space="preserve">811020038      </v>
          </cell>
          <cell r="O1516">
            <v>18</v>
          </cell>
        </row>
        <row r="1517">
          <cell r="F1517" t="str">
            <v xml:space="preserve">860001697      </v>
          </cell>
          <cell r="O1517">
            <v>131.28</v>
          </cell>
        </row>
        <row r="1518">
          <cell r="F1518" t="str">
            <v xml:space="preserve">860001697      </v>
          </cell>
          <cell r="O1518">
            <v>310.33999999999997</v>
          </cell>
        </row>
        <row r="1519">
          <cell r="F1519" t="str">
            <v xml:space="preserve">900172069      </v>
          </cell>
          <cell r="O1519">
            <v>225</v>
          </cell>
        </row>
        <row r="1520">
          <cell r="F1520" t="str">
            <v xml:space="preserve">830010738      </v>
          </cell>
          <cell r="O1520">
            <v>151.19999999999999</v>
          </cell>
        </row>
        <row r="1521">
          <cell r="F1521" t="str">
            <v xml:space="preserve">860019021      </v>
          </cell>
          <cell r="O1521">
            <v>128.30000000000001</v>
          </cell>
        </row>
        <row r="1522">
          <cell r="F1522" t="str">
            <v xml:space="preserve">900343005      </v>
          </cell>
          <cell r="O1522">
            <v>768.5</v>
          </cell>
        </row>
        <row r="1523">
          <cell r="F1523" t="str">
            <v xml:space="preserve">900343005      </v>
          </cell>
          <cell r="O1523">
            <v>1308.5</v>
          </cell>
        </row>
        <row r="1524">
          <cell r="F1524" t="str">
            <v xml:space="preserve">52790620       </v>
          </cell>
          <cell r="O1524">
            <v>2898</v>
          </cell>
        </row>
        <row r="1525">
          <cell r="F1525" t="str">
            <v xml:space="preserve">18936116       </v>
          </cell>
          <cell r="O1525">
            <v>324</v>
          </cell>
        </row>
        <row r="1526">
          <cell r="F1526" t="str">
            <v xml:space="preserve">210            </v>
          </cell>
          <cell r="O1526">
            <v>396</v>
          </cell>
        </row>
        <row r="1527">
          <cell r="F1527" t="str">
            <v xml:space="preserve">110            </v>
          </cell>
          <cell r="O1527">
            <v>990</v>
          </cell>
        </row>
        <row r="1528">
          <cell r="F1528" t="str">
            <v xml:space="preserve">901008628      </v>
          </cell>
          <cell r="O1528">
            <v>236.3</v>
          </cell>
        </row>
        <row r="1529">
          <cell r="F1529" t="str">
            <v xml:space="preserve">22547707       </v>
          </cell>
          <cell r="O1529">
            <v>18</v>
          </cell>
        </row>
        <row r="1530">
          <cell r="F1530" t="str">
            <v xml:space="preserve">811014849      </v>
          </cell>
          <cell r="O1530">
            <v>72</v>
          </cell>
        </row>
        <row r="1531">
          <cell r="F1531" t="str">
            <v xml:space="preserve">811014849      </v>
          </cell>
          <cell r="O1531">
            <v>54</v>
          </cell>
        </row>
        <row r="1532">
          <cell r="F1532" t="str">
            <v xml:space="preserve">890900161      </v>
          </cell>
          <cell r="O1532">
            <v>30</v>
          </cell>
        </row>
        <row r="1533">
          <cell r="F1533" t="str">
            <v xml:space="preserve">890900161      </v>
          </cell>
          <cell r="O1533">
            <v>75</v>
          </cell>
        </row>
        <row r="1534">
          <cell r="F1534" t="str">
            <v xml:space="preserve">900313945      </v>
          </cell>
          <cell r="O1534">
            <v>135</v>
          </cell>
        </row>
        <row r="1535">
          <cell r="F1535" t="str">
            <v xml:space="preserve">900631756      </v>
          </cell>
          <cell r="O1535">
            <v>45</v>
          </cell>
        </row>
        <row r="1536">
          <cell r="F1536" t="str">
            <v xml:space="preserve">805000977      </v>
          </cell>
          <cell r="O1536">
            <v>18</v>
          </cell>
        </row>
        <row r="1537">
          <cell r="F1537" t="str">
            <v xml:space="preserve">805012977      </v>
          </cell>
          <cell r="O1537">
            <v>126</v>
          </cell>
        </row>
        <row r="1538">
          <cell r="F1538" t="str">
            <v xml:space="preserve">860020382      </v>
          </cell>
          <cell r="O1538">
            <v>36</v>
          </cell>
        </row>
        <row r="1539">
          <cell r="F1539" t="str">
            <v xml:space="preserve">860020382      </v>
          </cell>
          <cell r="O1539">
            <v>54</v>
          </cell>
        </row>
        <row r="1540">
          <cell r="F1540" t="str">
            <v xml:space="preserve">890311251      </v>
          </cell>
          <cell r="O1540">
            <v>18</v>
          </cell>
        </row>
        <row r="1541">
          <cell r="F1541" t="str">
            <v xml:space="preserve">890322007      </v>
          </cell>
          <cell r="O1541">
            <v>270</v>
          </cell>
        </row>
        <row r="1542">
          <cell r="F1542" t="str">
            <v xml:space="preserve">899999049      </v>
          </cell>
          <cell r="O1542">
            <v>72</v>
          </cell>
        </row>
        <row r="1543">
          <cell r="F1543" t="str">
            <v xml:space="preserve">900204935      </v>
          </cell>
          <cell r="O1543">
            <v>36</v>
          </cell>
        </row>
        <row r="1544">
          <cell r="F1544" t="str">
            <v xml:space="preserve">900818921      </v>
          </cell>
          <cell r="O1544">
            <v>449</v>
          </cell>
        </row>
        <row r="1545">
          <cell r="F1545" t="str">
            <v xml:space="preserve">900818921      </v>
          </cell>
          <cell r="O1545">
            <v>503</v>
          </cell>
        </row>
        <row r="1546">
          <cell r="F1546" t="str">
            <v xml:space="preserve">900896300      </v>
          </cell>
          <cell r="O1546">
            <v>108</v>
          </cell>
        </row>
        <row r="1547">
          <cell r="F1547" t="str">
            <v xml:space="preserve">901026262      </v>
          </cell>
          <cell r="O1547">
            <v>36</v>
          </cell>
        </row>
        <row r="1548">
          <cell r="F1548" t="str">
            <v xml:space="preserve">40328796       </v>
          </cell>
          <cell r="O1548">
            <v>44.3</v>
          </cell>
        </row>
        <row r="1549">
          <cell r="F1549" t="str">
            <v xml:space="preserve">860403972      </v>
          </cell>
          <cell r="O1549">
            <v>600.1</v>
          </cell>
        </row>
        <row r="1550">
          <cell r="F1550" t="str">
            <v xml:space="preserve">900894003      </v>
          </cell>
          <cell r="O1550">
            <v>200.2</v>
          </cell>
        </row>
        <row r="1551">
          <cell r="F1551" t="str">
            <v xml:space="preserve">1093791135     </v>
          </cell>
          <cell r="O1551">
            <v>89.6</v>
          </cell>
        </row>
        <row r="1552">
          <cell r="F1552" t="str">
            <v xml:space="preserve">1126706884     </v>
          </cell>
          <cell r="O1552">
            <v>93.3</v>
          </cell>
        </row>
        <row r="1553">
          <cell r="F1553" t="str">
            <v xml:space="preserve">19314075       </v>
          </cell>
          <cell r="O1553">
            <v>52.9</v>
          </cell>
        </row>
        <row r="1554">
          <cell r="F1554" t="str">
            <v xml:space="preserve">27680860       </v>
          </cell>
          <cell r="O1554">
            <v>84</v>
          </cell>
        </row>
        <row r="1555">
          <cell r="F1555" t="str">
            <v xml:space="preserve">27681345       </v>
          </cell>
          <cell r="O1555">
            <v>83</v>
          </cell>
        </row>
        <row r="1556">
          <cell r="F1556" t="str">
            <v xml:space="preserve">27682032       </v>
          </cell>
          <cell r="O1556">
            <v>47.7</v>
          </cell>
        </row>
        <row r="1557">
          <cell r="F1557" t="str">
            <v xml:space="preserve">37369604       </v>
          </cell>
          <cell r="O1557">
            <v>102.1</v>
          </cell>
        </row>
        <row r="1558">
          <cell r="F1558" t="str">
            <v xml:space="preserve">60268289       </v>
          </cell>
          <cell r="O1558">
            <v>101.3</v>
          </cell>
        </row>
        <row r="1559">
          <cell r="F1559" t="str">
            <v xml:space="preserve">60374439       </v>
          </cell>
          <cell r="O1559">
            <v>114.3</v>
          </cell>
        </row>
        <row r="1560">
          <cell r="F1560" t="str">
            <v xml:space="preserve">74243324       </v>
          </cell>
          <cell r="O1560">
            <v>94.7</v>
          </cell>
        </row>
        <row r="1561">
          <cell r="F1561" t="str">
            <v xml:space="preserve">860001697      </v>
          </cell>
          <cell r="O1561">
            <v>3598.6</v>
          </cell>
        </row>
        <row r="1562">
          <cell r="F1562" t="str">
            <v xml:space="preserve">88001149       </v>
          </cell>
          <cell r="O1562">
            <v>94</v>
          </cell>
        </row>
        <row r="1563">
          <cell r="F1563" t="str">
            <v xml:space="preserve">88001654       </v>
          </cell>
          <cell r="O1563">
            <v>66.400000000000006</v>
          </cell>
        </row>
        <row r="1564">
          <cell r="F1564" t="str">
            <v xml:space="preserve">890500446      </v>
          </cell>
          <cell r="O1564">
            <v>70</v>
          </cell>
        </row>
        <row r="1565">
          <cell r="F1565" t="str">
            <v xml:space="preserve">900558257      </v>
          </cell>
          <cell r="O1565">
            <v>343.9</v>
          </cell>
        </row>
        <row r="1566">
          <cell r="F1566" t="str">
            <v xml:space="preserve">10753476       </v>
          </cell>
          <cell r="O1566">
            <v>90.5</v>
          </cell>
        </row>
        <row r="1567">
          <cell r="F1567" t="str">
            <v xml:space="preserve">890200474      </v>
          </cell>
          <cell r="O1567">
            <v>3500.1</v>
          </cell>
        </row>
        <row r="1568">
          <cell r="F1568" t="str">
            <v xml:space="preserve">900590431      </v>
          </cell>
          <cell r="O1568">
            <v>68.8</v>
          </cell>
        </row>
        <row r="1569">
          <cell r="F1569" t="str">
            <v xml:space="preserve">1046426393     </v>
          </cell>
          <cell r="O1569">
            <v>114.1</v>
          </cell>
        </row>
        <row r="1570">
          <cell r="F1570" t="str">
            <v xml:space="preserve">1095926141     </v>
          </cell>
          <cell r="O1570">
            <v>235</v>
          </cell>
        </row>
        <row r="1571">
          <cell r="F1571" t="str">
            <v xml:space="preserve">13539818       </v>
          </cell>
          <cell r="O1571">
            <v>46.1</v>
          </cell>
        </row>
        <row r="1572">
          <cell r="F1572" t="str">
            <v xml:space="preserve">13870242       </v>
          </cell>
          <cell r="O1572">
            <v>86.3</v>
          </cell>
        </row>
        <row r="1573">
          <cell r="F1573" t="str">
            <v xml:space="preserve">901060703      </v>
          </cell>
          <cell r="O1573">
            <v>217.4</v>
          </cell>
        </row>
        <row r="1574">
          <cell r="F1574" t="str">
            <v xml:space="preserve">901221304      </v>
          </cell>
          <cell r="O1574">
            <v>1898.5</v>
          </cell>
        </row>
        <row r="1575">
          <cell r="F1575" t="str">
            <v xml:space="preserve">91519915       </v>
          </cell>
          <cell r="O1575">
            <v>114.1</v>
          </cell>
        </row>
        <row r="1576">
          <cell r="F1576" t="str">
            <v xml:space="preserve">94192875       </v>
          </cell>
          <cell r="O1576">
            <v>491.1</v>
          </cell>
        </row>
        <row r="1577">
          <cell r="F1577" t="str">
            <v xml:space="preserve">800041723      </v>
          </cell>
          <cell r="O1577">
            <v>488</v>
          </cell>
        </row>
        <row r="1578">
          <cell r="F1578" t="str">
            <v xml:space="preserve">860403972      </v>
          </cell>
          <cell r="O1578">
            <v>2102.8000000000002</v>
          </cell>
        </row>
        <row r="1579">
          <cell r="F1579" t="str">
            <v xml:space="preserve">900436352      </v>
          </cell>
          <cell r="O1579">
            <v>2607.6</v>
          </cell>
        </row>
        <row r="1580">
          <cell r="F1580" t="str">
            <v xml:space="preserve">900474647      </v>
          </cell>
          <cell r="O1580">
            <v>1243.9000000000001</v>
          </cell>
        </row>
        <row r="1581">
          <cell r="F1581" t="str">
            <v xml:space="preserve">900217771      </v>
          </cell>
          <cell r="O1581">
            <v>158.4</v>
          </cell>
        </row>
        <row r="1582">
          <cell r="F1582" t="str">
            <v xml:space="preserve">900217771      </v>
          </cell>
          <cell r="O1582">
            <v>273</v>
          </cell>
        </row>
        <row r="1583">
          <cell r="F1583" t="str">
            <v xml:space="preserve">900217771      </v>
          </cell>
          <cell r="O1583">
            <v>1608.2</v>
          </cell>
        </row>
        <row r="1584">
          <cell r="F1584" t="str">
            <v xml:space="preserve">800028446      </v>
          </cell>
          <cell r="O1584">
            <v>1301.3</v>
          </cell>
        </row>
        <row r="1585">
          <cell r="F1585" t="str">
            <v xml:space="preserve">808001297      </v>
          </cell>
          <cell r="O1585">
            <v>354.4</v>
          </cell>
        </row>
        <row r="1586">
          <cell r="F1586" t="str">
            <v xml:space="preserve">52790620       </v>
          </cell>
          <cell r="O1586">
            <v>450</v>
          </cell>
        </row>
        <row r="1587">
          <cell r="F1587" t="str">
            <v xml:space="preserve">52790620       </v>
          </cell>
          <cell r="O1587">
            <v>900</v>
          </cell>
        </row>
        <row r="1588">
          <cell r="F1588" t="str">
            <v xml:space="preserve">52790620       </v>
          </cell>
          <cell r="O1588">
            <v>900</v>
          </cell>
        </row>
        <row r="1589">
          <cell r="F1589" t="str">
            <v xml:space="preserve">52790620       </v>
          </cell>
          <cell r="O1589">
            <v>450</v>
          </cell>
        </row>
        <row r="1590">
          <cell r="F1590" t="str">
            <v xml:space="preserve">890903939      </v>
          </cell>
          <cell r="O1590">
            <v>306</v>
          </cell>
        </row>
        <row r="1591">
          <cell r="F1591" t="str">
            <v xml:space="preserve">890903939      </v>
          </cell>
          <cell r="O1591">
            <v>162</v>
          </cell>
        </row>
        <row r="1592">
          <cell r="F1592" t="str">
            <v xml:space="preserve">66661487       </v>
          </cell>
          <cell r="O1592">
            <v>1765</v>
          </cell>
        </row>
        <row r="1593">
          <cell r="F1593" t="str">
            <v xml:space="preserve">900018975      </v>
          </cell>
          <cell r="O1593">
            <v>5588</v>
          </cell>
        </row>
        <row r="1594">
          <cell r="F1594" t="str">
            <v xml:space="preserve">900233101      </v>
          </cell>
          <cell r="O1594">
            <v>1248.2</v>
          </cell>
        </row>
        <row r="1595">
          <cell r="F1595" t="str">
            <v xml:space="preserve">901061638      </v>
          </cell>
          <cell r="O1595">
            <v>2449.8000000000002</v>
          </cell>
        </row>
        <row r="1596">
          <cell r="F1596" t="str">
            <v xml:space="preserve">860058831      </v>
          </cell>
          <cell r="O1596">
            <v>702.1</v>
          </cell>
        </row>
        <row r="1597">
          <cell r="F1597" t="str">
            <v xml:space="preserve">830118416      </v>
          </cell>
          <cell r="O1597">
            <v>7040</v>
          </cell>
        </row>
        <row r="1598">
          <cell r="F1598" t="str">
            <v xml:space="preserve">900716459      </v>
          </cell>
          <cell r="O1598">
            <v>3079.09</v>
          </cell>
        </row>
        <row r="1599">
          <cell r="F1599" t="str">
            <v xml:space="preserve">1010169846     </v>
          </cell>
          <cell r="O1599">
            <v>140.68</v>
          </cell>
        </row>
        <row r="1600">
          <cell r="F1600" t="str">
            <v xml:space="preserve">19472130       </v>
          </cell>
          <cell r="O1600">
            <v>120.89</v>
          </cell>
        </row>
        <row r="1601">
          <cell r="F1601" t="str">
            <v xml:space="preserve">800171234      </v>
          </cell>
          <cell r="O1601">
            <v>326.07</v>
          </cell>
        </row>
        <row r="1602">
          <cell r="F1602" t="str">
            <v xml:space="preserve">811014849      </v>
          </cell>
          <cell r="O1602">
            <v>634.17999999999995</v>
          </cell>
        </row>
        <row r="1603">
          <cell r="F1603" t="str">
            <v xml:space="preserve">830055115      </v>
          </cell>
          <cell r="O1603">
            <v>167.86</v>
          </cell>
        </row>
        <row r="1604">
          <cell r="F1604" t="str">
            <v xml:space="preserve">860015542      </v>
          </cell>
          <cell r="O1604">
            <v>190</v>
          </cell>
        </row>
        <row r="1605">
          <cell r="F1605" t="str">
            <v xml:space="preserve">891300382      </v>
          </cell>
          <cell r="O1605">
            <v>78.88</v>
          </cell>
        </row>
        <row r="1606">
          <cell r="F1606" t="str">
            <v xml:space="preserve">891300382      </v>
          </cell>
          <cell r="O1606">
            <v>85.24</v>
          </cell>
        </row>
        <row r="1607">
          <cell r="F1607" t="str">
            <v xml:space="preserve">891300382      </v>
          </cell>
          <cell r="O1607">
            <v>77.760000000000005</v>
          </cell>
        </row>
        <row r="1608">
          <cell r="F1608" t="str">
            <v xml:space="preserve">901394045      </v>
          </cell>
          <cell r="O1608">
            <v>582.82000000000005</v>
          </cell>
        </row>
        <row r="1609">
          <cell r="F1609" t="str">
            <v xml:space="preserve">900992422      </v>
          </cell>
          <cell r="O1609">
            <v>6561.9</v>
          </cell>
        </row>
        <row r="1610">
          <cell r="F1610" t="str">
            <v xml:space="preserve">830016868      </v>
          </cell>
          <cell r="O1610">
            <v>319.89999999999998</v>
          </cell>
        </row>
        <row r="1611">
          <cell r="F1611" t="str">
            <v xml:space="preserve">830016868      </v>
          </cell>
          <cell r="O1611">
            <v>560.4</v>
          </cell>
        </row>
        <row r="1612">
          <cell r="F1612" t="str">
            <v xml:space="preserve">830106563      </v>
          </cell>
          <cell r="O1612">
            <v>1166.3</v>
          </cell>
        </row>
        <row r="1613">
          <cell r="F1613" t="str">
            <v xml:space="preserve">823001882      </v>
          </cell>
          <cell r="O1613">
            <v>36</v>
          </cell>
        </row>
        <row r="1614">
          <cell r="F1614" t="str">
            <v xml:space="preserve">805005148      </v>
          </cell>
          <cell r="O1614">
            <v>2520</v>
          </cell>
        </row>
        <row r="1615">
          <cell r="F1615" t="str">
            <v xml:space="preserve">805005148      </v>
          </cell>
          <cell r="O1615">
            <v>540</v>
          </cell>
        </row>
        <row r="1616">
          <cell r="F1616" t="str">
            <v xml:space="preserve">805005148      </v>
          </cell>
          <cell r="O1616">
            <v>5706</v>
          </cell>
        </row>
        <row r="1617">
          <cell r="F1617" t="str">
            <v xml:space="preserve">805005148      </v>
          </cell>
          <cell r="O1617">
            <v>4.5</v>
          </cell>
        </row>
        <row r="1618">
          <cell r="F1618" t="str">
            <v xml:space="preserve">805005148      </v>
          </cell>
          <cell r="O1618">
            <v>1008</v>
          </cell>
        </row>
        <row r="1619">
          <cell r="F1619" t="str">
            <v xml:space="preserve">805005148      </v>
          </cell>
          <cell r="O1619">
            <v>135</v>
          </cell>
        </row>
        <row r="1620">
          <cell r="F1620" t="str">
            <v xml:space="preserve">805005148      </v>
          </cell>
          <cell r="O1620">
            <v>30</v>
          </cell>
        </row>
        <row r="1621">
          <cell r="F1621" t="str">
            <v xml:space="preserve">805005148      </v>
          </cell>
          <cell r="O1621">
            <v>36</v>
          </cell>
        </row>
        <row r="1622">
          <cell r="F1622" t="str">
            <v xml:space="preserve">805005148      </v>
          </cell>
          <cell r="O1622">
            <v>1620</v>
          </cell>
        </row>
        <row r="1623">
          <cell r="F1623" t="str">
            <v xml:space="preserve">805005148      </v>
          </cell>
          <cell r="O1623">
            <v>360</v>
          </cell>
        </row>
        <row r="1624">
          <cell r="F1624" t="str">
            <v xml:space="preserve">1130605276     </v>
          </cell>
          <cell r="O1624">
            <v>4.5</v>
          </cell>
        </row>
        <row r="1625">
          <cell r="F1625" t="str">
            <v xml:space="preserve">1130605276     </v>
          </cell>
          <cell r="O1625">
            <v>9</v>
          </cell>
        </row>
        <row r="1626">
          <cell r="F1626" t="str">
            <v xml:space="preserve">1130605276     </v>
          </cell>
          <cell r="O1626">
            <v>180</v>
          </cell>
        </row>
        <row r="1627">
          <cell r="F1627" t="str">
            <v xml:space="preserve">1130605276     </v>
          </cell>
          <cell r="O1627">
            <v>1098</v>
          </cell>
        </row>
        <row r="1628">
          <cell r="F1628" t="str">
            <v xml:space="preserve">1130605276     </v>
          </cell>
          <cell r="O1628">
            <v>270</v>
          </cell>
        </row>
        <row r="1629">
          <cell r="F1629" t="str">
            <v xml:space="preserve">94050412       </v>
          </cell>
          <cell r="O1629">
            <v>45</v>
          </cell>
        </row>
        <row r="1630">
          <cell r="F1630" t="str">
            <v xml:space="preserve">94050412       </v>
          </cell>
          <cell r="O1630">
            <v>450</v>
          </cell>
        </row>
        <row r="1631">
          <cell r="F1631" t="str">
            <v xml:space="preserve">94050412       </v>
          </cell>
          <cell r="O1631">
            <v>45</v>
          </cell>
        </row>
        <row r="1632">
          <cell r="F1632" t="str">
            <v xml:space="preserve">88275315       </v>
          </cell>
          <cell r="O1632">
            <v>9</v>
          </cell>
        </row>
        <row r="1633">
          <cell r="F1633" t="str">
            <v xml:space="preserve">88275315       </v>
          </cell>
          <cell r="O1633">
            <v>36</v>
          </cell>
        </row>
        <row r="1634">
          <cell r="F1634" t="str">
            <v xml:space="preserve">88275315       </v>
          </cell>
          <cell r="O1634">
            <v>60</v>
          </cell>
        </row>
        <row r="1635">
          <cell r="F1635" t="str">
            <v xml:space="preserve">88275315       </v>
          </cell>
          <cell r="O1635">
            <v>1818</v>
          </cell>
        </row>
        <row r="1636">
          <cell r="F1636" t="str">
            <v xml:space="preserve">88275315       </v>
          </cell>
          <cell r="O1636">
            <v>270</v>
          </cell>
        </row>
        <row r="1637">
          <cell r="F1637" t="str">
            <v xml:space="preserve">88275315       </v>
          </cell>
          <cell r="O1637">
            <v>72</v>
          </cell>
        </row>
        <row r="1638">
          <cell r="F1638" t="str">
            <v xml:space="preserve">94464104       </v>
          </cell>
          <cell r="O1638">
            <v>270</v>
          </cell>
        </row>
        <row r="1639">
          <cell r="F1639" t="str">
            <v xml:space="preserve">16458005       </v>
          </cell>
          <cell r="O1639">
            <v>180</v>
          </cell>
        </row>
        <row r="1640">
          <cell r="F1640" t="str">
            <v xml:space="preserve">94419930       </v>
          </cell>
          <cell r="O1640">
            <v>15</v>
          </cell>
        </row>
        <row r="1641">
          <cell r="F1641" t="str">
            <v xml:space="preserve">94419930       </v>
          </cell>
          <cell r="O1641">
            <v>630</v>
          </cell>
        </row>
        <row r="1642">
          <cell r="F1642" t="str">
            <v xml:space="preserve">94419930       </v>
          </cell>
          <cell r="O1642">
            <v>90</v>
          </cell>
        </row>
        <row r="1643">
          <cell r="F1643" t="str">
            <v xml:space="preserve">94419930       </v>
          </cell>
          <cell r="O1643">
            <v>90</v>
          </cell>
        </row>
        <row r="1644">
          <cell r="F1644" t="str">
            <v xml:space="preserve">94420019       </v>
          </cell>
          <cell r="O1644">
            <v>9</v>
          </cell>
        </row>
        <row r="1645">
          <cell r="F1645" t="str">
            <v xml:space="preserve">94420019       </v>
          </cell>
          <cell r="O1645">
            <v>45</v>
          </cell>
        </row>
        <row r="1646">
          <cell r="F1646" t="str">
            <v xml:space="preserve">16460421       </v>
          </cell>
          <cell r="O1646">
            <v>75</v>
          </cell>
        </row>
        <row r="1647">
          <cell r="F1647" t="str">
            <v xml:space="preserve">16460421       </v>
          </cell>
          <cell r="O1647">
            <v>1080</v>
          </cell>
        </row>
        <row r="1648">
          <cell r="F1648" t="str">
            <v xml:space="preserve">16460421       </v>
          </cell>
          <cell r="O1648">
            <v>135</v>
          </cell>
        </row>
        <row r="1649">
          <cell r="F1649" t="str">
            <v xml:space="preserve">16460421       </v>
          </cell>
          <cell r="O1649">
            <v>45</v>
          </cell>
        </row>
        <row r="1650">
          <cell r="F1650" t="str">
            <v xml:space="preserve">900777113      </v>
          </cell>
          <cell r="O1650">
            <v>54</v>
          </cell>
        </row>
        <row r="1651">
          <cell r="F1651" t="str">
            <v xml:space="preserve">75099432       </v>
          </cell>
          <cell r="O1651">
            <v>600</v>
          </cell>
        </row>
        <row r="1652">
          <cell r="F1652" t="str">
            <v xml:space="preserve">75099432       </v>
          </cell>
          <cell r="O1652">
            <v>198</v>
          </cell>
        </row>
        <row r="1653">
          <cell r="F1653" t="str">
            <v xml:space="preserve">75099432       </v>
          </cell>
          <cell r="O1653">
            <v>315</v>
          </cell>
        </row>
        <row r="1654">
          <cell r="F1654" t="str">
            <v xml:space="preserve">96359555       </v>
          </cell>
          <cell r="O1654">
            <v>45</v>
          </cell>
        </row>
        <row r="1655">
          <cell r="F1655" t="str">
            <v xml:space="preserve">96359555       </v>
          </cell>
          <cell r="O1655">
            <v>675</v>
          </cell>
        </row>
        <row r="1656">
          <cell r="F1656" t="str">
            <v xml:space="preserve">96359555       </v>
          </cell>
          <cell r="O1656">
            <v>1980</v>
          </cell>
        </row>
        <row r="1657">
          <cell r="F1657" t="str">
            <v xml:space="preserve">890903939      </v>
          </cell>
          <cell r="O1657">
            <v>90</v>
          </cell>
        </row>
        <row r="1658">
          <cell r="F1658" t="str">
            <v xml:space="preserve">900204935      </v>
          </cell>
          <cell r="O1658">
            <v>18</v>
          </cell>
        </row>
        <row r="1659">
          <cell r="F1659" t="str">
            <v xml:space="preserve">9696643        </v>
          </cell>
          <cell r="O1659">
            <v>2850</v>
          </cell>
        </row>
        <row r="1660">
          <cell r="F1660" t="str">
            <v xml:space="preserve">9696643        </v>
          </cell>
          <cell r="O1660">
            <v>504</v>
          </cell>
        </row>
        <row r="1661">
          <cell r="F1661" t="str">
            <v xml:space="preserve">6157942        </v>
          </cell>
          <cell r="O1661">
            <v>660</v>
          </cell>
        </row>
        <row r="1662">
          <cell r="F1662" t="str">
            <v xml:space="preserve">6157942        </v>
          </cell>
          <cell r="O1662">
            <v>405</v>
          </cell>
        </row>
        <row r="1663">
          <cell r="F1663" t="str">
            <v xml:space="preserve">6157942        </v>
          </cell>
          <cell r="O1663">
            <v>135</v>
          </cell>
        </row>
        <row r="1664">
          <cell r="F1664" t="str">
            <v xml:space="preserve">1111745154     </v>
          </cell>
          <cell r="O1664">
            <v>465</v>
          </cell>
        </row>
        <row r="1665">
          <cell r="F1665" t="str">
            <v xml:space="preserve">1111745154     </v>
          </cell>
          <cell r="O1665">
            <v>135</v>
          </cell>
        </row>
        <row r="1666">
          <cell r="F1666" t="str">
            <v xml:space="preserve">71734502       </v>
          </cell>
          <cell r="O1666">
            <v>9</v>
          </cell>
        </row>
        <row r="1667">
          <cell r="F1667" t="str">
            <v xml:space="preserve">71734502       </v>
          </cell>
          <cell r="O1667">
            <v>90</v>
          </cell>
        </row>
        <row r="1668">
          <cell r="F1668" t="str">
            <v xml:space="preserve">14471042       </v>
          </cell>
          <cell r="O1668">
            <v>45</v>
          </cell>
        </row>
        <row r="1669">
          <cell r="F1669" t="str">
            <v xml:space="preserve">14471042       </v>
          </cell>
          <cell r="O1669">
            <v>165</v>
          </cell>
        </row>
        <row r="1670">
          <cell r="F1670" t="str">
            <v xml:space="preserve">16214926       </v>
          </cell>
          <cell r="O1670">
            <v>120</v>
          </cell>
        </row>
        <row r="1671">
          <cell r="F1671" t="str">
            <v xml:space="preserve">29233836       </v>
          </cell>
          <cell r="O1671">
            <v>22.5</v>
          </cell>
        </row>
        <row r="1672">
          <cell r="F1672" t="str">
            <v xml:space="preserve">29233836       </v>
          </cell>
          <cell r="O1672">
            <v>390</v>
          </cell>
        </row>
        <row r="1673">
          <cell r="F1673" t="str">
            <v xml:space="preserve">805005148      </v>
          </cell>
          <cell r="O1673">
            <v>1260</v>
          </cell>
        </row>
        <row r="1674">
          <cell r="F1674" t="str">
            <v xml:space="preserve">805005148      </v>
          </cell>
          <cell r="O1674">
            <v>30</v>
          </cell>
        </row>
        <row r="1675">
          <cell r="F1675" t="str">
            <v xml:space="preserve">805005148      </v>
          </cell>
          <cell r="O1675">
            <v>15</v>
          </cell>
        </row>
        <row r="1676">
          <cell r="F1676" t="str">
            <v xml:space="preserve">805005148      </v>
          </cell>
          <cell r="O1676">
            <v>828</v>
          </cell>
        </row>
        <row r="1677">
          <cell r="F1677" t="str">
            <v xml:space="preserve">805005148      </v>
          </cell>
          <cell r="O1677">
            <v>1080</v>
          </cell>
        </row>
        <row r="1678">
          <cell r="F1678" t="str">
            <v xml:space="preserve">10303909       </v>
          </cell>
          <cell r="O1678">
            <v>225</v>
          </cell>
        </row>
        <row r="1679">
          <cell r="F1679" t="str">
            <v xml:space="preserve">901303668      </v>
          </cell>
          <cell r="O1679">
            <v>45</v>
          </cell>
        </row>
        <row r="1680">
          <cell r="F1680" t="str">
            <v xml:space="preserve">94373864       </v>
          </cell>
          <cell r="O1680">
            <v>900</v>
          </cell>
        </row>
        <row r="1681">
          <cell r="F1681" t="str">
            <v xml:space="preserve">76336108       </v>
          </cell>
          <cell r="O1681">
            <v>30</v>
          </cell>
        </row>
        <row r="1682">
          <cell r="F1682" t="str">
            <v xml:space="preserve">76336108       </v>
          </cell>
          <cell r="O1682">
            <v>360</v>
          </cell>
        </row>
        <row r="1683">
          <cell r="F1683" t="str">
            <v xml:space="preserve">76336108       </v>
          </cell>
          <cell r="O1683">
            <v>45</v>
          </cell>
        </row>
        <row r="1684">
          <cell r="F1684" t="str">
            <v xml:space="preserve">76323227       </v>
          </cell>
          <cell r="O1684">
            <v>15</v>
          </cell>
        </row>
        <row r="1685">
          <cell r="F1685" t="str">
            <v xml:space="preserve">76323227       </v>
          </cell>
          <cell r="O1685">
            <v>495</v>
          </cell>
        </row>
        <row r="1686">
          <cell r="F1686" t="str">
            <v xml:space="preserve">10532222       </v>
          </cell>
          <cell r="O1686">
            <v>30</v>
          </cell>
        </row>
        <row r="1687">
          <cell r="F1687" t="str">
            <v xml:space="preserve">10532222       </v>
          </cell>
          <cell r="O1687">
            <v>180</v>
          </cell>
        </row>
        <row r="1688">
          <cell r="F1688" t="str">
            <v xml:space="preserve">12168724       </v>
          </cell>
          <cell r="O1688">
            <v>30</v>
          </cell>
        </row>
        <row r="1689">
          <cell r="F1689" t="str">
            <v xml:space="preserve">12168724       </v>
          </cell>
          <cell r="O1689">
            <v>900</v>
          </cell>
        </row>
        <row r="1690">
          <cell r="F1690" t="str">
            <v xml:space="preserve">10755493       </v>
          </cell>
          <cell r="O1690">
            <v>918</v>
          </cell>
        </row>
        <row r="1691">
          <cell r="F1691" t="str">
            <v xml:space="preserve">10292388       </v>
          </cell>
          <cell r="O1691">
            <v>198</v>
          </cell>
        </row>
        <row r="1692">
          <cell r="F1692" t="str">
            <v xml:space="preserve">10292388       </v>
          </cell>
          <cell r="O1692">
            <v>144</v>
          </cell>
        </row>
        <row r="1693">
          <cell r="F1693" t="str">
            <v xml:space="preserve">10292388       </v>
          </cell>
          <cell r="O1693">
            <v>54</v>
          </cell>
        </row>
        <row r="1694">
          <cell r="F1694" t="str">
            <v xml:space="preserve">76331539       </v>
          </cell>
          <cell r="O1694">
            <v>45</v>
          </cell>
        </row>
        <row r="1695">
          <cell r="F1695" t="str">
            <v xml:space="preserve">76331539       </v>
          </cell>
          <cell r="O1695">
            <v>594</v>
          </cell>
        </row>
        <row r="1696">
          <cell r="F1696" t="str">
            <v xml:space="preserve">76331539       </v>
          </cell>
          <cell r="O1696">
            <v>15</v>
          </cell>
        </row>
        <row r="1697">
          <cell r="F1697" t="str">
            <v xml:space="preserve">76331539       </v>
          </cell>
          <cell r="O1697">
            <v>270</v>
          </cell>
        </row>
        <row r="1698">
          <cell r="F1698" t="str">
            <v xml:space="preserve">9900047        </v>
          </cell>
          <cell r="O1698">
            <v>105</v>
          </cell>
        </row>
        <row r="1699">
          <cell r="F1699" t="str">
            <v xml:space="preserve">9900047        </v>
          </cell>
          <cell r="O1699">
            <v>108</v>
          </cell>
        </row>
        <row r="1700">
          <cell r="F1700" t="str">
            <v xml:space="preserve">9900047        </v>
          </cell>
          <cell r="O1700">
            <v>45</v>
          </cell>
        </row>
        <row r="1701">
          <cell r="F1701" t="str">
            <v xml:space="preserve">18389245       </v>
          </cell>
          <cell r="O1701">
            <v>120</v>
          </cell>
        </row>
        <row r="1702">
          <cell r="F1702" t="str">
            <v xml:space="preserve">18389245       </v>
          </cell>
          <cell r="O1702">
            <v>126</v>
          </cell>
        </row>
        <row r="1703">
          <cell r="F1703" t="str">
            <v xml:space="preserve">18416624       </v>
          </cell>
          <cell r="O1703">
            <v>45</v>
          </cell>
        </row>
        <row r="1704">
          <cell r="F1704" t="str">
            <v xml:space="preserve">18416624       </v>
          </cell>
          <cell r="O1704">
            <v>54</v>
          </cell>
        </row>
        <row r="1705">
          <cell r="F1705" t="str">
            <v xml:space="preserve">18416624       </v>
          </cell>
          <cell r="O1705">
            <v>135</v>
          </cell>
        </row>
        <row r="1706">
          <cell r="F1706" t="str">
            <v xml:space="preserve">4613715        </v>
          </cell>
          <cell r="O1706">
            <v>120</v>
          </cell>
        </row>
        <row r="1707">
          <cell r="F1707" t="str">
            <v xml:space="preserve">4613715        </v>
          </cell>
          <cell r="O1707">
            <v>36</v>
          </cell>
        </row>
        <row r="1708">
          <cell r="F1708" t="str">
            <v xml:space="preserve">18415903       </v>
          </cell>
          <cell r="O1708">
            <v>75</v>
          </cell>
        </row>
        <row r="1709">
          <cell r="F1709" t="str">
            <v xml:space="preserve">18415903       </v>
          </cell>
          <cell r="O1709">
            <v>135</v>
          </cell>
        </row>
        <row r="1710">
          <cell r="F1710" t="str">
            <v xml:space="preserve">6110295        </v>
          </cell>
          <cell r="O1710">
            <v>9</v>
          </cell>
        </row>
        <row r="1711">
          <cell r="F1711" t="str">
            <v xml:space="preserve">6110295        </v>
          </cell>
          <cell r="O1711">
            <v>225</v>
          </cell>
        </row>
        <row r="1712">
          <cell r="F1712" t="str">
            <v xml:space="preserve">6110295        </v>
          </cell>
          <cell r="O1712">
            <v>252</v>
          </cell>
        </row>
        <row r="1713">
          <cell r="F1713" t="str">
            <v xml:space="preserve">6110295        </v>
          </cell>
          <cell r="O1713">
            <v>90</v>
          </cell>
        </row>
        <row r="1714">
          <cell r="F1714" t="str">
            <v xml:space="preserve">805005148      </v>
          </cell>
          <cell r="O1714">
            <v>2520</v>
          </cell>
        </row>
        <row r="1715">
          <cell r="F1715" t="str">
            <v xml:space="preserve">805005148      </v>
          </cell>
          <cell r="O1715">
            <v>270</v>
          </cell>
        </row>
        <row r="1716">
          <cell r="F1716" t="str">
            <v xml:space="preserve">805005148      </v>
          </cell>
          <cell r="O1716">
            <v>9</v>
          </cell>
        </row>
        <row r="1717">
          <cell r="F1717" t="str">
            <v xml:space="preserve">805005148      </v>
          </cell>
          <cell r="O1717">
            <v>30</v>
          </cell>
        </row>
        <row r="1718">
          <cell r="F1718" t="str">
            <v xml:space="preserve">805005148      </v>
          </cell>
          <cell r="O1718">
            <v>198</v>
          </cell>
        </row>
        <row r="1719">
          <cell r="F1719" t="str">
            <v xml:space="preserve">10488839       </v>
          </cell>
          <cell r="O1719">
            <v>9</v>
          </cell>
        </row>
        <row r="1720">
          <cell r="F1720" t="str">
            <v xml:space="preserve">10488839       </v>
          </cell>
          <cell r="O1720">
            <v>1116</v>
          </cell>
        </row>
        <row r="1721">
          <cell r="F1721" t="str">
            <v xml:space="preserve">10488839       </v>
          </cell>
          <cell r="O1721">
            <v>45</v>
          </cell>
        </row>
        <row r="1722">
          <cell r="F1722" t="str">
            <v xml:space="preserve">16843578       </v>
          </cell>
          <cell r="O1722">
            <v>1008</v>
          </cell>
        </row>
        <row r="1723">
          <cell r="F1723" t="str">
            <v xml:space="preserve">16843578       </v>
          </cell>
          <cell r="O1723">
            <v>2160</v>
          </cell>
        </row>
        <row r="1724">
          <cell r="F1724" t="str">
            <v xml:space="preserve">900034686      </v>
          </cell>
          <cell r="O1724">
            <v>15</v>
          </cell>
        </row>
        <row r="1725">
          <cell r="F1725" t="str">
            <v xml:space="preserve">900034686      </v>
          </cell>
          <cell r="O1725">
            <v>45</v>
          </cell>
        </row>
        <row r="1726">
          <cell r="F1726" t="str">
            <v xml:space="preserve">16849293       </v>
          </cell>
          <cell r="O1726">
            <v>15</v>
          </cell>
        </row>
        <row r="1727">
          <cell r="F1727" t="str">
            <v xml:space="preserve">16849293       </v>
          </cell>
          <cell r="O1727">
            <v>450</v>
          </cell>
        </row>
        <row r="1728">
          <cell r="F1728" t="str">
            <v xml:space="preserve">7247040        </v>
          </cell>
          <cell r="O1728">
            <v>75</v>
          </cell>
        </row>
        <row r="1729">
          <cell r="F1729" t="str">
            <v xml:space="preserve">7247040        </v>
          </cell>
          <cell r="O1729">
            <v>18</v>
          </cell>
        </row>
        <row r="1730">
          <cell r="F1730" t="str">
            <v xml:space="preserve">14229215       </v>
          </cell>
          <cell r="O1730">
            <v>270</v>
          </cell>
        </row>
        <row r="1731">
          <cell r="F1731" t="str">
            <v xml:space="preserve">14229215       </v>
          </cell>
          <cell r="O1731">
            <v>90</v>
          </cell>
        </row>
        <row r="1732">
          <cell r="F1732" t="str">
            <v xml:space="preserve">79736632       </v>
          </cell>
          <cell r="O1732">
            <v>1152</v>
          </cell>
        </row>
        <row r="1733">
          <cell r="F1733" t="str">
            <v xml:space="preserve">26050336       </v>
          </cell>
          <cell r="O1733">
            <v>27</v>
          </cell>
        </row>
        <row r="1734">
          <cell r="F1734" t="str">
            <v xml:space="preserve">26050336       </v>
          </cell>
          <cell r="O1734">
            <v>75</v>
          </cell>
        </row>
        <row r="1735">
          <cell r="F1735" t="str">
            <v xml:space="preserve">26050336       </v>
          </cell>
          <cell r="O1735">
            <v>288</v>
          </cell>
        </row>
        <row r="1736">
          <cell r="F1736" t="str">
            <v xml:space="preserve">26050336       </v>
          </cell>
          <cell r="O1736">
            <v>45</v>
          </cell>
        </row>
        <row r="1737">
          <cell r="F1737" t="str">
            <v xml:space="preserve">91360601       </v>
          </cell>
          <cell r="O1737">
            <v>9</v>
          </cell>
        </row>
        <row r="1738">
          <cell r="F1738" t="str">
            <v xml:space="preserve">91360601       </v>
          </cell>
          <cell r="O1738">
            <v>60</v>
          </cell>
        </row>
        <row r="1739">
          <cell r="F1739" t="str">
            <v xml:space="preserve">91360601       </v>
          </cell>
          <cell r="O1739">
            <v>1440</v>
          </cell>
        </row>
        <row r="1740">
          <cell r="F1740" t="str">
            <v xml:space="preserve">91360601       </v>
          </cell>
          <cell r="O1740">
            <v>450</v>
          </cell>
        </row>
        <row r="1741">
          <cell r="F1741" t="str">
            <v xml:space="preserve">18385749       </v>
          </cell>
          <cell r="O1741">
            <v>468</v>
          </cell>
        </row>
        <row r="1742">
          <cell r="F1742" t="str">
            <v xml:space="preserve">18385749       </v>
          </cell>
          <cell r="O1742">
            <v>630</v>
          </cell>
        </row>
        <row r="1743">
          <cell r="F1743" t="str">
            <v xml:space="preserve">71312536       </v>
          </cell>
          <cell r="O1743">
            <v>90</v>
          </cell>
        </row>
        <row r="1744">
          <cell r="F1744" t="str">
            <v xml:space="preserve">71312536       </v>
          </cell>
          <cell r="O1744">
            <v>270</v>
          </cell>
        </row>
        <row r="1745">
          <cell r="F1745" t="str">
            <v xml:space="preserve">71215358       </v>
          </cell>
          <cell r="O1745">
            <v>9</v>
          </cell>
        </row>
        <row r="1746">
          <cell r="F1746" t="str">
            <v xml:space="preserve">71215358       </v>
          </cell>
          <cell r="O1746">
            <v>180</v>
          </cell>
        </row>
        <row r="1747">
          <cell r="F1747" t="str">
            <v xml:space="preserve">71215358       </v>
          </cell>
          <cell r="O1747">
            <v>45</v>
          </cell>
        </row>
        <row r="1748">
          <cell r="F1748" t="str">
            <v xml:space="preserve">71215358       </v>
          </cell>
          <cell r="O1748">
            <v>36</v>
          </cell>
        </row>
        <row r="1749">
          <cell r="F1749" t="str">
            <v xml:space="preserve">71215358       </v>
          </cell>
          <cell r="O1749">
            <v>45</v>
          </cell>
        </row>
        <row r="1750">
          <cell r="F1750" t="str">
            <v xml:space="preserve">71215358       </v>
          </cell>
          <cell r="O1750">
            <v>342</v>
          </cell>
        </row>
        <row r="1751">
          <cell r="F1751" t="str">
            <v xml:space="preserve">71215358       </v>
          </cell>
          <cell r="O1751">
            <v>45</v>
          </cell>
        </row>
        <row r="1752">
          <cell r="F1752" t="str">
            <v xml:space="preserve">71215358       </v>
          </cell>
          <cell r="O1752">
            <v>4.5</v>
          </cell>
        </row>
        <row r="1753">
          <cell r="F1753" t="str">
            <v xml:space="preserve">71215358       </v>
          </cell>
          <cell r="O1753">
            <v>9</v>
          </cell>
        </row>
        <row r="1754">
          <cell r="F1754" t="str">
            <v xml:space="preserve">71215358       </v>
          </cell>
          <cell r="O1754">
            <v>15</v>
          </cell>
        </row>
        <row r="1755">
          <cell r="F1755" t="str">
            <v xml:space="preserve">71215358       </v>
          </cell>
          <cell r="O1755">
            <v>396</v>
          </cell>
        </row>
        <row r="1756">
          <cell r="F1756" t="str">
            <v xml:space="preserve">71215358       </v>
          </cell>
          <cell r="O1756">
            <v>45</v>
          </cell>
        </row>
        <row r="1757">
          <cell r="F1757" t="str">
            <v xml:space="preserve">91179385       </v>
          </cell>
          <cell r="O1757">
            <v>30</v>
          </cell>
        </row>
        <row r="1758">
          <cell r="F1758" t="str">
            <v xml:space="preserve">91179385       </v>
          </cell>
          <cell r="O1758">
            <v>828</v>
          </cell>
        </row>
        <row r="1759">
          <cell r="F1759" t="str">
            <v xml:space="preserve">91179385       </v>
          </cell>
          <cell r="O1759">
            <v>315</v>
          </cell>
        </row>
        <row r="1760">
          <cell r="F1760" t="str">
            <v xml:space="preserve">88275004       </v>
          </cell>
          <cell r="O1760">
            <v>3000</v>
          </cell>
        </row>
        <row r="1761">
          <cell r="F1761" t="str">
            <v xml:space="preserve">88275004       </v>
          </cell>
          <cell r="O1761">
            <v>1332</v>
          </cell>
        </row>
        <row r="1762">
          <cell r="F1762" t="str">
            <v xml:space="preserve">88275004       </v>
          </cell>
          <cell r="O1762">
            <v>225</v>
          </cell>
        </row>
        <row r="1763">
          <cell r="F1763" t="str">
            <v xml:space="preserve">88158577       </v>
          </cell>
          <cell r="O1763">
            <v>585</v>
          </cell>
        </row>
        <row r="1764">
          <cell r="F1764" t="str">
            <v xml:space="preserve">88158577       </v>
          </cell>
          <cell r="O1764">
            <v>720</v>
          </cell>
        </row>
        <row r="1765">
          <cell r="F1765" t="str">
            <v xml:space="preserve">88158577       </v>
          </cell>
          <cell r="O1765">
            <v>450</v>
          </cell>
        </row>
        <row r="1766">
          <cell r="F1766" t="str">
            <v xml:space="preserve">79384689       </v>
          </cell>
          <cell r="O1766">
            <v>195</v>
          </cell>
        </row>
        <row r="1767">
          <cell r="F1767" t="str">
            <v xml:space="preserve">88288258       </v>
          </cell>
          <cell r="O1767">
            <v>90</v>
          </cell>
        </row>
        <row r="1768">
          <cell r="F1768" t="str">
            <v xml:space="preserve">88288258       </v>
          </cell>
          <cell r="O1768">
            <v>105</v>
          </cell>
        </row>
        <row r="1769">
          <cell r="F1769" t="str">
            <v xml:space="preserve">13494934       </v>
          </cell>
          <cell r="O1769">
            <v>195</v>
          </cell>
        </row>
        <row r="1770">
          <cell r="F1770" t="str">
            <v xml:space="preserve">13494934       </v>
          </cell>
          <cell r="O1770">
            <v>90</v>
          </cell>
        </row>
        <row r="1771">
          <cell r="F1771" t="str">
            <v xml:space="preserve">13494934       </v>
          </cell>
          <cell r="O1771">
            <v>360</v>
          </cell>
        </row>
        <row r="1772">
          <cell r="F1772" t="str">
            <v xml:space="preserve">13494934       </v>
          </cell>
          <cell r="O1772">
            <v>72</v>
          </cell>
        </row>
        <row r="1773">
          <cell r="F1773" t="str">
            <v xml:space="preserve">13494934       </v>
          </cell>
          <cell r="O1773">
            <v>270</v>
          </cell>
        </row>
        <row r="1774">
          <cell r="F1774" t="str">
            <v xml:space="preserve">13494934       </v>
          </cell>
          <cell r="O1774">
            <v>225</v>
          </cell>
        </row>
        <row r="1775">
          <cell r="F1775" t="str">
            <v xml:space="preserve">13494934       </v>
          </cell>
          <cell r="O1775">
            <v>162</v>
          </cell>
        </row>
        <row r="1776">
          <cell r="F1776" t="str">
            <v xml:space="preserve">13494934       </v>
          </cell>
          <cell r="O1776">
            <v>180</v>
          </cell>
        </row>
        <row r="1777">
          <cell r="F1777" t="str">
            <v xml:space="preserve">13494934       </v>
          </cell>
          <cell r="O1777">
            <v>9</v>
          </cell>
        </row>
        <row r="1778">
          <cell r="F1778" t="str">
            <v xml:space="preserve">13494934       </v>
          </cell>
          <cell r="O1778">
            <v>270</v>
          </cell>
        </row>
        <row r="1779">
          <cell r="F1779" t="str">
            <v xml:space="preserve">13494934       </v>
          </cell>
          <cell r="O1779">
            <v>90</v>
          </cell>
        </row>
        <row r="1780">
          <cell r="F1780" t="str">
            <v xml:space="preserve">88188644       </v>
          </cell>
          <cell r="O1780">
            <v>720</v>
          </cell>
        </row>
        <row r="1781">
          <cell r="F1781" t="str">
            <v xml:space="preserve">88188644       </v>
          </cell>
          <cell r="O1781">
            <v>180</v>
          </cell>
        </row>
        <row r="1782">
          <cell r="F1782" t="str">
            <v xml:space="preserve">1117502076     </v>
          </cell>
          <cell r="O1782">
            <v>576</v>
          </cell>
        </row>
        <row r="1783">
          <cell r="F1783" t="str">
            <v xml:space="preserve">1117502076     </v>
          </cell>
          <cell r="O1783">
            <v>210</v>
          </cell>
        </row>
        <row r="1784">
          <cell r="F1784" t="str">
            <v xml:space="preserve">13862691       </v>
          </cell>
          <cell r="O1784">
            <v>1080</v>
          </cell>
        </row>
        <row r="1785">
          <cell r="F1785" t="str">
            <v xml:space="preserve">13862691       </v>
          </cell>
          <cell r="O1785">
            <v>360</v>
          </cell>
        </row>
        <row r="1786">
          <cell r="F1786" t="str">
            <v xml:space="preserve">91266362       </v>
          </cell>
          <cell r="O1786">
            <v>144</v>
          </cell>
        </row>
        <row r="1787">
          <cell r="F1787" t="str">
            <v xml:space="preserve">13537217       </v>
          </cell>
          <cell r="O1787">
            <v>324</v>
          </cell>
        </row>
        <row r="1788">
          <cell r="F1788" t="str">
            <v xml:space="preserve">13537217       </v>
          </cell>
          <cell r="O1788">
            <v>135</v>
          </cell>
        </row>
        <row r="1789">
          <cell r="F1789" t="str">
            <v xml:space="preserve">91179643       </v>
          </cell>
          <cell r="O1789">
            <v>108</v>
          </cell>
        </row>
        <row r="1790">
          <cell r="F1790" t="str">
            <v xml:space="preserve">91179643       </v>
          </cell>
          <cell r="O1790">
            <v>45</v>
          </cell>
        </row>
        <row r="1791">
          <cell r="F1791" t="str">
            <v xml:space="preserve">91136131       </v>
          </cell>
          <cell r="O1791">
            <v>960</v>
          </cell>
        </row>
        <row r="1792">
          <cell r="F1792" t="str">
            <v xml:space="preserve">91136131       </v>
          </cell>
          <cell r="O1792">
            <v>270</v>
          </cell>
        </row>
        <row r="1793">
          <cell r="F1793" t="str">
            <v xml:space="preserve">91136131       </v>
          </cell>
          <cell r="O1793">
            <v>135</v>
          </cell>
        </row>
        <row r="1794">
          <cell r="F1794" t="str">
            <v xml:space="preserve">91222539       </v>
          </cell>
          <cell r="O1794">
            <v>180</v>
          </cell>
        </row>
        <row r="1795">
          <cell r="F1795" t="str">
            <v xml:space="preserve">91222539       </v>
          </cell>
          <cell r="O1795">
            <v>756</v>
          </cell>
        </row>
        <row r="1796">
          <cell r="F1796" t="str">
            <v xml:space="preserve">91222539       </v>
          </cell>
          <cell r="O1796">
            <v>360</v>
          </cell>
        </row>
        <row r="1797">
          <cell r="F1797" t="str">
            <v xml:space="preserve">91222539       </v>
          </cell>
          <cell r="O1797">
            <v>54</v>
          </cell>
        </row>
        <row r="1798">
          <cell r="F1798" t="str">
            <v xml:space="preserve">91067422       </v>
          </cell>
          <cell r="O1798">
            <v>36</v>
          </cell>
        </row>
        <row r="1799">
          <cell r="F1799" t="str">
            <v xml:space="preserve">91067422       </v>
          </cell>
          <cell r="O1799">
            <v>210</v>
          </cell>
        </row>
        <row r="1800">
          <cell r="F1800" t="str">
            <v xml:space="preserve">91067422       </v>
          </cell>
          <cell r="O1800">
            <v>270</v>
          </cell>
        </row>
        <row r="1801">
          <cell r="F1801" t="str">
            <v xml:space="preserve">91067422       </v>
          </cell>
          <cell r="O1801">
            <v>72</v>
          </cell>
        </row>
        <row r="1802">
          <cell r="F1802" t="str">
            <v xml:space="preserve">91067422       </v>
          </cell>
          <cell r="O1802">
            <v>60</v>
          </cell>
        </row>
        <row r="1803">
          <cell r="F1803" t="str">
            <v xml:space="preserve">91067422       </v>
          </cell>
          <cell r="O1803">
            <v>18</v>
          </cell>
        </row>
        <row r="1804">
          <cell r="F1804" t="str">
            <v xml:space="preserve">91272730       </v>
          </cell>
          <cell r="O1804">
            <v>225</v>
          </cell>
        </row>
        <row r="1805">
          <cell r="F1805" t="str">
            <v xml:space="preserve">91272730       </v>
          </cell>
          <cell r="O1805">
            <v>126</v>
          </cell>
        </row>
        <row r="1806">
          <cell r="F1806" t="str">
            <v xml:space="preserve">91272730       </v>
          </cell>
          <cell r="O1806">
            <v>90</v>
          </cell>
        </row>
        <row r="1807">
          <cell r="F1807" t="str">
            <v xml:space="preserve">13701254       </v>
          </cell>
          <cell r="O1807">
            <v>750</v>
          </cell>
        </row>
        <row r="1808">
          <cell r="F1808" t="str">
            <v xml:space="preserve">13701254       </v>
          </cell>
          <cell r="O1808">
            <v>90</v>
          </cell>
        </row>
        <row r="1809">
          <cell r="F1809" t="str">
            <v xml:space="preserve">13701254       </v>
          </cell>
          <cell r="O1809">
            <v>450</v>
          </cell>
        </row>
        <row r="1810">
          <cell r="F1810" t="str">
            <v xml:space="preserve">73134768       </v>
          </cell>
          <cell r="O1810">
            <v>465</v>
          </cell>
        </row>
        <row r="1811">
          <cell r="F1811" t="str">
            <v xml:space="preserve">73134768       </v>
          </cell>
          <cell r="O1811">
            <v>216</v>
          </cell>
        </row>
        <row r="1812">
          <cell r="F1812" t="str">
            <v xml:space="preserve">30853980       </v>
          </cell>
          <cell r="O1812">
            <v>792</v>
          </cell>
        </row>
        <row r="1813">
          <cell r="F1813" t="str">
            <v xml:space="preserve">72137594       </v>
          </cell>
          <cell r="O1813">
            <v>285</v>
          </cell>
        </row>
        <row r="1814">
          <cell r="F1814" t="str">
            <v xml:space="preserve">72137594       </v>
          </cell>
          <cell r="O1814">
            <v>414</v>
          </cell>
        </row>
        <row r="1815">
          <cell r="F1815" t="str">
            <v xml:space="preserve">91288772       </v>
          </cell>
          <cell r="O1815">
            <v>225</v>
          </cell>
        </row>
        <row r="1816">
          <cell r="F1816" t="str">
            <v xml:space="preserve">91288772       </v>
          </cell>
          <cell r="O1816">
            <v>630</v>
          </cell>
        </row>
        <row r="1817">
          <cell r="F1817" t="str">
            <v xml:space="preserve">77191750       </v>
          </cell>
          <cell r="O1817">
            <v>1260</v>
          </cell>
        </row>
        <row r="1818">
          <cell r="F1818" t="str">
            <v xml:space="preserve">91213004       </v>
          </cell>
          <cell r="O1818">
            <v>150</v>
          </cell>
        </row>
        <row r="1819">
          <cell r="F1819" t="str">
            <v xml:space="preserve">91213004       </v>
          </cell>
          <cell r="O1819">
            <v>540</v>
          </cell>
        </row>
        <row r="1820">
          <cell r="F1820" t="str">
            <v xml:space="preserve">9262987        </v>
          </cell>
          <cell r="O1820">
            <v>126</v>
          </cell>
        </row>
        <row r="1821">
          <cell r="F1821" t="str">
            <v xml:space="preserve">72196317       </v>
          </cell>
          <cell r="O1821">
            <v>900</v>
          </cell>
        </row>
        <row r="1822">
          <cell r="F1822" t="str">
            <v xml:space="preserve">72196317       </v>
          </cell>
          <cell r="O1822">
            <v>198</v>
          </cell>
        </row>
        <row r="1823">
          <cell r="F1823" t="str">
            <v xml:space="preserve">72196317       </v>
          </cell>
          <cell r="O1823">
            <v>135</v>
          </cell>
        </row>
        <row r="1824">
          <cell r="F1824" t="str">
            <v xml:space="preserve">72196317       </v>
          </cell>
          <cell r="O1824">
            <v>75</v>
          </cell>
        </row>
        <row r="1825">
          <cell r="F1825" t="str">
            <v xml:space="preserve">72196317       </v>
          </cell>
          <cell r="O1825">
            <v>450</v>
          </cell>
        </row>
        <row r="1826">
          <cell r="F1826" t="str">
            <v xml:space="preserve">72196317       </v>
          </cell>
          <cell r="O1826">
            <v>54</v>
          </cell>
        </row>
        <row r="1827">
          <cell r="F1827" t="str">
            <v xml:space="preserve">72196317       </v>
          </cell>
          <cell r="O1827">
            <v>600</v>
          </cell>
        </row>
        <row r="1828">
          <cell r="F1828" t="str">
            <v xml:space="preserve">72196317       </v>
          </cell>
          <cell r="O1828">
            <v>198</v>
          </cell>
        </row>
        <row r="1829">
          <cell r="F1829" t="str">
            <v xml:space="preserve">72196317       </v>
          </cell>
          <cell r="O1829">
            <v>270</v>
          </cell>
        </row>
        <row r="1830">
          <cell r="F1830" t="str">
            <v xml:space="preserve">72196317       </v>
          </cell>
          <cell r="O1830">
            <v>225</v>
          </cell>
        </row>
        <row r="1831">
          <cell r="F1831" t="str">
            <v xml:space="preserve">72196317       </v>
          </cell>
          <cell r="O1831">
            <v>360</v>
          </cell>
        </row>
        <row r="1832">
          <cell r="F1832" t="str">
            <v xml:space="preserve">72196317       </v>
          </cell>
          <cell r="O1832">
            <v>9</v>
          </cell>
        </row>
        <row r="1833">
          <cell r="F1833" t="str">
            <v xml:space="preserve">72196317       </v>
          </cell>
          <cell r="O1833">
            <v>615</v>
          </cell>
        </row>
        <row r="1834">
          <cell r="F1834" t="str">
            <v xml:space="preserve">72196317       </v>
          </cell>
          <cell r="O1834">
            <v>36</v>
          </cell>
        </row>
        <row r="1835">
          <cell r="F1835" t="str">
            <v xml:space="preserve">72196317       </v>
          </cell>
          <cell r="O1835">
            <v>36</v>
          </cell>
        </row>
        <row r="1836">
          <cell r="F1836" t="str">
            <v xml:space="preserve">72196317       </v>
          </cell>
          <cell r="O1836">
            <v>75</v>
          </cell>
        </row>
        <row r="1837">
          <cell r="F1837" t="str">
            <v xml:space="preserve">72196317       </v>
          </cell>
          <cell r="O1837">
            <v>255</v>
          </cell>
        </row>
        <row r="1838">
          <cell r="F1838" t="str">
            <v xml:space="preserve">72196317       </v>
          </cell>
          <cell r="O1838">
            <v>72</v>
          </cell>
        </row>
        <row r="1839">
          <cell r="F1839" t="str">
            <v xml:space="preserve">1047231108     </v>
          </cell>
          <cell r="O1839">
            <v>315</v>
          </cell>
        </row>
        <row r="1840">
          <cell r="F1840" t="str">
            <v xml:space="preserve">1047231108     </v>
          </cell>
          <cell r="O1840">
            <v>36</v>
          </cell>
        </row>
        <row r="1841">
          <cell r="F1841" t="str">
            <v xml:space="preserve">1047231108     </v>
          </cell>
          <cell r="O1841">
            <v>45</v>
          </cell>
        </row>
        <row r="1842">
          <cell r="F1842" t="str">
            <v xml:space="preserve">1047349327     </v>
          </cell>
          <cell r="O1842">
            <v>225</v>
          </cell>
        </row>
        <row r="1843">
          <cell r="F1843" t="str">
            <v xml:space="preserve">1047349327     </v>
          </cell>
          <cell r="O1843">
            <v>108</v>
          </cell>
        </row>
        <row r="1844">
          <cell r="F1844" t="str">
            <v xml:space="preserve">71172414       </v>
          </cell>
          <cell r="O1844">
            <v>2295</v>
          </cell>
        </row>
        <row r="1845">
          <cell r="F1845" t="str">
            <v xml:space="preserve">71172414       </v>
          </cell>
          <cell r="O1845">
            <v>414</v>
          </cell>
        </row>
        <row r="1846">
          <cell r="F1846" t="str">
            <v xml:space="preserve">71172414       </v>
          </cell>
          <cell r="O1846">
            <v>90</v>
          </cell>
        </row>
        <row r="1847">
          <cell r="F1847" t="str">
            <v xml:space="preserve">70752579       </v>
          </cell>
          <cell r="O1847">
            <v>180</v>
          </cell>
        </row>
        <row r="1848">
          <cell r="F1848" t="str">
            <v xml:space="preserve">70752579       </v>
          </cell>
          <cell r="O1848">
            <v>90</v>
          </cell>
        </row>
        <row r="1849">
          <cell r="F1849" t="str">
            <v xml:space="preserve">70752579       </v>
          </cell>
          <cell r="O1849">
            <v>270</v>
          </cell>
        </row>
        <row r="1850">
          <cell r="F1850" t="str">
            <v xml:space="preserve">70752579       </v>
          </cell>
          <cell r="O1850">
            <v>9</v>
          </cell>
        </row>
        <row r="1851">
          <cell r="F1851" t="str">
            <v xml:space="preserve">70752579       </v>
          </cell>
          <cell r="O1851">
            <v>9</v>
          </cell>
        </row>
        <row r="1852">
          <cell r="F1852" t="str">
            <v xml:space="preserve">70752579       </v>
          </cell>
          <cell r="O1852">
            <v>225</v>
          </cell>
        </row>
        <row r="1853">
          <cell r="F1853" t="str">
            <v xml:space="preserve">70752579       </v>
          </cell>
          <cell r="O1853">
            <v>504</v>
          </cell>
        </row>
        <row r="1854">
          <cell r="F1854" t="str">
            <v xml:space="preserve">70752579       </v>
          </cell>
          <cell r="O1854">
            <v>90</v>
          </cell>
        </row>
        <row r="1855">
          <cell r="F1855" t="str">
            <v xml:space="preserve">80266206       </v>
          </cell>
          <cell r="O1855">
            <v>108</v>
          </cell>
        </row>
        <row r="1856">
          <cell r="F1856" t="str">
            <v xml:space="preserve">80266206       </v>
          </cell>
          <cell r="O1856">
            <v>90</v>
          </cell>
        </row>
        <row r="1857">
          <cell r="F1857" t="str">
            <v xml:space="preserve">80266206       </v>
          </cell>
          <cell r="O1857">
            <v>270</v>
          </cell>
        </row>
        <row r="1858">
          <cell r="F1858" t="str">
            <v xml:space="preserve">79119755       </v>
          </cell>
          <cell r="O1858">
            <v>900</v>
          </cell>
        </row>
        <row r="1859">
          <cell r="F1859" t="str">
            <v xml:space="preserve">1111739602     </v>
          </cell>
          <cell r="O1859">
            <v>1800</v>
          </cell>
        </row>
        <row r="1860">
          <cell r="F1860" t="str">
            <v xml:space="preserve">1111739602     </v>
          </cell>
          <cell r="O1860">
            <v>36</v>
          </cell>
        </row>
        <row r="1861">
          <cell r="F1861" t="str">
            <v xml:space="preserve">1111739602     </v>
          </cell>
          <cell r="O1861">
            <v>45</v>
          </cell>
        </row>
        <row r="1862">
          <cell r="F1862" t="str">
            <v xml:space="preserve">1111739602     </v>
          </cell>
          <cell r="O1862">
            <v>30</v>
          </cell>
        </row>
        <row r="1863">
          <cell r="F1863" t="str">
            <v xml:space="preserve">1111739602     </v>
          </cell>
          <cell r="O1863">
            <v>1365</v>
          </cell>
        </row>
        <row r="1864">
          <cell r="F1864" t="str">
            <v xml:space="preserve">1111739602     </v>
          </cell>
          <cell r="O1864">
            <v>405</v>
          </cell>
        </row>
        <row r="1865">
          <cell r="F1865" t="str">
            <v xml:space="preserve">88168843       </v>
          </cell>
          <cell r="O1865">
            <v>45</v>
          </cell>
        </row>
        <row r="1866">
          <cell r="F1866" t="str">
            <v xml:space="preserve">88168843       </v>
          </cell>
          <cell r="O1866">
            <v>144</v>
          </cell>
        </row>
        <row r="1867">
          <cell r="F1867" t="str">
            <v xml:space="preserve">88168843       </v>
          </cell>
          <cell r="O1867">
            <v>90</v>
          </cell>
        </row>
        <row r="1868">
          <cell r="F1868" t="str">
            <v xml:space="preserve">79266522       </v>
          </cell>
          <cell r="O1868">
            <v>180</v>
          </cell>
        </row>
        <row r="1869">
          <cell r="F1869" t="str">
            <v xml:space="preserve">79221604       </v>
          </cell>
          <cell r="O1869">
            <v>306</v>
          </cell>
        </row>
        <row r="1870">
          <cell r="F1870" t="str">
            <v xml:space="preserve">79221604       </v>
          </cell>
          <cell r="O1870">
            <v>45</v>
          </cell>
        </row>
        <row r="1871">
          <cell r="F1871" t="str">
            <v xml:space="preserve">79221604       </v>
          </cell>
          <cell r="O1871">
            <v>18</v>
          </cell>
        </row>
        <row r="1872">
          <cell r="F1872" t="str">
            <v xml:space="preserve">79221604       </v>
          </cell>
          <cell r="O1872">
            <v>180</v>
          </cell>
        </row>
        <row r="1873">
          <cell r="F1873" t="str">
            <v xml:space="preserve">79221604       </v>
          </cell>
          <cell r="O1873">
            <v>90</v>
          </cell>
        </row>
        <row r="1874">
          <cell r="F1874" t="str">
            <v xml:space="preserve">79221604       </v>
          </cell>
          <cell r="O1874">
            <v>18</v>
          </cell>
        </row>
        <row r="1875">
          <cell r="F1875" t="str">
            <v xml:space="preserve">10315862       </v>
          </cell>
          <cell r="O1875">
            <v>162</v>
          </cell>
        </row>
        <row r="1876">
          <cell r="F1876" t="str">
            <v xml:space="preserve">10315862       </v>
          </cell>
          <cell r="O1876">
            <v>90</v>
          </cell>
        </row>
        <row r="1877">
          <cell r="F1877" t="str">
            <v xml:space="preserve">1103101503     </v>
          </cell>
          <cell r="O1877">
            <v>45</v>
          </cell>
        </row>
        <row r="1878">
          <cell r="F1878" t="str">
            <v xml:space="preserve">1103101503     </v>
          </cell>
          <cell r="O1878">
            <v>558</v>
          </cell>
        </row>
        <row r="1879">
          <cell r="F1879" t="str">
            <v xml:space="preserve">1103101503     </v>
          </cell>
          <cell r="O1879">
            <v>45</v>
          </cell>
        </row>
        <row r="1880">
          <cell r="F1880" t="str">
            <v xml:space="preserve">1103101503     </v>
          </cell>
          <cell r="O1880">
            <v>972</v>
          </cell>
        </row>
        <row r="1881">
          <cell r="F1881" t="str">
            <v xml:space="preserve">1103101503     </v>
          </cell>
          <cell r="O1881">
            <v>90</v>
          </cell>
        </row>
        <row r="1882">
          <cell r="F1882" t="str">
            <v xml:space="preserve">92260572       </v>
          </cell>
          <cell r="O1882">
            <v>324</v>
          </cell>
        </row>
        <row r="1883">
          <cell r="F1883" t="str">
            <v xml:space="preserve">92260572       </v>
          </cell>
          <cell r="O1883">
            <v>4.5</v>
          </cell>
        </row>
        <row r="1884">
          <cell r="F1884" t="str">
            <v xml:space="preserve">73166349       </v>
          </cell>
          <cell r="O1884">
            <v>210</v>
          </cell>
        </row>
        <row r="1885">
          <cell r="F1885" t="str">
            <v xml:space="preserve">73166349       </v>
          </cell>
          <cell r="O1885">
            <v>144</v>
          </cell>
        </row>
        <row r="1886">
          <cell r="F1886" t="str">
            <v xml:space="preserve">73166349       </v>
          </cell>
          <cell r="O1886">
            <v>45</v>
          </cell>
        </row>
        <row r="1887">
          <cell r="F1887" t="str">
            <v xml:space="preserve">73507193       </v>
          </cell>
          <cell r="O1887">
            <v>240</v>
          </cell>
        </row>
        <row r="1888">
          <cell r="F1888" t="str">
            <v xml:space="preserve">73507193       </v>
          </cell>
          <cell r="O1888">
            <v>414</v>
          </cell>
        </row>
        <row r="1889">
          <cell r="F1889" t="str">
            <v xml:space="preserve">73507193       </v>
          </cell>
          <cell r="O1889">
            <v>45</v>
          </cell>
        </row>
        <row r="1890">
          <cell r="F1890" t="str">
            <v xml:space="preserve">91540489       </v>
          </cell>
          <cell r="O1890">
            <v>1050</v>
          </cell>
        </row>
        <row r="1891">
          <cell r="F1891" t="str">
            <v xml:space="preserve">74170036       </v>
          </cell>
          <cell r="O1891">
            <v>432</v>
          </cell>
        </row>
        <row r="1892">
          <cell r="F1892" t="str">
            <v xml:space="preserve">74170036       </v>
          </cell>
          <cell r="O1892">
            <v>90</v>
          </cell>
        </row>
        <row r="1893">
          <cell r="F1893" t="str">
            <v xml:space="preserve">7305425        </v>
          </cell>
          <cell r="O1893">
            <v>15</v>
          </cell>
        </row>
        <row r="1894">
          <cell r="F1894" t="str">
            <v xml:space="preserve">7305425        </v>
          </cell>
          <cell r="O1894">
            <v>432</v>
          </cell>
        </row>
        <row r="1895">
          <cell r="F1895" t="str">
            <v xml:space="preserve">7305425        </v>
          </cell>
          <cell r="O1895">
            <v>180</v>
          </cell>
        </row>
        <row r="1896">
          <cell r="F1896" t="str">
            <v xml:space="preserve">7301411        </v>
          </cell>
          <cell r="O1896">
            <v>225</v>
          </cell>
        </row>
        <row r="1897">
          <cell r="F1897" t="str">
            <v xml:space="preserve">4252280        </v>
          </cell>
          <cell r="O1897">
            <v>135</v>
          </cell>
        </row>
        <row r="1898">
          <cell r="F1898" t="str">
            <v xml:space="preserve">35250577       </v>
          </cell>
          <cell r="O1898">
            <v>270</v>
          </cell>
        </row>
        <row r="1899">
          <cell r="F1899" t="str">
            <v xml:space="preserve">35250577       </v>
          </cell>
          <cell r="O1899">
            <v>180</v>
          </cell>
        </row>
        <row r="1900">
          <cell r="F1900" t="str">
            <v xml:space="preserve">11320273       </v>
          </cell>
          <cell r="O1900">
            <v>1080</v>
          </cell>
        </row>
        <row r="1901">
          <cell r="F1901" t="str">
            <v xml:space="preserve">11320273       </v>
          </cell>
          <cell r="O1901">
            <v>720</v>
          </cell>
        </row>
        <row r="1902">
          <cell r="F1902" t="str">
            <v xml:space="preserve">18185538       </v>
          </cell>
          <cell r="O1902">
            <v>360</v>
          </cell>
        </row>
        <row r="1903">
          <cell r="F1903" t="str">
            <v xml:space="preserve">18185538       </v>
          </cell>
          <cell r="O1903">
            <v>135</v>
          </cell>
        </row>
        <row r="1904">
          <cell r="F1904" t="str">
            <v xml:space="preserve">83226520       </v>
          </cell>
          <cell r="O1904">
            <v>1800</v>
          </cell>
        </row>
        <row r="1905">
          <cell r="F1905" t="str">
            <v xml:space="preserve">83226520       </v>
          </cell>
          <cell r="O1905">
            <v>1782</v>
          </cell>
        </row>
        <row r="1906">
          <cell r="F1906" t="str">
            <v xml:space="preserve">83226520       </v>
          </cell>
          <cell r="O1906">
            <v>150</v>
          </cell>
        </row>
        <row r="1907">
          <cell r="F1907" t="str">
            <v xml:space="preserve">83226520       </v>
          </cell>
          <cell r="O1907">
            <v>315</v>
          </cell>
        </row>
        <row r="1908">
          <cell r="F1908" t="str">
            <v xml:space="preserve">12266504       </v>
          </cell>
          <cell r="O1908">
            <v>495</v>
          </cell>
        </row>
        <row r="1909">
          <cell r="F1909" t="str">
            <v xml:space="preserve">12266504       </v>
          </cell>
          <cell r="O1909">
            <v>270</v>
          </cell>
        </row>
        <row r="1910">
          <cell r="F1910" t="str">
            <v xml:space="preserve">12266504       </v>
          </cell>
          <cell r="O1910">
            <v>36</v>
          </cell>
        </row>
        <row r="1911">
          <cell r="F1911" t="str">
            <v xml:space="preserve">12231586       </v>
          </cell>
          <cell r="O1911">
            <v>30</v>
          </cell>
        </row>
        <row r="1912">
          <cell r="F1912" t="str">
            <v xml:space="preserve">12231586       </v>
          </cell>
          <cell r="O1912">
            <v>54</v>
          </cell>
        </row>
        <row r="1913">
          <cell r="F1913" t="str">
            <v xml:space="preserve">12231586       </v>
          </cell>
          <cell r="O1913">
            <v>135</v>
          </cell>
        </row>
        <row r="1914">
          <cell r="F1914" t="str">
            <v xml:space="preserve">83042067       </v>
          </cell>
          <cell r="O1914">
            <v>90</v>
          </cell>
        </row>
        <row r="1915">
          <cell r="F1915" t="str">
            <v xml:space="preserve">83042067       </v>
          </cell>
          <cell r="O1915">
            <v>135</v>
          </cell>
        </row>
        <row r="1916">
          <cell r="F1916" t="str">
            <v xml:space="preserve">83042067       </v>
          </cell>
          <cell r="O1916">
            <v>18</v>
          </cell>
        </row>
        <row r="1917">
          <cell r="F1917" t="str">
            <v xml:space="preserve">83042067       </v>
          </cell>
          <cell r="O1917">
            <v>270</v>
          </cell>
        </row>
        <row r="1918">
          <cell r="F1918" t="str">
            <v xml:space="preserve">83042067       </v>
          </cell>
          <cell r="O1918">
            <v>165</v>
          </cell>
        </row>
        <row r="1919">
          <cell r="F1919" t="str">
            <v xml:space="preserve">83042067       </v>
          </cell>
          <cell r="O1919">
            <v>36</v>
          </cell>
        </row>
        <row r="1920">
          <cell r="F1920" t="str">
            <v xml:space="preserve">83042067       </v>
          </cell>
          <cell r="O1920">
            <v>180</v>
          </cell>
        </row>
        <row r="1921">
          <cell r="F1921" t="str">
            <v xml:space="preserve">18144684       </v>
          </cell>
          <cell r="O1921">
            <v>255</v>
          </cell>
        </row>
        <row r="1922">
          <cell r="F1922" t="str">
            <v xml:space="preserve">16864143       </v>
          </cell>
          <cell r="O1922">
            <v>480</v>
          </cell>
        </row>
        <row r="1923">
          <cell r="F1923" t="str">
            <v xml:space="preserve">16864143       </v>
          </cell>
          <cell r="O1923">
            <v>162</v>
          </cell>
        </row>
        <row r="1924">
          <cell r="F1924" t="str">
            <v xml:space="preserve">16864143       </v>
          </cell>
          <cell r="O1924">
            <v>135</v>
          </cell>
        </row>
        <row r="1925">
          <cell r="F1925" t="str">
            <v xml:space="preserve">1062292334     </v>
          </cell>
          <cell r="O1925">
            <v>90</v>
          </cell>
        </row>
        <row r="1926">
          <cell r="F1926" t="str">
            <v xml:space="preserve">1062292334     </v>
          </cell>
          <cell r="O1926">
            <v>480</v>
          </cell>
        </row>
        <row r="1927">
          <cell r="F1927" t="str">
            <v xml:space="preserve">1062292334     </v>
          </cell>
          <cell r="O1927">
            <v>288</v>
          </cell>
        </row>
        <row r="1928">
          <cell r="F1928" t="str">
            <v xml:space="preserve">15945210       </v>
          </cell>
          <cell r="O1928">
            <v>30</v>
          </cell>
        </row>
        <row r="1929">
          <cell r="F1929" t="str">
            <v xml:space="preserve">15945210       </v>
          </cell>
          <cell r="O1929">
            <v>360</v>
          </cell>
        </row>
        <row r="1930">
          <cell r="F1930" t="str">
            <v xml:space="preserve">15945210       </v>
          </cell>
          <cell r="O1930">
            <v>45</v>
          </cell>
        </row>
        <row r="1931">
          <cell r="F1931" t="str">
            <v xml:space="preserve">15945210       </v>
          </cell>
          <cell r="O1931">
            <v>270</v>
          </cell>
        </row>
        <row r="1932">
          <cell r="F1932" t="str">
            <v xml:space="preserve">15945210       </v>
          </cell>
          <cell r="O1932">
            <v>90</v>
          </cell>
        </row>
        <row r="1933">
          <cell r="F1933" t="str">
            <v xml:space="preserve">93287188       </v>
          </cell>
          <cell r="O1933">
            <v>30</v>
          </cell>
        </row>
        <row r="1934">
          <cell r="F1934" t="str">
            <v xml:space="preserve">93287188       </v>
          </cell>
          <cell r="O1934">
            <v>180</v>
          </cell>
        </row>
        <row r="1935">
          <cell r="F1935" t="str">
            <v xml:space="preserve">1068972221     </v>
          </cell>
          <cell r="O1935">
            <v>990</v>
          </cell>
        </row>
        <row r="1936">
          <cell r="F1936" t="str">
            <v xml:space="preserve">1068972221     </v>
          </cell>
          <cell r="O1936">
            <v>360</v>
          </cell>
        </row>
        <row r="1937">
          <cell r="F1937" t="str">
            <v xml:space="preserve">1010164223     </v>
          </cell>
          <cell r="O1937">
            <v>135</v>
          </cell>
        </row>
        <row r="1938">
          <cell r="F1938" t="str">
            <v xml:space="preserve">1010164223     </v>
          </cell>
          <cell r="O1938">
            <v>324</v>
          </cell>
        </row>
        <row r="1939">
          <cell r="F1939" t="str">
            <v xml:space="preserve">1015995477     </v>
          </cell>
          <cell r="O1939">
            <v>126</v>
          </cell>
        </row>
        <row r="1940">
          <cell r="F1940" t="str">
            <v xml:space="preserve">1015995477     </v>
          </cell>
          <cell r="O1940">
            <v>30</v>
          </cell>
        </row>
        <row r="1941">
          <cell r="F1941" t="str">
            <v xml:space="preserve">80351964       </v>
          </cell>
          <cell r="O1941">
            <v>108</v>
          </cell>
        </row>
        <row r="1942">
          <cell r="F1942" t="str">
            <v xml:space="preserve">80351964       </v>
          </cell>
          <cell r="O1942">
            <v>15</v>
          </cell>
        </row>
        <row r="1943">
          <cell r="F1943" t="str">
            <v xml:space="preserve">80351964       </v>
          </cell>
          <cell r="O1943">
            <v>288</v>
          </cell>
        </row>
        <row r="1944">
          <cell r="F1944" t="str">
            <v xml:space="preserve">80351964       </v>
          </cell>
          <cell r="O1944">
            <v>90</v>
          </cell>
        </row>
        <row r="1945">
          <cell r="F1945" t="str">
            <v xml:space="preserve">80283261       </v>
          </cell>
          <cell r="O1945">
            <v>225</v>
          </cell>
        </row>
        <row r="1946">
          <cell r="F1946" t="str">
            <v xml:space="preserve">4090572        </v>
          </cell>
          <cell r="O1946">
            <v>54</v>
          </cell>
        </row>
        <row r="1947">
          <cell r="F1947" t="str">
            <v xml:space="preserve">4090572        </v>
          </cell>
          <cell r="O1947">
            <v>738</v>
          </cell>
        </row>
        <row r="1948">
          <cell r="F1948" t="str">
            <v xml:space="preserve">80024551       </v>
          </cell>
          <cell r="O1948">
            <v>27</v>
          </cell>
        </row>
        <row r="1949">
          <cell r="F1949" t="str">
            <v xml:space="preserve">80024551       </v>
          </cell>
          <cell r="O1949">
            <v>45</v>
          </cell>
        </row>
        <row r="1950">
          <cell r="F1950" t="str">
            <v xml:space="preserve">80024551       </v>
          </cell>
          <cell r="O1950">
            <v>1116</v>
          </cell>
        </row>
        <row r="1951">
          <cell r="F1951" t="str">
            <v xml:space="preserve">80024551       </v>
          </cell>
          <cell r="O1951">
            <v>360</v>
          </cell>
        </row>
        <row r="1952">
          <cell r="F1952" t="str">
            <v xml:space="preserve">80024551       </v>
          </cell>
          <cell r="O1952">
            <v>126</v>
          </cell>
        </row>
        <row r="1953">
          <cell r="F1953" t="str">
            <v xml:space="preserve">80024551       </v>
          </cell>
          <cell r="O1953">
            <v>90</v>
          </cell>
        </row>
        <row r="1954">
          <cell r="F1954" t="str">
            <v xml:space="preserve">80024551       </v>
          </cell>
          <cell r="O1954">
            <v>972</v>
          </cell>
        </row>
        <row r="1955">
          <cell r="F1955" t="str">
            <v xml:space="preserve">80024551       </v>
          </cell>
          <cell r="O1955">
            <v>90</v>
          </cell>
        </row>
        <row r="1956">
          <cell r="F1956" t="str">
            <v xml:space="preserve">4198272        </v>
          </cell>
          <cell r="O1956">
            <v>162</v>
          </cell>
        </row>
        <row r="1957">
          <cell r="F1957" t="str">
            <v xml:space="preserve">4090806        </v>
          </cell>
          <cell r="O1957">
            <v>99</v>
          </cell>
        </row>
        <row r="1958">
          <cell r="F1958" t="str">
            <v xml:space="preserve">4090806        </v>
          </cell>
          <cell r="O1958">
            <v>540</v>
          </cell>
        </row>
        <row r="1959">
          <cell r="F1959" t="str">
            <v xml:space="preserve">4090806        </v>
          </cell>
          <cell r="O1959">
            <v>90</v>
          </cell>
        </row>
        <row r="1960">
          <cell r="F1960" t="str">
            <v xml:space="preserve">1126452165     </v>
          </cell>
          <cell r="O1960">
            <v>300</v>
          </cell>
        </row>
        <row r="1961">
          <cell r="F1961" t="str">
            <v xml:space="preserve">1126452165     </v>
          </cell>
          <cell r="O1961">
            <v>108</v>
          </cell>
        </row>
        <row r="1962">
          <cell r="F1962" t="str">
            <v xml:space="preserve">79339314       </v>
          </cell>
          <cell r="O1962">
            <v>135</v>
          </cell>
        </row>
        <row r="1963">
          <cell r="F1963" t="str">
            <v xml:space="preserve">79339314       </v>
          </cell>
          <cell r="O1963">
            <v>54</v>
          </cell>
        </row>
        <row r="1964">
          <cell r="F1964" t="str">
            <v xml:space="preserve">79339314       </v>
          </cell>
          <cell r="O1964">
            <v>90</v>
          </cell>
        </row>
        <row r="1965">
          <cell r="F1965" t="str">
            <v xml:space="preserve">79339314       </v>
          </cell>
          <cell r="O1965">
            <v>90</v>
          </cell>
        </row>
        <row r="1966">
          <cell r="F1966" t="str">
            <v xml:space="preserve">3171403        </v>
          </cell>
          <cell r="O1966">
            <v>15</v>
          </cell>
        </row>
        <row r="1967">
          <cell r="F1967" t="str">
            <v xml:space="preserve">3171403        </v>
          </cell>
          <cell r="O1967">
            <v>378</v>
          </cell>
        </row>
        <row r="1968">
          <cell r="F1968" t="str">
            <v xml:space="preserve">3171403        </v>
          </cell>
          <cell r="O1968">
            <v>405</v>
          </cell>
        </row>
        <row r="1969">
          <cell r="F1969" t="str">
            <v xml:space="preserve">83218584       </v>
          </cell>
          <cell r="O1969">
            <v>288</v>
          </cell>
        </row>
        <row r="1970">
          <cell r="F1970" t="str">
            <v xml:space="preserve">83218584       </v>
          </cell>
          <cell r="O1970">
            <v>135</v>
          </cell>
        </row>
        <row r="1971">
          <cell r="F1971" t="str">
            <v xml:space="preserve">83218584       </v>
          </cell>
          <cell r="O1971">
            <v>345</v>
          </cell>
        </row>
        <row r="1972">
          <cell r="F1972" t="str">
            <v xml:space="preserve">7305728        </v>
          </cell>
          <cell r="O1972">
            <v>225</v>
          </cell>
        </row>
        <row r="1973">
          <cell r="F1973" t="str">
            <v xml:space="preserve">7305728        </v>
          </cell>
          <cell r="O1973">
            <v>504</v>
          </cell>
        </row>
        <row r="1974">
          <cell r="F1974" t="str">
            <v xml:space="preserve">7305728        </v>
          </cell>
          <cell r="O1974">
            <v>90</v>
          </cell>
        </row>
        <row r="1975">
          <cell r="F1975" t="str">
            <v xml:space="preserve">51856228       </v>
          </cell>
          <cell r="O1975">
            <v>1026</v>
          </cell>
        </row>
        <row r="1976">
          <cell r="F1976" t="str">
            <v xml:space="preserve">51856228       </v>
          </cell>
          <cell r="O1976">
            <v>495</v>
          </cell>
        </row>
        <row r="1977">
          <cell r="F1977" t="str">
            <v xml:space="preserve">830133323      </v>
          </cell>
          <cell r="O1977">
            <v>18</v>
          </cell>
        </row>
        <row r="1978">
          <cell r="F1978" t="str">
            <v xml:space="preserve">830133323      </v>
          </cell>
          <cell r="O1978">
            <v>18</v>
          </cell>
        </row>
        <row r="1979">
          <cell r="F1979" t="str">
            <v xml:space="preserve">63316163       </v>
          </cell>
          <cell r="O1979">
            <v>1260</v>
          </cell>
        </row>
        <row r="1980">
          <cell r="F1980" t="str">
            <v xml:space="preserve">63316163       </v>
          </cell>
          <cell r="O1980">
            <v>675</v>
          </cell>
        </row>
        <row r="1981">
          <cell r="F1981" t="str">
            <v xml:space="preserve">1097404034     </v>
          </cell>
          <cell r="O1981">
            <v>435</v>
          </cell>
        </row>
        <row r="1982">
          <cell r="F1982" t="str">
            <v xml:space="preserve">1097404034     </v>
          </cell>
          <cell r="O1982">
            <v>54</v>
          </cell>
        </row>
        <row r="1983">
          <cell r="F1983" t="str">
            <v xml:space="preserve">1097404034     </v>
          </cell>
          <cell r="O1983">
            <v>90</v>
          </cell>
        </row>
        <row r="1984">
          <cell r="F1984" t="str">
            <v xml:space="preserve">7545517        </v>
          </cell>
          <cell r="O1984">
            <v>120</v>
          </cell>
        </row>
        <row r="1985">
          <cell r="F1985" t="str">
            <v xml:space="preserve">7545517        </v>
          </cell>
          <cell r="O1985">
            <v>234</v>
          </cell>
        </row>
        <row r="1986">
          <cell r="F1986" t="str">
            <v xml:space="preserve">10185600       </v>
          </cell>
          <cell r="O1986">
            <v>648</v>
          </cell>
        </row>
        <row r="1987">
          <cell r="F1987" t="str">
            <v xml:space="preserve">10185600       </v>
          </cell>
          <cell r="O1987">
            <v>198</v>
          </cell>
        </row>
        <row r="1988">
          <cell r="F1988" t="str">
            <v xml:space="preserve">94071517       </v>
          </cell>
          <cell r="O1988">
            <v>225</v>
          </cell>
        </row>
        <row r="1989">
          <cell r="F1989" t="str">
            <v xml:space="preserve">94071517       </v>
          </cell>
          <cell r="O1989">
            <v>90</v>
          </cell>
        </row>
        <row r="1990">
          <cell r="F1990" t="str">
            <v xml:space="preserve">8435389        </v>
          </cell>
          <cell r="O1990">
            <v>855</v>
          </cell>
        </row>
        <row r="1991">
          <cell r="F1991" t="str">
            <v xml:space="preserve">8435389        </v>
          </cell>
          <cell r="O1991">
            <v>90</v>
          </cell>
        </row>
        <row r="1992">
          <cell r="F1992" t="str">
            <v xml:space="preserve">8458310        </v>
          </cell>
          <cell r="O1992">
            <v>180</v>
          </cell>
        </row>
        <row r="1993">
          <cell r="F1993" t="str">
            <v xml:space="preserve">8458310        </v>
          </cell>
          <cell r="O1993">
            <v>90</v>
          </cell>
        </row>
        <row r="1994">
          <cell r="F1994" t="str">
            <v xml:space="preserve">71174894       </v>
          </cell>
          <cell r="O1994">
            <v>9</v>
          </cell>
        </row>
        <row r="1995">
          <cell r="F1995" t="str">
            <v xml:space="preserve">71174894       </v>
          </cell>
          <cell r="O1995">
            <v>2760</v>
          </cell>
        </row>
        <row r="1996">
          <cell r="F1996" t="str">
            <v xml:space="preserve">71174894       </v>
          </cell>
          <cell r="O1996">
            <v>108</v>
          </cell>
        </row>
        <row r="1997">
          <cell r="F1997" t="str">
            <v xml:space="preserve">1101440685     </v>
          </cell>
          <cell r="O1997">
            <v>405</v>
          </cell>
        </row>
        <row r="1998">
          <cell r="F1998" t="str">
            <v xml:space="preserve">1101440685     </v>
          </cell>
          <cell r="O1998">
            <v>522</v>
          </cell>
        </row>
        <row r="1999">
          <cell r="F1999" t="str">
            <v xml:space="preserve">901269856      </v>
          </cell>
          <cell r="O1999">
            <v>45</v>
          </cell>
        </row>
        <row r="2000">
          <cell r="F2000" t="str">
            <v xml:space="preserve">901269856      </v>
          </cell>
          <cell r="O2000">
            <v>558</v>
          </cell>
        </row>
        <row r="2001">
          <cell r="F2001" t="str">
            <v xml:space="preserve">1023722736     </v>
          </cell>
          <cell r="O2001">
            <v>675</v>
          </cell>
        </row>
        <row r="2002">
          <cell r="F2002" t="str">
            <v xml:space="preserve">1023722736     </v>
          </cell>
          <cell r="O2002">
            <v>72</v>
          </cell>
        </row>
        <row r="2003">
          <cell r="F2003" t="str">
            <v xml:space="preserve">1023722736     </v>
          </cell>
          <cell r="O2003">
            <v>180</v>
          </cell>
        </row>
        <row r="2004">
          <cell r="F2004" t="str">
            <v xml:space="preserve">1039696881     </v>
          </cell>
          <cell r="O2004">
            <v>9</v>
          </cell>
        </row>
        <row r="2005">
          <cell r="F2005" t="str">
            <v xml:space="preserve">1039696881     </v>
          </cell>
          <cell r="O2005">
            <v>9</v>
          </cell>
        </row>
        <row r="2006">
          <cell r="F2006" t="str">
            <v xml:space="preserve">1039696881     </v>
          </cell>
          <cell r="O2006">
            <v>1224</v>
          </cell>
        </row>
        <row r="2007">
          <cell r="F2007" t="str">
            <v xml:space="preserve">1039696881     </v>
          </cell>
          <cell r="O2007">
            <v>90</v>
          </cell>
        </row>
        <row r="2008">
          <cell r="F2008" t="str">
            <v xml:space="preserve">1039696881     </v>
          </cell>
          <cell r="O2008">
            <v>9</v>
          </cell>
        </row>
        <row r="2009">
          <cell r="F2009" t="str">
            <v xml:space="preserve">1039696881     </v>
          </cell>
          <cell r="O2009">
            <v>1260</v>
          </cell>
        </row>
        <row r="2010">
          <cell r="F2010" t="str">
            <v xml:space="preserve">1039696881     </v>
          </cell>
          <cell r="O2010">
            <v>504</v>
          </cell>
        </row>
        <row r="2011">
          <cell r="F2011" t="str">
            <v xml:space="preserve">1092154547     </v>
          </cell>
          <cell r="O2011">
            <v>27</v>
          </cell>
        </row>
        <row r="2012">
          <cell r="F2012" t="str">
            <v xml:space="preserve">1092154547     </v>
          </cell>
          <cell r="O2012">
            <v>15</v>
          </cell>
        </row>
        <row r="2013">
          <cell r="F2013" t="str">
            <v xml:space="preserve">1092154547     </v>
          </cell>
          <cell r="O2013">
            <v>558</v>
          </cell>
        </row>
        <row r="2014">
          <cell r="F2014" t="str">
            <v xml:space="preserve">901423944      </v>
          </cell>
          <cell r="O2014">
            <v>45</v>
          </cell>
        </row>
        <row r="2015">
          <cell r="F2015" t="str">
            <v xml:space="preserve">901429592      </v>
          </cell>
          <cell r="O2015">
            <v>18</v>
          </cell>
        </row>
        <row r="2016">
          <cell r="F2016" t="str">
            <v xml:space="preserve">901299892      </v>
          </cell>
          <cell r="O2016">
            <v>9900</v>
          </cell>
        </row>
        <row r="2017">
          <cell r="F2017" t="str">
            <v xml:space="preserve">91352291       </v>
          </cell>
          <cell r="O2017">
            <v>15</v>
          </cell>
        </row>
        <row r="2018">
          <cell r="F2018" t="str">
            <v xml:space="preserve">91352291       </v>
          </cell>
          <cell r="O2018">
            <v>126</v>
          </cell>
        </row>
        <row r="2019">
          <cell r="F2019" t="str">
            <v xml:space="preserve">91352291       </v>
          </cell>
          <cell r="O2019">
            <v>135</v>
          </cell>
        </row>
        <row r="2020">
          <cell r="F2020" t="str">
            <v xml:space="preserve">91352291       </v>
          </cell>
          <cell r="O2020">
            <v>54</v>
          </cell>
        </row>
        <row r="2021">
          <cell r="F2021" t="str">
            <v xml:space="preserve">91352291       </v>
          </cell>
          <cell r="O2021">
            <v>405</v>
          </cell>
        </row>
        <row r="2022">
          <cell r="F2022" t="str">
            <v xml:space="preserve">91352291       </v>
          </cell>
          <cell r="O2022">
            <v>60</v>
          </cell>
        </row>
        <row r="2023">
          <cell r="F2023" t="str">
            <v xml:space="preserve">91352291       </v>
          </cell>
          <cell r="O2023">
            <v>270</v>
          </cell>
        </row>
        <row r="2024">
          <cell r="F2024" t="str">
            <v xml:space="preserve">91352291       </v>
          </cell>
          <cell r="O2024">
            <v>45</v>
          </cell>
        </row>
        <row r="2025">
          <cell r="F2025" t="str">
            <v xml:space="preserve">15381508       </v>
          </cell>
          <cell r="O2025">
            <v>285</v>
          </cell>
        </row>
        <row r="2026">
          <cell r="F2026" t="str">
            <v xml:space="preserve">15381508       </v>
          </cell>
          <cell r="O2026">
            <v>342</v>
          </cell>
        </row>
        <row r="2027">
          <cell r="F2027" t="str">
            <v xml:space="preserve">15381508       </v>
          </cell>
          <cell r="O2027">
            <v>90</v>
          </cell>
        </row>
        <row r="2028">
          <cell r="F2028" t="str">
            <v xml:space="preserve">15381508       </v>
          </cell>
          <cell r="O2028">
            <v>180</v>
          </cell>
        </row>
        <row r="2029">
          <cell r="F2029" t="str">
            <v xml:space="preserve">15381508       </v>
          </cell>
          <cell r="O2029">
            <v>105</v>
          </cell>
        </row>
        <row r="2030">
          <cell r="F2030" t="str">
            <v xml:space="preserve">15381508       </v>
          </cell>
          <cell r="O2030">
            <v>234</v>
          </cell>
        </row>
        <row r="2031">
          <cell r="F2031" t="str">
            <v xml:space="preserve">15381508       </v>
          </cell>
          <cell r="O2031">
            <v>135</v>
          </cell>
        </row>
        <row r="2032">
          <cell r="F2032" t="str">
            <v xml:space="preserve">15381508       </v>
          </cell>
          <cell r="O2032">
            <v>324</v>
          </cell>
        </row>
        <row r="2033">
          <cell r="F2033" t="str">
            <v xml:space="preserve">15381508       </v>
          </cell>
          <cell r="O2033">
            <v>45</v>
          </cell>
        </row>
        <row r="2034">
          <cell r="F2034" t="str">
            <v xml:space="preserve">15381508       </v>
          </cell>
          <cell r="O2034">
            <v>135</v>
          </cell>
        </row>
        <row r="2035">
          <cell r="F2035" t="str">
            <v xml:space="preserve">15381508       </v>
          </cell>
          <cell r="O2035">
            <v>108</v>
          </cell>
        </row>
        <row r="2036">
          <cell r="F2036" t="str">
            <v xml:space="preserve">71388276       </v>
          </cell>
          <cell r="O2036">
            <v>126</v>
          </cell>
        </row>
        <row r="2037">
          <cell r="F2037" t="str">
            <v xml:space="preserve">71388276       </v>
          </cell>
          <cell r="O2037">
            <v>45</v>
          </cell>
        </row>
        <row r="2038">
          <cell r="F2038" t="str">
            <v xml:space="preserve">6802563        </v>
          </cell>
          <cell r="O2038">
            <v>120</v>
          </cell>
        </row>
        <row r="2039">
          <cell r="F2039" t="str">
            <v xml:space="preserve">6802563        </v>
          </cell>
          <cell r="O2039">
            <v>90</v>
          </cell>
        </row>
        <row r="2040">
          <cell r="F2040" t="str">
            <v xml:space="preserve">6802563        </v>
          </cell>
          <cell r="O2040">
            <v>45</v>
          </cell>
        </row>
        <row r="2041">
          <cell r="F2041" t="str">
            <v xml:space="preserve">6802563        </v>
          </cell>
          <cell r="O2041">
            <v>450</v>
          </cell>
        </row>
        <row r="2042">
          <cell r="F2042" t="str">
            <v xml:space="preserve">88273778       </v>
          </cell>
          <cell r="O2042">
            <v>15</v>
          </cell>
        </row>
        <row r="2043">
          <cell r="F2043" t="str">
            <v xml:space="preserve">88273778       </v>
          </cell>
          <cell r="O2043">
            <v>420</v>
          </cell>
        </row>
        <row r="2044">
          <cell r="F2044" t="str">
            <v xml:space="preserve">88273778       </v>
          </cell>
          <cell r="O2044">
            <v>45</v>
          </cell>
        </row>
        <row r="2045">
          <cell r="F2045" t="str">
            <v xml:space="preserve">10174892       </v>
          </cell>
          <cell r="O2045">
            <v>75</v>
          </cell>
        </row>
        <row r="2046">
          <cell r="F2046" t="str">
            <v xml:space="preserve">10174892       </v>
          </cell>
          <cell r="O2046">
            <v>900</v>
          </cell>
        </row>
        <row r="2047">
          <cell r="F2047" t="str">
            <v xml:space="preserve">7250220        </v>
          </cell>
          <cell r="O2047">
            <v>75</v>
          </cell>
        </row>
        <row r="2048">
          <cell r="F2048" t="str">
            <v xml:space="preserve">7250220        </v>
          </cell>
          <cell r="O2048">
            <v>72</v>
          </cell>
        </row>
        <row r="2049">
          <cell r="F2049" t="str">
            <v xml:space="preserve">7250220        </v>
          </cell>
          <cell r="O2049">
            <v>225</v>
          </cell>
        </row>
        <row r="2050">
          <cell r="F2050" t="str">
            <v xml:space="preserve">7250220        </v>
          </cell>
          <cell r="O2050">
            <v>198</v>
          </cell>
        </row>
        <row r="2051">
          <cell r="F2051" t="str">
            <v xml:space="preserve">13476066       </v>
          </cell>
          <cell r="O2051">
            <v>45</v>
          </cell>
        </row>
        <row r="2052">
          <cell r="F2052" t="str">
            <v xml:space="preserve">13476066       </v>
          </cell>
          <cell r="O2052">
            <v>165</v>
          </cell>
        </row>
        <row r="2053">
          <cell r="F2053" t="str">
            <v xml:space="preserve">13476066       </v>
          </cell>
          <cell r="O2053">
            <v>18</v>
          </cell>
        </row>
        <row r="2054">
          <cell r="F2054" t="str">
            <v xml:space="preserve">98763233       </v>
          </cell>
          <cell r="O2054">
            <v>9</v>
          </cell>
        </row>
        <row r="2055">
          <cell r="F2055" t="str">
            <v xml:space="preserve">98763233       </v>
          </cell>
          <cell r="O2055">
            <v>486</v>
          </cell>
        </row>
        <row r="2056">
          <cell r="F2056" t="str">
            <v xml:space="preserve">98711342       </v>
          </cell>
          <cell r="O2056">
            <v>9</v>
          </cell>
        </row>
        <row r="2057">
          <cell r="F2057" t="str">
            <v xml:space="preserve">98711342       </v>
          </cell>
          <cell r="O2057">
            <v>720</v>
          </cell>
        </row>
        <row r="2058">
          <cell r="F2058" t="str">
            <v xml:space="preserve">1036942800     </v>
          </cell>
          <cell r="O2058">
            <v>675</v>
          </cell>
        </row>
        <row r="2059">
          <cell r="F2059" t="str">
            <v xml:space="preserve">1036942800     </v>
          </cell>
          <cell r="O2059">
            <v>522</v>
          </cell>
        </row>
        <row r="2060">
          <cell r="F2060" t="str">
            <v xml:space="preserve">1036942800     </v>
          </cell>
          <cell r="O2060">
            <v>18</v>
          </cell>
        </row>
        <row r="2061">
          <cell r="F2061" t="str">
            <v xml:space="preserve">1036942800     </v>
          </cell>
          <cell r="O2061">
            <v>105</v>
          </cell>
        </row>
        <row r="2062">
          <cell r="F2062" t="str">
            <v xml:space="preserve">1090397527     </v>
          </cell>
          <cell r="O2062">
            <v>180</v>
          </cell>
        </row>
        <row r="2063">
          <cell r="F2063" t="str">
            <v xml:space="preserve">1090397527     </v>
          </cell>
          <cell r="O2063">
            <v>630</v>
          </cell>
        </row>
        <row r="2064">
          <cell r="F2064" t="str">
            <v xml:space="preserve">1090397527     </v>
          </cell>
          <cell r="O2064">
            <v>315</v>
          </cell>
        </row>
        <row r="2065">
          <cell r="F2065" t="str">
            <v xml:space="preserve">1090397527     </v>
          </cell>
          <cell r="O2065">
            <v>18</v>
          </cell>
        </row>
        <row r="2066">
          <cell r="F2066" t="str">
            <v xml:space="preserve">1090397527     </v>
          </cell>
          <cell r="O2066">
            <v>45</v>
          </cell>
        </row>
        <row r="2067">
          <cell r="F2067" t="str">
            <v xml:space="preserve">1090397527     </v>
          </cell>
          <cell r="O2067">
            <v>675</v>
          </cell>
        </row>
        <row r="2068">
          <cell r="F2068" t="str">
            <v xml:space="preserve">1090397527     </v>
          </cell>
          <cell r="O2068">
            <v>36</v>
          </cell>
        </row>
        <row r="2069">
          <cell r="F2069" t="str">
            <v xml:space="preserve">1090397527     </v>
          </cell>
          <cell r="O2069">
            <v>855</v>
          </cell>
        </row>
        <row r="2070">
          <cell r="F2070" t="str">
            <v xml:space="preserve">1090397527     </v>
          </cell>
          <cell r="O2070">
            <v>300</v>
          </cell>
        </row>
        <row r="2071">
          <cell r="F2071" t="str">
            <v xml:space="preserve">1090397527     </v>
          </cell>
          <cell r="O2071">
            <v>450</v>
          </cell>
        </row>
        <row r="2072">
          <cell r="F2072" t="str">
            <v xml:space="preserve">1090397527     </v>
          </cell>
          <cell r="O2072">
            <v>570</v>
          </cell>
        </row>
        <row r="2073">
          <cell r="F2073" t="str">
            <v xml:space="preserve">1090397527     </v>
          </cell>
          <cell r="O2073">
            <v>990</v>
          </cell>
        </row>
        <row r="2074">
          <cell r="F2074" t="str">
            <v xml:space="preserve">1090397527     </v>
          </cell>
          <cell r="O2074">
            <v>75</v>
          </cell>
        </row>
        <row r="2075">
          <cell r="F2075" t="str">
            <v xml:space="preserve">1090397527     </v>
          </cell>
          <cell r="O2075">
            <v>18</v>
          </cell>
        </row>
        <row r="2076">
          <cell r="F2076" t="str">
            <v xml:space="preserve">1090397527     </v>
          </cell>
          <cell r="O2076">
            <v>45</v>
          </cell>
        </row>
        <row r="2077">
          <cell r="F2077" t="str">
            <v xml:space="preserve">1100623000     </v>
          </cell>
          <cell r="O2077">
            <v>60</v>
          </cell>
        </row>
        <row r="2078">
          <cell r="F2078" t="str">
            <v xml:space="preserve">1100623000     </v>
          </cell>
          <cell r="O2078">
            <v>972</v>
          </cell>
        </row>
        <row r="2079">
          <cell r="F2079" t="str">
            <v xml:space="preserve">1100623000     </v>
          </cell>
          <cell r="O2079">
            <v>45</v>
          </cell>
        </row>
        <row r="2080">
          <cell r="F2080" t="str">
            <v xml:space="preserve">73126502       </v>
          </cell>
          <cell r="O2080">
            <v>375</v>
          </cell>
        </row>
        <row r="2081">
          <cell r="F2081" t="str">
            <v xml:space="preserve">73126502       </v>
          </cell>
          <cell r="O2081">
            <v>180</v>
          </cell>
        </row>
        <row r="2082">
          <cell r="F2082" t="str">
            <v xml:space="preserve">24341063       </v>
          </cell>
          <cell r="O2082">
            <v>18</v>
          </cell>
        </row>
        <row r="2083">
          <cell r="F2083" t="str">
            <v xml:space="preserve">24341063       </v>
          </cell>
          <cell r="O2083">
            <v>675</v>
          </cell>
        </row>
        <row r="2084">
          <cell r="F2084" t="str">
            <v xml:space="preserve">24341063       </v>
          </cell>
          <cell r="O2084">
            <v>18</v>
          </cell>
        </row>
        <row r="2085">
          <cell r="F2085" t="str">
            <v xml:space="preserve">73559455       </v>
          </cell>
          <cell r="O2085">
            <v>105</v>
          </cell>
        </row>
        <row r="2086">
          <cell r="F2086" t="str">
            <v xml:space="preserve">73559455       </v>
          </cell>
          <cell r="O2086">
            <v>162</v>
          </cell>
        </row>
        <row r="2087">
          <cell r="F2087" t="str">
            <v xml:space="preserve">73559455       </v>
          </cell>
          <cell r="O2087">
            <v>45</v>
          </cell>
        </row>
        <row r="2088">
          <cell r="F2088" t="str">
            <v xml:space="preserve">73559455       </v>
          </cell>
          <cell r="O2088">
            <v>4.5</v>
          </cell>
        </row>
        <row r="2089">
          <cell r="F2089" t="str">
            <v xml:space="preserve">860001697      </v>
          </cell>
          <cell r="O2089">
            <v>581.13</v>
          </cell>
        </row>
        <row r="2090">
          <cell r="F2090" t="str">
            <v xml:space="preserve">860001697      </v>
          </cell>
          <cell r="O2090">
            <v>466.9</v>
          </cell>
        </row>
        <row r="2091">
          <cell r="F2091" t="str">
            <v xml:space="preserve">1214745372     </v>
          </cell>
          <cell r="O2091">
            <v>450</v>
          </cell>
        </row>
        <row r="2092">
          <cell r="F2092" t="str">
            <v xml:space="preserve">93419128       </v>
          </cell>
          <cell r="O2092">
            <v>60</v>
          </cell>
        </row>
        <row r="2093">
          <cell r="F2093" t="str">
            <v xml:space="preserve">93419128       </v>
          </cell>
          <cell r="O2093">
            <v>666</v>
          </cell>
        </row>
        <row r="2094">
          <cell r="F2094" t="str">
            <v xml:space="preserve">93419128       </v>
          </cell>
          <cell r="O2094">
            <v>45</v>
          </cell>
        </row>
        <row r="2095">
          <cell r="F2095" t="str">
            <v xml:space="preserve">860005265      </v>
          </cell>
          <cell r="O2095">
            <v>1064</v>
          </cell>
        </row>
        <row r="2096">
          <cell r="F2096" t="str">
            <v xml:space="preserve">860005265      </v>
          </cell>
          <cell r="O2096">
            <v>783.5</v>
          </cell>
        </row>
        <row r="2097">
          <cell r="F2097" t="str">
            <v xml:space="preserve">860001697      </v>
          </cell>
          <cell r="O2097">
            <v>440.15</v>
          </cell>
        </row>
        <row r="2098">
          <cell r="F2098" t="str">
            <v xml:space="preserve">203            </v>
          </cell>
          <cell r="O2098">
            <v>36</v>
          </cell>
        </row>
        <row r="2099">
          <cell r="F2099" t="str">
            <v xml:space="preserve">101            </v>
          </cell>
          <cell r="O2099">
            <v>15</v>
          </cell>
        </row>
        <row r="2100">
          <cell r="F2100" t="str">
            <v xml:space="preserve">101            </v>
          </cell>
          <cell r="O2100">
            <v>108</v>
          </cell>
        </row>
        <row r="2101">
          <cell r="F2101" t="str">
            <v xml:space="preserve">101            </v>
          </cell>
          <cell r="O2101">
            <v>18</v>
          </cell>
        </row>
        <row r="2102">
          <cell r="F2102" t="str">
            <v xml:space="preserve">7318024        </v>
          </cell>
          <cell r="O2102">
            <v>75</v>
          </cell>
        </row>
        <row r="2103">
          <cell r="F2103" t="str">
            <v xml:space="preserve">7318024        </v>
          </cell>
          <cell r="O2103">
            <v>72</v>
          </cell>
        </row>
        <row r="2104">
          <cell r="F2104" t="str">
            <v xml:space="preserve">102            </v>
          </cell>
          <cell r="O2104">
            <v>45</v>
          </cell>
        </row>
        <row r="2105">
          <cell r="F2105" t="str">
            <v xml:space="preserve">102            </v>
          </cell>
          <cell r="O2105">
            <v>18</v>
          </cell>
        </row>
        <row r="2106">
          <cell r="F2106" t="str">
            <v xml:space="preserve">890800450      </v>
          </cell>
          <cell r="O2106">
            <v>36</v>
          </cell>
        </row>
        <row r="2107">
          <cell r="F2107" t="str">
            <v xml:space="preserve">890903939      </v>
          </cell>
          <cell r="O2107">
            <v>54</v>
          </cell>
        </row>
        <row r="2108">
          <cell r="F2108" t="str">
            <v xml:space="preserve">900543878      </v>
          </cell>
          <cell r="O2108">
            <v>18</v>
          </cell>
        </row>
        <row r="2109">
          <cell r="F2109" t="str">
            <v xml:space="preserve">901555731      </v>
          </cell>
          <cell r="O2109">
            <v>54</v>
          </cell>
        </row>
        <row r="2110">
          <cell r="F2110" t="str">
            <v xml:space="preserve">901555731      </v>
          </cell>
          <cell r="O2110">
            <v>135</v>
          </cell>
        </row>
        <row r="2111">
          <cell r="F2111" t="str">
            <v xml:space="preserve">32772122       </v>
          </cell>
          <cell r="O2111">
            <v>480</v>
          </cell>
        </row>
        <row r="2112">
          <cell r="F2112" t="str">
            <v xml:space="preserve">32772122       </v>
          </cell>
          <cell r="O2112">
            <v>90</v>
          </cell>
        </row>
        <row r="2113">
          <cell r="F2113" t="str">
            <v xml:space="preserve">73186091       </v>
          </cell>
          <cell r="O2113">
            <v>570</v>
          </cell>
        </row>
        <row r="2114">
          <cell r="F2114" t="str">
            <v xml:space="preserve">73186091       </v>
          </cell>
          <cell r="O2114">
            <v>36</v>
          </cell>
        </row>
        <row r="2115">
          <cell r="F2115" t="str">
            <v xml:space="preserve">8795144        </v>
          </cell>
          <cell r="O2115">
            <v>150</v>
          </cell>
        </row>
        <row r="2116">
          <cell r="F2116" t="str">
            <v xml:space="preserve">800032071      </v>
          </cell>
          <cell r="O2116">
            <v>120</v>
          </cell>
        </row>
        <row r="2117">
          <cell r="F2117" t="str">
            <v xml:space="preserve">800032071      </v>
          </cell>
          <cell r="O2117">
            <v>120</v>
          </cell>
        </row>
        <row r="2118">
          <cell r="F2118" t="str">
            <v xml:space="preserve">800226901      </v>
          </cell>
          <cell r="O2118">
            <v>100</v>
          </cell>
        </row>
        <row r="2119">
          <cell r="F2119" t="str">
            <v xml:space="preserve">811047008      </v>
          </cell>
          <cell r="O2119">
            <v>36</v>
          </cell>
        </row>
        <row r="2120">
          <cell r="F2120" t="str">
            <v xml:space="preserve">830094679      </v>
          </cell>
          <cell r="O2120">
            <v>180</v>
          </cell>
        </row>
        <row r="2121">
          <cell r="F2121" t="str">
            <v xml:space="preserve">830503491      </v>
          </cell>
          <cell r="O2121">
            <v>100</v>
          </cell>
        </row>
        <row r="2122">
          <cell r="F2122" t="str">
            <v xml:space="preserve">860002536      </v>
          </cell>
          <cell r="O2122">
            <v>15</v>
          </cell>
        </row>
        <row r="2123">
          <cell r="F2123" t="str">
            <v xml:space="preserve">860002536      </v>
          </cell>
          <cell r="O2123">
            <v>30</v>
          </cell>
        </row>
        <row r="2124">
          <cell r="F2124" t="str">
            <v xml:space="preserve">860002536      </v>
          </cell>
          <cell r="O2124">
            <v>45</v>
          </cell>
        </row>
        <row r="2125">
          <cell r="F2125" t="str">
            <v xml:space="preserve">900603554      </v>
          </cell>
          <cell r="O2125">
            <v>216</v>
          </cell>
        </row>
        <row r="2126">
          <cell r="F2126" t="str">
            <v xml:space="preserve">830016868      </v>
          </cell>
          <cell r="O2126">
            <v>1035</v>
          </cell>
        </row>
        <row r="2127">
          <cell r="F2127" t="str">
            <v xml:space="preserve">890205142      </v>
          </cell>
          <cell r="O2127">
            <v>1620</v>
          </cell>
        </row>
        <row r="2128">
          <cell r="F2128" t="str">
            <v xml:space="preserve">900204935      </v>
          </cell>
          <cell r="O2128">
            <v>160</v>
          </cell>
        </row>
        <row r="2129">
          <cell r="F2129" t="str">
            <v xml:space="preserve">407            </v>
          </cell>
          <cell r="O2129">
            <v>540</v>
          </cell>
        </row>
        <row r="2130">
          <cell r="F2130" t="str">
            <v xml:space="preserve">800090890      </v>
          </cell>
          <cell r="O2130">
            <v>16</v>
          </cell>
        </row>
        <row r="2131">
          <cell r="F2131" t="str">
            <v xml:space="preserve">800090890      </v>
          </cell>
          <cell r="O2131">
            <v>51</v>
          </cell>
        </row>
        <row r="2132">
          <cell r="F2132" t="str">
            <v xml:space="preserve">811014849      </v>
          </cell>
          <cell r="O2132">
            <v>126</v>
          </cell>
        </row>
        <row r="2133">
          <cell r="F2133" t="str">
            <v xml:space="preserve">811014849      </v>
          </cell>
          <cell r="O2133">
            <v>198</v>
          </cell>
        </row>
        <row r="2134">
          <cell r="F2134" t="str">
            <v xml:space="preserve">811014849      </v>
          </cell>
          <cell r="O2134">
            <v>72</v>
          </cell>
        </row>
        <row r="2135">
          <cell r="F2135" t="str">
            <v xml:space="preserve">811014849      </v>
          </cell>
          <cell r="O2135">
            <v>108</v>
          </cell>
        </row>
        <row r="2136">
          <cell r="F2136" t="str">
            <v xml:space="preserve">811014849      </v>
          </cell>
          <cell r="O2136">
            <v>162</v>
          </cell>
        </row>
        <row r="2137">
          <cell r="F2137" t="str">
            <v xml:space="preserve">811014849      </v>
          </cell>
          <cell r="O2137">
            <v>36</v>
          </cell>
        </row>
        <row r="2138">
          <cell r="F2138" t="str">
            <v xml:space="preserve">811014849      </v>
          </cell>
          <cell r="O2138">
            <v>36</v>
          </cell>
        </row>
        <row r="2139">
          <cell r="F2139" t="str">
            <v xml:space="preserve">890903939      </v>
          </cell>
          <cell r="O2139">
            <v>76</v>
          </cell>
        </row>
        <row r="2140">
          <cell r="F2140" t="str">
            <v xml:space="preserve">890903939      </v>
          </cell>
          <cell r="O2140">
            <v>708</v>
          </cell>
        </row>
        <row r="2141">
          <cell r="F2141" t="str">
            <v xml:space="preserve">890903939      </v>
          </cell>
          <cell r="O2141">
            <v>641.6</v>
          </cell>
        </row>
        <row r="2142">
          <cell r="F2142" t="str">
            <v xml:space="preserve">890903939      </v>
          </cell>
          <cell r="O2142">
            <v>63.35</v>
          </cell>
        </row>
        <row r="2143">
          <cell r="F2143" t="str">
            <v xml:space="preserve">890903939      </v>
          </cell>
          <cell r="O2143">
            <v>258.62</v>
          </cell>
        </row>
        <row r="2144">
          <cell r="F2144" t="str">
            <v xml:space="preserve">890903939      </v>
          </cell>
          <cell r="O2144">
            <v>116.65</v>
          </cell>
        </row>
        <row r="2145">
          <cell r="F2145" t="str">
            <v xml:space="preserve">890903939      </v>
          </cell>
          <cell r="O2145">
            <v>37.1</v>
          </cell>
        </row>
        <row r="2146">
          <cell r="F2146" t="str">
            <v xml:space="preserve">211            </v>
          </cell>
          <cell r="O2146">
            <v>225</v>
          </cell>
        </row>
        <row r="2147">
          <cell r="F2147" t="str">
            <v xml:space="preserve">211            </v>
          </cell>
          <cell r="O2147">
            <v>450</v>
          </cell>
        </row>
        <row r="2148">
          <cell r="F2148" t="str">
            <v xml:space="preserve">211            </v>
          </cell>
          <cell r="O2148">
            <v>90</v>
          </cell>
        </row>
        <row r="2149">
          <cell r="F2149" t="str">
            <v xml:space="preserve">211            </v>
          </cell>
          <cell r="O2149">
            <v>105</v>
          </cell>
        </row>
        <row r="2150">
          <cell r="F2150" t="str">
            <v xml:space="preserve">211            </v>
          </cell>
          <cell r="O2150">
            <v>1278</v>
          </cell>
        </row>
        <row r="2151">
          <cell r="F2151" t="str">
            <v xml:space="preserve">211            </v>
          </cell>
          <cell r="O2151">
            <v>90</v>
          </cell>
        </row>
        <row r="2152">
          <cell r="F2152" t="str">
            <v xml:space="preserve">800220041      </v>
          </cell>
          <cell r="O2152">
            <v>75</v>
          </cell>
        </row>
        <row r="2153">
          <cell r="F2153" t="str">
            <v xml:space="preserve">806008873      </v>
          </cell>
          <cell r="O2153">
            <v>450</v>
          </cell>
        </row>
        <row r="2154">
          <cell r="F2154" t="str">
            <v xml:space="preserve">811032699      </v>
          </cell>
          <cell r="O2154">
            <v>36</v>
          </cell>
        </row>
        <row r="2155">
          <cell r="F2155" t="str">
            <v xml:space="preserve">830076368      </v>
          </cell>
          <cell r="O2155">
            <v>90</v>
          </cell>
        </row>
        <row r="2156">
          <cell r="F2156" t="str">
            <v xml:space="preserve">830076368      </v>
          </cell>
          <cell r="O2156">
            <v>45</v>
          </cell>
        </row>
        <row r="2157">
          <cell r="F2157" t="str">
            <v xml:space="preserve">830095213      </v>
          </cell>
          <cell r="O2157">
            <v>180</v>
          </cell>
        </row>
        <row r="2158">
          <cell r="F2158" t="str">
            <v xml:space="preserve">830095213      </v>
          </cell>
          <cell r="O2158">
            <v>126</v>
          </cell>
        </row>
        <row r="2159">
          <cell r="F2159" t="str">
            <v xml:space="preserve">890903939      </v>
          </cell>
          <cell r="O2159">
            <v>284.27</v>
          </cell>
        </row>
        <row r="2160">
          <cell r="F2160" t="str">
            <v xml:space="preserve">900749094      </v>
          </cell>
          <cell r="O2160">
            <v>72</v>
          </cell>
        </row>
        <row r="2161">
          <cell r="F2161" t="str">
            <v xml:space="preserve">901218264      </v>
          </cell>
          <cell r="O2161">
            <v>75</v>
          </cell>
        </row>
        <row r="2162">
          <cell r="F2162" t="str">
            <v xml:space="preserve">830036921      </v>
          </cell>
          <cell r="O2162">
            <v>432</v>
          </cell>
        </row>
        <row r="2163">
          <cell r="F2163" t="str">
            <v xml:space="preserve">860001697      </v>
          </cell>
          <cell r="O2163">
            <v>1399.35</v>
          </cell>
        </row>
        <row r="2164">
          <cell r="F2164" t="str">
            <v xml:space="preserve">800229035      </v>
          </cell>
          <cell r="O2164">
            <v>270</v>
          </cell>
        </row>
        <row r="2165">
          <cell r="F2165" t="str">
            <v xml:space="preserve">800229035      </v>
          </cell>
          <cell r="O2165">
            <v>165</v>
          </cell>
        </row>
        <row r="2166">
          <cell r="F2166" t="str">
            <v xml:space="preserve">800229035      </v>
          </cell>
          <cell r="O2166">
            <v>105</v>
          </cell>
        </row>
        <row r="2167">
          <cell r="F2167" t="str">
            <v xml:space="preserve">800229035      </v>
          </cell>
          <cell r="O2167">
            <v>75</v>
          </cell>
        </row>
        <row r="2168">
          <cell r="F2168" t="str">
            <v xml:space="preserve">811016729      </v>
          </cell>
          <cell r="O2168">
            <v>36</v>
          </cell>
        </row>
        <row r="2169">
          <cell r="F2169" t="str">
            <v xml:space="preserve">830106563      </v>
          </cell>
          <cell r="O2169">
            <v>1199.0999999999999</v>
          </cell>
        </row>
        <row r="2170">
          <cell r="F2170" t="str">
            <v xml:space="preserve">890104719      </v>
          </cell>
          <cell r="O2170">
            <v>1014</v>
          </cell>
        </row>
        <row r="2171">
          <cell r="F2171" t="str">
            <v xml:space="preserve">890322007      </v>
          </cell>
          <cell r="O2171">
            <v>15</v>
          </cell>
        </row>
        <row r="2172">
          <cell r="F2172" t="str">
            <v xml:space="preserve">890903939      </v>
          </cell>
          <cell r="O2172">
            <v>690.5</v>
          </cell>
        </row>
        <row r="2173">
          <cell r="F2173" t="str">
            <v xml:space="preserve">890903939      </v>
          </cell>
          <cell r="O2173">
            <v>641.70000000000005</v>
          </cell>
        </row>
        <row r="2174">
          <cell r="F2174" t="str">
            <v xml:space="preserve">901008538      </v>
          </cell>
          <cell r="O2174">
            <v>1201.3</v>
          </cell>
        </row>
        <row r="2175">
          <cell r="F2175" t="str">
            <v xml:space="preserve">901017528      </v>
          </cell>
          <cell r="O2175">
            <v>345</v>
          </cell>
        </row>
        <row r="2176">
          <cell r="F2176" t="str">
            <v xml:space="preserve">901046830      </v>
          </cell>
          <cell r="O2176">
            <v>300</v>
          </cell>
        </row>
        <row r="2177">
          <cell r="F2177" t="str">
            <v xml:space="preserve">901046830      </v>
          </cell>
          <cell r="O2177">
            <v>315</v>
          </cell>
        </row>
        <row r="2178">
          <cell r="F2178" t="str">
            <v xml:space="preserve">1038409699     </v>
          </cell>
          <cell r="O2178">
            <v>121.2</v>
          </cell>
        </row>
        <row r="2179">
          <cell r="F2179" t="str">
            <v xml:space="preserve">1075232460     </v>
          </cell>
          <cell r="O2179">
            <v>87.4</v>
          </cell>
        </row>
        <row r="2180">
          <cell r="F2180" t="str">
            <v xml:space="preserve">1075246453     </v>
          </cell>
          <cell r="O2180">
            <v>93.3</v>
          </cell>
        </row>
        <row r="2181">
          <cell r="F2181" t="str">
            <v xml:space="preserve">1075266988     </v>
          </cell>
          <cell r="O2181">
            <v>64.8</v>
          </cell>
        </row>
        <row r="2182">
          <cell r="F2182" t="str">
            <v xml:space="preserve">1075270672     </v>
          </cell>
          <cell r="O2182">
            <v>164.5</v>
          </cell>
        </row>
        <row r="2183">
          <cell r="F2183" t="str">
            <v xml:space="preserve">1077847030     </v>
          </cell>
          <cell r="O2183">
            <v>65.900000000000006</v>
          </cell>
        </row>
        <row r="2184">
          <cell r="F2184" t="str">
            <v xml:space="preserve">1078246535     </v>
          </cell>
          <cell r="O2184">
            <v>83.1</v>
          </cell>
        </row>
        <row r="2185">
          <cell r="F2185" t="str">
            <v xml:space="preserve">1080362316     </v>
          </cell>
          <cell r="O2185">
            <v>113.8</v>
          </cell>
        </row>
        <row r="2186">
          <cell r="F2186" t="str">
            <v xml:space="preserve">1083872378     </v>
          </cell>
          <cell r="O2186">
            <v>43.4</v>
          </cell>
        </row>
        <row r="2187">
          <cell r="F2187" t="str">
            <v xml:space="preserve">1083912237     </v>
          </cell>
          <cell r="O2187">
            <v>310.3</v>
          </cell>
        </row>
        <row r="2188">
          <cell r="F2188" t="str">
            <v xml:space="preserve">1083921993     </v>
          </cell>
          <cell r="O2188">
            <v>280.8</v>
          </cell>
        </row>
        <row r="2189">
          <cell r="F2189" t="str">
            <v xml:space="preserve">12102897       </v>
          </cell>
          <cell r="O2189">
            <v>60.4</v>
          </cell>
        </row>
        <row r="2190">
          <cell r="F2190" t="str">
            <v xml:space="preserve">12117834       </v>
          </cell>
          <cell r="O2190">
            <v>38.799999999999997</v>
          </cell>
        </row>
        <row r="2191">
          <cell r="F2191" t="str">
            <v xml:space="preserve">12138755       </v>
          </cell>
          <cell r="O2191">
            <v>42.1</v>
          </cell>
        </row>
        <row r="2192">
          <cell r="F2192" t="str">
            <v xml:space="preserve">12238557       </v>
          </cell>
          <cell r="O2192">
            <v>48.5</v>
          </cell>
        </row>
        <row r="2193">
          <cell r="F2193" t="str">
            <v xml:space="preserve">26430314       </v>
          </cell>
          <cell r="O2193">
            <v>79</v>
          </cell>
        </row>
        <row r="2194">
          <cell r="F2194" t="str">
            <v xml:space="preserve">26550220       </v>
          </cell>
          <cell r="O2194">
            <v>162</v>
          </cell>
        </row>
        <row r="2195">
          <cell r="F2195" t="str">
            <v xml:space="preserve">26550220       </v>
          </cell>
          <cell r="O2195">
            <v>204.1</v>
          </cell>
        </row>
        <row r="2196">
          <cell r="F2196" t="str">
            <v xml:space="preserve">30521799       </v>
          </cell>
          <cell r="O2196">
            <v>145.69999999999999</v>
          </cell>
        </row>
        <row r="2197">
          <cell r="F2197" t="str">
            <v xml:space="preserve">36147801       </v>
          </cell>
          <cell r="O2197">
            <v>68.5</v>
          </cell>
        </row>
        <row r="2198">
          <cell r="F2198" t="str">
            <v xml:space="preserve">36152861       </v>
          </cell>
          <cell r="O2198">
            <v>202.6</v>
          </cell>
        </row>
        <row r="2199">
          <cell r="F2199" t="str">
            <v xml:space="preserve">36156828       </v>
          </cell>
          <cell r="O2199">
            <v>394.6</v>
          </cell>
        </row>
        <row r="2200">
          <cell r="F2200" t="str">
            <v xml:space="preserve">36156828       </v>
          </cell>
          <cell r="O2200">
            <v>202.2</v>
          </cell>
        </row>
        <row r="2201">
          <cell r="F2201" t="str">
            <v xml:space="preserve">36284407       </v>
          </cell>
          <cell r="O2201">
            <v>88.2</v>
          </cell>
        </row>
        <row r="2202">
          <cell r="F2202" t="str">
            <v xml:space="preserve">36304110       </v>
          </cell>
          <cell r="O2202">
            <v>45.5</v>
          </cell>
        </row>
        <row r="2203">
          <cell r="F2203" t="str">
            <v xml:space="preserve">36313794       </v>
          </cell>
          <cell r="O2203">
            <v>179.1</v>
          </cell>
        </row>
        <row r="2204">
          <cell r="F2204" t="str">
            <v xml:space="preserve">4888325        </v>
          </cell>
          <cell r="O2204">
            <v>31.4</v>
          </cell>
        </row>
        <row r="2205">
          <cell r="F2205" t="str">
            <v xml:space="preserve">4888325        </v>
          </cell>
          <cell r="O2205">
            <v>20.9</v>
          </cell>
        </row>
        <row r="2206">
          <cell r="F2206" t="str">
            <v xml:space="preserve">52662607       </v>
          </cell>
          <cell r="O2206">
            <v>41.9</v>
          </cell>
        </row>
        <row r="2207">
          <cell r="F2207" t="str">
            <v xml:space="preserve">55112429       </v>
          </cell>
          <cell r="O2207">
            <v>20.8</v>
          </cell>
        </row>
        <row r="2208">
          <cell r="F2208" t="str">
            <v xml:space="preserve">55116104       </v>
          </cell>
          <cell r="O2208">
            <v>52.3</v>
          </cell>
        </row>
        <row r="2209">
          <cell r="F2209" t="str">
            <v xml:space="preserve">55207082		     </v>
          </cell>
          <cell r="O2209">
            <v>89.5</v>
          </cell>
        </row>
        <row r="2210">
          <cell r="F2210" t="str">
            <v xml:space="preserve">55207082		     </v>
          </cell>
          <cell r="O2210">
            <v>76.599999999999994</v>
          </cell>
        </row>
        <row r="2211">
          <cell r="F2211" t="str">
            <v xml:space="preserve">65771520       </v>
          </cell>
          <cell r="O2211">
            <v>158.69999999999999</v>
          </cell>
        </row>
        <row r="2212">
          <cell r="F2212" t="str">
            <v xml:space="preserve">700111478      </v>
          </cell>
          <cell r="O2212">
            <v>256.8</v>
          </cell>
        </row>
        <row r="2213">
          <cell r="F2213" t="str">
            <v xml:space="preserve">7709256        </v>
          </cell>
          <cell r="O2213">
            <v>51.6</v>
          </cell>
        </row>
        <row r="2214">
          <cell r="F2214" t="str">
            <v xml:space="preserve">811020688      </v>
          </cell>
          <cell r="O2214">
            <v>396.1</v>
          </cell>
        </row>
        <row r="2215">
          <cell r="F2215" t="str">
            <v xml:space="preserve">83057870       </v>
          </cell>
          <cell r="O2215">
            <v>144.9</v>
          </cell>
        </row>
        <row r="2216">
          <cell r="F2216" t="str">
            <v xml:space="preserve">83181233       </v>
          </cell>
          <cell r="O2216">
            <v>329.8</v>
          </cell>
        </row>
        <row r="2217">
          <cell r="F2217" t="str">
            <v xml:space="preserve">83229489       </v>
          </cell>
          <cell r="O2217">
            <v>107</v>
          </cell>
        </row>
        <row r="2218">
          <cell r="F2218" t="str">
            <v xml:space="preserve">83231907       </v>
          </cell>
          <cell r="O2218">
            <v>54.6</v>
          </cell>
        </row>
        <row r="2219">
          <cell r="F2219" t="str">
            <v xml:space="preserve">83240103       </v>
          </cell>
          <cell r="O2219">
            <v>69.5</v>
          </cell>
        </row>
        <row r="2220">
          <cell r="F2220" t="str">
            <v xml:space="preserve">900383516      </v>
          </cell>
          <cell r="O2220">
            <v>677.6</v>
          </cell>
        </row>
        <row r="2221">
          <cell r="F2221" t="str">
            <v xml:space="preserve">901108580      </v>
          </cell>
          <cell r="O2221">
            <v>89.2</v>
          </cell>
        </row>
        <row r="2222">
          <cell r="F2222" t="str">
            <v xml:space="preserve">901127896      </v>
          </cell>
          <cell r="O2222">
            <v>360.4</v>
          </cell>
        </row>
        <row r="2223">
          <cell r="F2223" t="str">
            <v xml:space="preserve">901127896      </v>
          </cell>
          <cell r="O2223">
            <v>337</v>
          </cell>
        </row>
        <row r="2224">
          <cell r="F2224" t="str">
            <v xml:space="preserve">901127896      </v>
          </cell>
          <cell r="O2224">
            <v>256.39999999999998</v>
          </cell>
        </row>
        <row r="2225">
          <cell r="F2225" t="str">
            <v xml:space="preserve">901127896      </v>
          </cell>
          <cell r="O2225">
            <v>168.2</v>
          </cell>
        </row>
        <row r="2226">
          <cell r="F2226" t="str">
            <v xml:space="preserve">901363398      </v>
          </cell>
          <cell r="O2226">
            <v>350.6</v>
          </cell>
        </row>
        <row r="2227">
          <cell r="F2227" t="str">
            <v xml:space="preserve">901468908      </v>
          </cell>
          <cell r="O2227">
            <v>49.4</v>
          </cell>
        </row>
        <row r="2228">
          <cell r="F2228" t="str">
            <v xml:space="preserve">901532251      </v>
          </cell>
          <cell r="O2228">
            <v>366.4</v>
          </cell>
        </row>
        <row r="2229">
          <cell r="F2229" t="str">
            <v xml:space="preserve">16076704       </v>
          </cell>
          <cell r="O2229">
            <v>266</v>
          </cell>
        </row>
        <row r="2230">
          <cell r="F2230" t="str">
            <v xml:space="preserve">29623619       </v>
          </cell>
          <cell r="O2230">
            <v>201.2</v>
          </cell>
        </row>
        <row r="2231">
          <cell r="F2231" t="str">
            <v xml:space="preserve">30305213       </v>
          </cell>
          <cell r="O2231">
            <v>33.9</v>
          </cell>
        </row>
        <row r="2232">
          <cell r="F2232" t="str">
            <v xml:space="preserve">30310943       </v>
          </cell>
          <cell r="O2232">
            <v>79.900000000000006</v>
          </cell>
        </row>
        <row r="2233">
          <cell r="F2233" t="str">
            <v xml:space="preserve">810000604      </v>
          </cell>
          <cell r="O2233">
            <v>452.3</v>
          </cell>
        </row>
        <row r="2234">
          <cell r="F2234" t="str">
            <v xml:space="preserve">890907163      </v>
          </cell>
          <cell r="O2234">
            <v>200</v>
          </cell>
        </row>
        <row r="2235">
          <cell r="F2235" t="str">
            <v xml:space="preserve">890932124      </v>
          </cell>
          <cell r="O2235">
            <v>312.10000000000002</v>
          </cell>
        </row>
        <row r="2236">
          <cell r="F2236" t="str">
            <v xml:space="preserve">890932124      </v>
          </cell>
          <cell r="O2236">
            <v>3623.7</v>
          </cell>
        </row>
        <row r="2237">
          <cell r="F2237" t="str">
            <v xml:space="preserve">900322842      </v>
          </cell>
          <cell r="O2237">
            <v>207</v>
          </cell>
        </row>
        <row r="2238">
          <cell r="F2238" t="str">
            <v xml:space="preserve">901174107      </v>
          </cell>
          <cell r="O2238">
            <v>550.1</v>
          </cell>
        </row>
        <row r="2239">
          <cell r="F2239" t="str">
            <v xml:space="preserve">901455213      </v>
          </cell>
          <cell r="O2239">
            <v>65.400000000000006</v>
          </cell>
        </row>
        <row r="2240">
          <cell r="F2240" t="str">
            <v xml:space="preserve">800045983      </v>
          </cell>
          <cell r="O2240">
            <v>781.1</v>
          </cell>
        </row>
        <row r="2241">
          <cell r="F2241" t="str">
            <v xml:space="preserve">800197463      </v>
          </cell>
          <cell r="O2241">
            <v>1060.4000000000001</v>
          </cell>
        </row>
        <row r="2242">
          <cell r="F2242" t="str">
            <v xml:space="preserve">890300431      </v>
          </cell>
          <cell r="O2242">
            <v>814.6</v>
          </cell>
        </row>
        <row r="2243">
          <cell r="F2243" t="str">
            <v xml:space="preserve">900930070      </v>
          </cell>
          <cell r="O2243">
            <v>2006.6</v>
          </cell>
        </row>
        <row r="2244">
          <cell r="F2244" t="str">
            <v xml:space="preserve">901247983      </v>
          </cell>
          <cell r="O2244">
            <v>3570</v>
          </cell>
        </row>
        <row r="2245">
          <cell r="F2245" t="str">
            <v xml:space="preserve">830010738      </v>
          </cell>
          <cell r="O2245">
            <v>1444.3</v>
          </cell>
        </row>
        <row r="2246">
          <cell r="F2246" t="str">
            <v xml:space="preserve">830010738      </v>
          </cell>
          <cell r="O2246">
            <v>80</v>
          </cell>
        </row>
        <row r="2247">
          <cell r="F2247" t="str">
            <v xml:space="preserve">830010738      </v>
          </cell>
          <cell r="O2247">
            <v>50.9</v>
          </cell>
        </row>
        <row r="2248">
          <cell r="F2248" t="str">
            <v xml:space="preserve">830010738      </v>
          </cell>
          <cell r="O2248">
            <v>119.8</v>
          </cell>
        </row>
        <row r="2249">
          <cell r="F2249" t="str">
            <v xml:space="preserve">800032071      </v>
          </cell>
          <cell r="O2249">
            <v>654.20000000000005</v>
          </cell>
        </row>
        <row r="2250">
          <cell r="F2250" t="str">
            <v xml:space="preserve">800134497      </v>
          </cell>
          <cell r="O2250">
            <v>1359.8</v>
          </cell>
        </row>
        <row r="2251">
          <cell r="F2251" t="str">
            <v xml:space="preserve">900949158      </v>
          </cell>
          <cell r="O2251">
            <v>150.5</v>
          </cell>
        </row>
        <row r="2252">
          <cell r="F2252" t="str">
            <v xml:space="preserve">900974484      </v>
          </cell>
          <cell r="O2252">
            <v>5053.2</v>
          </cell>
        </row>
        <row r="2253">
          <cell r="F2253" t="str">
            <v xml:space="preserve">402            </v>
          </cell>
          <cell r="O2253">
            <v>750</v>
          </cell>
        </row>
        <row r="2254">
          <cell r="F2254" t="str">
            <v xml:space="preserve">402            </v>
          </cell>
          <cell r="O2254">
            <v>540</v>
          </cell>
        </row>
        <row r="2255">
          <cell r="F2255" t="str">
            <v xml:space="preserve">860001697      </v>
          </cell>
          <cell r="O2255">
            <v>378.24</v>
          </cell>
        </row>
        <row r="2256">
          <cell r="F2256" t="str">
            <v xml:space="preserve">203            </v>
          </cell>
          <cell r="O2256">
            <v>15</v>
          </cell>
        </row>
        <row r="2257">
          <cell r="F2257" t="str">
            <v xml:space="preserve">203            </v>
          </cell>
          <cell r="O2257">
            <v>126</v>
          </cell>
        </row>
        <row r="2258">
          <cell r="F2258" t="str">
            <v xml:space="preserve">203            </v>
          </cell>
          <cell r="O2258">
            <v>18</v>
          </cell>
        </row>
        <row r="2259">
          <cell r="F2259" t="str">
            <v xml:space="preserve">203            </v>
          </cell>
          <cell r="O2259">
            <v>18</v>
          </cell>
        </row>
        <row r="2260">
          <cell r="F2260" t="str">
            <v xml:space="preserve">203            </v>
          </cell>
          <cell r="O2260">
            <v>90</v>
          </cell>
        </row>
        <row r="2261">
          <cell r="F2261" t="str">
            <v xml:space="preserve">203            </v>
          </cell>
          <cell r="O2261">
            <v>4.5</v>
          </cell>
        </row>
        <row r="2262">
          <cell r="F2262" t="str">
            <v xml:space="preserve">203            </v>
          </cell>
          <cell r="O2262">
            <v>15</v>
          </cell>
        </row>
        <row r="2263">
          <cell r="F2263" t="str">
            <v xml:space="preserve">203            </v>
          </cell>
          <cell r="O2263">
            <v>396</v>
          </cell>
        </row>
        <row r="2264">
          <cell r="F2264" t="str">
            <v xml:space="preserve">890938952      </v>
          </cell>
          <cell r="O2264">
            <v>45</v>
          </cell>
        </row>
        <row r="2265">
          <cell r="F2265" t="str">
            <v xml:space="preserve">900084859      </v>
          </cell>
          <cell r="O2265">
            <v>90</v>
          </cell>
        </row>
        <row r="2266">
          <cell r="F2266" t="str">
            <v xml:space="preserve">900084859      </v>
          </cell>
          <cell r="O2266">
            <v>45</v>
          </cell>
        </row>
        <row r="2267">
          <cell r="F2267" t="str">
            <v xml:space="preserve">212            </v>
          </cell>
          <cell r="O2267">
            <v>90</v>
          </cell>
        </row>
        <row r="2268">
          <cell r="F2268" t="str">
            <v xml:space="preserve">212            </v>
          </cell>
          <cell r="O2268">
            <v>36</v>
          </cell>
        </row>
        <row r="2269">
          <cell r="F2269" t="str">
            <v xml:space="preserve">212            </v>
          </cell>
          <cell r="O2269">
            <v>15</v>
          </cell>
        </row>
        <row r="2270">
          <cell r="F2270" t="str">
            <v xml:space="preserve">212            </v>
          </cell>
          <cell r="O2270">
            <v>198</v>
          </cell>
        </row>
        <row r="2271">
          <cell r="F2271" t="str">
            <v xml:space="preserve">212            </v>
          </cell>
          <cell r="O2271">
            <v>90</v>
          </cell>
        </row>
        <row r="2272">
          <cell r="F2272" t="str">
            <v xml:space="preserve">212            </v>
          </cell>
          <cell r="O2272">
            <v>9</v>
          </cell>
        </row>
        <row r="2273">
          <cell r="F2273" t="str">
            <v xml:space="preserve">212            </v>
          </cell>
          <cell r="O2273">
            <v>45</v>
          </cell>
        </row>
        <row r="2274">
          <cell r="F2274" t="str">
            <v xml:space="preserve">830042112      </v>
          </cell>
          <cell r="O2274">
            <v>45</v>
          </cell>
        </row>
        <row r="2275">
          <cell r="F2275" t="str">
            <v xml:space="preserve">900084859      </v>
          </cell>
          <cell r="O2275">
            <v>45</v>
          </cell>
        </row>
        <row r="2276">
          <cell r="F2276" t="str">
            <v xml:space="preserve">900084859      </v>
          </cell>
          <cell r="O2276">
            <v>45</v>
          </cell>
        </row>
        <row r="2277">
          <cell r="F2277" t="str">
            <v xml:space="preserve">70052771       </v>
          </cell>
          <cell r="O2277">
            <v>81</v>
          </cell>
        </row>
        <row r="2278">
          <cell r="F2278" t="str">
            <v xml:space="preserve">70052771       </v>
          </cell>
          <cell r="O2278">
            <v>93</v>
          </cell>
        </row>
        <row r="2279">
          <cell r="F2279" t="str">
            <v xml:space="preserve">811014849      </v>
          </cell>
          <cell r="O2279">
            <v>162</v>
          </cell>
        </row>
        <row r="2280">
          <cell r="F2280" t="str">
            <v xml:space="preserve">811022351      </v>
          </cell>
          <cell r="O2280">
            <v>90</v>
          </cell>
        </row>
        <row r="2281">
          <cell r="F2281" t="str">
            <v xml:space="preserve">811035741      </v>
          </cell>
          <cell r="O2281">
            <v>117</v>
          </cell>
        </row>
        <row r="2282">
          <cell r="F2282" t="str">
            <v xml:space="preserve">860013809      </v>
          </cell>
          <cell r="O2282">
            <v>126</v>
          </cell>
        </row>
        <row r="2283">
          <cell r="F2283" t="str">
            <v xml:space="preserve">860013809      </v>
          </cell>
          <cell r="O2283">
            <v>144</v>
          </cell>
        </row>
        <row r="2284">
          <cell r="F2284" t="str">
            <v xml:space="preserve">890900424      </v>
          </cell>
          <cell r="O2284">
            <v>30</v>
          </cell>
        </row>
        <row r="2285">
          <cell r="F2285" t="str">
            <v xml:space="preserve">890900424      </v>
          </cell>
          <cell r="O2285">
            <v>75</v>
          </cell>
        </row>
        <row r="2286">
          <cell r="F2286" t="str">
            <v xml:space="preserve">890904713      </v>
          </cell>
          <cell r="O2286">
            <v>30</v>
          </cell>
        </row>
        <row r="2287">
          <cell r="F2287" t="str">
            <v xml:space="preserve">890905790      </v>
          </cell>
          <cell r="O2287">
            <v>105</v>
          </cell>
        </row>
        <row r="2288">
          <cell r="F2288" t="str">
            <v xml:space="preserve">890907406      </v>
          </cell>
          <cell r="O2288">
            <v>75</v>
          </cell>
        </row>
        <row r="2289">
          <cell r="F2289" t="str">
            <v xml:space="preserve">899999049      </v>
          </cell>
          <cell r="O2289">
            <v>54</v>
          </cell>
        </row>
        <row r="2290">
          <cell r="F2290" t="str">
            <v xml:space="preserve">901436775      </v>
          </cell>
          <cell r="O2290">
            <v>165</v>
          </cell>
        </row>
        <row r="2291">
          <cell r="F2291" t="str">
            <v xml:space="preserve">210            </v>
          </cell>
          <cell r="O2291">
            <v>738</v>
          </cell>
        </row>
        <row r="2292">
          <cell r="F2292" t="str">
            <v xml:space="preserve">210            </v>
          </cell>
          <cell r="O2292">
            <v>45</v>
          </cell>
        </row>
        <row r="2293">
          <cell r="F2293" t="str">
            <v xml:space="preserve">101            </v>
          </cell>
          <cell r="O2293">
            <v>9</v>
          </cell>
        </row>
        <row r="2294">
          <cell r="F2294" t="str">
            <v xml:space="preserve">101            </v>
          </cell>
          <cell r="O2294">
            <v>486</v>
          </cell>
        </row>
        <row r="2295">
          <cell r="F2295" t="str">
            <v xml:space="preserve">811014849      </v>
          </cell>
          <cell r="O2295">
            <v>275.45</v>
          </cell>
        </row>
        <row r="2296">
          <cell r="F2296" t="str">
            <v xml:space="preserve">899999049      </v>
          </cell>
          <cell r="O2296">
            <v>126</v>
          </cell>
        </row>
        <row r="2297">
          <cell r="F2297" t="str">
            <v xml:space="preserve">210            </v>
          </cell>
          <cell r="O2297">
            <v>9</v>
          </cell>
        </row>
        <row r="2298">
          <cell r="F2298" t="str">
            <v xml:space="preserve">210            </v>
          </cell>
          <cell r="O2298">
            <v>1602</v>
          </cell>
        </row>
        <row r="2299">
          <cell r="F2299" t="str">
            <v xml:space="preserve">860020382      </v>
          </cell>
          <cell r="O2299">
            <v>54</v>
          </cell>
        </row>
        <row r="2300">
          <cell r="F2300" t="str">
            <v xml:space="preserve">860001697      </v>
          </cell>
          <cell r="O2300">
            <v>376.4</v>
          </cell>
        </row>
        <row r="2301">
          <cell r="F2301" t="str">
            <v xml:space="preserve">860001697      </v>
          </cell>
          <cell r="O2301">
            <v>945.2</v>
          </cell>
        </row>
        <row r="2302">
          <cell r="F2302" t="str">
            <v xml:space="preserve">404            </v>
          </cell>
          <cell r="O2302">
            <v>180</v>
          </cell>
        </row>
        <row r="2303">
          <cell r="F2303" t="str">
            <v xml:space="preserve">404            </v>
          </cell>
          <cell r="O2303">
            <v>90</v>
          </cell>
        </row>
        <row r="2304">
          <cell r="F2304" t="str">
            <v xml:space="preserve">900247070      </v>
          </cell>
          <cell r="O2304">
            <v>36</v>
          </cell>
        </row>
        <row r="2305">
          <cell r="F2305" t="str">
            <v xml:space="preserve">210            </v>
          </cell>
          <cell r="O2305">
            <v>30</v>
          </cell>
        </row>
        <row r="2306">
          <cell r="F2306" t="str">
            <v xml:space="preserve">210            </v>
          </cell>
          <cell r="O2306">
            <v>270</v>
          </cell>
        </row>
        <row r="2307">
          <cell r="F2307" t="str">
            <v xml:space="preserve">210            </v>
          </cell>
          <cell r="O2307">
            <v>45</v>
          </cell>
        </row>
        <row r="2308">
          <cell r="F2308" t="str">
            <v xml:space="preserve">6621568        </v>
          </cell>
          <cell r="O2308">
            <v>36</v>
          </cell>
        </row>
        <row r="2309">
          <cell r="F2309" t="str">
            <v xml:space="preserve">6621568        </v>
          </cell>
          <cell r="O2309">
            <v>45</v>
          </cell>
        </row>
        <row r="2310">
          <cell r="F2310" t="str">
            <v xml:space="preserve">800003267      </v>
          </cell>
          <cell r="O2310">
            <v>180</v>
          </cell>
        </row>
        <row r="2311">
          <cell r="F2311" t="str">
            <v xml:space="preserve">805026018      </v>
          </cell>
          <cell r="O2311">
            <v>36</v>
          </cell>
        </row>
        <row r="2312">
          <cell r="F2312" t="str">
            <v xml:space="preserve">890302609      </v>
          </cell>
          <cell r="O2312">
            <v>183</v>
          </cell>
        </row>
        <row r="2313">
          <cell r="F2313" t="str">
            <v xml:space="preserve">890304607      </v>
          </cell>
          <cell r="O2313">
            <v>126</v>
          </cell>
        </row>
        <row r="2314">
          <cell r="F2314" t="str">
            <v xml:space="preserve">890321924      </v>
          </cell>
          <cell r="O2314">
            <v>36</v>
          </cell>
        </row>
        <row r="2315">
          <cell r="F2315" t="str">
            <v xml:space="preserve">890903939      </v>
          </cell>
          <cell r="O2315">
            <v>186</v>
          </cell>
        </row>
        <row r="2316">
          <cell r="F2316" t="str">
            <v xml:space="preserve">891303109      </v>
          </cell>
          <cell r="O2316">
            <v>18</v>
          </cell>
        </row>
        <row r="2317">
          <cell r="F2317" t="str">
            <v xml:space="preserve">900233101      </v>
          </cell>
          <cell r="O2317">
            <v>108</v>
          </cell>
        </row>
        <row r="2318">
          <cell r="F2318" t="str">
            <v xml:space="preserve">901167377      </v>
          </cell>
          <cell r="O2318">
            <v>110.5</v>
          </cell>
        </row>
        <row r="2319">
          <cell r="F2319" t="str">
            <v xml:space="preserve">830010738      </v>
          </cell>
          <cell r="O2319">
            <v>219.2</v>
          </cell>
        </row>
        <row r="2320">
          <cell r="F2320" t="str">
            <v xml:space="preserve">830010738      </v>
          </cell>
          <cell r="O2320">
            <v>2047.8</v>
          </cell>
        </row>
        <row r="2321">
          <cell r="F2321" t="str">
            <v xml:space="preserve">860058831      </v>
          </cell>
          <cell r="O2321">
            <v>1298.3</v>
          </cell>
        </row>
        <row r="2322">
          <cell r="F2322" t="str">
            <v xml:space="preserve">900474647      </v>
          </cell>
          <cell r="O2322">
            <v>637.79999999999995</v>
          </cell>
        </row>
        <row r="2323">
          <cell r="F2323" t="str">
            <v xml:space="preserve">5581295        </v>
          </cell>
          <cell r="O2323">
            <v>225</v>
          </cell>
        </row>
        <row r="2324">
          <cell r="F2324" t="str">
            <v xml:space="preserve">5581295        </v>
          </cell>
          <cell r="O2324">
            <v>45</v>
          </cell>
        </row>
        <row r="2325">
          <cell r="F2325" t="str">
            <v xml:space="preserve">210            </v>
          </cell>
          <cell r="O2325">
            <v>828</v>
          </cell>
        </row>
        <row r="2326">
          <cell r="F2326" t="str">
            <v xml:space="preserve">890903939      </v>
          </cell>
          <cell r="O2326">
            <v>140</v>
          </cell>
        </row>
        <row r="2327">
          <cell r="F2327" t="str">
            <v xml:space="preserve">213            </v>
          </cell>
          <cell r="O2327">
            <v>306</v>
          </cell>
        </row>
        <row r="2328">
          <cell r="F2328" t="str">
            <v xml:space="preserve">213            </v>
          </cell>
          <cell r="O2328">
            <v>225</v>
          </cell>
        </row>
        <row r="2329">
          <cell r="F2329" t="str">
            <v xml:space="preserve">213            </v>
          </cell>
          <cell r="O2329">
            <v>105</v>
          </cell>
        </row>
        <row r="2330">
          <cell r="F2330" t="str">
            <v xml:space="preserve">212            </v>
          </cell>
          <cell r="O2330">
            <v>15</v>
          </cell>
        </row>
        <row r="2331">
          <cell r="F2331" t="str">
            <v xml:space="preserve">212            </v>
          </cell>
          <cell r="O2331">
            <v>18</v>
          </cell>
        </row>
        <row r="2332">
          <cell r="F2332" t="str">
            <v xml:space="preserve">212            </v>
          </cell>
          <cell r="O2332">
            <v>288</v>
          </cell>
        </row>
        <row r="2333">
          <cell r="F2333" t="str">
            <v xml:space="preserve">212            </v>
          </cell>
          <cell r="O2333">
            <v>270</v>
          </cell>
        </row>
        <row r="2334">
          <cell r="F2334" t="str">
            <v xml:space="preserve">212            </v>
          </cell>
          <cell r="O2334">
            <v>345</v>
          </cell>
        </row>
        <row r="2335">
          <cell r="F2335" t="str">
            <v xml:space="preserve">830042112      </v>
          </cell>
          <cell r="O2335">
            <v>90</v>
          </cell>
        </row>
        <row r="2336">
          <cell r="F2336" t="str">
            <v xml:space="preserve">900084859      </v>
          </cell>
          <cell r="O2336">
            <v>18</v>
          </cell>
        </row>
        <row r="2337">
          <cell r="F2337" t="str">
            <v xml:space="preserve">900084859      </v>
          </cell>
          <cell r="O2337">
            <v>45</v>
          </cell>
        </row>
        <row r="2338">
          <cell r="F2338" t="str">
            <v xml:space="preserve">212            </v>
          </cell>
          <cell r="O2338">
            <v>60</v>
          </cell>
        </row>
        <row r="2339">
          <cell r="F2339" t="str">
            <v xml:space="preserve">212            </v>
          </cell>
          <cell r="O2339">
            <v>36</v>
          </cell>
        </row>
        <row r="2340">
          <cell r="F2340" t="str">
            <v xml:space="preserve">212            </v>
          </cell>
          <cell r="O2340">
            <v>90</v>
          </cell>
        </row>
        <row r="2341">
          <cell r="F2341" t="str">
            <v xml:space="preserve">830027386      </v>
          </cell>
          <cell r="O2341">
            <v>117</v>
          </cell>
        </row>
        <row r="2342">
          <cell r="F2342" t="str">
            <v xml:space="preserve">890900161      </v>
          </cell>
          <cell r="O2342">
            <v>210</v>
          </cell>
        </row>
        <row r="2343">
          <cell r="F2343" t="str">
            <v xml:space="preserve">890903939      </v>
          </cell>
          <cell r="O2343">
            <v>166.5</v>
          </cell>
        </row>
        <row r="2344">
          <cell r="F2344" t="str">
            <v xml:space="preserve">901172312      </v>
          </cell>
          <cell r="O2344">
            <v>30</v>
          </cell>
        </row>
        <row r="2345">
          <cell r="F2345" t="str">
            <v xml:space="preserve">213            </v>
          </cell>
          <cell r="O2345">
            <v>810</v>
          </cell>
        </row>
        <row r="2346">
          <cell r="F2346" t="str">
            <v xml:space="preserve">213            </v>
          </cell>
          <cell r="O2346">
            <v>435</v>
          </cell>
        </row>
        <row r="2347">
          <cell r="F2347" t="str">
            <v xml:space="preserve">213            </v>
          </cell>
          <cell r="O2347">
            <v>360</v>
          </cell>
        </row>
        <row r="2348">
          <cell r="F2348" t="str">
            <v xml:space="preserve">860020382      </v>
          </cell>
          <cell r="O2348">
            <v>36</v>
          </cell>
        </row>
        <row r="2349">
          <cell r="F2349" t="str">
            <v xml:space="preserve">890307885      </v>
          </cell>
          <cell r="O2349">
            <v>121.5</v>
          </cell>
        </row>
        <row r="2350">
          <cell r="F2350" t="str">
            <v xml:space="preserve">890308085      </v>
          </cell>
          <cell r="O2350">
            <v>72</v>
          </cell>
        </row>
        <row r="2351">
          <cell r="F2351" t="str">
            <v xml:space="preserve">890312630      </v>
          </cell>
          <cell r="O2351">
            <v>81</v>
          </cell>
        </row>
        <row r="2352">
          <cell r="F2352" t="str">
            <v xml:space="preserve">890319254      </v>
          </cell>
          <cell r="O2352">
            <v>18</v>
          </cell>
        </row>
        <row r="2353">
          <cell r="F2353" t="str">
            <v xml:space="preserve">900896300      </v>
          </cell>
          <cell r="O2353">
            <v>180</v>
          </cell>
        </row>
        <row r="2354">
          <cell r="F2354" t="str">
            <v xml:space="preserve">212            </v>
          </cell>
          <cell r="O2354">
            <v>30</v>
          </cell>
        </row>
        <row r="2355">
          <cell r="F2355" t="str">
            <v xml:space="preserve">212            </v>
          </cell>
          <cell r="O2355">
            <v>36</v>
          </cell>
        </row>
        <row r="2356">
          <cell r="F2356" t="str">
            <v xml:space="preserve">212            </v>
          </cell>
          <cell r="O2356">
            <v>240</v>
          </cell>
        </row>
        <row r="2357">
          <cell r="F2357" t="str">
            <v xml:space="preserve">212            </v>
          </cell>
          <cell r="O2357">
            <v>126</v>
          </cell>
        </row>
        <row r="2358">
          <cell r="F2358" t="str">
            <v xml:space="preserve">71110713       </v>
          </cell>
          <cell r="O2358">
            <v>60</v>
          </cell>
        </row>
        <row r="2359">
          <cell r="F2359" t="str">
            <v xml:space="preserve">71110713       </v>
          </cell>
          <cell r="O2359">
            <v>90</v>
          </cell>
        </row>
        <row r="2360">
          <cell r="F2360" t="str">
            <v xml:space="preserve">71110713       </v>
          </cell>
          <cell r="O2360">
            <v>180</v>
          </cell>
        </row>
        <row r="2361">
          <cell r="F2361" t="str">
            <v xml:space="preserve">830010738      </v>
          </cell>
          <cell r="O2361">
            <v>450</v>
          </cell>
        </row>
        <row r="2362">
          <cell r="F2362" t="str">
            <v xml:space="preserve">1090445467     </v>
          </cell>
          <cell r="O2362">
            <v>40</v>
          </cell>
        </row>
        <row r="2363">
          <cell r="F2363" t="str">
            <v xml:space="preserve">1113622521     </v>
          </cell>
          <cell r="O2363">
            <v>60.3</v>
          </cell>
        </row>
        <row r="2364">
          <cell r="F2364" t="str">
            <v xml:space="preserve">13479408       </v>
          </cell>
          <cell r="O2364">
            <v>80</v>
          </cell>
        </row>
        <row r="2365">
          <cell r="F2365" t="str">
            <v xml:space="preserve">60378423       </v>
          </cell>
          <cell r="O2365">
            <v>42.1</v>
          </cell>
        </row>
        <row r="2366">
          <cell r="F2366" t="str">
            <v xml:space="preserve">71581450       </v>
          </cell>
          <cell r="O2366">
            <v>37.4</v>
          </cell>
        </row>
        <row r="2367">
          <cell r="F2367" t="str">
            <v xml:space="preserve">88254195       </v>
          </cell>
          <cell r="O2367">
            <v>37.1</v>
          </cell>
        </row>
        <row r="2368">
          <cell r="F2368" t="str">
            <v xml:space="preserve">88261865       </v>
          </cell>
          <cell r="O2368">
            <v>178.3</v>
          </cell>
        </row>
        <row r="2369">
          <cell r="F2369" t="str">
            <v xml:space="preserve">900067125      </v>
          </cell>
          <cell r="O2369">
            <v>2500</v>
          </cell>
        </row>
        <row r="2370">
          <cell r="F2370" t="str">
            <v xml:space="preserve">900105557      </v>
          </cell>
          <cell r="O2370">
            <v>287.3</v>
          </cell>
        </row>
        <row r="2371">
          <cell r="F2371" t="str">
            <v xml:space="preserve">900121088      </v>
          </cell>
          <cell r="O2371">
            <v>147.1</v>
          </cell>
        </row>
        <row r="2372">
          <cell r="F2372" t="str">
            <v xml:space="preserve">900163342      </v>
          </cell>
          <cell r="O2372">
            <v>113.4</v>
          </cell>
        </row>
        <row r="2373">
          <cell r="F2373" t="str">
            <v xml:space="preserve">900163342      </v>
          </cell>
          <cell r="O2373">
            <v>66.099999999999994</v>
          </cell>
        </row>
        <row r="2374">
          <cell r="F2374" t="str">
            <v xml:space="preserve">900030756      </v>
          </cell>
          <cell r="O2374">
            <v>2338.9</v>
          </cell>
        </row>
        <row r="2375">
          <cell r="F2375" t="str">
            <v xml:space="preserve">38554674       </v>
          </cell>
          <cell r="O2375">
            <v>61.3</v>
          </cell>
        </row>
        <row r="2376">
          <cell r="F2376" t="str">
            <v xml:space="preserve">5577406        </v>
          </cell>
          <cell r="O2376">
            <v>45.6</v>
          </cell>
        </row>
        <row r="2377">
          <cell r="F2377" t="str">
            <v xml:space="preserve">800000276      </v>
          </cell>
          <cell r="O2377">
            <v>5941</v>
          </cell>
        </row>
        <row r="2378">
          <cell r="F2378" t="str">
            <v xml:space="preserve">800134497      </v>
          </cell>
          <cell r="O2378">
            <v>451.5</v>
          </cell>
        </row>
        <row r="2379">
          <cell r="F2379" t="str">
            <v xml:space="preserve">860065656      </v>
          </cell>
          <cell r="O2379">
            <v>3212.4</v>
          </cell>
        </row>
        <row r="2380">
          <cell r="F2380" t="str">
            <v xml:space="preserve">860065656      </v>
          </cell>
          <cell r="O2380">
            <v>113.4</v>
          </cell>
        </row>
        <row r="2381">
          <cell r="F2381" t="str">
            <v xml:space="preserve">860403972      </v>
          </cell>
          <cell r="O2381">
            <v>1494.6</v>
          </cell>
        </row>
        <row r="2382">
          <cell r="F2382" t="str">
            <v xml:space="preserve">900750034      </v>
          </cell>
          <cell r="O2382">
            <v>151.19999999999999</v>
          </cell>
        </row>
        <row r="2383">
          <cell r="F2383" t="str">
            <v xml:space="preserve">800039849      </v>
          </cell>
          <cell r="O2383">
            <v>2446</v>
          </cell>
        </row>
        <row r="2384">
          <cell r="F2384" t="str">
            <v xml:space="preserve">811014849      </v>
          </cell>
          <cell r="O2384">
            <v>552.6</v>
          </cell>
        </row>
        <row r="2385">
          <cell r="F2385" t="str">
            <v xml:space="preserve">811014849      </v>
          </cell>
          <cell r="O2385">
            <v>964.2</v>
          </cell>
        </row>
        <row r="2386">
          <cell r="F2386" t="str">
            <v xml:space="preserve">830022380      </v>
          </cell>
          <cell r="O2386">
            <v>673.9</v>
          </cell>
        </row>
        <row r="2387">
          <cell r="F2387" t="str">
            <v xml:space="preserve">890910131      </v>
          </cell>
          <cell r="O2387">
            <v>478</v>
          </cell>
        </row>
        <row r="2388">
          <cell r="F2388" t="str">
            <v xml:space="preserve">890910131      </v>
          </cell>
          <cell r="O2388">
            <v>244.7</v>
          </cell>
        </row>
        <row r="2389">
          <cell r="F2389" t="str">
            <v xml:space="preserve">899999049      </v>
          </cell>
          <cell r="O2389">
            <v>72</v>
          </cell>
        </row>
        <row r="2390">
          <cell r="F2390" t="str">
            <v xml:space="preserve">65823154       </v>
          </cell>
          <cell r="O2390">
            <v>84.5</v>
          </cell>
        </row>
        <row r="2391">
          <cell r="F2391" t="str">
            <v xml:space="preserve">80133205       </v>
          </cell>
          <cell r="O2391">
            <v>124.3</v>
          </cell>
        </row>
        <row r="2392">
          <cell r="F2392" t="str">
            <v xml:space="preserve">901553612      </v>
          </cell>
          <cell r="O2392">
            <v>240.9</v>
          </cell>
        </row>
        <row r="2393">
          <cell r="F2393" t="str">
            <v xml:space="preserve">900251105      </v>
          </cell>
          <cell r="O2393">
            <v>309.89999999999998</v>
          </cell>
        </row>
        <row r="2394">
          <cell r="F2394" t="str">
            <v xml:space="preserve">1105788514     </v>
          </cell>
          <cell r="O2394">
            <v>39.299999999999997</v>
          </cell>
        </row>
        <row r="2395">
          <cell r="F2395" t="str">
            <v xml:space="preserve">39813103       </v>
          </cell>
          <cell r="O2395">
            <v>222.5</v>
          </cell>
        </row>
        <row r="2396">
          <cell r="F2396" t="str">
            <v xml:space="preserve">860403972      </v>
          </cell>
          <cell r="O2396">
            <v>1183.9000000000001</v>
          </cell>
        </row>
        <row r="2397">
          <cell r="F2397" t="str">
            <v xml:space="preserve">213            </v>
          </cell>
          <cell r="O2397">
            <v>495</v>
          </cell>
        </row>
        <row r="2398">
          <cell r="F2398" t="str">
            <v xml:space="preserve">213            </v>
          </cell>
          <cell r="O2398">
            <v>36</v>
          </cell>
        </row>
        <row r="2399">
          <cell r="F2399" t="str">
            <v xml:space="preserve">800244560      </v>
          </cell>
          <cell r="O2399">
            <v>210.6</v>
          </cell>
        </row>
        <row r="2400">
          <cell r="F2400" t="str">
            <v xml:space="preserve">830143647      </v>
          </cell>
          <cell r="O2400">
            <v>368.6</v>
          </cell>
        </row>
        <row r="2401">
          <cell r="F2401" t="str">
            <v xml:space="preserve">900324345      </v>
          </cell>
          <cell r="O2401">
            <v>64.2</v>
          </cell>
        </row>
        <row r="2402">
          <cell r="F2402" t="str">
            <v xml:space="preserve">70900706       </v>
          </cell>
          <cell r="O2402">
            <v>510</v>
          </cell>
        </row>
        <row r="2403">
          <cell r="F2403" t="str">
            <v xml:space="preserve">70900706       </v>
          </cell>
          <cell r="O2403">
            <v>576</v>
          </cell>
        </row>
        <row r="2404">
          <cell r="F2404" t="str">
            <v xml:space="preserve">70900706       </v>
          </cell>
          <cell r="O2404">
            <v>45</v>
          </cell>
        </row>
        <row r="2405">
          <cell r="F2405" t="str">
            <v xml:space="preserve">70900706       </v>
          </cell>
          <cell r="O2405">
            <v>36</v>
          </cell>
        </row>
        <row r="2406">
          <cell r="F2406" t="str">
            <v xml:space="preserve">830107617      </v>
          </cell>
          <cell r="O2406">
            <v>1330</v>
          </cell>
        </row>
        <row r="2407">
          <cell r="F2407" t="str">
            <v xml:space="preserve">890200474      </v>
          </cell>
          <cell r="O2407">
            <v>3751</v>
          </cell>
        </row>
        <row r="2408">
          <cell r="F2408" t="str">
            <v xml:space="preserve">804002825      </v>
          </cell>
          <cell r="O2408">
            <v>6960</v>
          </cell>
        </row>
        <row r="2409">
          <cell r="F2409" t="str">
            <v xml:space="preserve">901175206      </v>
          </cell>
          <cell r="O2409">
            <v>1681</v>
          </cell>
        </row>
        <row r="2410">
          <cell r="F2410" t="str">
            <v xml:space="preserve">901020967      </v>
          </cell>
          <cell r="O2410">
            <v>3950</v>
          </cell>
        </row>
        <row r="2411">
          <cell r="F2411" t="str">
            <v xml:space="preserve">830008804      </v>
          </cell>
          <cell r="O2411">
            <v>391.11</v>
          </cell>
        </row>
        <row r="2412">
          <cell r="F2412" t="str">
            <v xml:space="preserve">830016593      </v>
          </cell>
          <cell r="O2412">
            <v>455.78</v>
          </cell>
        </row>
        <row r="2413">
          <cell r="F2413" t="str">
            <v xml:space="preserve">830026277      </v>
          </cell>
          <cell r="O2413">
            <v>1600.62</v>
          </cell>
        </row>
        <row r="2414">
          <cell r="F2414" t="str">
            <v xml:space="preserve">860040576      </v>
          </cell>
          <cell r="O2414">
            <v>126.45</v>
          </cell>
        </row>
        <row r="2415">
          <cell r="F2415" t="str">
            <v xml:space="preserve">860518994      </v>
          </cell>
          <cell r="O2415">
            <v>53.77</v>
          </cell>
        </row>
        <row r="2416">
          <cell r="F2416" t="str">
            <v xml:space="preserve">860520093      </v>
          </cell>
          <cell r="O2416">
            <v>44.06</v>
          </cell>
        </row>
        <row r="2417">
          <cell r="F2417" t="str">
            <v xml:space="preserve">39777011       </v>
          </cell>
          <cell r="O2417">
            <v>502.3</v>
          </cell>
        </row>
        <row r="2418">
          <cell r="F2418" t="str">
            <v xml:space="preserve">800210865      </v>
          </cell>
          <cell r="O2418">
            <v>213.4</v>
          </cell>
        </row>
        <row r="2419">
          <cell r="F2419" t="str">
            <v xml:space="preserve">860020533      </v>
          </cell>
          <cell r="O2419">
            <v>334.7</v>
          </cell>
        </row>
        <row r="2420">
          <cell r="F2420" t="str">
            <v xml:space="preserve">860069497      </v>
          </cell>
          <cell r="O2420">
            <v>964.7</v>
          </cell>
        </row>
        <row r="2421">
          <cell r="F2421" t="str">
            <v xml:space="preserve">800209179      </v>
          </cell>
          <cell r="O2421">
            <v>45</v>
          </cell>
        </row>
        <row r="2422">
          <cell r="F2422" t="str">
            <v xml:space="preserve">805005148      </v>
          </cell>
          <cell r="O2422">
            <v>1116</v>
          </cell>
        </row>
        <row r="2423">
          <cell r="F2423" t="str">
            <v xml:space="preserve">805005148      </v>
          </cell>
          <cell r="O2423">
            <v>45</v>
          </cell>
        </row>
        <row r="2424">
          <cell r="F2424" t="str">
            <v xml:space="preserve">805005148      </v>
          </cell>
          <cell r="O2424">
            <v>75</v>
          </cell>
        </row>
        <row r="2425">
          <cell r="F2425" t="str">
            <v xml:space="preserve">805005148      </v>
          </cell>
          <cell r="O2425">
            <v>1512</v>
          </cell>
        </row>
        <row r="2426">
          <cell r="F2426" t="str">
            <v xml:space="preserve">805005148      </v>
          </cell>
          <cell r="O2426">
            <v>540</v>
          </cell>
        </row>
        <row r="2427">
          <cell r="F2427" t="str">
            <v xml:space="preserve">860033740      </v>
          </cell>
          <cell r="O2427">
            <v>75</v>
          </cell>
        </row>
        <row r="2428">
          <cell r="F2428" t="str">
            <v xml:space="preserve">1130605276     </v>
          </cell>
          <cell r="O2428">
            <v>270</v>
          </cell>
        </row>
        <row r="2429">
          <cell r="F2429" t="str">
            <v xml:space="preserve">1130605276     </v>
          </cell>
          <cell r="O2429">
            <v>150</v>
          </cell>
        </row>
        <row r="2430">
          <cell r="F2430" t="str">
            <v xml:space="preserve">1130605276     </v>
          </cell>
          <cell r="O2430">
            <v>1170</v>
          </cell>
        </row>
        <row r="2431">
          <cell r="F2431" t="str">
            <v xml:space="preserve">1130605276     </v>
          </cell>
          <cell r="O2431">
            <v>270</v>
          </cell>
        </row>
        <row r="2432">
          <cell r="F2432" t="str">
            <v xml:space="preserve">94050412       </v>
          </cell>
          <cell r="O2432">
            <v>45</v>
          </cell>
        </row>
        <row r="2433">
          <cell r="F2433" t="str">
            <v xml:space="preserve">94050412       </v>
          </cell>
          <cell r="O2433">
            <v>180</v>
          </cell>
        </row>
        <row r="2434">
          <cell r="F2434" t="str">
            <v xml:space="preserve">94050412       </v>
          </cell>
          <cell r="O2434">
            <v>45</v>
          </cell>
        </row>
        <row r="2435">
          <cell r="F2435" t="str">
            <v xml:space="preserve">88275315       </v>
          </cell>
          <cell r="O2435">
            <v>27</v>
          </cell>
        </row>
        <row r="2436">
          <cell r="F2436" t="str">
            <v xml:space="preserve">88275315       </v>
          </cell>
          <cell r="O2436">
            <v>45</v>
          </cell>
        </row>
        <row r="2437">
          <cell r="F2437" t="str">
            <v xml:space="preserve">88275315       </v>
          </cell>
          <cell r="O2437">
            <v>1746</v>
          </cell>
        </row>
        <row r="2438">
          <cell r="F2438" t="str">
            <v xml:space="preserve">88275315       </v>
          </cell>
          <cell r="O2438">
            <v>360</v>
          </cell>
        </row>
        <row r="2439">
          <cell r="F2439" t="str">
            <v xml:space="preserve">88275315       </v>
          </cell>
          <cell r="O2439">
            <v>108</v>
          </cell>
        </row>
        <row r="2440">
          <cell r="F2440" t="str">
            <v xml:space="preserve">94464104       </v>
          </cell>
          <cell r="O2440">
            <v>150</v>
          </cell>
        </row>
        <row r="2441">
          <cell r="F2441" t="str">
            <v xml:space="preserve">94464104       </v>
          </cell>
          <cell r="O2441">
            <v>180</v>
          </cell>
        </row>
        <row r="2442">
          <cell r="F2442" t="str">
            <v xml:space="preserve">94464104       </v>
          </cell>
          <cell r="O2442">
            <v>9</v>
          </cell>
        </row>
        <row r="2443">
          <cell r="F2443" t="str">
            <v xml:space="preserve">16458005       </v>
          </cell>
          <cell r="O2443">
            <v>252</v>
          </cell>
        </row>
        <row r="2444">
          <cell r="F2444" t="str">
            <v xml:space="preserve">94419930       </v>
          </cell>
          <cell r="O2444">
            <v>702</v>
          </cell>
        </row>
        <row r="2445">
          <cell r="F2445" t="str">
            <v xml:space="preserve">94419930       </v>
          </cell>
          <cell r="O2445">
            <v>90</v>
          </cell>
        </row>
        <row r="2446">
          <cell r="F2446" t="str">
            <v xml:space="preserve">16669313       </v>
          </cell>
          <cell r="O2446">
            <v>27</v>
          </cell>
        </row>
        <row r="2447">
          <cell r="F2447" t="str">
            <v xml:space="preserve">16669313       </v>
          </cell>
          <cell r="O2447">
            <v>1044</v>
          </cell>
        </row>
        <row r="2448">
          <cell r="F2448" t="str">
            <v xml:space="preserve">16669313       </v>
          </cell>
          <cell r="O2448">
            <v>45</v>
          </cell>
        </row>
        <row r="2449">
          <cell r="F2449" t="str">
            <v xml:space="preserve">900034686      </v>
          </cell>
          <cell r="O2449">
            <v>54</v>
          </cell>
        </row>
        <row r="2450">
          <cell r="F2450" t="str">
            <v xml:space="preserve">900034686      </v>
          </cell>
          <cell r="O2450">
            <v>180</v>
          </cell>
        </row>
        <row r="2451">
          <cell r="F2451" t="str">
            <v xml:space="preserve">900034686      </v>
          </cell>
          <cell r="O2451">
            <v>72</v>
          </cell>
        </row>
        <row r="2452">
          <cell r="F2452" t="str">
            <v xml:space="preserve">900034686      </v>
          </cell>
          <cell r="O2452">
            <v>45</v>
          </cell>
        </row>
        <row r="2453">
          <cell r="F2453" t="str">
            <v xml:space="preserve">901076778      </v>
          </cell>
          <cell r="O2453">
            <v>54</v>
          </cell>
        </row>
        <row r="2454">
          <cell r="F2454" t="str">
            <v xml:space="preserve">901551934      </v>
          </cell>
          <cell r="O2454">
            <v>18</v>
          </cell>
        </row>
        <row r="2455">
          <cell r="F2455" t="str">
            <v xml:space="preserve">901551934      </v>
          </cell>
          <cell r="O2455">
            <v>90</v>
          </cell>
        </row>
        <row r="2456">
          <cell r="F2456" t="str">
            <v xml:space="preserve">16460421       </v>
          </cell>
          <cell r="O2456">
            <v>27</v>
          </cell>
        </row>
        <row r="2457">
          <cell r="F2457" t="str">
            <v xml:space="preserve">16460421       </v>
          </cell>
          <cell r="O2457">
            <v>75</v>
          </cell>
        </row>
        <row r="2458">
          <cell r="F2458" t="str">
            <v xml:space="preserve">16460421       </v>
          </cell>
          <cell r="O2458">
            <v>900</v>
          </cell>
        </row>
        <row r="2459">
          <cell r="F2459" t="str">
            <v xml:space="preserve">16460421       </v>
          </cell>
          <cell r="O2459">
            <v>45</v>
          </cell>
        </row>
        <row r="2460">
          <cell r="F2460" t="str">
            <v xml:space="preserve">890318280      </v>
          </cell>
          <cell r="O2460">
            <v>90</v>
          </cell>
        </row>
        <row r="2461">
          <cell r="F2461" t="str">
            <v xml:space="preserve">75074760       </v>
          </cell>
          <cell r="O2461">
            <v>27</v>
          </cell>
        </row>
        <row r="2462">
          <cell r="F2462" t="str">
            <v xml:space="preserve">75074760       </v>
          </cell>
          <cell r="O2462">
            <v>300</v>
          </cell>
        </row>
        <row r="2463">
          <cell r="F2463" t="str">
            <v xml:space="preserve">75074760       </v>
          </cell>
          <cell r="O2463">
            <v>54</v>
          </cell>
        </row>
        <row r="2464">
          <cell r="F2464" t="str">
            <v xml:space="preserve">75074760       </v>
          </cell>
          <cell r="O2464">
            <v>45</v>
          </cell>
        </row>
        <row r="2465">
          <cell r="F2465" t="str">
            <v xml:space="preserve">9696643        </v>
          </cell>
          <cell r="O2465">
            <v>3330</v>
          </cell>
        </row>
        <row r="2466">
          <cell r="F2466" t="str">
            <v xml:space="preserve">10237057       </v>
          </cell>
          <cell r="O2466">
            <v>4.5</v>
          </cell>
        </row>
        <row r="2467">
          <cell r="F2467" t="str">
            <v xml:space="preserve">10237057       </v>
          </cell>
          <cell r="O2467">
            <v>9</v>
          </cell>
        </row>
        <row r="2468">
          <cell r="F2468" t="str">
            <v xml:space="preserve">10237057       </v>
          </cell>
          <cell r="O2468">
            <v>75</v>
          </cell>
        </row>
        <row r="2469">
          <cell r="F2469" t="str">
            <v xml:space="preserve">10237057       </v>
          </cell>
          <cell r="O2469">
            <v>18</v>
          </cell>
        </row>
        <row r="2470">
          <cell r="F2470" t="str">
            <v xml:space="preserve">10237057       </v>
          </cell>
          <cell r="O2470">
            <v>45</v>
          </cell>
        </row>
        <row r="2471">
          <cell r="F2471" t="str">
            <v xml:space="preserve">805005148      </v>
          </cell>
          <cell r="O2471">
            <v>15</v>
          </cell>
        </row>
        <row r="2472">
          <cell r="F2472" t="str">
            <v xml:space="preserve">805005148      </v>
          </cell>
          <cell r="O2472">
            <v>1710</v>
          </cell>
        </row>
        <row r="2473">
          <cell r="F2473" t="str">
            <v xml:space="preserve">94373864       </v>
          </cell>
          <cell r="O2473">
            <v>576</v>
          </cell>
        </row>
        <row r="2474">
          <cell r="F2474" t="str">
            <v xml:space="preserve">76323227       </v>
          </cell>
          <cell r="O2474">
            <v>855</v>
          </cell>
        </row>
        <row r="2475">
          <cell r="F2475" t="str">
            <v xml:space="preserve">10532222       </v>
          </cell>
          <cell r="O2475">
            <v>15</v>
          </cell>
        </row>
        <row r="2476">
          <cell r="F2476" t="str">
            <v xml:space="preserve">10532222       </v>
          </cell>
          <cell r="O2476">
            <v>108</v>
          </cell>
        </row>
        <row r="2477">
          <cell r="F2477" t="str">
            <v xml:space="preserve">12168724       </v>
          </cell>
          <cell r="O2477">
            <v>900</v>
          </cell>
        </row>
        <row r="2478">
          <cell r="F2478" t="str">
            <v xml:space="preserve">10755493       </v>
          </cell>
          <cell r="O2478">
            <v>288</v>
          </cell>
        </row>
        <row r="2479">
          <cell r="F2479" t="str">
            <v xml:space="preserve">10292388       </v>
          </cell>
          <cell r="O2479">
            <v>126</v>
          </cell>
        </row>
        <row r="2480">
          <cell r="F2480" t="str">
            <v xml:space="preserve">10292388       </v>
          </cell>
          <cell r="O2480">
            <v>198</v>
          </cell>
        </row>
        <row r="2481">
          <cell r="F2481" t="str">
            <v xml:space="preserve">10292388       </v>
          </cell>
          <cell r="O2481">
            <v>126</v>
          </cell>
        </row>
        <row r="2482">
          <cell r="F2482" t="str">
            <v xml:space="preserve">9900047        </v>
          </cell>
          <cell r="O2482">
            <v>45</v>
          </cell>
        </row>
        <row r="2483">
          <cell r="F2483" t="str">
            <v xml:space="preserve">9900047        </v>
          </cell>
          <cell r="O2483">
            <v>108</v>
          </cell>
        </row>
        <row r="2484">
          <cell r="F2484" t="str">
            <v xml:space="preserve">9900047        </v>
          </cell>
          <cell r="O2484">
            <v>45</v>
          </cell>
        </row>
        <row r="2485">
          <cell r="F2485" t="str">
            <v xml:space="preserve">18389245       </v>
          </cell>
          <cell r="O2485">
            <v>210</v>
          </cell>
        </row>
        <row r="2486">
          <cell r="F2486" t="str">
            <v xml:space="preserve">18389245       </v>
          </cell>
          <cell r="O2486">
            <v>54</v>
          </cell>
        </row>
        <row r="2487">
          <cell r="F2487" t="str">
            <v xml:space="preserve">18416624       </v>
          </cell>
          <cell r="O2487">
            <v>135</v>
          </cell>
        </row>
        <row r="2488">
          <cell r="F2488" t="str">
            <v xml:space="preserve">18416624       </v>
          </cell>
          <cell r="O2488">
            <v>198</v>
          </cell>
        </row>
        <row r="2489">
          <cell r="F2489" t="str">
            <v xml:space="preserve">18416624       </v>
          </cell>
          <cell r="O2489">
            <v>45</v>
          </cell>
        </row>
        <row r="2490">
          <cell r="F2490" t="str">
            <v xml:space="preserve">805027024      </v>
          </cell>
          <cell r="O2490">
            <v>15</v>
          </cell>
        </row>
        <row r="2491">
          <cell r="F2491" t="str">
            <v xml:space="preserve">4613715        </v>
          </cell>
          <cell r="O2491">
            <v>63</v>
          </cell>
        </row>
        <row r="2492">
          <cell r="F2492" t="str">
            <v xml:space="preserve">4613715        </v>
          </cell>
          <cell r="O2492">
            <v>1740</v>
          </cell>
        </row>
        <row r="2493">
          <cell r="F2493" t="str">
            <v xml:space="preserve">4613715        </v>
          </cell>
          <cell r="O2493">
            <v>1080</v>
          </cell>
        </row>
        <row r="2494">
          <cell r="F2494" t="str">
            <v xml:space="preserve">4613715        </v>
          </cell>
          <cell r="O2494">
            <v>315</v>
          </cell>
        </row>
        <row r="2495">
          <cell r="F2495" t="str">
            <v xml:space="preserve">9805400        </v>
          </cell>
          <cell r="O2495">
            <v>18</v>
          </cell>
        </row>
        <row r="2496">
          <cell r="F2496" t="str">
            <v xml:space="preserve">9805400        </v>
          </cell>
          <cell r="O2496">
            <v>90</v>
          </cell>
        </row>
        <row r="2497">
          <cell r="F2497" t="str">
            <v xml:space="preserve">9805400        </v>
          </cell>
          <cell r="O2497">
            <v>90</v>
          </cell>
        </row>
        <row r="2498">
          <cell r="F2498" t="str">
            <v xml:space="preserve">9805400        </v>
          </cell>
          <cell r="O2498">
            <v>162</v>
          </cell>
        </row>
        <row r="2499">
          <cell r="F2499" t="str">
            <v xml:space="preserve">9805400        </v>
          </cell>
          <cell r="O2499">
            <v>45</v>
          </cell>
        </row>
        <row r="2500">
          <cell r="F2500" t="str">
            <v xml:space="preserve">9805400        </v>
          </cell>
          <cell r="O2500">
            <v>36</v>
          </cell>
        </row>
        <row r="2501">
          <cell r="F2501" t="str">
            <v xml:space="preserve">6110295        </v>
          </cell>
          <cell r="O2501">
            <v>18</v>
          </cell>
        </row>
        <row r="2502">
          <cell r="F2502" t="str">
            <v xml:space="preserve">6110295        </v>
          </cell>
          <cell r="O2502">
            <v>225</v>
          </cell>
        </row>
        <row r="2503">
          <cell r="F2503" t="str">
            <v xml:space="preserve">6110295        </v>
          </cell>
          <cell r="O2503">
            <v>360</v>
          </cell>
        </row>
        <row r="2504">
          <cell r="F2504" t="str">
            <v xml:space="preserve">6110295        </v>
          </cell>
          <cell r="O2504">
            <v>180</v>
          </cell>
        </row>
        <row r="2505">
          <cell r="F2505" t="str">
            <v xml:space="preserve">6110295        </v>
          </cell>
          <cell r="O2505">
            <v>375</v>
          </cell>
        </row>
        <row r="2506">
          <cell r="F2506" t="str">
            <v xml:space="preserve">805005148      </v>
          </cell>
          <cell r="O2506">
            <v>2520</v>
          </cell>
        </row>
        <row r="2507">
          <cell r="F2507" t="str">
            <v xml:space="preserve">805005148      </v>
          </cell>
          <cell r="O2507">
            <v>270</v>
          </cell>
        </row>
        <row r="2508">
          <cell r="F2508" t="str">
            <v xml:space="preserve">10488839       </v>
          </cell>
          <cell r="O2508">
            <v>4.5</v>
          </cell>
        </row>
        <row r="2509">
          <cell r="F2509" t="str">
            <v xml:space="preserve">10488839       </v>
          </cell>
          <cell r="O2509">
            <v>15</v>
          </cell>
        </row>
        <row r="2510">
          <cell r="F2510" t="str">
            <v xml:space="preserve">10488839       </v>
          </cell>
          <cell r="O2510">
            <v>810</v>
          </cell>
        </row>
        <row r="2511">
          <cell r="F2511" t="str">
            <v xml:space="preserve">16849293       </v>
          </cell>
          <cell r="O2511">
            <v>180</v>
          </cell>
        </row>
        <row r="2512">
          <cell r="F2512" t="str">
            <v xml:space="preserve">10555516       </v>
          </cell>
          <cell r="O2512">
            <v>30</v>
          </cell>
        </row>
        <row r="2513">
          <cell r="F2513" t="str">
            <v xml:space="preserve">10555516       </v>
          </cell>
          <cell r="O2513">
            <v>432</v>
          </cell>
        </row>
        <row r="2514">
          <cell r="F2514" t="str">
            <v xml:space="preserve">10555516       </v>
          </cell>
          <cell r="O2514">
            <v>180</v>
          </cell>
        </row>
        <row r="2515">
          <cell r="F2515" t="str">
            <v xml:space="preserve">900444531      </v>
          </cell>
          <cell r="O2515">
            <v>90</v>
          </cell>
        </row>
        <row r="2516">
          <cell r="F2516" t="str">
            <v xml:space="preserve">900893538      </v>
          </cell>
          <cell r="O2516">
            <v>18</v>
          </cell>
        </row>
        <row r="2517">
          <cell r="F2517" t="str">
            <v xml:space="preserve">14229215       </v>
          </cell>
          <cell r="O2517">
            <v>828</v>
          </cell>
        </row>
        <row r="2518">
          <cell r="F2518" t="str">
            <v xml:space="preserve">79736632       </v>
          </cell>
          <cell r="O2518">
            <v>1134</v>
          </cell>
        </row>
        <row r="2519">
          <cell r="F2519" t="str">
            <v xml:space="preserve">79736632       </v>
          </cell>
          <cell r="O2519">
            <v>225</v>
          </cell>
        </row>
        <row r="2520">
          <cell r="F2520" t="str">
            <v xml:space="preserve">26050336       </v>
          </cell>
          <cell r="O2520">
            <v>54</v>
          </cell>
        </row>
        <row r="2521">
          <cell r="F2521" t="str">
            <v xml:space="preserve">26050336       </v>
          </cell>
          <cell r="O2521">
            <v>75</v>
          </cell>
        </row>
        <row r="2522">
          <cell r="F2522" t="str">
            <v xml:space="preserve">26050336       </v>
          </cell>
          <cell r="O2522">
            <v>270</v>
          </cell>
        </row>
        <row r="2523">
          <cell r="F2523" t="str">
            <v xml:space="preserve">26050336       </v>
          </cell>
          <cell r="O2523">
            <v>180</v>
          </cell>
        </row>
        <row r="2524">
          <cell r="F2524" t="str">
            <v xml:space="preserve">93152963       </v>
          </cell>
          <cell r="O2524">
            <v>450</v>
          </cell>
        </row>
        <row r="2525">
          <cell r="F2525" t="str">
            <v xml:space="preserve">93152963       </v>
          </cell>
          <cell r="O2525">
            <v>540</v>
          </cell>
        </row>
        <row r="2526">
          <cell r="F2526" t="str">
            <v xml:space="preserve">93152963       </v>
          </cell>
          <cell r="O2526">
            <v>225</v>
          </cell>
        </row>
        <row r="2527">
          <cell r="F2527" t="str">
            <v xml:space="preserve">82394480       </v>
          </cell>
          <cell r="O2527">
            <v>252</v>
          </cell>
        </row>
        <row r="2528">
          <cell r="F2528" t="str">
            <v xml:space="preserve">82394480       </v>
          </cell>
          <cell r="O2528">
            <v>270</v>
          </cell>
        </row>
        <row r="2529">
          <cell r="F2529" t="str">
            <v xml:space="preserve">82394480       </v>
          </cell>
          <cell r="O2529">
            <v>180</v>
          </cell>
        </row>
        <row r="2530">
          <cell r="F2530" t="str">
            <v xml:space="preserve">82394480       </v>
          </cell>
          <cell r="O2530">
            <v>270</v>
          </cell>
        </row>
        <row r="2531">
          <cell r="F2531" t="str">
            <v xml:space="preserve">79824837       </v>
          </cell>
          <cell r="O2531">
            <v>2340</v>
          </cell>
        </row>
        <row r="2532">
          <cell r="F2532" t="str">
            <v xml:space="preserve">79824837       </v>
          </cell>
          <cell r="O2532">
            <v>90</v>
          </cell>
        </row>
        <row r="2533">
          <cell r="F2533" t="str">
            <v xml:space="preserve">3273085        </v>
          </cell>
          <cell r="O2533">
            <v>120</v>
          </cell>
        </row>
        <row r="2534">
          <cell r="F2534" t="str">
            <v xml:space="preserve">3273085        </v>
          </cell>
          <cell r="O2534">
            <v>1260</v>
          </cell>
        </row>
        <row r="2535">
          <cell r="F2535" t="str">
            <v xml:space="preserve">3273085        </v>
          </cell>
          <cell r="O2535">
            <v>270</v>
          </cell>
        </row>
        <row r="2536">
          <cell r="F2536" t="str">
            <v xml:space="preserve">71215358       </v>
          </cell>
          <cell r="O2536">
            <v>9</v>
          </cell>
        </row>
        <row r="2537">
          <cell r="F2537" t="str">
            <v xml:space="preserve">71215358       </v>
          </cell>
          <cell r="O2537">
            <v>30</v>
          </cell>
        </row>
        <row r="2538">
          <cell r="F2538" t="str">
            <v xml:space="preserve">71215358       </v>
          </cell>
          <cell r="O2538">
            <v>180</v>
          </cell>
        </row>
        <row r="2539">
          <cell r="F2539" t="str">
            <v xml:space="preserve">71215358       </v>
          </cell>
          <cell r="O2539">
            <v>135</v>
          </cell>
        </row>
        <row r="2540">
          <cell r="F2540" t="str">
            <v xml:space="preserve">91179385       </v>
          </cell>
          <cell r="O2540">
            <v>15</v>
          </cell>
        </row>
        <row r="2541">
          <cell r="F2541" t="str">
            <v xml:space="preserve">91179385       </v>
          </cell>
          <cell r="O2541">
            <v>648</v>
          </cell>
        </row>
        <row r="2542">
          <cell r="F2542" t="str">
            <v xml:space="preserve">91179385       </v>
          </cell>
          <cell r="O2542">
            <v>45</v>
          </cell>
        </row>
        <row r="2543">
          <cell r="F2543" t="str">
            <v xml:space="preserve">13494934       </v>
          </cell>
          <cell r="O2543">
            <v>195</v>
          </cell>
        </row>
        <row r="2544">
          <cell r="F2544" t="str">
            <v xml:space="preserve">13494934       </v>
          </cell>
          <cell r="O2544">
            <v>90</v>
          </cell>
        </row>
        <row r="2545">
          <cell r="F2545" t="str">
            <v xml:space="preserve">1117502076     </v>
          </cell>
          <cell r="O2545">
            <v>216</v>
          </cell>
        </row>
        <row r="2546">
          <cell r="F2546" t="str">
            <v xml:space="preserve">1117502076     </v>
          </cell>
          <cell r="O2546">
            <v>90</v>
          </cell>
        </row>
        <row r="2547">
          <cell r="F2547" t="str">
            <v xml:space="preserve">1117502076     </v>
          </cell>
          <cell r="O2547">
            <v>522</v>
          </cell>
        </row>
        <row r="2548">
          <cell r="F2548" t="str">
            <v xml:space="preserve">1117502076     </v>
          </cell>
          <cell r="O2548">
            <v>252</v>
          </cell>
        </row>
        <row r="2549">
          <cell r="F2549" t="str">
            <v xml:space="preserve">1117502076     </v>
          </cell>
          <cell r="O2549">
            <v>195</v>
          </cell>
        </row>
        <row r="2550">
          <cell r="F2550" t="str">
            <v xml:space="preserve">74080481       </v>
          </cell>
          <cell r="O2550">
            <v>225</v>
          </cell>
        </row>
        <row r="2551">
          <cell r="F2551" t="str">
            <v xml:space="preserve">74080481       </v>
          </cell>
          <cell r="O2551">
            <v>216</v>
          </cell>
        </row>
        <row r="2552">
          <cell r="F2552" t="str">
            <v xml:space="preserve">74080481       </v>
          </cell>
          <cell r="O2552">
            <v>540</v>
          </cell>
        </row>
        <row r="2553">
          <cell r="F2553" t="str">
            <v xml:space="preserve">13702886       </v>
          </cell>
          <cell r="O2553">
            <v>450</v>
          </cell>
        </row>
        <row r="2554">
          <cell r="F2554" t="str">
            <v xml:space="preserve">13702886       </v>
          </cell>
          <cell r="O2554">
            <v>270</v>
          </cell>
        </row>
        <row r="2555">
          <cell r="F2555" t="str">
            <v xml:space="preserve">91272730       </v>
          </cell>
          <cell r="O2555">
            <v>105</v>
          </cell>
        </row>
        <row r="2556">
          <cell r="F2556" t="str">
            <v xml:space="preserve">91272730       </v>
          </cell>
          <cell r="O2556">
            <v>36</v>
          </cell>
        </row>
        <row r="2557">
          <cell r="F2557" t="str">
            <v xml:space="preserve">91272730       </v>
          </cell>
          <cell r="O2557">
            <v>45</v>
          </cell>
        </row>
        <row r="2558">
          <cell r="F2558" t="str">
            <v xml:space="preserve">78033625       </v>
          </cell>
          <cell r="O2558">
            <v>1908</v>
          </cell>
        </row>
        <row r="2559">
          <cell r="F2559" t="str">
            <v xml:space="preserve">901096204      </v>
          </cell>
          <cell r="O2559">
            <v>2124</v>
          </cell>
        </row>
        <row r="2560">
          <cell r="F2560" t="str">
            <v xml:space="preserve">30853980       </v>
          </cell>
          <cell r="O2560">
            <v>576</v>
          </cell>
        </row>
        <row r="2561">
          <cell r="F2561" t="str">
            <v xml:space="preserve">30853980       </v>
          </cell>
          <cell r="O2561">
            <v>45</v>
          </cell>
        </row>
        <row r="2562">
          <cell r="F2562" t="str">
            <v xml:space="preserve">72137594       </v>
          </cell>
          <cell r="O2562">
            <v>195</v>
          </cell>
        </row>
        <row r="2563">
          <cell r="F2563" t="str">
            <v xml:space="preserve">72137594       </v>
          </cell>
          <cell r="O2563">
            <v>432</v>
          </cell>
        </row>
        <row r="2564">
          <cell r="F2564" t="str">
            <v xml:space="preserve">72137594       </v>
          </cell>
          <cell r="O2564">
            <v>45</v>
          </cell>
        </row>
        <row r="2565">
          <cell r="F2565" t="str">
            <v xml:space="preserve">73079740       </v>
          </cell>
          <cell r="O2565">
            <v>30</v>
          </cell>
        </row>
        <row r="2566">
          <cell r="F2566" t="str">
            <v xml:space="preserve">73079740       </v>
          </cell>
          <cell r="O2566">
            <v>252</v>
          </cell>
        </row>
        <row r="2567">
          <cell r="F2567" t="str">
            <v xml:space="preserve">73079740       </v>
          </cell>
          <cell r="O2567">
            <v>45</v>
          </cell>
        </row>
        <row r="2568">
          <cell r="F2568" t="str">
            <v xml:space="preserve">15047548       </v>
          </cell>
          <cell r="O2568">
            <v>234</v>
          </cell>
        </row>
        <row r="2569">
          <cell r="F2569" t="str">
            <v xml:space="preserve">79827688       </v>
          </cell>
          <cell r="O2569">
            <v>75</v>
          </cell>
        </row>
        <row r="2570">
          <cell r="F2570" t="str">
            <v xml:space="preserve">79827688       </v>
          </cell>
          <cell r="O2570">
            <v>162</v>
          </cell>
        </row>
        <row r="2571">
          <cell r="F2571" t="str">
            <v xml:space="preserve">79827688       </v>
          </cell>
          <cell r="O2571">
            <v>180</v>
          </cell>
        </row>
        <row r="2572">
          <cell r="F2572" t="str">
            <v xml:space="preserve">79827688       </v>
          </cell>
          <cell r="O2572">
            <v>9</v>
          </cell>
        </row>
        <row r="2573">
          <cell r="F2573" t="str">
            <v xml:space="preserve">79827688       </v>
          </cell>
          <cell r="O2573">
            <v>165</v>
          </cell>
        </row>
        <row r="2574">
          <cell r="F2574" t="str">
            <v xml:space="preserve">79827688       </v>
          </cell>
          <cell r="O2574">
            <v>342</v>
          </cell>
        </row>
        <row r="2575">
          <cell r="F2575" t="str">
            <v xml:space="preserve">79827688       </v>
          </cell>
          <cell r="O2575">
            <v>270</v>
          </cell>
        </row>
        <row r="2576">
          <cell r="F2576" t="str">
            <v xml:space="preserve">79827688       </v>
          </cell>
          <cell r="O2576">
            <v>9</v>
          </cell>
        </row>
        <row r="2577">
          <cell r="F2577" t="str">
            <v xml:space="preserve">79827688       </v>
          </cell>
          <cell r="O2577">
            <v>15</v>
          </cell>
        </row>
        <row r="2578">
          <cell r="F2578" t="str">
            <v xml:space="preserve">79827688       </v>
          </cell>
          <cell r="O2578">
            <v>126</v>
          </cell>
        </row>
        <row r="2579">
          <cell r="F2579" t="str">
            <v xml:space="preserve">79827688       </v>
          </cell>
          <cell r="O2579">
            <v>90</v>
          </cell>
        </row>
        <row r="2580">
          <cell r="F2580" t="str">
            <v xml:space="preserve">79827688       </v>
          </cell>
          <cell r="O2580">
            <v>45</v>
          </cell>
        </row>
        <row r="2581">
          <cell r="F2581" t="str">
            <v xml:space="preserve">74280490       </v>
          </cell>
          <cell r="O2581">
            <v>1440</v>
          </cell>
        </row>
        <row r="2582">
          <cell r="F2582" t="str">
            <v xml:space="preserve">74280490       </v>
          </cell>
          <cell r="O2582">
            <v>225</v>
          </cell>
        </row>
        <row r="2583">
          <cell r="F2583" t="str">
            <v xml:space="preserve">92520690       </v>
          </cell>
          <cell r="O2583">
            <v>1494</v>
          </cell>
        </row>
        <row r="2584">
          <cell r="F2584" t="str">
            <v xml:space="preserve">92520690       </v>
          </cell>
          <cell r="O2584">
            <v>45</v>
          </cell>
        </row>
        <row r="2585">
          <cell r="F2585" t="str">
            <v xml:space="preserve">80266206       </v>
          </cell>
          <cell r="O2585">
            <v>45</v>
          </cell>
        </row>
        <row r="2586">
          <cell r="F2586" t="str">
            <v xml:space="preserve">80266206       </v>
          </cell>
          <cell r="O2586">
            <v>270</v>
          </cell>
        </row>
        <row r="2587">
          <cell r="F2587" t="str">
            <v xml:space="preserve">80266206       </v>
          </cell>
          <cell r="O2587">
            <v>45</v>
          </cell>
        </row>
        <row r="2588">
          <cell r="F2588" t="str">
            <v xml:space="preserve">79119755       </v>
          </cell>
          <cell r="O2588">
            <v>720</v>
          </cell>
        </row>
        <row r="2589">
          <cell r="F2589" t="str">
            <v xml:space="preserve">1111739602     </v>
          </cell>
          <cell r="O2589">
            <v>2100</v>
          </cell>
        </row>
        <row r="2590">
          <cell r="F2590" t="str">
            <v xml:space="preserve">88168843       </v>
          </cell>
          <cell r="O2590">
            <v>15</v>
          </cell>
        </row>
        <row r="2591">
          <cell r="F2591" t="str">
            <v xml:space="preserve">88168843       </v>
          </cell>
          <cell r="O2591">
            <v>216</v>
          </cell>
        </row>
        <row r="2592">
          <cell r="F2592" t="str">
            <v xml:space="preserve">88168843       </v>
          </cell>
          <cell r="O2592">
            <v>15</v>
          </cell>
        </row>
        <row r="2593">
          <cell r="F2593" t="str">
            <v xml:space="preserve">88168843       </v>
          </cell>
          <cell r="O2593">
            <v>360</v>
          </cell>
        </row>
        <row r="2594">
          <cell r="F2594" t="str">
            <v xml:space="preserve">88168843       </v>
          </cell>
          <cell r="O2594">
            <v>90</v>
          </cell>
        </row>
        <row r="2595">
          <cell r="F2595" t="str">
            <v xml:space="preserve">79221604       </v>
          </cell>
          <cell r="O2595">
            <v>216</v>
          </cell>
        </row>
        <row r="2596">
          <cell r="F2596" t="str">
            <v xml:space="preserve">79221604       </v>
          </cell>
          <cell r="O2596">
            <v>18</v>
          </cell>
        </row>
        <row r="2597">
          <cell r="F2597" t="str">
            <v xml:space="preserve">79221604       </v>
          </cell>
          <cell r="O2597">
            <v>360</v>
          </cell>
        </row>
        <row r="2598">
          <cell r="F2598" t="str">
            <v xml:space="preserve">79221604       </v>
          </cell>
          <cell r="O2598">
            <v>90</v>
          </cell>
        </row>
        <row r="2599">
          <cell r="F2599" t="str">
            <v xml:space="preserve">10315862       </v>
          </cell>
          <cell r="O2599">
            <v>15</v>
          </cell>
        </row>
        <row r="2600">
          <cell r="F2600" t="str">
            <v xml:space="preserve">10315862       </v>
          </cell>
          <cell r="O2600">
            <v>270</v>
          </cell>
        </row>
        <row r="2601">
          <cell r="F2601" t="str">
            <v xml:space="preserve">1103101503     </v>
          </cell>
          <cell r="O2601">
            <v>30</v>
          </cell>
        </row>
        <row r="2602">
          <cell r="F2602" t="str">
            <v xml:space="preserve">1103101503     </v>
          </cell>
          <cell r="O2602">
            <v>558</v>
          </cell>
        </row>
        <row r="2603">
          <cell r="F2603" t="str">
            <v xml:space="preserve">1103101503     </v>
          </cell>
          <cell r="O2603">
            <v>135</v>
          </cell>
        </row>
        <row r="2604">
          <cell r="F2604" t="str">
            <v xml:space="preserve">1103101503     </v>
          </cell>
          <cell r="O2604">
            <v>15</v>
          </cell>
        </row>
        <row r="2605">
          <cell r="F2605" t="str">
            <v xml:space="preserve">1103101503     </v>
          </cell>
          <cell r="O2605">
            <v>378</v>
          </cell>
        </row>
        <row r="2606">
          <cell r="F2606" t="str">
            <v xml:space="preserve">1143374955     </v>
          </cell>
          <cell r="O2606">
            <v>345</v>
          </cell>
        </row>
        <row r="2607">
          <cell r="F2607" t="str">
            <v xml:space="preserve">1143374955     </v>
          </cell>
          <cell r="O2607">
            <v>252</v>
          </cell>
        </row>
        <row r="2608">
          <cell r="F2608" t="str">
            <v xml:space="preserve">1143374955     </v>
          </cell>
          <cell r="O2608">
            <v>45</v>
          </cell>
        </row>
        <row r="2609">
          <cell r="F2609" t="str">
            <v xml:space="preserve">74170036       </v>
          </cell>
          <cell r="O2609">
            <v>324</v>
          </cell>
        </row>
        <row r="2610">
          <cell r="F2610" t="str">
            <v xml:space="preserve">74170036       </v>
          </cell>
          <cell r="O2610">
            <v>315</v>
          </cell>
        </row>
        <row r="2611">
          <cell r="F2611" t="str">
            <v xml:space="preserve">7305518        </v>
          </cell>
          <cell r="O2611">
            <v>1980</v>
          </cell>
        </row>
        <row r="2612">
          <cell r="F2612" t="str">
            <v xml:space="preserve">7305518        </v>
          </cell>
          <cell r="O2612">
            <v>630</v>
          </cell>
        </row>
        <row r="2613">
          <cell r="F2613" t="str">
            <v xml:space="preserve">901547550      </v>
          </cell>
          <cell r="O2613">
            <v>90</v>
          </cell>
        </row>
        <row r="2614">
          <cell r="F2614" t="str">
            <v xml:space="preserve">7301411        </v>
          </cell>
          <cell r="O2614">
            <v>828</v>
          </cell>
        </row>
        <row r="2615">
          <cell r="F2615" t="str">
            <v xml:space="preserve">7301411        </v>
          </cell>
          <cell r="O2615">
            <v>225</v>
          </cell>
        </row>
        <row r="2616">
          <cell r="F2616" t="str">
            <v xml:space="preserve">4252280        </v>
          </cell>
          <cell r="O2616">
            <v>252</v>
          </cell>
        </row>
        <row r="2617">
          <cell r="F2617" t="str">
            <v xml:space="preserve">4252280        </v>
          </cell>
          <cell r="O2617">
            <v>180</v>
          </cell>
        </row>
        <row r="2618">
          <cell r="F2618" t="str">
            <v xml:space="preserve">80730783       </v>
          </cell>
          <cell r="O2618">
            <v>1008</v>
          </cell>
        </row>
        <row r="2619">
          <cell r="F2619" t="str">
            <v xml:space="preserve">80730783       </v>
          </cell>
          <cell r="O2619">
            <v>45</v>
          </cell>
        </row>
        <row r="2620">
          <cell r="F2620" t="str">
            <v xml:space="preserve">17655129       </v>
          </cell>
          <cell r="O2620">
            <v>930</v>
          </cell>
        </row>
        <row r="2621">
          <cell r="F2621" t="str">
            <v xml:space="preserve">1083686504     </v>
          </cell>
          <cell r="O2621">
            <v>150</v>
          </cell>
        </row>
        <row r="2622">
          <cell r="F2622" t="str">
            <v xml:space="preserve">1083686504     </v>
          </cell>
          <cell r="O2622">
            <v>90</v>
          </cell>
        </row>
        <row r="2623">
          <cell r="F2623" t="str">
            <v xml:space="preserve">1083686504     </v>
          </cell>
          <cell r="O2623">
            <v>225</v>
          </cell>
        </row>
        <row r="2624">
          <cell r="F2624" t="str">
            <v xml:space="preserve">12256895       </v>
          </cell>
          <cell r="O2624">
            <v>900</v>
          </cell>
        </row>
        <row r="2625">
          <cell r="F2625" t="str">
            <v xml:space="preserve">12256895       </v>
          </cell>
          <cell r="O2625">
            <v>180</v>
          </cell>
        </row>
        <row r="2626">
          <cell r="F2626" t="str">
            <v xml:space="preserve">16191524       </v>
          </cell>
          <cell r="O2626">
            <v>375</v>
          </cell>
        </row>
        <row r="2627">
          <cell r="F2627" t="str">
            <v xml:space="preserve">16191524       </v>
          </cell>
          <cell r="O2627">
            <v>45</v>
          </cell>
        </row>
        <row r="2628">
          <cell r="F2628" t="str">
            <v xml:space="preserve">19389409       </v>
          </cell>
          <cell r="O2628">
            <v>60</v>
          </cell>
        </row>
        <row r="2629">
          <cell r="F2629" t="str">
            <v xml:space="preserve">19389409       </v>
          </cell>
          <cell r="O2629">
            <v>324</v>
          </cell>
        </row>
        <row r="2630">
          <cell r="F2630" t="str">
            <v xml:space="preserve">19389409       </v>
          </cell>
          <cell r="O2630">
            <v>90</v>
          </cell>
        </row>
        <row r="2631">
          <cell r="F2631" t="str">
            <v xml:space="preserve">18185538       </v>
          </cell>
          <cell r="O2631">
            <v>45</v>
          </cell>
        </row>
        <row r="2632">
          <cell r="F2632" t="str">
            <v xml:space="preserve">18185538       </v>
          </cell>
          <cell r="O2632">
            <v>342</v>
          </cell>
        </row>
        <row r="2633">
          <cell r="F2633" t="str">
            <v xml:space="preserve">18185538       </v>
          </cell>
          <cell r="O2633">
            <v>180</v>
          </cell>
        </row>
        <row r="2634">
          <cell r="F2634" t="str">
            <v xml:space="preserve">12266504       </v>
          </cell>
          <cell r="O2634">
            <v>480</v>
          </cell>
        </row>
        <row r="2635">
          <cell r="F2635" t="str">
            <v xml:space="preserve">12266504       </v>
          </cell>
          <cell r="O2635">
            <v>45</v>
          </cell>
        </row>
        <row r="2636">
          <cell r="F2636" t="str">
            <v xml:space="preserve">12266504       </v>
          </cell>
          <cell r="O2636">
            <v>390</v>
          </cell>
        </row>
        <row r="2637">
          <cell r="F2637" t="str">
            <v xml:space="preserve">12266504       </v>
          </cell>
          <cell r="O2637">
            <v>45</v>
          </cell>
        </row>
        <row r="2638">
          <cell r="F2638" t="str">
            <v xml:space="preserve">12266504       </v>
          </cell>
          <cell r="O2638">
            <v>180</v>
          </cell>
        </row>
        <row r="2639">
          <cell r="F2639" t="str">
            <v xml:space="preserve">12266504       </v>
          </cell>
          <cell r="O2639">
            <v>36</v>
          </cell>
        </row>
        <row r="2640">
          <cell r="F2640" t="str">
            <v xml:space="preserve">12266504       </v>
          </cell>
          <cell r="O2640">
            <v>45</v>
          </cell>
        </row>
        <row r="2641">
          <cell r="F2641" t="str">
            <v xml:space="preserve">12266504       </v>
          </cell>
          <cell r="O2641">
            <v>255</v>
          </cell>
        </row>
        <row r="2642">
          <cell r="F2642" t="str">
            <v xml:space="preserve">12266504       </v>
          </cell>
          <cell r="O2642">
            <v>18</v>
          </cell>
        </row>
        <row r="2643">
          <cell r="F2643" t="str">
            <v xml:space="preserve">12266504       </v>
          </cell>
          <cell r="O2643">
            <v>135</v>
          </cell>
        </row>
        <row r="2644">
          <cell r="F2644" t="str">
            <v xml:space="preserve">79847779       </v>
          </cell>
          <cell r="O2644">
            <v>450</v>
          </cell>
        </row>
        <row r="2645">
          <cell r="F2645" t="str">
            <v xml:space="preserve">12231586       </v>
          </cell>
          <cell r="O2645">
            <v>180</v>
          </cell>
        </row>
        <row r="2646">
          <cell r="F2646" t="str">
            <v xml:space="preserve">12231586       </v>
          </cell>
          <cell r="O2646">
            <v>18</v>
          </cell>
        </row>
        <row r="2647">
          <cell r="F2647" t="str">
            <v xml:space="preserve">12231586       </v>
          </cell>
          <cell r="O2647">
            <v>90</v>
          </cell>
        </row>
        <row r="2648">
          <cell r="F2648" t="str">
            <v xml:space="preserve">83042067       </v>
          </cell>
          <cell r="O2648">
            <v>135</v>
          </cell>
        </row>
        <row r="2649">
          <cell r="F2649" t="str">
            <v xml:space="preserve">83042067       </v>
          </cell>
          <cell r="O2649">
            <v>18</v>
          </cell>
        </row>
        <row r="2650">
          <cell r="F2650" t="str">
            <v xml:space="preserve">83042067       </v>
          </cell>
          <cell r="O2650">
            <v>270</v>
          </cell>
        </row>
        <row r="2651">
          <cell r="F2651" t="str">
            <v xml:space="preserve">18144684       </v>
          </cell>
          <cell r="O2651">
            <v>450</v>
          </cell>
        </row>
        <row r="2652">
          <cell r="F2652" t="str">
            <v xml:space="preserve">18144684       </v>
          </cell>
          <cell r="O2652">
            <v>36</v>
          </cell>
        </row>
        <row r="2653">
          <cell r="F2653" t="str">
            <v xml:space="preserve">1062292334     </v>
          </cell>
          <cell r="O2653">
            <v>150</v>
          </cell>
        </row>
        <row r="2654">
          <cell r="F2654" t="str">
            <v xml:space="preserve">1062292334     </v>
          </cell>
          <cell r="O2654">
            <v>360</v>
          </cell>
        </row>
        <row r="2655">
          <cell r="F2655" t="str">
            <v xml:space="preserve">830133323      </v>
          </cell>
          <cell r="O2655">
            <v>90</v>
          </cell>
        </row>
        <row r="2656">
          <cell r="F2656" t="str">
            <v xml:space="preserve">1010164223     </v>
          </cell>
          <cell r="O2656">
            <v>432</v>
          </cell>
        </row>
        <row r="2657">
          <cell r="F2657" t="str">
            <v xml:space="preserve">1015995477     </v>
          </cell>
          <cell r="O2657">
            <v>9</v>
          </cell>
        </row>
        <row r="2658">
          <cell r="F2658" t="str">
            <v xml:space="preserve">3159567        </v>
          </cell>
          <cell r="O2658">
            <v>720</v>
          </cell>
        </row>
        <row r="2659">
          <cell r="F2659" t="str">
            <v xml:space="preserve">3159567        </v>
          </cell>
          <cell r="O2659">
            <v>45</v>
          </cell>
        </row>
        <row r="2660">
          <cell r="F2660" t="str">
            <v xml:space="preserve">80277771       </v>
          </cell>
          <cell r="O2660">
            <v>9</v>
          </cell>
        </row>
        <row r="2661">
          <cell r="F2661" t="str">
            <v xml:space="preserve">3085945        </v>
          </cell>
          <cell r="O2661">
            <v>36</v>
          </cell>
        </row>
        <row r="2662">
          <cell r="F2662" t="str">
            <v xml:space="preserve">3085945        </v>
          </cell>
          <cell r="O2662">
            <v>1224</v>
          </cell>
        </row>
        <row r="2663">
          <cell r="F2663" t="str">
            <v xml:space="preserve">3085945        </v>
          </cell>
          <cell r="O2663">
            <v>70</v>
          </cell>
        </row>
        <row r="2664">
          <cell r="F2664" t="str">
            <v xml:space="preserve">3085945        </v>
          </cell>
          <cell r="O2664">
            <v>360</v>
          </cell>
        </row>
        <row r="2665">
          <cell r="F2665" t="str">
            <v xml:space="preserve">830133323      </v>
          </cell>
          <cell r="O2665">
            <v>36</v>
          </cell>
        </row>
        <row r="2666">
          <cell r="F2666" t="str">
            <v xml:space="preserve">830133323      </v>
          </cell>
          <cell r="O2666">
            <v>180</v>
          </cell>
        </row>
        <row r="2667">
          <cell r="F2667" t="str">
            <v xml:space="preserve">80283261       </v>
          </cell>
          <cell r="O2667">
            <v>9</v>
          </cell>
        </row>
        <row r="2668">
          <cell r="F2668" t="str">
            <v xml:space="preserve">80283261       </v>
          </cell>
          <cell r="O2668">
            <v>15</v>
          </cell>
        </row>
        <row r="2669">
          <cell r="F2669" t="str">
            <v xml:space="preserve">80283261       </v>
          </cell>
          <cell r="O2669">
            <v>1080</v>
          </cell>
        </row>
        <row r="2670">
          <cell r="F2670" t="str">
            <v xml:space="preserve">80283261       </v>
          </cell>
          <cell r="O2670">
            <v>495</v>
          </cell>
        </row>
        <row r="2671">
          <cell r="F2671" t="str">
            <v xml:space="preserve">830133323      </v>
          </cell>
          <cell r="O2671">
            <v>90</v>
          </cell>
        </row>
        <row r="2672">
          <cell r="F2672" t="str">
            <v xml:space="preserve">1072422938     </v>
          </cell>
          <cell r="O2672">
            <v>45</v>
          </cell>
        </row>
        <row r="2673">
          <cell r="F2673" t="str">
            <v xml:space="preserve">1072422938     </v>
          </cell>
          <cell r="O2673">
            <v>2826</v>
          </cell>
        </row>
        <row r="2674">
          <cell r="F2674" t="str">
            <v xml:space="preserve">1072422938     </v>
          </cell>
          <cell r="O2674">
            <v>585</v>
          </cell>
        </row>
        <row r="2675">
          <cell r="F2675" t="str">
            <v xml:space="preserve">4090572        </v>
          </cell>
          <cell r="O2675">
            <v>45</v>
          </cell>
        </row>
        <row r="2676">
          <cell r="F2676" t="str">
            <v xml:space="preserve">4090572        </v>
          </cell>
          <cell r="O2676">
            <v>15</v>
          </cell>
        </row>
        <row r="2677">
          <cell r="F2677" t="str">
            <v xml:space="preserve">4090572        </v>
          </cell>
          <cell r="O2677">
            <v>468</v>
          </cell>
        </row>
        <row r="2678">
          <cell r="F2678" t="str">
            <v xml:space="preserve">79210220       </v>
          </cell>
          <cell r="O2678">
            <v>36</v>
          </cell>
        </row>
        <row r="2679">
          <cell r="F2679" t="str">
            <v xml:space="preserve">79210220       </v>
          </cell>
          <cell r="O2679">
            <v>75</v>
          </cell>
        </row>
        <row r="2680">
          <cell r="F2680" t="str">
            <v xml:space="preserve">79210220       </v>
          </cell>
          <cell r="O2680">
            <v>540</v>
          </cell>
        </row>
        <row r="2681">
          <cell r="F2681" t="str">
            <v xml:space="preserve">79589699       </v>
          </cell>
          <cell r="O2681">
            <v>15</v>
          </cell>
        </row>
        <row r="2682">
          <cell r="F2682" t="str">
            <v xml:space="preserve">79589699       </v>
          </cell>
          <cell r="O2682">
            <v>18</v>
          </cell>
        </row>
        <row r="2683">
          <cell r="F2683" t="str">
            <v xml:space="preserve">80024551       </v>
          </cell>
          <cell r="O2683">
            <v>117</v>
          </cell>
        </row>
        <row r="2684">
          <cell r="F2684" t="str">
            <v xml:space="preserve">80024551       </v>
          </cell>
          <cell r="O2684">
            <v>75</v>
          </cell>
        </row>
        <row r="2685">
          <cell r="F2685" t="str">
            <v xml:space="preserve">80024551       </v>
          </cell>
          <cell r="O2685">
            <v>954</v>
          </cell>
        </row>
        <row r="2686">
          <cell r="F2686" t="str">
            <v xml:space="preserve">80024551       </v>
          </cell>
          <cell r="O2686">
            <v>270</v>
          </cell>
        </row>
        <row r="2687">
          <cell r="F2687" t="str">
            <v xml:space="preserve">4198272        </v>
          </cell>
          <cell r="O2687">
            <v>99</v>
          </cell>
        </row>
        <row r="2688">
          <cell r="F2688" t="str">
            <v xml:space="preserve">4198272        </v>
          </cell>
          <cell r="O2688">
            <v>105</v>
          </cell>
        </row>
        <row r="2689">
          <cell r="F2689" t="str">
            <v xml:space="preserve">4198272        </v>
          </cell>
          <cell r="O2689">
            <v>135</v>
          </cell>
        </row>
        <row r="2690">
          <cell r="F2690" t="str">
            <v xml:space="preserve">4090806        </v>
          </cell>
          <cell r="O2690">
            <v>72</v>
          </cell>
        </row>
        <row r="2691">
          <cell r="F2691" t="str">
            <v xml:space="preserve">4090806        </v>
          </cell>
          <cell r="O2691">
            <v>27</v>
          </cell>
        </row>
        <row r="2692">
          <cell r="F2692" t="str">
            <v xml:space="preserve">4090806        </v>
          </cell>
          <cell r="O2692">
            <v>15</v>
          </cell>
        </row>
        <row r="2693">
          <cell r="F2693" t="str">
            <v xml:space="preserve">4090806        </v>
          </cell>
          <cell r="O2693">
            <v>684</v>
          </cell>
        </row>
        <row r="2694">
          <cell r="F2694" t="str">
            <v xml:space="preserve">4090806        </v>
          </cell>
          <cell r="O2694">
            <v>315</v>
          </cell>
        </row>
        <row r="2695">
          <cell r="F2695" t="str">
            <v xml:space="preserve">80004213       </v>
          </cell>
          <cell r="O2695">
            <v>285</v>
          </cell>
        </row>
        <row r="2696">
          <cell r="F2696" t="str">
            <v xml:space="preserve">80004213       </v>
          </cell>
          <cell r="O2696">
            <v>1260</v>
          </cell>
        </row>
        <row r="2697">
          <cell r="F2697" t="str">
            <v xml:space="preserve">80004213       </v>
          </cell>
          <cell r="O2697">
            <v>180</v>
          </cell>
        </row>
        <row r="2698">
          <cell r="F2698" t="str">
            <v xml:space="preserve">808000785      </v>
          </cell>
          <cell r="O2698">
            <v>72</v>
          </cell>
        </row>
        <row r="2699">
          <cell r="F2699" t="str">
            <v xml:space="preserve">1126452165     </v>
          </cell>
          <cell r="O2699">
            <v>225</v>
          </cell>
        </row>
        <row r="2700">
          <cell r="F2700" t="str">
            <v xml:space="preserve">1126452165     </v>
          </cell>
          <cell r="O2700">
            <v>18</v>
          </cell>
        </row>
        <row r="2701">
          <cell r="F2701" t="str">
            <v xml:space="preserve">1126452165     </v>
          </cell>
          <cell r="O2701">
            <v>1080</v>
          </cell>
        </row>
        <row r="2702">
          <cell r="F2702" t="str">
            <v xml:space="preserve">1126452165     </v>
          </cell>
          <cell r="O2702">
            <v>54</v>
          </cell>
        </row>
        <row r="2703">
          <cell r="F2703" t="str">
            <v xml:space="preserve">79339314       </v>
          </cell>
          <cell r="O2703">
            <v>120</v>
          </cell>
        </row>
        <row r="2704">
          <cell r="F2704" t="str">
            <v xml:space="preserve">79339314       </v>
          </cell>
          <cell r="O2704">
            <v>18</v>
          </cell>
        </row>
        <row r="2705">
          <cell r="F2705" t="str">
            <v xml:space="preserve">79339314       </v>
          </cell>
          <cell r="O2705">
            <v>135</v>
          </cell>
        </row>
        <row r="2706">
          <cell r="F2706" t="str">
            <v xml:space="preserve">83218584       </v>
          </cell>
          <cell r="O2706">
            <v>30</v>
          </cell>
        </row>
        <row r="2707">
          <cell r="F2707" t="str">
            <v xml:space="preserve">83218584       </v>
          </cell>
          <cell r="O2707">
            <v>36</v>
          </cell>
        </row>
        <row r="2708">
          <cell r="F2708" t="str">
            <v xml:space="preserve">83218584       </v>
          </cell>
          <cell r="O2708">
            <v>225</v>
          </cell>
        </row>
        <row r="2709">
          <cell r="F2709" t="str">
            <v xml:space="preserve">83218584       </v>
          </cell>
          <cell r="O2709">
            <v>330</v>
          </cell>
        </row>
        <row r="2710">
          <cell r="F2710" t="str">
            <v xml:space="preserve">83218584       </v>
          </cell>
          <cell r="O2710">
            <v>36</v>
          </cell>
        </row>
        <row r="2711">
          <cell r="F2711" t="str">
            <v xml:space="preserve">1097404034     </v>
          </cell>
          <cell r="O2711">
            <v>750</v>
          </cell>
        </row>
        <row r="2712">
          <cell r="F2712" t="str">
            <v xml:space="preserve">1097404034     </v>
          </cell>
          <cell r="O2712">
            <v>360</v>
          </cell>
        </row>
        <row r="2713">
          <cell r="F2713" t="str">
            <v xml:space="preserve">94071517       </v>
          </cell>
          <cell r="O2713">
            <v>300</v>
          </cell>
        </row>
        <row r="2714">
          <cell r="F2714" t="str">
            <v xml:space="preserve">8458310        </v>
          </cell>
          <cell r="O2714">
            <v>45</v>
          </cell>
        </row>
        <row r="2715">
          <cell r="F2715" t="str">
            <v xml:space="preserve">8458310        </v>
          </cell>
          <cell r="O2715">
            <v>360</v>
          </cell>
        </row>
        <row r="2716">
          <cell r="F2716" t="str">
            <v xml:space="preserve">8458310        </v>
          </cell>
          <cell r="O2716">
            <v>450</v>
          </cell>
        </row>
        <row r="2717">
          <cell r="F2717" t="str">
            <v xml:space="preserve">8101796        </v>
          </cell>
          <cell r="O2717">
            <v>900</v>
          </cell>
        </row>
        <row r="2718">
          <cell r="F2718" t="str">
            <v xml:space="preserve">8101796        </v>
          </cell>
          <cell r="O2718">
            <v>270</v>
          </cell>
        </row>
        <row r="2719">
          <cell r="F2719" t="str">
            <v xml:space="preserve">71174894       </v>
          </cell>
          <cell r="O2719">
            <v>2790</v>
          </cell>
        </row>
        <row r="2720">
          <cell r="F2720" t="str">
            <v xml:space="preserve">71174894       </v>
          </cell>
          <cell r="O2720">
            <v>90</v>
          </cell>
        </row>
        <row r="2721">
          <cell r="F2721" t="str">
            <v xml:space="preserve">1039696881     </v>
          </cell>
          <cell r="O2721">
            <v>594</v>
          </cell>
        </row>
        <row r="2722">
          <cell r="F2722" t="str">
            <v xml:space="preserve">1039696881     </v>
          </cell>
          <cell r="O2722">
            <v>4.5</v>
          </cell>
        </row>
        <row r="2723">
          <cell r="F2723" t="str">
            <v xml:space="preserve">1039696881     </v>
          </cell>
          <cell r="O2723">
            <v>1440</v>
          </cell>
        </row>
        <row r="2724">
          <cell r="F2724" t="str">
            <v xml:space="preserve">1039696881     </v>
          </cell>
          <cell r="O2724">
            <v>45</v>
          </cell>
        </row>
        <row r="2725">
          <cell r="F2725" t="str">
            <v xml:space="preserve">16186973       </v>
          </cell>
          <cell r="O2725">
            <v>9</v>
          </cell>
        </row>
        <row r="2726">
          <cell r="F2726" t="str">
            <v xml:space="preserve">16186973       </v>
          </cell>
          <cell r="O2726">
            <v>396</v>
          </cell>
        </row>
        <row r="2727">
          <cell r="F2727" t="str">
            <v xml:space="preserve">16186973       </v>
          </cell>
          <cell r="O2727">
            <v>90</v>
          </cell>
        </row>
        <row r="2728">
          <cell r="F2728" t="str">
            <v xml:space="preserve">1092154547     </v>
          </cell>
          <cell r="O2728">
            <v>4.5</v>
          </cell>
        </row>
        <row r="2729">
          <cell r="F2729" t="str">
            <v xml:space="preserve">1092154547     </v>
          </cell>
          <cell r="O2729">
            <v>30</v>
          </cell>
        </row>
        <row r="2730">
          <cell r="F2730" t="str">
            <v xml:space="preserve">1092154547     </v>
          </cell>
          <cell r="O2730">
            <v>450</v>
          </cell>
        </row>
        <row r="2731">
          <cell r="F2731" t="str">
            <v xml:space="preserve">1092154547     </v>
          </cell>
          <cell r="O2731">
            <v>30</v>
          </cell>
        </row>
        <row r="2732">
          <cell r="F2732" t="str">
            <v xml:space="preserve">1092154547     </v>
          </cell>
          <cell r="O2732">
            <v>360</v>
          </cell>
        </row>
        <row r="2733">
          <cell r="F2733" t="str">
            <v xml:space="preserve">15342410       </v>
          </cell>
          <cell r="O2733">
            <v>2835</v>
          </cell>
        </row>
        <row r="2734">
          <cell r="F2734" t="str">
            <v xml:space="preserve">15342410       </v>
          </cell>
          <cell r="O2734">
            <v>135</v>
          </cell>
        </row>
        <row r="2735">
          <cell r="F2735" t="str">
            <v xml:space="preserve">15381508       </v>
          </cell>
          <cell r="O2735">
            <v>255</v>
          </cell>
        </row>
        <row r="2736">
          <cell r="F2736" t="str">
            <v xml:space="preserve">15381508       </v>
          </cell>
          <cell r="O2736">
            <v>162</v>
          </cell>
        </row>
        <row r="2737">
          <cell r="F2737" t="str">
            <v xml:space="preserve">15381508       </v>
          </cell>
          <cell r="O2737">
            <v>135</v>
          </cell>
        </row>
        <row r="2738">
          <cell r="F2738" t="str">
            <v xml:space="preserve">6802563        </v>
          </cell>
          <cell r="O2738">
            <v>105</v>
          </cell>
        </row>
        <row r="2739">
          <cell r="F2739" t="str">
            <v xml:space="preserve">6802563        </v>
          </cell>
          <cell r="O2739">
            <v>360</v>
          </cell>
        </row>
        <row r="2740">
          <cell r="F2740" t="str">
            <v xml:space="preserve">1105671149     </v>
          </cell>
          <cell r="O2740">
            <v>270</v>
          </cell>
        </row>
        <row r="2741">
          <cell r="F2741" t="str">
            <v xml:space="preserve">1105671149     </v>
          </cell>
          <cell r="O2741">
            <v>90</v>
          </cell>
        </row>
        <row r="2742">
          <cell r="F2742" t="str">
            <v xml:space="preserve">1105671149     </v>
          </cell>
          <cell r="O2742">
            <v>405</v>
          </cell>
        </row>
        <row r="2743">
          <cell r="F2743" t="str">
            <v xml:space="preserve">10174892       </v>
          </cell>
          <cell r="O2743">
            <v>720</v>
          </cell>
        </row>
        <row r="2744">
          <cell r="F2744" t="str">
            <v xml:space="preserve">10174892       </v>
          </cell>
          <cell r="O2744">
            <v>180</v>
          </cell>
        </row>
        <row r="2745">
          <cell r="F2745" t="str">
            <v xml:space="preserve">98763233       </v>
          </cell>
          <cell r="O2745">
            <v>792</v>
          </cell>
        </row>
        <row r="2746">
          <cell r="F2746" t="str">
            <v xml:space="preserve">37726719       </v>
          </cell>
          <cell r="O2746">
            <v>375</v>
          </cell>
        </row>
        <row r="2747">
          <cell r="F2747" t="str">
            <v xml:space="preserve">37726719       </v>
          </cell>
          <cell r="O2747">
            <v>900</v>
          </cell>
        </row>
        <row r="2748">
          <cell r="F2748" t="str">
            <v xml:space="preserve">37726719       </v>
          </cell>
          <cell r="O2748">
            <v>135</v>
          </cell>
        </row>
        <row r="2749">
          <cell r="F2749" t="str">
            <v xml:space="preserve">901301637      </v>
          </cell>
          <cell r="O2749">
            <v>495</v>
          </cell>
        </row>
        <row r="2750">
          <cell r="F2750" t="str">
            <v xml:space="preserve">901301637      </v>
          </cell>
          <cell r="O2750">
            <v>1500</v>
          </cell>
        </row>
        <row r="2751">
          <cell r="F2751" t="str">
            <v xml:space="preserve">901301637      </v>
          </cell>
          <cell r="O2751">
            <v>5526</v>
          </cell>
        </row>
        <row r="2752">
          <cell r="F2752" t="str">
            <v xml:space="preserve">901301637      </v>
          </cell>
          <cell r="O2752">
            <v>450</v>
          </cell>
        </row>
        <row r="2753">
          <cell r="F2753" t="str">
            <v xml:space="preserve">1036942800     </v>
          </cell>
          <cell r="O2753">
            <v>255</v>
          </cell>
        </row>
        <row r="2754">
          <cell r="F2754" t="str">
            <v xml:space="preserve">1036942800     </v>
          </cell>
          <cell r="O2754">
            <v>90</v>
          </cell>
        </row>
        <row r="2755">
          <cell r="F2755" t="str">
            <v xml:space="preserve">1036942800     </v>
          </cell>
          <cell r="O2755">
            <v>225</v>
          </cell>
        </row>
        <row r="2756">
          <cell r="F2756" t="str">
            <v xml:space="preserve">94420654       </v>
          </cell>
          <cell r="O2756">
            <v>468</v>
          </cell>
        </row>
        <row r="2757">
          <cell r="F2757" t="str">
            <v xml:space="preserve">94420654       </v>
          </cell>
          <cell r="O2757">
            <v>180</v>
          </cell>
        </row>
        <row r="2758">
          <cell r="F2758" t="str">
            <v xml:space="preserve">1100623000     </v>
          </cell>
          <cell r="O2758">
            <v>9</v>
          </cell>
        </row>
        <row r="2759">
          <cell r="F2759" t="str">
            <v xml:space="preserve">1100623000     </v>
          </cell>
          <cell r="O2759">
            <v>30</v>
          </cell>
        </row>
        <row r="2760">
          <cell r="F2760" t="str">
            <v xml:space="preserve">1100623000     </v>
          </cell>
          <cell r="O2760">
            <v>360</v>
          </cell>
        </row>
        <row r="2761">
          <cell r="F2761" t="str">
            <v xml:space="preserve">1100623000     </v>
          </cell>
          <cell r="O2761">
            <v>45</v>
          </cell>
        </row>
        <row r="2762">
          <cell r="F2762" t="str">
            <v xml:space="preserve">73126502       </v>
          </cell>
          <cell r="O2762">
            <v>105</v>
          </cell>
        </row>
        <row r="2763">
          <cell r="F2763" t="str">
            <v xml:space="preserve">73126502       </v>
          </cell>
          <cell r="O2763">
            <v>252</v>
          </cell>
        </row>
        <row r="2764">
          <cell r="F2764" t="str">
            <v xml:space="preserve">73126502       </v>
          </cell>
          <cell r="O2764">
            <v>135</v>
          </cell>
        </row>
        <row r="2765">
          <cell r="F2765" t="str">
            <v xml:space="preserve">83221998       </v>
          </cell>
          <cell r="O2765">
            <v>90</v>
          </cell>
        </row>
        <row r="2766">
          <cell r="F2766" t="str">
            <v xml:space="preserve">83221998       </v>
          </cell>
          <cell r="O2766">
            <v>180</v>
          </cell>
        </row>
        <row r="2767">
          <cell r="F2767" t="str">
            <v xml:space="preserve">70303177       </v>
          </cell>
          <cell r="O2767">
            <v>1020</v>
          </cell>
        </row>
        <row r="2768">
          <cell r="F2768" t="str">
            <v xml:space="preserve">1054554487     </v>
          </cell>
          <cell r="O2768">
            <v>45</v>
          </cell>
        </row>
        <row r="2769">
          <cell r="F2769" t="str">
            <v xml:space="preserve">1054554487     </v>
          </cell>
          <cell r="O2769">
            <v>252</v>
          </cell>
        </row>
        <row r="2770">
          <cell r="F2770" t="str">
            <v xml:space="preserve">1054554487     </v>
          </cell>
          <cell r="O2770">
            <v>45</v>
          </cell>
        </row>
        <row r="2771">
          <cell r="F2771" t="str">
            <v xml:space="preserve">71142360       </v>
          </cell>
          <cell r="O2771">
            <v>390</v>
          </cell>
        </row>
        <row r="2772">
          <cell r="F2772" t="str">
            <v xml:space="preserve">71142360       </v>
          </cell>
          <cell r="O2772">
            <v>360</v>
          </cell>
        </row>
        <row r="2773">
          <cell r="F2773" t="str">
            <v xml:space="preserve">71142360       </v>
          </cell>
          <cell r="O2773">
            <v>90</v>
          </cell>
        </row>
        <row r="2774">
          <cell r="F2774" t="str">
            <v xml:space="preserve">71142360       </v>
          </cell>
          <cell r="O2774">
            <v>105</v>
          </cell>
        </row>
        <row r="2775">
          <cell r="F2775" t="str">
            <v xml:space="preserve">71142360       </v>
          </cell>
          <cell r="O2775">
            <v>540</v>
          </cell>
        </row>
        <row r="2776">
          <cell r="F2776" t="str">
            <v xml:space="preserve">24341063       </v>
          </cell>
          <cell r="O2776">
            <v>27</v>
          </cell>
        </row>
        <row r="2777">
          <cell r="F2777" t="str">
            <v xml:space="preserve">24341063       </v>
          </cell>
          <cell r="O2777">
            <v>450</v>
          </cell>
        </row>
        <row r="2778">
          <cell r="F2778" t="str">
            <v xml:space="preserve">24341063       </v>
          </cell>
          <cell r="O2778">
            <v>108</v>
          </cell>
        </row>
        <row r="2779">
          <cell r="F2779" t="str">
            <v xml:space="preserve">24341063       </v>
          </cell>
          <cell r="O2779">
            <v>45</v>
          </cell>
        </row>
        <row r="2780">
          <cell r="F2780" t="str">
            <v xml:space="preserve">901178932      </v>
          </cell>
          <cell r="O2780">
            <v>72</v>
          </cell>
        </row>
        <row r="2781">
          <cell r="F2781" t="str">
            <v xml:space="preserve">91180797       </v>
          </cell>
          <cell r="O2781">
            <v>450</v>
          </cell>
        </row>
        <row r="2782">
          <cell r="F2782" t="str">
            <v xml:space="preserve">91180797       </v>
          </cell>
          <cell r="O2782">
            <v>306</v>
          </cell>
        </row>
        <row r="2783">
          <cell r="F2783" t="str">
            <v xml:space="preserve">91180797       </v>
          </cell>
          <cell r="O2783">
            <v>180</v>
          </cell>
        </row>
        <row r="2784">
          <cell r="F2784" t="str">
            <v xml:space="preserve">17421056       </v>
          </cell>
          <cell r="O2784">
            <v>120</v>
          </cell>
        </row>
        <row r="2785">
          <cell r="F2785" t="str">
            <v xml:space="preserve">73559455       </v>
          </cell>
          <cell r="O2785">
            <v>18</v>
          </cell>
        </row>
        <row r="2786">
          <cell r="F2786" t="str">
            <v xml:space="preserve">73559455       </v>
          </cell>
          <cell r="O2786">
            <v>45</v>
          </cell>
        </row>
        <row r="2787">
          <cell r="F2787" t="str">
            <v xml:space="preserve">73559455       </v>
          </cell>
          <cell r="O2787">
            <v>45</v>
          </cell>
        </row>
        <row r="2788">
          <cell r="F2788" t="str">
            <v xml:space="preserve">73559455       </v>
          </cell>
          <cell r="O2788">
            <v>150</v>
          </cell>
        </row>
        <row r="2789">
          <cell r="F2789" t="str">
            <v xml:space="preserve">73559455       </v>
          </cell>
          <cell r="O2789">
            <v>54</v>
          </cell>
        </row>
        <row r="2790">
          <cell r="F2790" t="str">
            <v xml:space="preserve">860001697      </v>
          </cell>
          <cell r="O2790">
            <v>309.33</v>
          </cell>
        </row>
        <row r="2791">
          <cell r="F2791" t="str">
            <v xml:space="preserve">1214745372     </v>
          </cell>
          <cell r="O2791">
            <v>36</v>
          </cell>
        </row>
        <row r="2792">
          <cell r="F2792" t="str">
            <v xml:space="preserve">1214745372     </v>
          </cell>
          <cell r="O2792">
            <v>9</v>
          </cell>
        </row>
        <row r="2793">
          <cell r="F2793" t="str">
            <v xml:space="preserve">1214745372     </v>
          </cell>
          <cell r="O2793">
            <v>15</v>
          </cell>
        </row>
        <row r="2794">
          <cell r="F2794" t="str">
            <v xml:space="preserve">1214745372     </v>
          </cell>
          <cell r="O2794">
            <v>990</v>
          </cell>
        </row>
        <row r="2795">
          <cell r="F2795" t="str">
            <v xml:space="preserve">860002523      </v>
          </cell>
          <cell r="O2795">
            <v>140</v>
          </cell>
        </row>
        <row r="2796">
          <cell r="F2796" t="str">
            <v xml:space="preserve">860005265      </v>
          </cell>
          <cell r="O2796">
            <v>971</v>
          </cell>
        </row>
        <row r="2797">
          <cell r="F2797" t="str">
            <v xml:space="preserve">860005265      </v>
          </cell>
          <cell r="O2797">
            <v>683.35</v>
          </cell>
        </row>
        <row r="2798">
          <cell r="F2798" t="str">
            <v xml:space="preserve">860047066      </v>
          </cell>
          <cell r="O2798">
            <v>100</v>
          </cell>
        </row>
        <row r="2799">
          <cell r="F2799" t="str">
            <v xml:space="preserve">007            </v>
          </cell>
          <cell r="O2799">
            <v>60</v>
          </cell>
        </row>
        <row r="2800">
          <cell r="F2800" t="str">
            <v xml:space="preserve">007            </v>
          </cell>
          <cell r="O2800">
            <v>360</v>
          </cell>
        </row>
        <row r="2801">
          <cell r="F2801" t="str">
            <v xml:space="preserve">203            </v>
          </cell>
          <cell r="O2801">
            <v>30</v>
          </cell>
        </row>
        <row r="2802">
          <cell r="F2802" t="str">
            <v xml:space="preserve">203            </v>
          </cell>
          <cell r="O2802">
            <v>72</v>
          </cell>
        </row>
        <row r="2803">
          <cell r="F2803" t="str">
            <v xml:space="preserve">203            </v>
          </cell>
          <cell r="O2803">
            <v>225</v>
          </cell>
        </row>
        <row r="2804">
          <cell r="F2804" t="str">
            <v xml:space="preserve">811037915      </v>
          </cell>
          <cell r="O2804">
            <v>198</v>
          </cell>
        </row>
        <row r="2805">
          <cell r="F2805" t="str">
            <v xml:space="preserve">900084859      </v>
          </cell>
          <cell r="O2805">
            <v>45</v>
          </cell>
        </row>
        <row r="2806">
          <cell r="F2806" t="str">
            <v xml:space="preserve">900407237      </v>
          </cell>
          <cell r="O2806">
            <v>90</v>
          </cell>
        </row>
        <row r="2807">
          <cell r="F2807" t="str">
            <v xml:space="preserve">901485271      </v>
          </cell>
          <cell r="O2807">
            <v>45</v>
          </cell>
        </row>
        <row r="2808">
          <cell r="F2808" t="str">
            <v xml:space="preserve">901485271      </v>
          </cell>
          <cell r="O2808">
            <v>18</v>
          </cell>
        </row>
        <row r="2809">
          <cell r="F2809" t="str">
            <v xml:space="preserve">901485271      </v>
          </cell>
          <cell r="O2809">
            <v>36</v>
          </cell>
        </row>
        <row r="2810">
          <cell r="F2810" t="str">
            <v xml:space="preserve">901485271      </v>
          </cell>
          <cell r="O2810">
            <v>45</v>
          </cell>
        </row>
        <row r="2811">
          <cell r="F2811" t="str">
            <v xml:space="preserve">901485271      </v>
          </cell>
          <cell r="O2811">
            <v>18</v>
          </cell>
        </row>
        <row r="2812">
          <cell r="F2812" t="str">
            <v xml:space="preserve">901485271      </v>
          </cell>
          <cell r="O2812">
            <v>18</v>
          </cell>
        </row>
        <row r="2813">
          <cell r="F2813" t="str">
            <v xml:space="preserve">800012375      </v>
          </cell>
          <cell r="O2813">
            <v>144</v>
          </cell>
        </row>
        <row r="2814">
          <cell r="F2814" t="str">
            <v xml:space="preserve">800052377      </v>
          </cell>
          <cell r="O2814">
            <v>54</v>
          </cell>
        </row>
        <row r="2815">
          <cell r="F2815" t="str">
            <v xml:space="preserve">800052377      </v>
          </cell>
          <cell r="O2815">
            <v>54</v>
          </cell>
        </row>
        <row r="2816">
          <cell r="F2816" t="str">
            <v xml:space="preserve">800150267      </v>
          </cell>
          <cell r="O2816">
            <v>18</v>
          </cell>
        </row>
        <row r="2817">
          <cell r="F2817" t="str">
            <v xml:space="preserve">805018495      </v>
          </cell>
          <cell r="O2817">
            <v>72</v>
          </cell>
        </row>
        <row r="2818">
          <cell r="F2818" t="str">
            <v xml:space="preserve">815002042      </v>
          </cell>
          <cell r="O2818">
            <v>144</v>
          </cell>
        </row>
        <row r="2819">
          <cell r="F2819" t="str">
            <v xml:space="preserve">821000169      </v>
          </cell>
          <cell r="O2819">
            <v>96</v>
          </cell>
        </row>
        <row r="2820">
          <cell r="F2820" t="str">
            <v xml:space="preserve">821000169      </v>
          </cell>
          <cell r="O2820">
            <v>64</v>
          </cell>
        </row>
        <row r="2821">
          <cell r="F2821" t="str">
            <v xml:space="preserve">830107617      </v>
          </cell>
          <cell r="O2821">
            <v>126</v>
          </cell>
        </row>
        <row r="2822">
          <cell r="F2822" t="str">
            <v xml:space="preserve">890903939      </v>
          </cell>
          <cell r="O2822">
            <v>95</v>
          </cell>
        </row>
        <row r="2823">
          <cell r="F2823" t="str">
            <v xml:space="preserve">890903939      </v>
          </cell>
          <cell r="O2823">
            <v>95</v>
          </cell>
        </row>
        <row r="2824">
          <cell r="F2824" t="str">
            <v xml:space="preserve">891300382      </v>
          </cell>
          <cell r="O2824">
            <v>144</v>
          </cell>
        </row>
        <row r="2825">
          <cell r="F2825" t="str">
            <v xml:space="preserve">891301549      </v>
          </cell>
          <cell r="O2825">
            <v>36</v>
          </cell>
        </row>
        <row r="2826">
          <cell r="F2826" t="str">
            <v xml:space="preserve">891301594      </v>
          </cell>
          <cell r="O2826">
            <v>60</v>
          </cell>
        </row>
        <row r="2827">
          <cell r="F2827" t="str">
            <v xml:space="preserve">900772446      </v>
          </cell>
          <cell r="O2827">
            <v>18</v>
          </cell>
        </row>
        <row r="2828">
          <cell r="F2828" t="str">
            <v xml:space="preserve">901547329      </v>
          </cell>
          <cell r="O2828">
            <v>675</v>
          </cell>
        </row>
        <row r="2829">
          <cell r="F2829" t="str">
            <v xml:space="preserve">800067861      </v>
          </cell>
          <cell r="O2829">
            <v>117</v>
          </cell>
        </row>
        <row r="2830">
          <cell r="F2830" t="str">
            <v xml:space="preserve">811014849      </v>
          </cell>
          <cell r="O2830">
            <v>57.9</v>
          </cell>
        </row>
        <row r="2831">
          <cell r="F2831" t="str">
            <v xml:space="preserve">811020038      </v>
          </cell>
          <cell r="O2831">
            <v>64</v>
          </cell>
        </row>
        <row r="2832">
          <cell r="F2832" t="str">
            <v xml:space="preserve">830122420      </v>
          </cell>
          <cell r="O2832">
            <v>80</v>
          </cell>
        </row>
        <row r="2833">
          <cell r="F2833" t="str">
            <v xml:space="preserve">860001697      </v>
          </cell>
          <cell r="O2833">
            <v>156.75</v>
          </cell>
        </row>
        <row r="2834">
          <cell r="F2834" t="str">
            <v xml:space="preserve">860001697      </v>
          </cell>
          <cell r="O2834">
            <v>565</v>
          </cell>
        </row>
        <row r="2835">
          <cell r="F2835" t="str">
            <v xml:space="preserve">860001697      </v>
          </cell>
          <cell r="O2835">
            <v>401.35</v>
          </cell>
        </row>
        <row r="2836">
          <cell r="F2836" t="str">
            <v xml:space="preserve">860020382      </v>
          </cell>
          <cell r="O2836">
            <v>60</v>
          </cell>
        </row>
        <row r="2837">
          <cell r="F2837" t="str">
            <v xml:space="preserve">860502509      </v>
          </cell>
          <cell r="O2837">
            <v>252.6</v>
          </cell>
        </row>
        <row r="2838">
          <cell r="F2838" t="str">
            <v xml:space="preserve">900163286      </v>
          </cell>
          <cell r="O2838">
            <v>72</v>
          </cell>
        </row>
        <row r="2839">
          <cell r="F2839" t="str">
            <v xml:space="preserve">101            </v>
          </cell>
          <cell r="O2839">
            <v>90</v>
          </cell>
        </row>
        <row r="2840">
          <cell r="F2840" t="str">
            <v xml:space="preserve">101            </v>
          </cell>
          <cell r="O2840">
            <v>15</v>
          </cell>
        </row>
        <row r="2841">
          <cell r="F2841" t="str">
            <v xml:space="preserve">101            </v>
          </cell>
          <cell r="O2841">
            <v>18</v>
          </cell>
        </row>
        <row r="2842">
          <cell r="F2842" t="str">
            <v xml:space="preserve">101            </v>
          </cell>
          <cell r="O2842">
            <v>45</v>
          </cell>
        </row>
        <row r="2843">
          <cell r="F2843" t="str">
            <v xml:space="preserve">800090890      </v>
          </cell>
          <cell r="O2843">
            <v>36</v>
          </cell>
        </row>
        <row r="2844">
          <cell r="F2844" t="str">
            <v xml:space="preserve">810004879      </v>
          </cell>
          <cell r="O2844">
            <v>18</v>
          </cell>
        </row>
        <row r="2845">
          <cell r="F2845" t="str">
            <v xml:space="preserve">811014849      </v>
          </cell>
          <cell r="O2845">
            <v>54</v>
          </cell>
        </row>
        <row r="2846">
          <cell r="F2846" t="str">
            <v xml:space="preserve">890800450      </v>
          </cell>
          <cell r="O2846">
            <v>18</v>
          </cell>
        </row>
        <row r="2847">
          <cell r="F2847" t="str">
            <v xml:space="preserve">890805453      </v>
          </cell>
          <cell r="O2847">
            <v>72</v>
          </cell>
        </row>
        <row r="2848">
          <cell r="F2848" t="str">
            <v xml:space="preserve">890932124      </v>
          </cell>
          <cell r="O2848">
            <v>54</v>
          </cell>
        </row>
        <row r="2849">
          <cell r="F2849" t="str">
            <v xml:space="preserve">901071157      </v>
          </cell>
          <cell r="O2849">
            <v>18</v>
          </cell>
        </row>
        <row r="2850">
          <cell r="F2850" t="str">
            <v xml:space="preserve">901555731      </v>
          </cell>
          <cell r="O2850">
            <v>18</v>
          </cell>
        </row>
        <row r="2851">
          <cell r="F2851" t="str">
            <v xml:space="preserve">901555731      </v>
          </cell>
          <cell r="O2851">
            <v>45</v>
          </cell>
        </row>
        <row r="2852">
          <cell r="F2852" t="str">
            <v xml:space="preserve">212            </v>
          </cell>
          <cell r="O2852">
            <v>45</v>
          </cell>
        </row>
        <row r="2853">
          <cell r="F2853" t="str">
            <v xml:space="preserve">212            </v>
          </cell>
          <cell r="O2853">
            <v>135</v>
          </cell>
        </row>
        <row r="2854">
          <cell r="F2854" t="str">
            <v xml:space="preserve">212            </v>
          </cell>
          <cell r="O2854">
            <v>756</v>
          </cell>
        </row>
        <row r="2855">
          <cell r="F2855" t="str">
            <v xml:space="preserve">901110439      </v>
          </cell>
          <cell r="O2855">
            <v>180</v>
          </cell>
        </row>
        <row r="2856">
          <cell r="F2856" t="str">
            <v xml:space="preserve">901110439      </v>
          </cell>
          <cell r="O2856">
            <v>45</v>
          </cell>
        </row>
        <row r="2857">
          <cell r="F2857" t="str">
            <v xml:space="preserve">800211643      </v>
          </cell>
          <cell r="O2857">
            <v>95.35</v>
          </cell>
        </row>
        <row r="2858">
          <cell r="F2858" t="str">
            <v xml:space="preserve">800230447      </v>
          </cell>
          <cell r="O2858">
            <v>140</v>
          </cell>
        </row>
        <row r="2859">
          <cell r="F2859" t="str">
            <v xml:space="preserve">811047008      </v>
          </cell>
          <cell r="O2859">
            <v>36</v>
          </cell>
        </row>
        <row r="2860">
          <cell r="F2860" t="str">
            <v xml:space="preserve">811047008      </v>
          </cell>
          <cell r="O2860">
            <v>36</v>
          </cell>
        </row>
        <row r="2861">
          <cell r="F2861" t="str">
            <v xml:space="preserve">830006735      </v>
          </cell>
          <cell r="O2861">
            <v>576.15</v>
          </cell>
        </row>
        <row r="2862">
          <cell r="F2862" t="str">
            <v xml:space="preserve">860002455      </v>
          </cell>
          <cell r="O2862">
            <v>18</v>
          </cell>
        </row>
        <row r="2863">
          <cell r="F2863" t="str">
            <v xml:space="preserve">860020382      </v>
          </cell>
          <cell r="O2863">
            <v>60</v>
          </cell>
        </row>
        <row r="2864">
          <cell r="F2864" t="str">
            <v xml:space="preserve">890903475      </v>
          </cell>
          <cell r="O2864">
            <v>80</v>
          </cell>
        </row>
        <row r="2865">
          <cell r="F2865" t="str">
            <v xml:space="preserve">899999049      </v>
          </cell>
          <cell r="O2865">
            <v>54</v>
          </cell>
        </row>
        <row r="2866">
          <cell r="F2866" t="str">
            <v xml:space="preserve">900049818      </v>
          </cell>
          <cell r="O2866">
            <v>32</v>
          </cell>
        </row>
        <row r="2867">
          <cell r="F2867" t="str">
            <v xml:space="preserve">1104405256     </v>
          </cell>
          <cell r="O2867">
            <v>22.5</v>
          </cell>
        </row>
        <row r="2868">
          <cell r="F2868" t="str">
            <v xml:space="preserve">1104405256     </v>
          </cell>
          <cell r="O2868">
            <v>27</v>
          </cell>
        </row>
        <row r="2869">
          <cell r="F2869" t="str">
            <v xml:space="preserve">1104405256     </v>
          </cell>
          <cell r="O2869">
            <v>1050</v>
          </cell>
        </row>
        <row r="2870">
          <cell r="F2870" t="str">
            <v xml:space="preserve">1104405256     </v>
          </cell>
          <cell r="O2870">
            <v>630</v>
          </cell>
        </row>
        <row r="2871">
          <cell r="F2871" t="str">
            <v xml:space="preserve">407            </v>
          </cell>
          <cell r="O2871">
            <v>252</v>
          </cell>
        </row>
        <row r="2872">
          <cell r="F2872" t="str">
            <v xml:space="preserve">407            </v>
          </cell>
          <cell r="O2872">
            <v>75</v>
          </cell>
        </row>
        <row r="2873">
          <cell r="F2873" t="str">
            <v xml:space="preserve">890923514      </v>
          </cell>
          <cell r="O2873">
            <v>150</v>
          </cell>
        </row>
        <row r="2874">
          <cell r="F2874" t="str">
            <v xml:space="preserve">800090890      </v>
          </cell>
          <cell r="O2874">
            <v>19</v>
          </cell>
        </row>
        <row r="2875">
          <cell r="F2875" t="str">
            <v xml:space="preserve">800090890      </v>
          </cell>
          <cell r="O2875">
            <v>76</v>
          </cell>
        </row>
        <row r="2876">
          <cell r="F2876" t="str">
            <v xml:space="preserve">800090890      </v>
          </cell>
          <cell r="O2876">
            <v>73</v>
          </cell>
        </row>
        <row r="2877">
          <cell r="F2877" t="str">
            <v xml:space="preserve">800090890      </v>
          </cell>
          <cell r="O2877">
            <v>38</v>
          </cell>
        </row>
        <row r="2878">
          <cell r="F2878" t="str">
            <v xml:space="preserve">811014849      </v>
          </cell>
          <cell r="O2878">
            <v>72</v>
          </cell>
        </row>
        <row r="2879">
          <cell r="F2879" t="str">
            <v xml:space="preserve">811014849      </v>
          </cell>
          <cell r="O2879">
            <v>180</v>
          </cell>
        </row>
        <row r="2880">
          <cell r="F2880" t="str">
            <v xml:space="preserve">890903939      </v>
          </cell>
          <cell r="O2880">
            <v>1200.9000000000001</v>
          </cell>
        </row>
        <row r="2881">
          <cell r="F2881" t="str">
            <v xml:space="preserve">890903939      </v>
          </cell>
          <cell r="O2881">
            <v>216.3</v>
          </cell>
        </row>
        <row r="2882">
          <cell r="F2882" t="str">
            <v xml:space="preserve">890903939      </v>
          </cell>
          <cell r="O2882">
            <v>165.15</v>
          </cell>
        </row>
        <row r="2883">
          <cell r="F2883" t="str">
            <v xml:space="preserve">800220041      </v>
          </cell>
          <cell r="O2883">
            <v>60</v>
          </cell>
        </row>
        <row r="2884">
          <cell r="F2884" t="str">
            <v xml:space="preserve">811032699      </v>
          </cell>
          <cell r="O2884">
            <v>54</v>
          </cell>
        </row>
        <row r="2885">
          <cell r="F2885" t="str">
            <v xml:space="preserve">890903939      </v>
          </cell>
          <cell r="O2885">
            <v>322.05</v>
          </cell>
        </row>
        <row r="2886">
          <cell r="F2886" t="str">
            <v xml:space="preserve">899999049      </v>
          </cell>
          <cell r="O2886">
            <v>180</v>
          </cell>
        </row>
        <row r="2887">
          <cell r="F2887" t="str">
            <v xml:space="preserve">900820045      </v>
          </cell>
          <cell r="O2887">
            <v>30</v>
          </cell>
        </row>
        <row r="2888">
          <cell r="F2888" t="str">
            <v xml:space="preserve">900820045      </v>
          </cell>
          <cell r="O2888">
            <v>36</v>
          </cell>
        </row>
        <row r="2889">
          <cell r="F2889" t="str">
            <v xml:space="preserve">901000237      </v>
          </cell>
          <cell r="O2889">
            <v>54</v>
          </cell>
        </row>
        <row r="2890">
          <cell r="F2890" t="str">
            <v xml:space="preserve">901196694      </v>
          </cell>
          <cell r="O2890">
            <v>54</v>
          </cell>
        </row>
        <row r="2891">
          <cell r="F2891" t="str">
            <v xml:space="preserve">830010908      </v>
          </cell>
          <cell r="O2891">
            <v>80</v>
          </cell>
        </row>
        <row r="2892">
          <cell r="F2892" t="str">
            <v xml:space="preserve">860001697      </v>
          </cell>
          <cell r="O2892">
            <v>1224.7</v>
          </cell>
        </row>
        <row r="2893">
          <cell r="F2893" t="str">
            <v xml:space="preserve">860048371      </v>
          </cell>
          <cell r="O2893">
            <v>60</v>
          </cell>
        </row>
        <row r="2894">
          <cell r="F2894" t="str">
            <v xml:space="preserve">806007578      </v>
          </cell>
          <cell r="O2894">
            <v>238.5</v>
          </cell>
        </row>
        <row r="2895">
          <cell r="F2895" t="str">
            <v xml:space="preserve">901181058      </v>
          </cell>
          <cell r="O2895">
            <v>126.2</v>
          </cell>
        </row>
        <row r="2896">
          <cell r="F2896" t="str">
            <v xml:space="preserve">31989080       </v>
          </cell>
          <cell r="O2896">
            <v>211.9</v>
          </cell>
        </row>
        <row r="2897">
          <cell r="F2897" t="str">
            <v xml:space="preserve">817004851      </v>
          </cell>
          <cell r="O2897">
            <v>132.6</v>
          </cell>
        </row>
        <row r="2898">
          <cell r="F2898" t="str">
            <v xml:space="preserve">890200474      </v>
          </cell>
          <cell r="O2898">
            <v>1004.1</v>
          </cell>
        </row>
        <row r="2899">
          <cell r="F2899" t="str">
            <v xml:space="preserve">900133796      </v>
          </cell>
          <cell r="O2899">
            <v>734</v>
          </cell>
        </row>
        <row r="2900">
          <cell r="F2900" t="str">
            <v xml:space="preserve">900133796      </v>
          </cell>
          <cell r="O2900">
            <v>937</v>
          </cell>
        </row>
        <row r="2901">
          <cell r="F2901" t="str">
            <v xml:space="preserve">900133796      </v>
          </cell>
          <cell r="O2901">
            <v>719.8</v>
          </cell>
        </row>
        <row r="2902">
          <cell r="F2902" t="str">
            <v xml:space="preserve">900133796      </v>
          </cell>
          <cell r="O2902">
            <v>465.4</v>
          </cell>
        </row>
        <row r="2903">
          <cell r="F2903" t="str">
            <v xml:space="preserve">820005385      </v>
          </cell>
          <cell r="O2903">
            <v>2000.5</v>
          </cell>
        </row>
        <row r="2904">
          <cell r="F2904" t="str">
            <v xml:space="preserve">830042212      </v>
          </cell>
          <cell r="O2904">
            <v>1202.5</v>
          </cell>
        </row>
        <row r="2905">
          <cell r="F2905" t="str">
            <v xml:space="preserve">860058831      </v>
          </cell>
          <cell r="O2905">
            <v>734.7</v>
          </cell>
        </row>
        <row r="2906">
          <cell r="F2906" t="str">
            <v xml:space="preserve">830106563      </v>
          </cell>
          <cell r="O2906">
            <v>1264.3</v>
          </cell>
        </row>
        <row r="2907">
          <cell r="F2907" t="str">
            <v xml:space="preserve">860032450      </v>
          </cell>
          <cell r="O2907">
            <v>2000.9</v>
          </cell>
        </row>
        <row r="2908">
          <cell r="F2908" t="str">
            <v xml:space="preserve">901123983      </v>
          </cell>
          <cell r="O2908">
            <v>1598</v>
          </cell>
        </row>
        <row r="2909">
          <cell r="F2909" t="str">
            <v xml:space="preserve">901409625      </v>
          </cell>
          <cell r="O2909">
            <v>809.5</v>
          </cell>
        </row>
        <row r="2910">
          <cell r="F2910" t="str">
            <v xml:space="preserve">203            </v>
          </cell>
          <cell r="O2910">
            <v>15</v>
          </cell>
        </row>
        <row r="2911">
          <cell r="F2911" t="str">
            <v xml:space="preserve">203            </v>
          </cell>
          <cell r="O2911">
            <v>36</v>
          </cell>
        </row>
        <row r="2912">
          <cell r="F2912" t="str">
            <v xml:space="preserve">203            </v>
          </cell>
          <cell r="O2912">
            <v>4.5</v>
          </cell>
        </row>
        <row r="2913">
          <cell r="F2913" t="str">
            <v xml:space="preserve">203            </v>
          </cell>
          <cell r="O2913">
            <v>36</v>
          </cell>
        </row>
        <row r="2914">
          <cell r="F2914" t="str">
            <v xml:space="preserve">890985417      </v>
          </cell>
          <cell r="O2914">
            <v>45</v>
          </cell>
        </row>
        <row r="2915">
          <cell r="F2915" t="str">
            <v xml:space="preserve">901485271      </v>
          </cell>
          <cell r="O2915">
            <v>90</v>
          </cell>
        </row>
        <row r="2916">
          <cell r="F2916" t="str">
            <v xml:space="preserve">212            </v>
          </cell>
          <cell r="O2916">
            <v>15</v>
          </cell>
        </row>
        <row r="2917">
          <cell r="F2917" t="str">
            <v xml:space="preserve">212            </v>
          </cell>
          <cell r="O2917">
            <v>90</v>
          </cell>
        </row>
        <row r="2918">
          <cell r="F2918" t="str">
            <v xml:space="preserve">212            </v>
          </cell>
          <cell r="O2918">
            <v>108</v>
          </cell>
        </row>
        <row r="2919">
          <cell r="F2919" t="str">
            <v xml:space="preserve">900084859      </v>
          </cell>
          <cell r="O2919">
            <v>15</v>
          </cell>
        </row>
        <row r="2920">
          <cell r="F2920" t="str">
            <v xml:space="preserve">900084859      </v>
          </cell>
          <cell r="O2920">
            <v>45</v>
          </cell>
        </row>
        <row r="2921">
          <cell r="F2921" t="str">
            <v xml:space="preserve">213            </v>
          </cell>
          <cell r="O2921">
            <v>45</v>
          </cell>
        </row>
        <row r="2922">
          <cell r="F2922" t="str">
            <v xml:space="preserve">70052771       </v>
          </cell>
          <cell r="O2922">
            <v>99</v>
          </cell>
        </row>
        <row r="2923">
          <cell r="F2923" t="str">
            <v xml:space="preserve">800160280      </v>
          </cell>
          <cell r="O2923">
            <v>15</v>
          </cell>
        </row>
        <row r="2924">
          <cell r="F2924" t="str">
            <v xml:space="preserve">811014849      </v>
          </cell>
          <cell r="O2924">
            <v>75</v>
          </cell>
        </row>
        <row r="2925">
          <cell r="F2925" t="str">
            <v xml:space="preserve">811016729      </v>
          </cell>
          <cell r="O2925">
            <v>45</v>
          </cell>
        </row>
        <row r="2926">
          <cell r="F2926" t="str">
            <v xml:space="preserve">811020038      </v>
          </cell>
          <cell r="O2926">
            <v>18</v>
          </cell>
        </row>
        <row r="2927">
          <cell r="F2927" t="str">
            <v xml:space="preserve">860013809      </v>
          </cell>
          <cell r="O2927">
            <v>198</v>
          </cell>
        </row>
        <row r="2928">
          <cell r="F2928" t="str">
            <v xml:space="preserve">890904713      </v>
          </cell>
          <cell r="O2928">
            <v>30</v>
          </cell>
        </row>
        <row r="2929">
          <cell r="F2929" t="str">
            <v xml:space="preserve">890905790      </v>
          </cell>
          <cell r="O2929">
            <v>60</v>
          </cell>
        </row>
        <row r="2930">
          <cell r="F2930" t="str">
            <v xml:space="preserve">890918272      </v>
          </cell>
          <cell r="O2930">
            <v>72</v>
          </cell>
        </row>
        <row r="2931">
          <cell r="F2931" t="str">
            <v xml:space="preserve">899999049      </v>
          </cell>
          <cell r="O2931">
            <v>66</v>
          </cell>
        </row>
        <row r="2932">
          <cell r="F2932" t="str">
            <v xml:space="preserve">900049818      </v>
          </cell>
          <cell r="O2932">
            <v>15</v>
          </cell>
        </row>
        <row r="2933">
          <cell r="F2933" t="str">
            <v xml:space="preserve">900302490      </v>
          </cell>
          <cell r="O2933">
            <v>15</v>
          </cell>
        </row>
        <row r="2934">
          <cell r="F2934" t="str">
            <v xml:space="preserve">900671066      </v>
          </cell>
          <cell r="O2934">
            <v>36</v>
          </cell>
        </row>
        <row r="2935">
          <cell r="F2935" t="str">
            <v xml:space="preserve">900671066      </v>
          </cell>
          <cell r="O2935">
            <v>45</v>
          </cell>
        </row>
        <row r="2936">
          <cell r="F2936" t="str">
            <v xml:space="preserve">901436775      </v>
          </cell>
          <cell r="O2936">
            <v>30</v>
          </cell>
        </row>
        <row r="2937">
          <cell r="F2937" t="str">
            <v xml:space="preserve">101            </v>
          </cell>
          <cell r="O2937">
            <v>36</v>
          </cell>
        </row>
        <row r="2938">
          <cell r="F2938" t="str">
            <v xml:space="preserve">101            </v>
          </cell>
          <cell r="O2938">
            <v>45</v>
          </cell>
        </row>
        <row r="2939">
          <cell r="F2939" t="str">
            <v xml:space="preserve">900342435      </v>
          </cell>
          <cell r="O2939">
            <v>4.5</v>
          </cell>
        </row>
        <row r="2940">
          <cell r="F2940" t="str">
            <v xml:space="preserve">800068285      </v>
          </cell>
          <cell r="O2940">
            <v>18</v>
          </cell>
        </row>
        <row r="2941">
          <cell r="F2941" t="str">
            <v xml:space="preserve">805017747      </v>
          </cell>
          <cell r="O2941">
            <v>18</v>
          </cell>
        </row>
        <row r="2942">
          <cell r="F2942" t="str">
            <v xml:space="preserve">817004766      </v>
          </cell>
          <cell r="O2942">
            <v>90</v>
          </cell>
        </row>
        <row r="2943">
          <cell r="F2943" t="str">
            <v xml:space="preserve">890302609      </v>
          </cell>
          <cell r="O2943">
            <v>210</v>
          </cell>
        </row>
        <row r="2944">
          <cell r="F2944" t="str">
            <v xml:space="preserve">890304607      </v>
          </cell>
          <cell r="O2944">
            <v>54</v>
          </cell>
        </row>
        <row r="2945">
          <cell r="F2945" t="str">
            <v xml:space="preserve">890304611      </v>
          </cell>
          <cell r="O2945">
            <v>30</v>
          </cell>
        </row>
        <row r="2946">
          <cell r="F2946" t="str">
            <v xml:space="preserve">890903939      </v>
          </cell>
          <cell r="O2946">
            <v>302</v>
          </cell>
        </row>
        <row r="2947">
          <cell r="F2947" t="str">
            <v xml:space="preserve">890903939      </v>
          </cell>
          <cell r="O2947">
            <v>356</v>
          </cell>
        </row>
        <row r="2948">
          <cell r="F2948" t="str">
            <v xml:space="preserve">900385892      </v>
          </cell>
          <cell r="O2948">
            <v>270</v>
          </cell>
        </row>
        <row r="2949">
          <cell r="F2949" t="str">
            <v xml:space="preserve">901149931      </v>
          </cell>
          <cell r="O2949">
            <v>108</v>
          </cell>
        </row>
        <row r="2950">
          <cell r="F2950" t="str">
            <v xml:space="preserve">901167377      </v>
          </cell>
          <cell r="O2950">
            <v>259</v>
          </cell>
        </row>
        <row r="2951">
          <cell r="F2951" t="str">
            <v xml:space="preserve">830086392      </v>
          </cell>
          <cell r="O2951">
            <v>108.9</v>
          </cell>
        </row>
        <row r="2952">
          <cell r="F2952" t="str">
            <v xml:space="preserve">860011109      </v>
          </cell>
          <cell r="O2952">
            <v>2360.1</v>
          </cell>
        </row>
        <row r="2953">
          <cell r="F2953" t="str">
            <v xml:space="preserve">860029445      </v>
          </cell>
          <cell r="O2953">
            <v>2501.1999999999998</v>
          </cell>
        </row>
        <row r="2954">
          <cell r="F2954" t="str">
            <v xml:space="preserve">41786266       </v>
          </cell>
          <cell r="O2954">
            <v>36.5</v>
          </cell>
        </row>
        <row r="2955">
          <cell r="F2955" t="str">
            <v xml:space="preserve">41786266       </v>
          </cell>
          <cell r="O2955">
            <v>36.5</v>
          </cell>
        </row>
        <row r="2956">
          <cell r="F2956" t="str">
            <v xml:space="preserve">800141632      </v>
          </cell>
          <cell r="O2956">
            <v>41.3</v>
          </cell>
        </row>
        <row r="2957">
          <cell r="F2957" t="str">
            <v xml:space="preserve">830009573      </v>
          </cell>
          <cell r="O2957">
            <v>619.29999999999995</v>
          </cell>
        </row>
        <row r="2958">
          <cell r="F2958" t="str">
            <v xml:space="preserve">860020194      </v>
          </cell>
          <cell r="O2958">
            <v>103.8</v>
          </cell>
        </row>
        <row r="2959">
          <cell r="F2959" t="str">
            <v xml:space="preserve">901142353      </v>
          </cell>
          <cell r="O2959">
            <v>169.4</v>
          </cell>
        </row>
        <row r="2960">
          <cell r="F2960" t="str">
            <v xml:space="preserve">901142353      </v>
          </cell>
          <cell r="O2960">
            <v>175.9</v>
          </cell>
        </row>
        <row r="2961">
          <cell r="F2961" t="str">
            <v xml:space="preserve">901470542      </v>
          </cell>
          <cell r="O2961">
            <v>126.9</v>
          </cell>
        </row>
        <row r="2962">
          <cell r="F2962" t="str">
            <v xml:space="preserve">52790620       </v>
          </cell>
          <cell r="O2962">
            <v>2826</v>
          </cell>
        </row>
        <row r="2963">
          <cell r="F2963" t="str">
            <v xml:space="preserve">110            </v>
          </cell>
          <cell r="O2963">
            <v>15</v>
          </cell>
        </row>
        <row r="2964">
          <cell r="F2964" t="str">
            <v xml:space="preserve">110            </v>
          </cell>
          <cell r="O2964">
            <v>648</v>
          </cell>
        </row>
        <row r="2965">
          <cell r="F2965" t="str">
            <v xml:space="preserve">800178813      </v>
          </cell>
          <cell r="O2965">
            <v>400.9</v>
          </cell>
        </row>
        <row r="2966">
          <cell r="F2966" t="str">
            <v xml:space="preserve">811014849      </v>
          </cell>
          <cell r="O2966">
            <v>911</v>
          </cell>
        </row>
        <row r="2967">
          <cell r="F2967" t="str">
            <v xml:space="preserve">890910131      </v>
          </cell>
          <cell r="O2967">
            <v>1124.2</v>
          </cell>
        </row>
        <row r="2968">
          <cell r="F2968" t="str">
            <v xml:space="preserve">901008628      </v>
          </cell>
          <cell r="O2968">
            <v>278.10000000000002</v>
          </cell>
        </row>
        <row r="2969">
          <cell r="F2969" t="str">
            <v xml:space="preserve">79095204       </v>
          </cell>
          <cell r="O2969">
            <v>540</v>
          </cell>
        </row>
        <row r="2970">
          <cell r="F2970" t="str">
            <v xml:space="preserve">79095204       </v>
          </cell>
          <cell r="O2970">
            <v>972</v>
          </cell>
        </row>
        <row r="2971">
          <cell r="F2971" t="str">
            <v xml:space="preserve">212            </v>
          </cell>
          <cell r="O2971">
            <v>15</v>
          </cell>
        </row>
        <row r="2972">
          <cell r="F2972" t="str">
            <v xml:space="preserve">212            </v>
          </cell>
          <cell r="O2972">
            <v>18</v>
          </cell>
        </row>
        <row r="2973">
          <cell r="F2973" t="str">
            <v xml:space="preserve">212            </v>
          </cell>
          <cell r="O2973">
            <v>315</v>
          </cell>
        </row>
        <row r="2974">
          <cell r="F2974" t="str">
            <v xml:space="preserve">212            </v>
          </cell>
          <cell r="O2974">
            <v>60</v>
          </cell>
        </row>
        <row r="2975">
          <cell r="F2975" t="str">
            <v xml:space="preserve">212            </v>
          </cell>
          <cell r="O2975">
            <v>144</v>
          </cell>
        </row>
        <row r="2976">
          <cell r="F2976" t="str">
            <v xml:space="preserve">900495908      </v>
          </cell>
          <cell r="O2976">
            <v>15</v>
          </cell>
        </row>
        <row r="2977">
          <cell r="F2977" t="str">
            <v xml:space="preserve">212            </v>
          </cell>
          <cell r="O2977">
            <v>45</v>
          </cell>
        </row>
        <row r="2978">
          <cell r="F2978" t="str">
            <v xml:space="preserve">212            </v>
          </cell>
          <cell r="O2978">
            <v>54</v>
          </cell>
        </row>
        <row r="2979">
          <cell r="F2979" t="str">
            <v xml:space="preserve">212            </v>
          </cell>
          <cell r="O2979">
            <v>90</v>
          </cell>
        </row>
        <row r="2980">
          <cell r="F2980" t="str">
            <v xml:space="preserve">800237815      </v>
          </cell>
          <cell r="O2980">
            <v>60</v>
          </cell>
        </row>
        <row r="2981">
          <cell r="F2981" t="str">
            <v xml:space="preserve">811014849      </v>
          </cell>
          <cell r="O2981">
            <v>90</v>
          </cell>
        </row>
        <row r="2982">
          <cell r="F2982" t="str">
            <v xml:space="preserve">811014849      </v>
          </cell>
          <cell r="O2982">
            <v>18</v>
          </cell>
        </row>
        <row r="2983">
          <cell r="F2983" t="str">
            <v xml:space="preserve">811023799      </v>
          </cell>
          <cell r="O2983">
            <v>18</v>
          </cell>
        </row>
        <row r="2984">
          <cell r="F2984" t="str">
            <v xml:space="preserve">830027386      </v>
          </cell>
          <cell r="O2984">
            <v>96</v>
          </cell>
        </row>
        <row r="2985">
          <cell r="F2985" t="str">
            <v xml:space="preserve">890900161      </v>
          </cell>
          <cell r="O2985">
            <v>30</v>
          </cell>
        </row>
        <row r="2986">
          <cell r="F2986" t="str">
            <v xml:space="preserve">890900161      </v>
          </cell>
          <cell r="O2986">
            <v>15</v>
          </cell>
        </row>
        <row r="2987">
          <cell r="F2987" t="str">
            <v xml:space="preserve">890903939      </v>
          </cell>
          <cell r="O2987">
            <v>165.4</v>
          </cell>
        </row>
        <row r="2988">
          <cell r="F2988" t="str">
            <v xml:space="preserve">900313945      </v>
          </cell>
          <cell r="O2988">
            <v>105</v>
          </cell>
        </row>
        <row r="2989">
          <cell r="F2989" t="str">
            <v xml:space="preserve">900391930      </v>
          </cell>
          <cell r="O2989">
            <v>60</v>
          </cell>
        </row>
        <row r="2990">
          <cell r="F2990" t="str">
            <v xml:space="preserve">900599145      </v>
          </cell>
          <cell r="O2990">
            <v>54</v>
          </cell>
        </row>
        <row r="2991">
          <cell r="F2991" t="str">
            <v xml:space="preserve">900603554      </v>
          </cell>
          <cell r="O2991">
            <v>72</v>
          </cell>
        </row>
        <row r="2992">
          <cell r="F2992" t="str">
            <v xml:space="preserve">901172312      </v>
          </cell>
          <cell r="O2992">
            <v>30</v>
          </cell>
        </row>
        <row r="2993">
          <cell r="F2993" t="str">
            <v xml:space="preserve">212            </v>
          </cell>
          <cell r="O2993">
            <v>2610</v>
          </cell>
        </row>
        <row r="2994">
          <cell r="F2994" t="str">
            <v xml:space="preserve">212            </v>
          </cell>
          <cell r="O2994">
            <v>216</v>
          </cell>
        </row>
        <row r="2995">
          <cell r="F2995" t="str">
            <v xml:space="preserve">805011264      </v>
          </cell>
          <cell r="O2995">
            <v>18</v>
          </cell>
        </row>
        <row r="2996">
          <cell r="F2996" t="str">
            <v xml:space="preserve">805012977      </v>
          </cell>
          <cell r="O2996">
            <v>72</v>
          </cell>
        </row>
        <row r="2997">
          <cell r="F2997" t="str">
            <v xml:space="preserve">860020382      </v>
          </cell>
          <cell r="O2997">
            <v>36</v>
          </cell>
        </row>
        <row r="2998">
          <cell r="F2998" t="str">
            <v xml:space="preserve">860020382      </v>
          </cell>
          <cell r="O2998">
            <v>36</v>
          </cell>
        </row>
        <row r="2999">
          <cell r="F2999" t="str">
            <v xml:space="preserve">860020382      </v>
          </cell>
          <cell r="O2999">
            <v>54</v>
          </cell>
        </row>
        <row r="3000">
          <cell r="F3000" t="str">
            <v xml:space="preserve">890300431      </v>
          </cell>
          <cell r="O3000">
            <v>90</v>
          </cell>
        </row>
        <row r="3001">
          <cell r="F3001" t="str">
            <v xml:space="preserve">890307885      </v>
          </cell>
          <cell r="O3001">
            <v>198</v>
          </cell>
        </row>
        <row r="3002">
          <cell r="F3002" t="str">
            <v xml:space="preserve">890311251      </v>
          </cell>
          <cell r="O3002">
            <v>54</v>
          </cell>
        </row>
        <row r="3003">
          <cell r="F3003" t="str">
            <v xml:space="preserve">890311251      </v>
          </cell>
          <cell r="O3003">
            <v>54</v>
          </cell>
        </row>
        <row r="3004">
          <cell r="F3004" t="str">
            <v xml:space="preserve">890322007      </v>
          </cell>
          <cell r="O3004">
            <v>270</v>
          </cell>
        </row>
        <row r="3005">
          <cell r="F3005" t="str">
            <v xml:space="preserve">890904713      </v>
          </cell>
          <cell r="O3005">
            <v>36</v>
          </cell>
        </row>
        <row r="3006">
          <cell r="F3006" t="str">
            <v xml:space="preserve">899999049      </v>
          </cell>
          <cell r="O3006">
            <v>36</v>
          </cell>
        </row>
        <row r="3007">
          <cell r="F3007" t="str">
            <v xml:space="preserve">899999049      </v>
          </cell>
          <cell r="O3007">
            <v>54</v>
          </cell>
        </row>
        <row r="3008">
          <cell r="F3008" t="str">
            <v xml:space="preserve">900234565      </v>
          </cell>
          <cell r="O3008">
            <v>18</v>
          </cell>
        </row>
        <row r="3009">
          <cell r="F3009" t="str">
            <v xml:space="preserve">900390291      </v>
          </cell>
          <cell r="O3009">
            <v>36</v>
          </cell>
        </row>
        <row r="3010">
          <cell r="F3010" t="str">
            <v xml:space="preserve">900454593      </v>
          </cell>
          <cell r="O3010">
            <v>54</v>
          </cell>
        </row>
        <row r="3011">
          <cell r="F3011" t="str">
            <v xml:space="preserve">900818921      </v>
          </cell>
          <cell r="O3011">
            <v>460</v>
          </cell>
        </row>
        <row r="3012">
          <cell r="F3012" t="str">
            <v xml:space="preserve">900896300      </v>
          </cell>
          <cell r="O3012">
            <v>144</v>
          </cell>
        </row>
        <row r="3013">
          <cell r="F3013" t="str">
            <v xml:space="preserve">901026262      </v>
          </cell>
          <cell r="O3013">
            <v>36</v>
          </cell>
        </row>
        <row r="3014">
          <cell r="F3014" t="str">
            <v xml:space="preserve">901026262      </v>
          </cell>
          <cell r="O3014">
            <v>54</v>
          </cell>
        </row>
        <row r="3015">
          <cell r="F3015" t="str">
            <v xml:space="preserve">212            </v>
          </cell>
          <cell r="O3015">
            <v>120</v>
          </cell>
        </row>
        <row r="3016">
          <cell r="F3016" t="str">
            <v xml:space="preserve">212            </v>
          </cell>
          <cell r="O3016">
            <v>72</v>
          </cell>
        </row>
        <row r="3017">
          <cell r="F3017" t="str">
            <v xml:space="preserve">212            </v>
          </cell>
          <cell r="O3017">
            <v>15</v>
          </cell>
        </row>
        <row r="3018">
          <cell r="F3018" t="str">
            <v xml:space="preserve">212            </v>
          </cell>
          <cell r="O3018">
            <v>30</v>
          </cell>
        </row>
        <row r="3019">
          <cell r="F3019" t="str">
            <v xml:space="preserve">212            </v>
          </cell>
          <cell r="O3019">
            <v>18</v>
          </cell>
        </row>
        <row r="3020">
          <cell r="F3020" t="str">
            <v xml:space="preserve">900495908      </v>
          </cell>
          <cell r="O3020">
            <v>15</v>
          </cell>
        </row>
        <row r="3021">
          <cell r="F3021" t="str">
            <v xml:space="preserve">860076820      </v>
          </cell>
          <cell r="O3021">
            <v>800</v>
          </cell>
        </row>
        <row r="3022">
          <cell r="F3022" t="str">
            <v xml:space="preserve">860076820      </v>
          </cell>
          <cell r="O3022">
            <v>689.9</v>
          </cell>
        </row>
        <row r="3023">
          <cell r="F3023" t="str">
            <v xml:space="preserve">860076820      </v>
          </cell>
          <cell r="O3023">
            <v>2126.1999999999998</v>
          </cell>
        </row>
        <row r="3024">
          <cell r="F3024" t="str">
            <v xml:space="preserve">860076820      </v>
          </cell>
          <cell r="O3024">
            <v>600.1</v>
          </cell>
        </row>
        <row r="3025">
          <cell r="F3025" t="str">
            <v xml:space="preserve">860076820      </v>
          </cell>
          <cell r="O3025">
            <v>600.20000000000005</v>
          </cell>
        </row>
        <row r="3026">
          <cell r="F3026" t="str">
            <v xml:space="preserve">860076820      </v>
          </cell>
          <cell r="O3026">
            <v>2701.4</v>
          </cell>
        </row>
        <row r="3027">
          <cell r="F3027" t="str">
            <v xml:space="preserve">890901271      </v>
          </cell>
          <cell r="O3027">
            <v>3000.2</v>
          </cell>
        </row>
        <row r="3028">
          <cell r="F3028" t="str">
            <v xml:space="preserve">1090375745     </v>
          </cell>
          <cell r="O3028">
            <v>117.6</v>
          </cell>
        </row>
        <row r="3029">
          <cell r="F3029" t="str">
            <v xml:space="preserve">1126420127     </v>
          </cell>
          <cell r="O3029">
            <v>79.7</v>
          </cell>
        </row>
        <row r="3030">
          <cell r="F3030" t="str">
            <v xml:space="preserve">900836780      </v>
          </cell>
          <cell r="O3030">
            <v>964.9</v>
          </cell>
        </row>
        <row r="3031">
          <cell r="F3031" t="str">
            <v xml:space="preserve">900836780      </v>
          </cell>
          <cell r="O3031">
            <v>782.6</v>
          </cell>
        </row>
        <row r="3032">
          <cell r="F3032" t="str">
            <v xml:space="preserve">900836780      </v>
          </cell>
          <cell r="O3032">
            <v>804.5</v>
          </cell>
        </row>
        <row r="3033">
          <cell r="F3033" t="str">
            <v xml:space="preserve">900836780      </v>
          </cell>
          <cell r="O3033">
            <v>696</v>
          </cell>
        </row>
        <row r="3034">
          <cell r="F3034" t="str">
            <v xml:space="preserve">900836780      </v>
          </cell>
          <cell r="O3034">
            <v>883.7</v>
          </cell>
        </row>
        <row r="3035">
          <cell r="F3035" t="str">
            <v xml:space="preserve">900836780      </v>
          </cell>
          <cell r="O3035">
            <v>945.7</v>
          </cell>
        </row>
        <row r="3036">
          <cell r="F3036" t="str">
            <v xml:space="preserve">900836780      </v>
          </cell>
          <cell r="O3036">
            <v>1019.7</v>
          </cell>
        </row>
        <row r="3037">
          <cell r="F3037" t="str">
            <v xml:space="preserve">900836780      </v>
          </cell>
          <cell r="O3037">
            <v>597.1</v>
          </cell>
        </row>
        <row r="3038">
          <cell r="F3038" t="str">
            <v xml:space="preserve">900836780      </v>
          </cell>
          <cell r="O3038">
            <v>630.6</v>
          </cell>
        </row>
        <row r="3039">
          <cell r="F3039" t="str">
            <v xml:space="preserve">900836780      </v>
          </cell>
          <cell r="O3039">
            <v>145.19999999999999</v>
          </cell>
        </row>
        <row r="3040">
          <cell r="F3040" t="str">
            <v xml:space="preserve">900836780      </v>
          </cell>
          <cell r="O3040">
            <v>178.7</v>
          </cell>
        </row>
        <row r="3041">
          <cell r="F3041" t="str">
            <v xml:space="preserve">17286711       </v>
          </cell>
          <cell r="O3041">
            <v>42.9</v>
          </cell>
        </row>
        <row r="3042">
          <cell r="F3042" t="str">
            <v xml:space="preserve">900834440      </v>
          </cell>
          <cell r="O3042">
            <v>574</v>
          </cell>
        </row>
        <row r="3043">
          <cell r="F3043" t="str">
            <v xml:space="preserve">800134497      </v>
          </cell>
          <cell r="O3043">
            <v>1501</v>
          </cell>
        </row>
        <row r="3044">
          <cell r="F3044" t="str">
            <v xml:space="preserve">860058831      </v>
          </cell>
          <cell r="O3044">
            <v>1204.0999999999999</v>
          </cell>
        </row>
        <row r="3045">
          <cell r="F3045" t="str">
            <v xml:space="preserve">860058831      </v>
          </cell>
          <cell r="O3045">
            <v>1000.1</v>
          </cell>
        </row>
        <row r="3046">
          <cell r="F3046" t="str">
            <v xml:space="preserve">860058831      </v>
          </cell>
          <cell r="O3046">
            <v>667.4</v>
          </cell>
        </row>
        <row r="3047">
          <cell r="F3047" t="str">
            <v xml:space="preserve">860058831      </v>
          </cell>
          <cell r="O3047">
            <v>500.3</v>
          </cell>
        </row>
        <row r="3048">
          <cell r="F3048" t="str">
            <v xml:space="preserve">42795633       </v>
          </cell>
          <cell r="O3048">
            <v>183.8</v>
          </cell>
        </row>
        <row r="3049">
          <cell r="F3049" t="str">
            <v xml:space="preserve">75080026       </v>
          </cell>
          <cell r="O3049">
            <v>235.1</v>
          </cell>
        </row>
        <row r="3050">
          <cell r="F3050" t="str">
            <v xml:space="preserve">890900161      </v>
          </cell>
          <cell r="O3050">
            <v>186.7</v>
          </cell>
        </row>
        <row r="3051">
          <cell r="F3051" t="str">
            <v xml:space="preserve">900036188      </v>
          </cell>
          <cell r="O3051">
            <v>622.29999999999995</v>
          </cell>
        </row>
        <row r="3052">
          <cell r="F3052" t="str">
            <v xml:space="preserve">830107012      </v>
          </cell>
          <cell r="O3052">
            <v>45</v>
          </cell>
        </row>
        <row r="3053">
          <cell r="F3053" t="str">
            <v xml:space="preserve">830107012      </v>
          </cell>
          <cell r="O3053">
            <v>72</v>
          </cell>
        </row>
        <row r="3054">
          <cell r="F3054" t="str">
            <v xml:space="preserve">890903939      </v>
          </cell>
          <cell r="O3054">
            <v>126</v>
          </cell>
        </row>
        <row r="3055">
          <cell r="F3055" t="str">
            <v xml:space="preserve">830091965      </v>
          </cell>
          <cell r="O3055">
            <v>1250</v>
          </cell>
        </row>
        <row r="3056">
          <cell r="F3056" t="str">
            <v xml:space="preserve">890301054      </v>
          </cell>
          <cell r="O3056">
            <v>5870</v>
          </cell>
        </row>
        <row r="3057">
          <cell r="F3057" t="str">
            <v xml:space="preserve">900436352      </v>
          </cell>
          <cell r="O3057">
            <v>2265.5</v>
          </cell>
        </row>
        <row r="3058">
          <cell r="F3058" t="str">
            <v xml:space="preserve">900474647      </v>
          </cell>
          <cell r="O3058">
            <v>909.8</v>
          </cell>
        </row>
        <row r="3059">
          <cell r="F3059" t="str">
            <v xml:space="preserve">860033419      </v>
          </cell>
          <cell r="O3059">
            <v>128.9</v>
          </cell>
        </row>
        <row r="3060">
          <cell r="F3060" t="str">
            <v xml:space="preserve">860522164      </v>
          </cell>
          <cell r="O3060">
            <v>150.1</v>
          </cell>
        </row>
        <row r="3061">
          <cell r="F3061" t="str">
            <v xml:space="preserve">860522164      </v>
          </cell>
          <cell r="O3061">
            <v>414.6</v>
          </cell>
        </row>
        <row r="3062">
          <cell r="F3062" t="str">
            <v xml:space="preserve">860522164      </v>
          </cell>
          <cell r="O3062">
            <v>250</v>
          </cell>
        </row>
        <row r="3063">
          <cell r="F3063" t="str">
            <v xml:space="preserve">860527701      </v>
          </cell>
          <cell r="O3063">
            <v>1850</v>
          </cell>
        </row>
        <row r="3064">
          <cell r="F3064" t="str">
            <v xml:space="preserve">70900706       </v>
          </cell>
          <cell r="O3064">
            <v>180</v>
          </cell>
        </row>
        <row r="3065">
          <cell r="F3065" t="str">
            <v xml:space="preserve">70900706       </v>
          </cell>
          <cell r="O3065">
            <v>18</v>
          </cell>
        </row>
        <row r="3066">
          <cell r="F3066" t="str">
            <v xml:space="preserve">70900706       </v>
          </cell>
          <cell r="O3066">
            <v>45</v>
          </cell>
        </row>
        <row r="3067">
          <cell r="F3067" t="str">
            <v xml:space="preserve">805017257      </v>
          </cell>
          <cell r="O3067">
            <v>304.2</v>
          </cell>
        </row>
        <row r="3068">
          <cell r="F3068" t="str">
            <v xml:space="preserve">860058831      </v>
          </cell>
          <cell r="O3068">
            <v>485</v>
          </cell>
        </row>
        <row r="3069">
          <cell r="F3069" t="str">
            <v xml:space="preserve">860058831      </v>
          </cell>
          <cell r="O3069">
            <v>1224.9000000000001</v>
          </cell>
        </row>
        <row r="3070">
          <cell r="F3070" t="str">
            <v xml:space="preserve">891301594      </v>
          </cell>
          <cell r="O3070">
            <v>1429</v>
          </cell>
        </row>
        <row r="3071">
          <cell r="F3071" t="str">
            <v xml:space="preserve">891301594      </v>
          </cell>
          <cell r="O3071">
            <v>1614.6</v>
          </cell>
        </row>
        <row r="3072">
          <cell r="F3072" t="str">
            <v xml:space="preserve">900384449      </v>
          </cell>
          <cell r="O3072">
            <v>190.8</v>
          </cell>
        </row>
        <row r="3073">
          <cell r="F3073" t="str">
            <v xml:space="preserve">9013426391     </v>
          </cell>
          <cell r="O3073">
            <v>2800</v>
          </cell>
        </row>
        <row r="3074">
          <cell r="F3074" t="str">
            <v xml:space="preserve">860001697      </v>
          </cell>
          <cell r="O3074">
            <v>129.68</v>
          </cell>
        </row>
        <row r="3075">
          <cell r="F3075" t="str">
            <v xml:space="preserve">860001697      </v>
          </cell>
          <cell r="O3075">
            <v>473.14</v>
          </cell>
        </row>
        <row r="3076">
          <cell r="F3076" t="str">
            <v xml:space="preserve">860001697      </v>
          </cell>
          <cell r="O3076">
            <v>271.76</v>
          </cell>
        </row>
        <row r="3077">
          <cell r="F3077" t="str">
            <v xml:space="preserve">860001697      </v>
          </cell>
          <cell r="O3077">
            <v>77.02</v>
          </cell>
        </row>
        <row r="3078">
          <cell r="F3078" t="str">
            <v xml:space="preserve">860001697      </v>
          </cell>
          <cell r="O3078">
            <v>219.41</v>
          </cell>
        </row>
        <row r="3079">
          <cell r="F3079" t="str">
            <v xml:space="preserve">830118416      </v>
          </cell>
          <cell r="O3079">
            <v>7020</v>
          </cell>
        </row>
        <row r="3080">
          <cell r="F3080" t="str">
            <v xml:space="preserve">901037565      </v>
          </cell>
          <cell r="O3080">
            <v>1790</v>
          </cell>
        </row>
        <row r="3081">
          <cell r="F3081" t="str">
            <v xml:space="preserve">901175206      </v>
          </cell>
          <cell r="O3081">
            <v>3881.4</v>
          </cell>
        </row>
        <row r="3082">
          <cell r="F3082" t="str">
            <v xml:space="preserve">901175206      </v>
          </cell>
          <cell r="O3082">
            <v>1601.7</v>
          </cell>
        </row>
        <row r="3083">
          <cell r="F3083" t="str">
            <v xml:space="preserve">901175206      </v>
          </cell>
          <cell r="O3083">
            <v>1603.2</v>
          </cell>
        </row>
        <row r="3084">
          <cell r="F3084" t="str">
            <v xml:space="preserve">901175206      </v>
          </cell>
          <cell r="O3084">
            <v>1564.7</v>
          </cell>
        </row>
        <row r="3085">
          <cell r="F3085" t="str">
            <v xml:space="preserve">901175206      </v>
          </cell>
          <cell r="O3085">
            <v>1410.3</v>
          </cell>
        </row>
        <row r="3086">
          <cell r="F3086" t="str">
            <v xml:space="preserve">2876777        </v>
          </cell>
          <cell r="O3086">
            <v>63.83</v>
          </cell>
        </row>
        <row r="3087">
          <cell r="F3087" t="str">
            <v xml:space="preserve">52886984       </v>
          </cell>
          <cell r="O3087">
            <v>75.62</v>
          </cell>
        </row>
        <row r="3088">
          <cell r="F3088" t="str">
            <v xml:space="preserve">800155605      </v>
          </cell>
          <cell r="O3088">
            <v>1076.3900000000001</v>
          </cell>
        </row>
        <row r="3089">
          <cell r="F3089" t="str">
            <v xml:space="preserve">811014849      </v>
          </cell>
          <cell r="O3089">
            <v>747</v>
          </cell>
        </row>
        <row r="3090">
          <cell r="F3090" t="str">
            <v xml:space="preserve">830033206      </v>
          </cell>
          <cell r="O3090">
            <v>236.66</v>
          </cell>
        </row>
        <row r="3091">
          <cell r="F3091" t="str">
            <v xml:space="preserve">830504684      </v>
          </cell>
          <cell r="O3091">
            <v>183.92</v>
          </cell>
        </row>
        <row r="3092">
          <cell r="F3092" t="str">
            <v xml:space="preserve">860069182      </v>
          </cell>
          <cell r="O3092">
            <v>366.61</v>
          </cell>
        </row>
        <row r="3093">
          <cell r="F3093" t="str">
            <v xml:space="preserve">891300382      </v>
          </cell>
          <cell r="O3093">
            <v>67.33</v>
          </cell>
        </row>
        <row r="3094">
          <cell r="F3094" t="str">
            <v xml:space="preserve">891300382      </v>
          </cell>
          <cell r="O3094">
            <v>67.77</v>
          </cell>
        </row>
        <row r="3095">
          <cell r="F3095" t="str">
            <v xml:space="preserve">891300382      </v>
          </cell>
          <cell r="O3095">
            <v>66.209999999999994</v>
          </cell>
        </row>
        <row r="3096">
          <cell r="F3096" t="str">
            <v xml:space="preserve">901113609      </v>
          </cell>
          <cell r="O3096">
            <v>60.4</v>
          </cell>
        </row>
        <row r="3097">
          <cell r="F3097" t="str">
            <v xml:space="preserve">23925915       </v>
          </cell>
          <cell r="O3097">
            <v>65.8</v>
          </cell>
        </row>
        <row r="3098">
          <cell r="F3098" t="str">
            <v xml:space="preserve">800049083      </v>
          </cell>
          <cell r="O3098">
            <v>920</v>
          </cell>
        </row>
        <row r="3099">
          <cell r="F3099" t="str">
            <v xml:space="preserve">800231929      </v>
          </cell>
          <cell r="O3099">
            <v>157.19999999999999</v>
          </cell>
        </row>
        <row r="3100">
          <cell r="F3100" t="str">
            <v xml:space="preserve">860007761      </v>
          </cell>
          <cell r="O3100">
            <v>279.8</v>
          </cell>
        </row>
        <row r="3101">
          <cell r="F3101" t="str">
            <v xml:space="preserve">860032450      </v>
          </cell>
          <cell r="O3101">
            <v>2200.1999999999998</v>
          </cell>
        </row>
        <row r="3102">
          <cell r="F3102" t="str">
            <v xml:space="preserve">900639245      </v>
          </cell>
          <cell r="O3102">
            <v>210</v>
          </cell>
        </row>
        <row r="3103">
          <cell r="F3103" t="str">
            <v xml:space="preserve">823001882      </v>
          </cell>
          <cell r="O3103">
            <v>45</v>
          </cell>
        </row>
        <row r="3104">
          <cell r="F3104" t="str">
            <v xml:space="preserve">805005148      </v>
          </cell>
          <cell r="O3104">
            <v>1044</v>
          </cell>
        </row>
        <row r="3105">
          <cell r="F3105" t="str">
            <v xml:space="preserve">805005148      </v>
          </cell>
          <cell r="O3105">
            <v>135</v>
          </cell>
        </row>
        <row r="3106">
          <cell r="F3106" t="str">
            <v xml:space="preserve">805005148      </v>
          </cell>
          <cell r="O3106">
            <v>9</v>
          </cell>
        </row>
        <row r="3107">
          <cell r="F3107" t="str">
            <v xml:space="preserve">805005148      </v>
          </cell>
          <cell r="O3107">
            <v>27</v>
          </cell>
        </row>
        <row r="3108">
          <cell r="F3108" t="str">
            <v xml:space="preserve">805005148      </v>
          </cell>
          <cell r="O3108">
            <v>90</v>
          </cell>
        </row>
        <row r="3109">
          <cell r="F3109" t="str">
            <v xml:space="preserve">805005148      </v>
          </cell>
          <cell r="O3109">
            <v>1494</v>
          </cell>
        </row>
        <row r="3110">
          <cell r="F3110" t="str">
            <v xml:space="preserve">805005148      </v>
          </cell>
          <cell r="O3110">
            <v>630</v>
          </cell>
        </row>
        <row r="3111">
          <cell r="F3111" t="str">
            <v xml:space="preserve">805005148      </v>
          </cell>
          <cell r="O3111">
            <v>18</v>
          </cell>
        </row>
        <row r="3112">
          <cell r="F3112" t="str">
            <v xml:space="preserve">805005148      </v>
          </cell>
          <cell r="O3112">
            <v>2556</v>
          </cell>
        </row>
        <row r="3113">
          <cell r="F3113" t="str">
            <v xml:space="preserve">805005148      </v>
          </cell>
          <cell r="O3113">
            <v>270</v>
          </cell>
        </row>
        <row r="3114">
          <cell r="F3114" t="str">
            <v xml:space="preserve">901215210      </v>
          </cell>
          <cell r="O3114">
            <v>75</v>
          </cell>
        </row>
        <row r="3115">
          <cell r="F3115" t="str">
            <v xml:space="preserve">805023628      </v>
          </cell>
          <cell r="O3115">
            <v>90</v>
          </cell>
        </row>
        <row r="3116">
          <cell r="F3116" t="str">
            <v xml:space="preserve">88275315       </v>
          </cell>
          <cell r="O3116">
            <v>13.5</v>
          </cell>
        </row>
        <row r="3117">
          <cell r="F3117" t="str">
            <v xml:space="preserve">88275315       </v>
          </cell>
          <cell r="O3117">
            <v>54</v>
          </cell>
        </row>
        <row r="3118">
          <cell r="F3118" t="str">
            <v xml:space="preserve">88275315       </v>
          </cell>
          <cell r="O3118">
            <v>45</v>
          </cell>
        </row>
        <row r="3119">
          <cell r="F3119" t="str">
            <v xml:space="preserve">88275315       </v>
          </cell>
          <cell r="O3119">
            <v>1818</v>
          </cell>
        </row>
        <row r="3120">
          <cell r="F3120" t="str">
            <v xml:space="preserve">88275315       </v>
          </cell>
          <cell r="O3120">
            <v>180</v>
          </cell>
        </row>
        <row r="3121">
          <cell r="F3121" t="str">
            <v xml:space="preserve">88275315       </v>
          </cell>
          <cell r="O3121">
            <v>108</v>
          </cell>
        </row>
        <row r="3122">
          <cell r="F3122" t="str">
            <v xml:space="preserve">94464104       </v>
          </cell>
          <cell r="O3122">
            <v>4.5</v>
          </cell>
        </row>
        <row r="3123">
          <cell r="F3123" t="str">
            <v xml:space="preserve">94464104       </v>
          </cell>
          <cell r="O3123">
            <v>54</v>
          </cell>
        </row>
        <row r="3124">
          <cell r="F3124" t="str">
            <v xml:space="preserve">94464104       </v>
          </cell>
          <cell r="O3124">
            <v>120</v>
          </cell>
        </row>
        <row r="3125">
          <cell r="F3125" t="str">
            <v xml:space="preserve">94464104       </v>
          </cell>
          <cell r="O3125">
            <v>882</v>
          </cell>
        </row>
        <row r="3126">
          <cell r="F3126" t="str">
            <v xml:space="preserve">94464104       </v>
          </cell>
          <cell r="O3126">
            <v>585</v>
          </cell>
        </row>
        <row r="3127">
          <cell r="F3127" t="str">
            <v xml:space="preserve">16458005       </v>
          </cell>
          <cell r="O3127">
            <v>4.5</v>
          </cell>
        </row>
        <row r="3128">
          <cell r="F3128" t="str">
            <v xml:space="preserve">16458005       </v>
          </cell>
          <cell r="O3128">
            <v>180</v>
          </cell>
        </row>
        <row r="3129">
          <cell r="F3129" t="str">
            <v xml:space="preserve">16669313       </v>
          </cell>
          <cell r="O3129">
            <v>4.5</v>
          </cell>
        </row>
        <row r="3130">
          <cell r="F3130" t="str">
            <v xml:space="preserve">16669313       </v>
          </cell>
          <cell r="O3130">
            <v>720</v>
          </cell>
        </row>
        <row r="3131">
          <cell r="F3131" t="str">
            <v xml:space="preserve">16669313       </v>
          </cell>
          <cell r="O3131">
            <v>360</v>
          </cell>
        </row>
        <row r="3132">
          <cell r="F3132" t="str">
            <v xml:space="preserve">16669313       </v>
          </cell>
          <cell r="O3132">
            <v>4.5</v>
          </cell>
        </row>
        <row r="3133">
          <cell r="F3133" t="str">
            <v xml:space="preserve">16669313       </v>
          </cell>
          <cell r="O3133">
            <v>60</v>
          </cell>
        </row>
        <row r="3134">
          <cell r="F3134" t="str">
            <v xml:space="preserve">16669313       </v>
          </cell>
          <cell r="O3134">
            <v>1008</v>
          </cell>
        </row>
        <row r="3135">
          <cell r="F3135" t="str">
            <v xml:space="preserve">16669313       </v>
          </cell>
          <cell r="O3135">
            <v>180</v>
          </cell>
        </row>
        <row r="3136">
          <cell r="F3136" t="str">
            <v xml:space="preserve">900034686      </v>
          </cell>
          <cell r="O3136">
            <v>36</v>
          </cell>
        </row>
        <row r="3137">
          <cell r="F3137" t="str">
            <v xml:space="preserve">900034686      </v>
          </cell>
          <cell r="O3137">
            <v>90</v>
          </cell>
        </row>
        <row r="3138">
          <cell r="F3138" t="str">
            <v xml:space="preserve">900034686      </v>
          </cell>
          <cell r="O3138">
            <v>36</v>
          </cell>
        </row>
        <row r="3139">
          <cell r="F3139" t="str">
            <v xml:space="preserve">900034686      </v>
          </cell>
          <cell r="O3139">
            <v>45</v>
          </cell>
        </row>
        <row r="3140">
          <cell r="F3140" t="str">
            <v xml:space="preserve">900034686      </v>
          </cell>
          <cell r="O3140">
            <v>36</v>
          </cell>
        </row>
        <row r="3141">
          <cell r="F3141" t="str">
            <v xml:space="preserve">900034686      </v>
          </cell>
          <cell r="O3141">
            <v>90</v>
          </cell>
        </row>
        <row r="3142">
          <cell r="F3142" t="str">
            <v xml:space="preserve">900034686      </v>
          </cell>
          <cell r="O3142">
            <v>72</v>
          </cell>
        </row>
        <row r="3143">
          <cell r="F3143" t="str">
            <v xml:space="preserve">900034686      </v>
          </cell>
          <cell r="O3143">
            <v>45</v>
          </cell>
        </row>
        <row r="3144">
          <cell r="F3144" t="str">
            <v xml:space="preserve">900034686      </v>
          </cell>
          <cell r="O3144">
            <v>18</v>
          </cell>
        </row>
        <row r="3145">
          <cell r="F3145" t="str">
            <v xml:space="preserve">900034686      </v>
          </cell>
          <cell r="O3145">
            <v>90</v>
          </cell>
        </row>
        <row r="3146">
          <cell r="F3146" t="str">
            <v xml:space="preserve">75074760       </v>
          </cell>
          <cell r="O3146">
            <v>18</v>
          </cell>
        </row>
        <row r="3147">
          <cell r="F3147" t="str">
            <v xml:space="preserve">75074760       </v>
          </cell>
          <cell r="O3147">
            <v>225</v>
          </cell>
        </row>
        <row r="3148">
          <cell r="F3148" t="str">
            <v xml:space="preserve">75074760       </v>
          </cell>
          <cell r="O3148">
            <v>54</v>
          </cell>
        </row>
        <row r="3149">
          <cell r="F3149" t="str">
            <v xml:space="preserve">75074760       </v>
          </cell>
          <cell r="O3149">
            <v>45</v>
          </cell>
        </row>
        <row r="3150">
          <cell r="F3150" t="str">
            <v xml:space="preserve">75099432       </v>
          </cell>
          <cell r="O3150">
            <v>600</v>
          </cell>
        </row>
        <row r="3151">
          <cell r="F3151" t="str">
            <v xml:space="preserve">75099432       </v>
          </cell>
          <cell r="O3151">
            <v>90</v>
          </cell>
        </row>
        <row r="3152">
          <cell r="F3152" t="str">
            <v xml:space="preserve">75099432       </v>
          </cell>
          <cell r="O3152">
            <v>180</v>
          </cell>
        </row>
        <row r="3153">
          <cell r="F3153" t="str">
            <v xml:space="preserve">9696643        </v>
          </cell>
          <cell r="O3153">
            <v>1800</v>
          </cell>
        </row>
        <row r="3154">
          <cell r="F3154" t="str">
            <v xml:space="preserve">9696643        </v>
          </cell>
          <cell r="O3154">
            <v>900</v>
          </cell>
        </row>
        <row r="3155">
          <cell r="F3155" t="str">
            <v xml:space="preserve">9696643        </v>
          </cell>
          <cell r="O3155">
            <v>810</v>
          </cell>
        </row>
        <row r="3156">
          <cell r="F3156" t="str">
            <v xml:space="preserve">10237057       </v>
          </cell>
          <cell r="O3156">
            <v>15</v>
          </cell>
        </row>
        <row r="3157">
          <cell r="F3157" t="str">
            <v xml:space="preserve">10237057       </v>
          </cell>
          <cell r="O3157">
            <v>54</v>
          </cell>
        </row>
        <row r="3158">
          <cell r="F3158" t="str">
            <v xml:space="preserve">10237057       </v>
          </cell>
          <cell r="O3158">
            <v>90</v>
          </cell>
        </row>
        <row r="3159">
          <cell r="F3159" t="str">
            <v xml:space="preserve">10237057       </v>
          </cell>
          <cell r="O3159">
            <v>15</v>
          </cell>
        </row>
        <row r="3160">
          <cell r="F3160" t="str">
            <v xml:space="preserve">901555731      </v>
          </cell>
          <cell r="O3160">
            <v>36</v>
          </cell>
        </row>
        <row r="3161">
          <cell r="F3161" t="str">
            <v xml:space="preserve">901555731      </v>
          </cell>
          <cell r="O3161">
            <v>135</v>
          </cell>
        </row>
        <row r="3162">
          <cell r="F3162" t="str">
            <v xml:space="preserve">94406762       </v>
          </cell>
          <cell r="O3162">
            <v>2475</v>
          </cell>
        </row>
        <row r="3163">
          <cell r="F3163" t="str">
            <v xml:space="preserve">94406762       </v>
          </cell>
          <cell r="O3163">
            <v>36</v>
          </cell>
        </row>
        <row r="3164">
          <cell r="F3164" t="str">
            <v xml:space="preserve">94406762       </v>
          </cell>
          <cell r="O3164">
            <v>180</v>
          </cell>
        </row>
        <row r="3165">
          <cell r="F3165" t="str">
            <v xml:space="preserve">6157942        </v>
          </cell>
          <cell r="O3165">
            <v>555</v>
          </cell>
        </row>
        <row r="3166">
          <cell r="F3166" t="str">
            <v xml:space="preserve">6157942        </v>
          </cell>
          <cell r="O3166">
            <v>18</v>
          </cell>
        </row>
        <row r="3167">
          <cell r="F3167" t="str">
            <v xml:space="preserve">6157942        </v>
          </cell>
          <cell r="O3167">
            <v>45</v>
          </cell>
        </row>
        <row r="3168">
          <cell r="F3168" t="str">
            <v xml:space="preserve">1111745154     </v>
          </cell>
          <cell r="O3168">
            <v>270</v>
          </cell>
        </row>
        <row r="3169">
          <cell r="F3169" t="str">
            <v xml:space="preserve">71734502       </v>
          </cell>
          <cell r="O3169">
            <v>165</v>
          </cell>
        </row>
        <row r="3170">
          <cell r="F3170" t="str">
            <v xml:space="preserve">71734502       </v>
          </cell>
          <cell r="O3170">
            <v>135</v>
          </cell>
        </row>
        <row r="3171">
          <cell r="F3171" t="str">
            <v xml:space="preserve">16479359       </v>
          </cell>
          <cell r="O3171">
            <v>225</v>
          </cell>
        </row>
        <row r="3172">
          <cell r="F3172" t="str">
            <v xml:space="preserve">16479359       </v>
          </cell>
          <cell r="O3172">
            <v>90</v>
          </cell>
        </row>
        <row r="3173">
          <cell r="F3173" t="str">
            <v xml:space="preserve">16214926       </v>
          </cell>
          <cell r="O3173">
            <v>225</v>
          </cell>
        </row>
        <row r="3174">
          <cell r="F3174" t="str">
            <v xml:space="preserve">16214926       </v>
          </cell>
          <cell r="O3174">
            <v>315</v>
          </cell>
        </row>
        <row r="3175">
          <cell r="F3175" t="str">
            <v xml:space="preserve">29233836       </v>
          </cell>
          <cell r="O3175">
            <v>135</v>
          </cell>
        </row>
        <row r="3176">
          <cell r="F3176" t="str">
            <v xml:space="preserve">29233836       </v>
          </cell>
          <cell r="O3176">
            <v>390</v>
          </cell>
        </row>
        <row r="3177">
          <cell r="F3177" t="str">
            <v xml:space="preserve">29233836       </v>
          </cell>
          <cell r="O3177">
            <v>180</v>
          </cell>
        </row>
        <row r="3178">
          <cell r="F3178" t="str">
            <v xml:space="preserve">29233836       </v>
          </cell>
          <cell r="O3178">
            <v>45</v>
          </cell>
        </row>
        <row r="3179">
          <cell r="F3179" t="str">
            <v xml:space="preserve">10007888       </v>
          </cell>
          <cell r="O3179">
            <v>120</v>
          </cell>
        </row>
        <row r="3180">
          <cell r="F3180" t="str">
            <v xml:space="preserve">10007888       </v>
          </cell>
          <cell r="O3180">
            <v>72</v>
          </cell>
        </row>
        <row r="3181">
          <cell r="F3181" t="str">
            <v xml:space="preserve">1088256267     </v>
          </cell>
          <cell r="O3181">
            <v>90</v>
          </cell>
        </row>
        <row r="3182">
          <cell r="F3182" t="str">
            <v xml:space="preserve">1088256267     </v>
          </cell>
          <cell r="O3182">
            <v>90</v>
          </cell>
        </row>
        <row r="3183">
          <cell r="F3183" t="str">
            <v xml:space="preserve">1088256267     </v>
          </cell>
          <cell r="O3183">
            <v>135</v>
          </cell>
        </row>
        <row r="3184">
          <cell r="F3184" t="str">
            <v xml:space="preserve">1088256267     </v>
          </cell>
          <cell r="O3184">
            <v>330</v>
          </cell>
        </row>
        <row r="3185">
          <cell r="F3185" t="str">
            <v xml:space="preserve">1088256267     </v>
          </cell>
          <cell r="O3185">
            <v>345</v>
          </cell>
        </row>
        <row r="3186">
          <cell r="F3186" t="str">
            <v xml:space="preserve">1088256267     </v>
          </cell>
          <cell r="O3186">
            <v>162</v>
          </cell>
        </row>
        <row r="3187">
          <cell r="F3187" t="str">
            <v xml:space="preserve">1088256267     </v>
          </cell>
          <cell r="O3187">
            <v>135</v>
          </cell>
        </row>
        <row r="3188">
          <cell r="F3188" t="str">
            <v xml:space="preserve">66676270       </v>
          </cell>
          <cell r="O3188">
            <v>150</v>
          </cell>
        </row>
        <row r="3189">
          <cell r="F3189" t="str">
            <v xml:space="preserve">66676270       </v>
          </cell>
          <cell r="O3189">
            <v>270</v>
          </cell>
        </row>
        <row r="3190">
          <cell r="F3190" t="str">
            <v xml:space="preserve">66676270       </v>
          </cell>
          <cell r="O3190">
            <v>63</v>
          </cell>
        </row>
        <row r="3191">
          <cell r="F3191" t="str">
            <v xml:space="preserve">66676270       </v>
          </cell>
          <cell r="O3191">
            <v>135</v>
          </cell>
        </row>
        <row r="3192">
          <cell r="F3192" t="str">
            <v xml:space="preserve">66676270       </v>
          </cell>
          <cell r="O3192">
            <v>180</v>
          </cell>
        </row>
        <row r="3193">
          <cell r="F3193" t="str">
            <v xml:space="preserve">94228120       </v>
          </cell>
          <cell r="O3193">
            <v>126</v>
          </cell>
        </row>
        <row r="3194">
          <cell r="F3194" t="str">
            <v xml:space="preserve">94228120       </v>
          </cell>
          <cell r="O3194">
            <v>60</v>
          </cell>
        </row>
        <row r="3195">
          <cell r="F3195" t="str">
            <v xml:space="preserve">94228120       </v>
          </cell>
          <cell r="O3195">
            <v>630</v>
          </cell>
        </row>
        <row r="3196">
          <cell r="F3196" t="str">
            <v xml:space="preserve">94228120       </v>
          </cell>
          <cell r="O3196">
            <v>90</v>
          </cell>
        </row>
        <row r="3197">
          <cell r="F3197" t="str">
            <v xml:space="preserve">94228120       </v>
          </cell>
          <cell r="O3197">
            <v>15</v>
          </cell>
        </row>
        <row r="3198">
          <cell r="F3198" t="str">
            <v xml:space="preserve">94228120       </v>
          </cell>
          <cell r="O3198">
            <v>135</v>
          </cell>
        </row>
        <row r="3199">
          <cell r="F3199" t="str">
            <v xml:space="preserve">94228120       </v>
          </cell>
          <cell r="O3199">
            <v>135</v>
          </cell>
        </row>
        <row r="3200">
          <cell r="F3200" t="str">
            <v xml:space="preserve">94228120       </v>
          </cell>
          <cell r="O3200">
            <v>396</v>
          </cell>
        </row>
        <row r="3201">
          <cell r="F3201" t="str">
            <v xml:space="preserve">94228120       </v>
          </cell>
          <cell r="O3201">
            <v>90</v>
          </cell>
        </row>
        <row r="3202">
          <cell r="F3202" t="str">
            <v xml:space="preserve">18531114       </v>
          </cell>
          <cell r="O3202">
            <v>360</v>
          </cell>
        </row>
        <row r="3203">
          <cell r="F3203" t="str">
            <v xml:space="preserve">18531114       </v>
          </cell>
          <cell r="O3203">
            <v>306</v>
          </cell>
        </row>
        <row r="3204">
          <cell r="F3204" t="str">
            <v xml:space="preserve">18531114       </v>
          </cell>
          <cell r="O3204">
            <v>45</v>
          </cell>
        </row>
        <row r="3205">
          <cell r="F3205" t="str">
            <v xml:space="preserve">15896671       </v>
          </cell>
          <cell r="O3205">
            <v>450</v>
          </cell>
        </row>
        <row r="3206">
          <cell r="F3206" t="str">
            <v xml:space="preserve">15896671       </v>
          </cell>
          <cell r="O3206">
            <v>180</v>
          </cell>
        </row>
        <row r="3207">
          <cell r="F3207" t="str">
            <v xml:space="preserve">15896671       </v>
          </cell>
          <cell r="O3207">
            <v>45</v>
          </cell>
        </row>
        <row r="3208">
          <cell r="F3208" t="str">
            <v xml:space="preserve">15896671       </v>
          </cell>
          <cell r="O3208">
            <v>4.5</v>
          </cell>
        </row>
        <row r="3209">
          <cell r="F3209" t="str">
            <v xml:space="preserve">15896671       </v>
          </cell>
          <cell r="O3209">
            <v>9</v>
          </cell>
        </row>
        <row r="3210">
          <cell r="F3210" t="str">
            <v xml:space="preserve">15896671       </v>
          </cell>
          <cell r="O3210">
            <v>450</v>
          </cell>
        </row>
        <row r="3211">
          <cell r="F3211" t="str">
            <v xml:space="preserve">66679645       </v>
          </cell>
          <cell r="O3211">
            <v>54</v>
          </cell>
        </row>
        <row r="3212">
          <cell r="F3212" t="str">
            <v xml:space="preserve">66679645       </v>
          </cell>
          <cell r="O3212">
            <v>126</v>
          </cell>
        </row>
        <row r="3213">
          <cell r="F3213" t="str">
            <v xml:space="preserve">66679645       </v>
          </cell>
          <cell r="O3213">
            <v>75</v>
          </cell>
        </row>
        <row r="3214">
          <cell r="F3214" t="str">
            <v xml:space="preserve">16225682       </v>
          </cell>
          <cell r="O3214">
            <v>450</v>
          </cell>
        </row>
        <row r="3215">
          <cell r="F3215" t="str">
            <v xml:space="preserve">16225682       </v>
          </cell>
          <cell r="O3215">
            <v>36</v>
          </cell>
        </row>
        <row r="3216">
          <cell r="F3216" t="str">
            <v xml:space="preserve">16225682       </v>
          </cell>
          <cell r="O3216">
            <v>45</v>
          </cell>
        </row>
        <row r="3217">
          <cell r="F3217" t="str">
            <v xml:space="preserve">10144092       </v>
          </cell>
          <cell r="O3217">
            <v>375</v>
          </cell>
        </row>
        <row r="3218">
          <cell r="F3218" t="str">
            <v xml:space="preserve">10144092       </v>
          </cell>
          <cell r="O3218">
            <v>54</v>
          </cell>
        </row>
        <row r="3219">
          <cell r="F3219" t="str">
            <v xml:space="preserve">10144092       </v>
          </cell>
          <cell r="O3219">
            <v>18</v>
          </cell>
        </row>
        <row r="3220">
          <cell r="F3220" t="str">
            <v xml:space="preserve">10144092       </v>
          </cell>
          <cell r="O3220">
            <v>255</v>
          </cell>
        </row>
        <row r="3221">
          <cell r="F3221" t="str">
            <v xml:space="preserve">10144092       </v>
          </cell>
          <cell r="O3221">
            <v>180</v>
          </cell>
        </row>
        <row r="3222">
          <cell r="F3222" t="str">
            <v xml:space="preserve">24835836       </v>
          </cell>
          <cell r="O3222">
            <v>270</v>
          </cell>
        </row>
        <row r="3223">
          <cell r="F3223" t="str">
            <v xml:space="preserve">24835836       </v>
          </cell>
          <cell r="O3223">
            <v>18</v>
          </cell>
        </row>
        <row r="3224">
          <cell r="F3224" t="str">
            <v xml:space="preserve">16225675       </v>
          </cell>
          <cell r="O3224">
            <v>9</v>
          </cell>
        </row>
        <row r="3225">
          <cell r="F3225" t="str">
            <v xml:space="preserve">16225675       </v>
          </cell>
          <cell r="O3225">
            <v>240</v>
          </cell>
        </row>
        <row r="3226">
          <cell r="F3226" t="str">
            <v xml:space="preserve">16225675       </v>
          </cell>
          <cell r="O3226">
            <v>144</v>
          </cell>
        </row>
        <row r="3227">
          <cell r="F3227" t="str">
            <v xml:space="preserve">16225675       </v>
          </cell>
          <cell r="O3227">
            <v>45</v>
          </cell>
        </row>
        <row r="3228">
          <cell r="F3228" t="str">
            <v xml:space="preserve">16225675       </v>
          </cell>
          <cell r="O3228">
            <v>18</v>
          </cell>
        </row>
        <row r="3229">
          <cell r="F3229" t="str">
            <v xml:space="preserve">16225675       </v>
          </cell>
          <cell r="O3229">
            <v>90</v>
          </cell>
        </row>
        <row r="3230">
          <cell r="F3230" t="str">
            <v xml:space="preserve">16225675       </v>
          </cell>
          <cell r="O3230">
            <v>126</v>
          </cell>
        </row>
        <row r="3231">
          <cell r="F3231" t="str">
            <v xml:space="preserve">16225675       </v>
          </cell>
          <cell r="O3231">
            <v>360</v>
          </cell>
        </row>
        <row r="3232">
          <cell r="F3232" t="str">
            <v xml:space="preserve">16225675       </v>
          </cell>
          <cell r="O3232">
            <v>18</v>
          </cell>
        </row>
        <row r="3233">
          <cell r="F3233" t="str">
            <v xml:space="preserve">16225675       </v>
          </cell>
          <cell r="O3233">
            <v>270</v>
          </cell>
        </row>
        <row r="3234">
          <cell r="F3234" t="str">
            <v xml:space="preserve">16225675       </v>
          </cell>
          <cell r="O3234">
            <v>144</v>
          </cell>
        </row>
        <row r="3235">
          <cell r="F3235" t="str">
            <v xml:space="preserve">16225675       </v>
          </cell>
          <cell r="O3235">
            <v>9</v>
          </cell>
        </row>
        <row r="3236">
          <cell r="F3236" t="str">
            <v xml:space="preserve">16225675       </v>
          </cell>
          <cell r="O3236">
            <v>210</v>
          </cell>
        </row>
        <row r="3237">
          <cell r="F3237" t="str">
            <v xml:space="preserve">16225675       </v>
          </cell>
          <cell r="O3237">
            <v>15</v>
          </cell>
        </row>
        <row r="3238">
          <cell r="F3238" t="str">
            <v xml:space="preserve">16225675       </v>
          </cell>
          <cell r="O3238">
            <v>162</v>
          </cell>
        </row>
        <row r="3239">
          <cell r="F3239" t="str">
            <v xml:space="preserve">18596221       </v>
          </cell>
          <cell r="O3239">
            <v>210</v>
          </cell>
        </row>
        <row r="3240">
          <cell r="F3240" t="str">
            <v xml:space="preserve">18596221       </v>
          </cell>
          <cell r="O3240">
            <v>36</v>
          </cell>
        </row>
        <row r="3241">
          <cell r="F3241" t="str">
            <v xml:space="preserve">18596221       </v>
          </cell>
          <cell r="O3241">
            <v>210</v>
          </cell>
        </row>
        <row r="3242">
          <cell r="F3242" t="str">
            <v xml:space="preserve">18596221       </v>
          </cell>
          <cell r="O3242">
            <v>18</v>
          </cell>
        </row>
        <row r="3243">
          <cell r="F3243" t="str">
            <v xml:space="preserve">805005148      </v>
          </cell>
          <cell r="O3243">
            <v>1728</v>
          </cell>
        </row>
        <row r="3244">
          <cell r="F3244" t="str">
            <v xml:space="preserve">805005148      </v>
          </cell>
          <cell r="O3244">
            <v>225</v>
          </cell>
        </row>
        <row r="3245">
          <cell r="F3245" t="str">
            <v xml:space="preserve">76336108       </v>
          </cell>
          <cell r="O3245">
            <v>30</v>
          </cell>
        </row>
        <row r="3246">
          <cell r="F3246" t="str">
            <v xml:space="preserve">76336108       </v>
          </cell>
          <cell r="O3246">
            <v>306</v>
          </cell>
        </row>
        <row r="3247">
          <cell r="F3247" t="str">
            <v xml:space="preserve">76336108       </v>
          </cell>
          <cell r="O3247">
            <v>45</v>
          </cell>
        </row>
        <row r="3248">
          <cell r="F3248" t="str">
            <v xml:space="preserve">76323227       </v>
          </cell>
          <cell r="O3248">
            <v>3816</v>
          </cell>
        </row>
        <row r="3249">
          <cell r="F3249" t="str">
            <v xml:space="preserve">76323227       </v>
          </cell>
          <cell r="O3249">
            <v>90</v>
          </cell>
        </row>
        <row r="3250">
          <cell r="F3250" t="str">
            <v xml:space="preserve">76323227       </v>
          </cell>
          <cell r="O3250">
            <v>45</v>
          </cell>
        </row>
        <row r="3251">
          <cell r="F3251" t="str">
            <v xml:space="preserve">76323227       </v>
          </cell>
          <cell r="O3251">
            <v>1044</v>
          </cell>
        </row>
        <row r="3252">
          <cell r="F3252" t="str">
            <v xml:space="preserve">76323227       </v>
          </cell>
          <cell r="O3252">
            <v>1305</v>
          </cell>
        </row>
        <row r="3253">
          <cell r="F3253" t="str">
            <v xml:space="preserve">10532222       </v>
          </cell>
          <cell r="O3253">
            <v>90</v>
          </cell>
        </row>
        <row r="3254">
          <cell r="F3254" t="str">
            <v xml:space="preserve">10532222       </v>
          </cell>
          <cell r="O3254">
            <v>90</v>
          </cell>
        </row>
        <row r="3255">
          <cell r="F3255" t="str">
            <v xml:space="preserve">12168724       </v>
          </cell>
          <cell r="O3255">
            <v>720</v>
          </cell>
        </row>
        <row r="3256">
          <cell r="F3256" t="str">
            <v xml:space="preserve">12168724       </v>
          </cell>
          <cell r="O3256">
            <v>45</v>
          </cell>
        </row>
        <row r="3257">
          <cell r="F3257" t="str">
            <v xml:space="preserve">12168724       </v>
          </cell>
          <cell r="O3257">
            <v>360</v>
          </cell>
        </row>
        <row r="3258">
          <cell r="F3258" t="str">
            <v xml:space="preserve">10755493       </v>
          </cell>
          <cell r="O3258">
            <v>558</v>
          </cell>
        </row>
        <row r="3259">
          <cell r="F3259" t="str">
            <v xml:space="preserve">10292388       </v>
          </cell>
          <cell r="O3259">
            <v>252</v>
          </cell>
        </row>
        <row r="3260">
          <cell r="F3260" t="str">
            <v xml:space="preserve">10292388       </v>
          </cell>
          <cell r="O3260">
            <v>90</v>
          </cell>
        </row>
        <row r="3261">
          <cell r="F3261" t="str">
            <v xml:space="preserve">76331539       </v>
          </cell>
          <cell r="O3261">
            <v>90</v>
          </cell>
        </row>
        <row r="3262">
          <cell r="F3262" t="str">
            <v xml:space="preserve">76331539       </v>
          </cell>
          <cell r="O3262">
            <v>180</v>
          </cell>
        </row>
        <row r="3263">
          <cell r="F3263" t="str">
            <v xml:space="preserve">76331539       </v>
          </cell>
          <cell r="O3263">
            <v>30</v>
          </cell>
        </row>
        <row r="3264">
          <cell r="F3264" t="str">
            <v xml:space="preserve">76331539       </v>
          </cell>
          <cell r="O3264">
            <v>1188</v>
          </cell>
        </row>
        <row r="3265">
          <cell r="F3265" t="str">
            <v xml:space="preserve">76331539       </v>
          </cell>
          <cell r="O3265">
            <v>135</v>
          </cell>
        </row>
        <row r="3266">
          <cell r="F3266" t="str">
            <v xml:space="preserve">18389245       </v>
          </cell>
          <cell r="O3266">
            <v>105</v>
          </cell>
        </row>
        <row r="3267">
          <cell r="F3267" t="str">
            <v xml:space="preserve">18389245       </v>
          </cell>
          <cell r="O3267">
            <v>54</v>
          </cell>
        </row>
        <row r="3268">
          <cell r="F3268" t="str">
            <v xml:space="preserve">18416624       </v>
          </cell>
          <cell r="O3268">
            <v>9</v>
          </cell>
        </row>
        <row r="3269">
          <cell r="F3269" t="str">
            <v xml:space="preserve">18416624       </v>
          </cell>
          <cell r="O3269">
            <v>60</v>
          </cell>
        </row>
        <row r="3270">
          <cell r="F3270" t="str">
            <v xml:space="preserve">18416624       </v>
          </cell>
          <cell r="O3270">
            <v>108</v>
          </cell>
        </row>
        <row r="3271">
          <cell r="F3271" t="str">
            <v xml:space="preserve">18416624       </v>
          </cell>
          <cell r="O3271">
            <v>135</v>
          </cell>
        </row>
        <row r="3272">
          <cell r="F3272" t="str">
            <v xml:space="preserve">4613715        </v>
          </cell>
          <cell r="O3272">
            <v>18</v>
          </cell>
        </row>
        <row r="3273">
          <cell r="F3273" t="str">
            <v xml:space="preserve">4613715        </v>
          </cell>
          <cell r="O3273">
            <v>225</v>
          </cell>
        </row>
        <row r="3274">
          <cell r="F3274" t="str">
            <v xml:space="preserve">4613715        </v>
          </cell>
          <cell r="O3274">
            <v>342</v>
          </cell>
        </row>
        <row r="3275">
          <cell r="F3275" t="str">
            <v xml:space="preserve">4613715        </v>
          </cell>
          <cell r="O3275">
            <v>90</v>
          </cell>
        </row>
        <row r="3276">
          <cell r="F3276" t="str">
            <v xml:space="preserve">18415903       </v>
          </cell>
          <cell r="O3276">
            <v>150</v>
          </cell>
        </row>
        <row r="3277">
          <cell r="F3277" t="str">
            <v xml:space="preserve">18415903       </v>
          </cell>
          <cell r="O3277">
            <v>180</v>
          </cell>
        </row>
        <row r="3278">
          <cell r="F3278" t="str">
            <v xml:space="preserve">18415903       </v>
          </cell>
          <cell r="O3278">
            <v>180</v>
          </cell>
        </row>
        <row r="3279">
          <cell r="F3279" t="str">
            <v xml:space="preserve">805005148      </v>
          </cell>
          <cell r="O3279">
            <v>144</v>
          </cell>
        </row>
        <row r="3280">
          <cell r="F3280" t="str">
            <v xml:space="preserve">805005148      </v>
          </cell>
          <cell r="O3280">
            <v>2520</v>
          </cell>
        </row>
        <row r="3281">
          <cell r="F3281" t="str">
            <v xml:space="preserve">805005148      </v>
          </cell>
          <cell r="O3281">
            <v>270</v>
          </cell>
        </row>
        <row r="3282">
          <cell r="F3282" t="str">
            <v xml:space="preserve">10488839       </v>
          </cell>
          <cell r="O3282">
            <v>30</v>
          </cell>
        </row>
        <row r="3283">
          <cell r="F3283" t="str">
            <v xml:space="preserve">10488839       </v>
          </cell>
          <cell r="O3283">
            <v>45</v>
          </cell>
        </row>
        <row r="3284">
          <cell r="F3284" t="str">
            <v xml:space="preserve">10488839       </v>
          </cell>
          <cell r="O3284">
            <v>900</v>
          </cell>
        </row>
        <row r="3285">
          <cell r="F3285" t="str">
            <v xml:space="preserve">16843578       </v>
          </cell>
          <cell r="O3285">
            <v>900</v>
          </cell>
        </row>
        <row r="3286">
          <cell r="F3286" t="str">
            <v xml:space="preserve">900034686      </v>
          </cell>
          <cell r="O3286">
            <v>180</v>
          </cell>
        </row>
        <row r="3287">
          <cell r="F3287" t="str">
            <v xml:space="preserve">16849293       </v>
          </cell>
          <cell r="O3287">
            <v>15</v>
          </cell>
        </row>
        <row r="3288">
          <cell r="F3288" t="str">
            <v xml:space="preserve">16849293       </v>
          </cell>
          <cell r="O3288">
            <v>108</v>
          </cell>
        </row>
        <row r="3289">
          <cell r="F3289" t="str">
            <v xml:space="preserve">16849293       </v>
          </cell>
          <cell r="O3289">
            <v>90</v>
          </cell>
        </row>
        <row r="3290">
          <cell r="F3290" t="str">
            <v xml:space="preserve">6009148        </v>
          </cell>
          <cell r="O3290">
            <v>378</v>
          </cell>
        </row>
        <row r="3291">
          <cell r="F3291" t="str">
            <v xml:space="preserve">6009148        </v>
          </cell>
          <cell r="O3291">
            <v>90</v>
          </cell>
        </row>
        <row r="3292">
          <cell r="F3292" t="str">
            <v xml:space="preserve">14229215       </v>
          </cell>
          <cell r="O3292">
            <v>288</v>
          </cell>
        </row>
        <row r="3293">
          <cell r="F3293" t="str">
            <v xml:space="preserve">14229215       </v>
          </cell>
          <cell r="O3293">
            <v>45</v>
          </cell>
        </row>
        <row r="3294">
          <cell r="F3294" t="str">
            <v xml:space="preserve">79736632       </v>
          </cell>
          <cell r="O3294">
            <v>756</v>
          </cell>
        </row>
        <row r="3295">
          <cell r="F3295" t="str">
            <v xml:space="preserve">79736632       </v>
          </cell>
          <cell r="O3295">
            <v>225</v>
          </cell>
        </row>
        <row r="3296">
          <cell r="F3296" t="str">
            <v xml:space="preserve">26050336       </v>
          </cell>
          <cell r="O3296">
            <v>216</v>
          </cell>
        </row>
        <row r="3297">
          <cell r="F3297" t="str">
            <v xml:space="preserve">26050336       </v>
          </cell>
          <cell r="O3297">
            <v>36</v>
          </cell>
        </row>
        <row r="3298">
          <cell r="F3298" t="str">
            <v xml:space="preserve">26050336       </v>
          </cell>
          <cell r="O3298">
            <v>45</v>
          </cell>
        </row>
        <row r="3299">
          <cell r="F3299" t="str">
            <v xml:space="preserve">830001241      </v>
          </cell>
          <cell r="O3299">
            <v>270</v>
          </cell>
        </row>
        <row r="3300">
          <cell r="F3300" t="str">
            <v xml:space="preserve">80397293       </v>
          </cell>
          <cell r="O3300">
            <v>9</v>
          </cell>
        </row>
        <row r="3301">
          <cell r="F3301" t="str">
            <v xml:space="preserve">80397293       </v>
          </cell>
          <cell r="O3301">
            <v>75</v>
          </cell>
        </row>
        <row r="3302">
          <cell r="F3302" t="str">
            <v xml:space="preserve">80397293       </v>
          </cell>
          <cell r="O3302">
            <v>180</v>
          </cell>
        </row>
        <row r="3303">
          <cell r="F3303" t="str">
            <v xml:space="preserve">80397293       </v>
          </cell>
          <cell r="O3303">
            <v>270</v>
          </cell>
        </row>
        <row r="3304">
          <cell r="F3304" t="str">
            <v xml:space="preserve">91360601       </v>
          </cell>
          <cell r="O3304">
            <v>165</v>
          </cell>
        </row>
        <row r="3305">
          <cell r="F3305" t="str">
            <v xml:space="preserve">91360601       </v>
          </cell>
          <cell r="O3305">
            <v>1782</v>
          </cell>
        </row>
        <row r="3306">
          <cell r="F3306" t="str">
            <v xml:space="preserve">91360601       </v>
          </cell>
          <cell r="O3306">
            <v>405</v>
          </cell>
        </row>
        <row r="3307">
          <cell r="F3307" t="str">
            <v xml:space="preserve">79824837       </v>
          </cell>
          <cell r="O3307">
            <v>105</v>
          </cell>
        </row>
        <row r="3308">
          <cell r="F3308" t="str">
            <v xml:space="preserve">79824837       </v>
          </cell>
          <cell r="O3308">
            <v>1584</v>
          </cell>
        </row>
        <row r="3309">
          <cell r="F3309" t="str">
            <v xml:space="preserve">79824837       </v>
          </cell>
          <cell r="O3309">
            <v>495</v>
          </cell>
        </row>
        <row r="3310">
          <cell r="F3310" t="str">
            <v xml:space="preserve">811037915      </v>
          </cell>
          <cell r="O3310">
            <v>15</v>
          </cell>
        </row>
        <row r="3311">
          <cell r="F3311" t="str">
            <v xml:space="preserve">811037915      </v>
          </cell>
          <cell r="O3311">
            <v>18</v>
          </cell>
        </row>
        <row r="3312">
          <cell r="F3312" t="str">
            <v xml:space="preserve">1074130475     </v>
          </cell>
          <cell r="O3312">
            <v>1026</v>
          </cell>
        </row>
        <row r="3313">
          <cell r="F3313" t="str">
            <v xml:space="preserve">1074130475     </v>
          </cell>
          <cell r="O3313">
            <v>225</v>
          </cell>
        </row>
        <row r="3314">
          <cell r="F3314" t="str">
            <v xml:space="preserve">1074130475     </v>
          </cell>
          <cell r="O3314">
            <v>54</v>
          </cell>
        </row>
        <row r="3315">
          <cell r="F3315" t="str">
            <v xml:space="preserve">900459366      </v>
          </cell>
          <cell r="O3315">
            <v>1764</v>
          </cell>
        </row>
        <row r="3316">
          <cell r="F3316" t="str">
            <v xml:space="preserve">900459366      </v>
          </cell>
          <cell r="O3316">
            <v>270</v>
          </cell>
        </row>
        <row r="3317">
          <cell r="F3317" t="str">
            <v xml:space="preserve">900459366      </v>
          </cell>
          <cell r="O3317">
            <v>36</v>
          </cell>
        </row>
        <row r="3318">
          <cell r="F3318" t="str">
            <v xml:space="preserve">900459366      </v>
          </cell>
          <cell r="O3318">
            <v>2340</v>
          </cell>
        </row>
        <row r="3319">
          <cell r="F3319" t="str">
            <v xml:space="preserve">900459366      </v>
          </cell>
          <cell r="O3319">
            <v>225</v>
          </cell>
        </row>
        <row r="3320">
          <cell r="F3320" t="str">
            <v xml:space="preserve">900459366      </v>
          </cell>
          <cell r="O3320">
            <v>738</v>
          </cell>
        </row>
        <row r="3321">
          <cell r="F3321" t="str">
            <v xml:space="preserve">900459366      </v>
          </cell>
          <cell r="O3321">
            <v>1125</v>
          </cell>
        </row>
        <row r="3322">
          <cell r="F3322" t="str">
            <v xml:space="preserve">900459366      </v>
          </cell>
          <cell r="O3322">
            <v>15</v>
          </cell>
        </row>
        <row r="3323">
          <cell r="F3323" t="str">
            <v xml:space="preserve">900459366      </v>
          </cell>
          <cell r="O3323">
            <v>1800</v>
          </cell>
        </row>
        <row r="3324">
          <cell r="F3324" t="str">
            <v xml:space="preserve">900459366      </v>
          </cell>
          <cell r="O3324">
            <v>270</v>
          </cell>
        </row>
        <row r="3325">
          <cell r="F3325" t="str">
            <v xml:space="preserve">900459366      </v>
          </cell>
          <cell r="O3325">
            <v>1800</v>
          </cell>
        </row>
        <row r="3326">
          <cell r="F3326" t="str">
            <v xml:space="preserve">900459366      </v>
          </cell>
          <cell r="O3326">
            <v>270</v>
          </cell>
        </row>
        <row r="3327">
          <cell r="F3327" t="str">
            <v xml:space="preserve">900459366      </v>
          </cell>
          <cell r="O3327">
            <v>15</v>
          </cell>
        </row>
        <row r="3328">
          <cell r="F3328" t="str">
            <v xml:space="preserve">900459366      </v>
          </cell>
          <cell r="O3328">
            <v>2412</v>
          </cell>
        </row>
        <row r="3329">
          <cell r="F3329" t="str">
            <v xml:space="preserve">900459366      </v>
          </cell>
          <cell r="O3329">
            <v>450</v>
          </cell>
        </row>
        <row r="3330">
          <cell r="F3330" t="str">
            <v xml:space="preserve">900459366      </v>
          </cell>
          <cell r="O3330">
            <v>15</v>
          </cell>
        </row>
        <row r="3331">
          <cell r="F3331" t="str">
            <v xml:space="preserve">900459366      </v>
          </cell>
          <cell r="O3331">
            <v>72</v>
          </cell>
        </row>
        <row r="3332">
          <cell r="F3332" t="str">
            <v xml:space="preserve">900459366      </v>
          </cell>
          <cell r="O3332">
            <v>2574</v>
          </cell>
        </row>
        <row r="3333">
          <cell r="F3333" t="str">
            <v xml:space="preserve">900459366      </v>
          </cell>
          <cell r="O3333">
            <v>270</v>
          </cell>
        </row>
        <row r="3334">
          <cell r="F3334" t="str">
            <v xml:space="preserve">900459366      </v>
          </cell>
          <cell r="O3334">
            <v>72</v>
          </cell>
        </row>
        <row r="3335">
          <cell r="F3335" t="str">
            <v xml:space="preserve">71747063       </v>
          </cell>
          <cell r="O3335">
            <v>13.5</v>
          </cell>
        </row>
        <row r="3336">
          <cell r="F3336" t="str">
            <v xml:space="preserve">71747063       </v>
          </cell>
          <cell r="O3336">
            <v>9</v>
          </cell>
        </row>
        <row r="3337">
          <cell r="F3337" t="str">
            <v xml:space="preserve">71747063       </v>
          </cell>
          <cell r="O3337">
            <v>1386</v>
          </cell>
        </row>
        <row r="3338">
          <cell r="F3338" t="str">
            <v xml:space="preserve">71747063       </v>
          </cell>
          <cell r="O3338">
            <v>720</v>
          </cell>
        </row>
        <row r="3339">
          <cell r="F3339" t="str">
            <v xml:space="preserve">71215358       </v>
          </cell>
          <cell r="O3339">
            <v>45</v>
          </cell>
        </row>
        <row r="3340">
          <cell r="F3340" t="str">
            <v xml:space="preserve">71215358       </v>
          </cell>
          <cell r="O3340">
            <v>270</v>
          </cell>
        </row>
        <row r="3341">
          <cell r="F3341" t="str">
            <v xml:space="preserve">71215358       </v>
          </cell>
          <cell r="O3341">
            <v>315</v>
          </cell>
        </row>
        <row r="3342">
          <cell r="F3342" t="str">
            <v xml:space="preserve">91179385       </v>
          </cell>
          <cell r="O3342">
            <v>720</v>
          </cell>
        </row>
        <row r="3343">
          <cell r="F3343" t="str">
            <v xml:space="preserve">91179385       </v>
          </cell>
          <cell r="O3343">
            <v>495</v>
          </cell>
        </row>
        <row r="3344">
          <cell r="F3344" t="str">
            <v xml:space="preserve">88157654       </v>
          </cell>
          <cell r="O3344">
            <v>30</v>
          </cell>
        </row>
        <row r="3345">
          <cell r="F3345" t="str">
            <v xml:space="preserve">79384689       </v>
          </cell>
          <cell r="O3345">
            <v>120</v>
          </cell>
        </row>
        <row r="3346">
          <cell r="F3346" t="str">
            <v xml:space="preserve">88288258       </v>
          </cell>
          <cell r="O3346">
            <v>105</v>
          </cell>
        </row>
        <row r="3347">
          <cell r="F3347" t="str">
            <v xml:space="preserve">13494934       </v>
          </cell>
          <cell r="O3347">
            <v>165</v>
          </cell>
        </row>
        <row r="3348">
          <cell r="F3348" t="str">
            <v xml:space="preserve">13494934       </v>
          </cell>
          <cell r="O3348">
            <v>126</v>
          </cell>
        </row>
        <row r="3349">
          <cell r="F3349" t="str">
            <v xml:space="preserve">13494934       </v>
          </cell>
          <cell r="O3349">
            <v>135</v>
          </cell>
        </row>
        <row r="3350">
          <cell r="F3350" t="str">
            <v xml:space="preserve">13494934       </v>
          </cell>
          <cell r="O3350">
            <v>300</v>
          </cell>
        </row>
        <row r="3351">
          <cell r="F3351" t="str">
            <v xml:space="preserve">13494934       </v>
          </cell>
          <cell r="O3351">
            <v>90</v>
          </cell>
        </row>
        <row r="3352">
          <cell r="F3352" t="str">
            <v xml:space="preserve">13494934       </v>
          </cell>
          <cell r="O3352">
            <v>120</v>
          </cell>
        </row>
        <row r="3353">
          <cell r="F3353" t="str">
            <v xml:space="preserve">13494934       </v>
          </cell>
          <cell r="O3353">
            <v>45</v>
          </cell>
        </row>
        <row r="3354">
          <cell r="F3354" t="str">
            <v xml:space="preserve">88188644       </v>
          </cell>
          <cell r="O3354">
            <v>705</v>
          </cell>
        </row>
        <row r="3355">
          <cell r="F3355" t="str">
            <v xml:space="preserve">88188644       </v>
          </cell>
          <cell r="O3355">
            <v>180</v>
          </cell>
        </row>
        <row r="3356">
          <cell r="F3356" t="str">
            <v xml:space="preserve">88188644       </v>
          </cell>
          <cell r="O3356">
            <v>630</v>
          </cell>
        </row>
        <row r="3357">
          <cell r="F3357" t="str">
            <v xml:space="preserve">88188644       </v>
          </cell>
          <cell r="O3357">
            <v>180</v>
          </cell>
        </row>
        <row r="3358">
          <cell r="F3358" t="str">
            <v xml:space="preserve">91451576       </v>
          </cell>
          <cell r="O3358">
            <v>432</v>
          </cell>
        </row>
        <row r="3359">
          <cell r="F3359" t="str">
            <v xml:space="preserve">91451576       </v>
          </cell>
          <cell r="O3359">
            <v>270</v>
          </cell>
        </row>
        <row r="3360">
          <cell r="F3360" t="str">
            <v xml:space="preserve">91451576       </v>
          </cell>
          <cell r="O3360">
            <v>378</v>
          </cell>
        </row>
        <row r="3361">
          <cell r="F3361" t="str">
            <v xml:space="preserve">13862691       </v>
          </cell>
          <cell r="O3361">
            <v>1314</v>
          </cell>
        </row>
        <row r="3362">
          <cell r="F3362" t="str">
            <v xml:space="preserve">13862691       </v>
          </cell>
          <cell r="O3362">
            <v>540</v>
          </cell>
        </row>
        <row r="3363">
          <cell r="F3363" t="str">
            <v xml:space="preserve">91179643       </v>
          </cell>
          <cell r="O3363">
            <v>126</v>
          </cell>
        </row>
        <row r="3364">
          <cell r="F3364" t="str">
            <v xml:space="preserve">91179643       </v>
          </cell>
          <cell r="O3364">
            <v>90</v>
          </cell>
        </row>
        <row r="3365">
          <cell r="F3365" t="str">
            <v xml:space="preserve">13702886       </v>
          </cell>
          <cell r="O3365">
            <v>630</v>
          </cell>
        </row>
        <row r="3366">
          <cell r="F3366" t="str">
            <v xml:space="preserve">13702886       </v>
          </cell>
          <cell r="O3366">
            <v>18</v>
          </cell>
        </row>
        <row r="3367">
          <cell r="F3367" t="str">
            <v xml:space="preserve">13702886       </v>
          </cell>
          <cell r="O3367">
            <v>495</v>
          </cell>
        </row>
        <row r="3368">
          <cell r="F3368" t="str">
            <v xml:space="preserve">91067422       </v>
          </cell>
          <cell r="O3368">
            <v>195</v>
          </cell>
        </row>
        <row r="3369">
          <cell r="F3369" t="str">
            <v xml:space="preserve">91067422       </v>
          </cell>
          <cell r="O3369">
            <v>90</v>
          </cell>
        </row>
        <row r="3370">
          <cell r="F3370" t="str">
            <v xml:space="preserve">91067422       </v>
          </cell>
          <cell r="O3370">
            <v>180</v>
          </cell>
        </row>
        <row r="3371">
          <cell r="F3371" t="str">
            <v xml:space="preserve">91272730       </v>
          </cell>
          <cell r="O3371">
            <v>195</v>
          </cell>
        </row>
        <row r="3372">
          <cell r="F3372" t="str">
            <v xml:space="preserve">91272730       </v>
          </cell>
          <cell r="O3372">
            <v>18</v>
          </cell>
        </row>
        <row r="3373">
          <cell r="F3373" t="str">
            <v xml:space="preserve">91272730       </v>
          </cell>
          <cell r="O3373">
            <v>90</v>
          </cell>
        </row>
        <row r="3374">
          <cell r="F3374" t="str">
            <v xml:space="preserve">91272730       </v>
          </cell>
          <cell r="O3374">
            <v>90</v>
          </cell>
        </row>
        <row r="3375">
          <cell r="F3375" t="str">
            <v xml:space="preserve">92543124       </v>
          </cell>
          <cell r="O3375">
            <v>1200</v>
          </cell>
        </row>
        <row r="3376">
          <cell r="F3376" t="str">
            <v xml:space="preserve">92543124       </v>
          </cell>
          <cell r="O3376">
            <v>90</v>
          </cell>
        </row>
        <row r="3377">
          <cell r="F3377" t="str">
            <v xml:space="preserve">26229305       </v>
          </cell>
          <cell r="O3377">
            <v>1050</v>
          </cell>
        </row>
        <row r="3378">
          <cell r="F3378" t="str">
            <v xml:space="preserve">26229305       </v>
          </cell>
          <cell r="O3378">
            <v>180</v>
          </cell>
        </row>
        <row r="3379">
          <cell r="F3379" t="str">
            <v xml:space="preserve">26229305       </v>
          </cell>
          <cell r="O3379">
            <v>45</v>
          </cell>
        </row>
        <row r="3380">
          <cell r="F3380" t="str">
            <v xml:space="preserve">26229305       </v>
          </cell>
          <cell r="O3380">
            <v>1950</v>
          </cell>
        </row>
        <row r="3381">
          <cell r="F3381" t="str">
            <v xml:space="preserve">26229305       </v>
          </cell>
          <cell r="O3381">
            <v>180</v>
          </cell>
        </row>
        <row r="3382">
          <cell r="F3382" t="str">
            <v xml:space="preserve">26229305       </v>
          </cell>
          <cell r="O3382">
            <v>375</v>
          </cell>
        </row>
        <row r="3383">
          <cell r="F3383" t="str">
            <v xml:space="preserve">26229305       </v>
          </cell>
          <cell r="O3383">
            <v>900</v>
          </cell>
        </row>
        <row r="3384">
          <cell r="F3384" t="str">
            <v xml:space="preserve">73134768       </v>
          </cell>
          <cell r="O3384">
            <v>495</v>
          </cell>
        </row>
        <row r="3385">
          <cell r="F3385" t="str">
            <v xml:space="preserve">73134768       </v>
          </cell>
          <cell r="O3385">
            <v>648</v>
          </cell>
        </row>
        <row r="3386">
          <cell r="F3386" t="str">
            <v xml:space="preserve">73134768       </v>
          </cell>
          <cell r="O3386">
            <v>45</v>
          </cell>
        </row>
        <row r="3387">
          <cell r="F3387" t="str">
            <v xml:space="preserve">73134768       </v>
          </cell>
          <cell r="O3387">
            <v>18</v>
          </cell>
        </row>
        <row r="3388">
          <cell r="F3388" t="str">
            <v xml:space="preserve">9083821        </v>
          </cell>
          <cell r="O3388">
            <v>795</v>
          </cell>
        </row>
        <row r="3389">
          <cell r="F3389" t="str">
            <v xml:space="preserve">85477397       </v>
          </cell>
          <cell r="O3389">
            <v>2865</v>
          </cell>
        </row>
        <row r="3390">
          <cell r="F3390" t="str">
            <v xml:space="preserve">85477397       </v>
          </cell>
          <cell r="O3390">
            <v>1350</v>
          </cell>
        </row>
        <row r="3391">
          <cell r="F3391" t="str">
            <v xml:space="preserve">17842923       </v>
          </cell>
          <cell r="O3391">
            <v>990</v>
          </cell>
        </row>
        <row r="3392">
          <cell r="F3392" t="str">
            <v xml:space="preserve">73238025       </v>
          </cell>
          <cell r="O3392">
            <v>5472</v>
          </cell>
        </row>
        <row r="3393">
          <cell r="F3393" t="str">
            <v xml:space="preserve">18916872       </v>
          </cell>
          <cell r="O3393">
            <v>2280</v>
          </cell>
        </row>
        <row r="3394">
          <cell r="F3394" t="str">
            <v xml:space="preserve">91288772       </v>
          </cell>
          <cell r="O3394">
            <v>825</v>
          </cell>
        </row>
        <row r="3395">
          <cell r="F3395" t="str">
            <v xml:space="preserve">91288772       </v>
          </cell>
          <cell r="O3395">
            <v>450</v>
          </cell>
        </row>
        <row r="3396">
          <cell r="F3396" t="str">
            <v xml:space="preserve">91288772       </v>
          </cell>
          <cell r="O3396">
            <v>225</v>
          </cell>
        </row>
        <row r="3397">
          <cell r="F3397" t="str">
            <v xml:space="preserve">77191750       </v>
          </cell>
          <cell r="O3397">
            <v>810</v>
          </cell>
        </row>
        <row r="3398">
          <cell r="F3398" t="str">
            <v xml:space="preserve">77191750       </v>
          </cell>
          <cell r="O3398">
            <v>720</v>
          </cell>
        </row>
        <row r="3399">
          <cell r="F3399" t="str">
            <v xml:space="preserve">91177584       </v>
          </cell>
          <cell r="O3399">
            <v>2955</v>
          </cell>
        </row>
        <row r="3400">
          <cell r="F3400" t="str">
            <v xml:space="preserve">91177584       </v>
          </cell>
          <cell r="O3400">
            <v>135</v>
          </cell>
        </row>
        <row r="3401">
          <cell r="F3401" t="str">
            <v xml:space="preserve">91213004       </v>
          </cell>
          <cell r="O3401">
            <v>675</v>
          </cell>
        </row>
        <row r="3402">
          <cell r="F3402" t="str">
            <v xml:space="preserve">91213004       </v>
          </cell>
          <cell r="O3402">
            <v>180</v>
          </cell>
        </row>
        <row r="3403">
          <cell r="F3403" t="str">
            <v xml:space="preserve">9262987        </v>
          </cell>
          <cell r="O3403">
            <v>90</v>
          </cell>
        </row>
        <row r="3404">
          <cell r="F3404" t="str">
            <v xml:space="preserve">72196317       </v>
          </cell>
          <cell r="O3404">
            <v>225</v>
          </cell>
        </row>
        <row r="3405">
          <cell r="F3405" t="str">
            <v xml:space="preserve">72196317       </v>
          </cell>
          <cell r="O3405">
            <v>72</v>
          </cell>
        </row>
        <row r="3406">
          <cell r="F3406" t="str">
            <v xml:space="preserve">72196317       </v>
          </cell>
          <cell r="O3406">
            <v>75</v>
          </cell>
        </row>
        <row r="3407">
          <cell r="F3407" t="str">
            <v xml:space="preserve">72196317       </v>
          </cell>
          <cell r="O3407">
            <v>108</v>
          </cell>
        </row>
        <row r="3408">
          <cell r="F3408" t="str">
            <v xml:space="preserve">72196317       </v>
          </cell>
          <cell r="O3408">
            <v>240</v>
          </cell>
        </row>
        <row r="3409">
          <cell r="F3409" t="str">
            <v xml:space="preserve">72196317       </v>
          </cell>
          <cell r="O3409">
            <v>54</v>
          </cell>
        </row>
        <row r="3410">
          <cell r="F3410" t="str">
            <v xml:space="preserve">72196317       </v>
          </cell>
          <cell r="O3410">
            <v>180</v>
          </cell>
        </row>
        <row r="3411">
          <cell r="F3411" t="str">
            <v xml:space="preserve">72196317       </v>
          </cell>
          <cell r="O3411">
            <v>1095</v>
          </cell>
        </row>
        <row r="3412">
          <cell r="F3412" t="str">
            <v xml:space="preserve">72196317       </v>
          </cell>
          <cell r="O3412">
            <v>216</v>
          </cell>
        </row>
        <row r="3413">
          <cell r="F3413" t="str">
            <v xml:space="preserve">72196317       </v>
          </cell>
          <cell r="O3413">
            <v>90</v>
          </cell>
        </row>
        <row r="3414">
          <cell r="F3414" t="str">
            <v xml:space="preserve">72196317       </v>
          </cell>
          <cell r="O3414">
            <v>90</v>
          </cell>
        </row>
        <row r="3415">
          <cell r="F3415" t="str">
            <v xml:space="preserve">72196317       </v>
          </cell>
          <cell r="O3415">
            <v>75</v>
          </cell>
        </row>
        <row r="3416">
          <cell r="F3416" t="str">
            <v xml:space="preserve">1047231108     </v>
          </cell>
          <cell r="O3416">
            <v>720</v>
          </cell>
        </row>
        <row r="3417">
          <cell r="F3417" t="str">
            <v xml:space="preserve">1047231108     </v>
          </cell>
          <cell r="O3417">
            <v>72</v>
          </cell>
        </row>
        <row r="3418">
          <cell r="F3418" t="str">
            <v xml:space="preserve">73079740       </v>
          </cell>
          <cell r="O3418">
            <v>576</v>
          </cell>
        </row>
        <row r="3419">
          <cell r="F3419" t="str">
            <v xml:space="preserve">73079740       </v>
          </cell>
          <cell r="O3419">
            <v>135</v>
          </cell>
        </row>
        <row r="3420">
          <cell r="F3420" t="str">
            <v xml:space="preserve">73079740       </v>
          </cell>
          <cell r="O3420">
            <v>45</v>
          </cell>
        </row>
        <row r="3421">
          <cell r="F3421" t="str">
            <v xml:space="preserve">73079740       </v>
          </cell>
          <cell r="O3421">
            <v>504</v>
          </cell>
        </row>
        <row r="3422">
          <cell r="F3422" t="str">
            <v xml:space="preserve">73079740       </v>
          </cell>
          <cell r="O3422">
            <v>90</v>
          </cell>
        </row>
        <row r="3423">
          <cell r="F3423" t="str">
            <v xml:space="preserve">15047548       </v>
          </cell>
          <cell r="O3423">
            <v>30</v>
          </cell>
        </row>
        <row r="3424">
          <cell r="F3424" t="str">
            <v xml:space="preserve">15047548       </v>
          </cell>
          <cell r="O3424">
            <v>270</v>
          </cell>
        </row>
        <row r="3425">
          <cell r="F3425" t="str">
            <v xml:space="preserve">15047548       </v>
          </cell>
          <cell r="O3425">
            <v>4.5</v>
          </cell>
        </row>
        <row r="3426">
          <cell r="F3426" t="str">
            <v xml:space="preserve">15047548       </v>
          </cell>
          <cell r="O3426">
            <v>288</v>
          </cell>
        </row>
        <row r="3427">
          <cell r="F3427" t="str">
            <v xml:space="preserve">18531333       </v>
          </cell>
          <cell r="O3427">
            <v>435</v>
          </cell>
        </row>
        <row r="3428">
          <cell r="F3428" t="str">
            <v xml:space="preserve">18531333       </v>
          </cell>
          <cell r="O3428">
            <v>126</v>
          </cell>
        </row>
        <row r="3429">
          <cell r="F3429" t="str">
            <v xml:space="preserve">18531333       </v>
          </cell>
          <cell r="O3429">
            <v>45</v>
          </cell>
        </row>
        <row r="3430">
          <cell r="F3430" t="str">
            <v xml:space="preserve">18531333       </v>
          </cell>
          <cell r="O3430">
            <v>2550</v>
          </cell>
        </row>
        <row r="3431">
          <cell r="F3431" t="str">
            <v xml:space="preserve">18531333       </v>
          </cell>
          <cell r="O3431">
            <v>90</v>
          </cell>
        </row>
        <row r="3432">
          <cell r="F3432" t="str">
            <v xml:space="preserve">1120352593     </v>
          </cell>
          <cell r="O3432">
            <v>45</v>
          </cell>
        </row>
        <row r="3433">
          <cell r="F3433" t="str">
            <v xml:space="preserve">1120352593     </v>
          </cell>
          <cell r="O3433">
            <v>3132</v>
          </cell>
        </row>
        <row r="3434">
          <cell r="F3434" t="str">
            <v xml:space="preserve">1120352593     </v>
          </cell>
          <cell r="O3434">
            <v>90</v>
          </cell>
        </row>
        <row r="3435">
          <cell r="F3435" t="str">
            <v xml:space="preserve">1020712348     </v>
          </cell>
          <cell r="O3435">
            <v>540</v>
          </cell>
        </row>
        <row r="3436">
          <cell r="F3436" t="str">
            <v xml:space="preserve">1020712348     </v>
          </cell>
          <cell r="O3436">
            <v>900</v>
          </cell>
        </row>
        <row r="3437">
          <cell r="F3437" t="str">
            <v xml:space="preserve">11255578       </v>
          </cell>
          <cell r="O3437">
            <v>27</v>
          </cell>
        </row>
        <row r="3438">
          <cell r="F3438" t="str">
            <v xml:space="preserve">11255578       </v>
          </cell>
          <cell r="O3438">
            <v>15</v>
          </cell>
        </row>
        <row r="3439">
          <cell r="F3439" t="str">
            <v xml:space="preserve">11255578       </v>
          </cell>
          <cell r="O3439">
            <v>342</v>
          </cell>
        </row>
        <row r="3440">
          <cell r="F3440" t="str">
            <v xml:space="preserve">11255578       </v>
          </cell>
          <cell r="O3440">
            <v>180</v>
          </cell>
        </row>
        <row r="3441">
          <cell r="F3441" t="str">
            <v xml:space="preserve">79827688       </v>
          </cell>
          <cell r="O3441">
            <v>15</v>
          </cell>
        </row>
        <row r="3442">
          <cell r="F3442" t="str">
            <v xml:space="preserve">79827688       </v>
          </cell>
          <cell r="O3442">
            <v>216</v>
          </cell>
        </row>
        <row r="3443">
          <cell r="F3443" t="str">
            <v xml:space="preserve">79827688       </v>
          </cell>
          <cell r="O3443">
            <v>210</v>
          </cell>
        </row>
        <row r="3444">
          <cell r="F3444" t="str">
            <v xml:space="preserve">79827688       </v>
          </cell>
          <cell r="O3444">
            <v>216</v>
          </cell>
        </row>
        <row r="3445">
          <cell r="F3445" t="str">
            <v xml:space="preserve">70752579       </v>
          </cell>
          <cell r="O3445">
            <v>9</v>
          </cell>
        </row>
        <row r="3446">
          <cell r="F3446" t="str">
            <v xml:space="preserve">70752579       </v>
          </cell>
          <cell r="O3446">
            <v>330</v>
          </cell>
        </row>
        <row r="3447">
          <cell r="F3447" t="str">
            <v xml:space="preserve">70752579       </v>
          </cell>
          <cell r="O3447">
            <v>396</v>
          </cell>
        </row>
        <row r="3448">
          <cell r="F3448" t="str">
            <v xml:space="preserve">70752579       </v>
          </cell>
          <cell r="O3448">
            <v>90</v>
          </cell>
        </row>
        <row r="3449">
          <cell r="F3449" t="str">
            <v xml:space="preserve">80266206       </v>
          </cell>
          <cell r="O3449">
            <v>36</v>
          </cell>
        </row>
        <row r="3450">
          <cell r="F3450" t="str">
            <v xml:space="preserve">80266206       </v>
          </cell>
          <cell r="O3450">
            <v>15</v>
          </cell>
        </row>
        <row r="3451">
          <cell r="F3451" t="str">
            <v xml:space="preserve">80266206       </v>
          </cell>
          <cell r="O3451">
            <v>270</v>
          </cell>
        </row>
        <row r="3452">
          <cell r="F3452" t="str">
            <v xml:space="preserve">80266206       </v>
          </cell>
          <cell r="O3452">
            <v>45</v>
          </cell>
        </row>
        <row r="3453">
          <cell r="F3453" t="str">
            <v xml:space="preserve">1111739602     </v>
          </cell>
          <cell r="O3453">
            <v>4.5</v>
          </cell>
        </row>
        <row r="3454">
          <cell r="F3454" t="str">
            <v xml:space="preserve">1111739602     </v>
          </cell>
          <cell r="O3454">
            <v>1350</v>
          </cell>
        </row>
        <row r="3455">
          <cell r="F3455" t="str">
            <v xml:space="preserve">1111739602     </v>
          </cell>
          <cell r="O3455">
            <v>45</v>
          </cell>
        </row>
        <row r="3456">
          <cell r="F3456" t="str">
            <v xml:space="preserve">1111739602     </v>
          </cell>
          <cell r="O3456">
            <v>2130</v>
          </cell>
        </row>
        <row r="3457">
          <cell r="F3457" t="str">
            <v xml:space="preserve">1111739602     </v>
          </cell>
          <cell r="O3457">
            <v>450</v>
          </cell>
        </row>
        <row r="3458">
          <cell r="F3458" t="str">
            <v xml:space="preserve">1111739602     </v>
          </cell>
          <cell r="O3458">
            <v>0</v>
          </cell>
        </row>
        <row r="3459">
          <cell r="F3459" t="str">
            <v xml:space="preserve">1101204909     </v>
          </cell>
          <cell r="O3459">
            <v>162</v>
          </cell>
        </row>
        <row r="3460">
          <cell r="F3460" t="str">
            <v xml:space="preserve">1101204909     </v>
          </cell>
          <cell r="O3460">
            <v>45</v>
          </cell>
        </row>
        <row r="3461">
          <cell r="F3461" t="str">
            <v xml:space="preserve">1101204909     </v>
          </cell>
          <cell r="O3461">
            <v>36</v>
          </cell>
        </row>
        <row r="3462">
          <cell r="F3462" t="str">
            <v xml:space="preserve">1101204909     </v>
          </cell>
          <cell r="O3462">
            <v>225</v>
          </cell>
        </row>
        <row r="3463">
          <cell r="F3463" t="str">
            <v xml:space="preserve">1101204909     </v>
          </cell>
          <cell r="O3463">
            <v>252</v>
          </cell>
        </row>
        <row r="3464">
          <cell r="F3464" t="str">
            <v xml:space="preserve">88168843       </v>
          </cell>
          <cell r="O3464">
            <v>18</v>
          </cell>
        </row>
        <row r="3465">
          <cell r="F3465" t="str">
            <v xml:space="preserve">88168843       </v>
          </cell>
          <cell r="O3465">
            <v>774</v>
          </cell>
        </row>
        <row r="3466">
          <cell r="F3466" t="str">
            <v xml:space="preserve">88168843       </v>
          </cell>
          <cell r="O3466">
            <v>90</v>
          </cell>
        </row>
        <row r="3467">
          <cell r="F3467" t="str">
            <v xml:space="preserve">88168843       </v>
          </cell>
          <cell r="O3467">
            <v>18</v>
          </cell>
        </row>
        <row r="3468">
          <cell r="F3468" t="str">
            <v xml:space="preserve">88168843       </v>
          </cell>
          <cell r="O3468">
            <v>30</v>
          </cell>
        </row>
        <row r="3469">
          <cell r="F3469" t="str">
            <v xml:space="preserve">88168843       </v>
          </cell>
          <cell r="O3469">
            <v>198</v>
          </cell>
        </row>
        <row r="3470">
          <cell r="F3470" t="str">
            <v xml:space="preserve">88168843       </v>
          </cell>
          <cell r="O3470">
            <v>90</v>
          </cell>
        </row>
        <row r="3471">
          <cell r="F3471" t="str">
            <v xml:space="preserve">88168843       </v>
          </cell>
          <cell r="O3471">
            <v>18</v>
          </cell>
        </row>
        <row r="3472">
          <cell r="F3472" t="str">
            <v xml:space="preserve">88168843       </v>
          </cell>
          <cell r="O3472">
            <v>45</v>
          </cell>
        </row>
        <row r="3473">
          <cell r="F3473" t="str">
            <v xml:space="preserve">88168843       </v>
          </cell>
          <cell r="O3473">
            <v>270</v>
          </cell>
        </row>
        <row r="3474">
          <cell r="F3474" t="str">
            <v xml:space="preserve">88168843       </v>
          </cell>
          <cell r="O3474">
            <v>45</v>
          </cell>
        </row>
        <row r="3475">
          <cell r="F3475" t="str">
            <v xml:space="preserve">9867640        </v>
          </cell>
          <cell r="O3475">
            <v>225</v>
          </cell>
        </row>
        <row r="3476">
          <cell r="F3476" t="str">
            <v xml:space="preserve">9867640        </v>
          </cell>
          <cell r="O3476">
            <v>144</v>
          </cell>
        </row>
        <row r="3477">
          <cell r="F3477" t="str">
            <v xml:space="preserve">9867640        </v>
          </cell>
          <cell r="O3477">
            <v>18</v>
          </cell>
        </row>
        <row r="3478">
          <cell r="F3478" t="str">
            <v xml:space="preserve">9867640        </v>
          </cell>
          <cell r="O3478">
            <v>285</v>
          </cell>
        </row>
        <row r="3479">
          <cell r="F3479" t="str">
            <v xml:space="preserve">9867640        </v>
          </cell>
          <cell r="O3479">
            <v>72</v>
          </cell>
        </row>
        <row r="3480">
          <cell r="F3480" t="str">
            <v xml:space="preserve">10315862       </v>
          </cell>
          <cell r="O3480">
            <v>270</v>
          </cell>
        </row>
        <row r="3481">
          <cell r="F3481" t="str">
            <v xml:space="preserve">10315862       </v>
          </cell>
          <cell r="O3481">
            <v>90</v>
          </cell>
        </row>
        <row r="3482">
          <cell r="F3482" t="str">
            <v xml:space="preserve">1103101503     </v>
          </cell>
          <cell r="O3482">
            <v>144</v>
          </cell>
        </row>
        <row r="3483">
          <cell r="F3483" t="str">
            <v xml:space="preserve">1103101503     </v>
          </cell>
          <cell r="O3483">
            <v>90</v>
          </cell>
        </row>
        <row r="3484">
          <cell r="F3484" t="str">
            <v xml:space="preserve">1103101503     </v>
          </cell>
          <cell r="O3484">
            <v>180</v>
          </cell>
        </row>
        <row r="3485">
          <cell r="F3485" t="str">
            <v xml:space="preserve">92260572       </v>
          </cell>
          <cell r="O3485">
            <v>432</v>
          </cell>
        </row>
        <row r="3486">
          <cell r="F3486" t="str">
            <v xml:space="preserve">73166349       </v>
          </cell>
          <cell r="O3486">
            <v>135</v>
          </cell>
        </row>
        <row r="3487">
          <cell r="F3487" t="str">
            <v xml:space="preserve">73166349       </v>
          </cell>
          <cell r="O3487">
            <v>486</v>
          </cell>
        </row>
        <row r="3488">
          <cell r="F3488" t="str">
            <v xml:space="preserve">7305518        </v>
          </cell>
          <cell r="O3488">
            <v>18</v>
          </cell>
        </row>
        <row r="3489">
          <cell r="F3489" t="str">
            <v xml:space="preserve">7305518        </v>
          </cell>
          <cell r="O3489">
            <v>1980</v>
          </cell>
        </row>
        <row r="3490">
          <cell r="F3490" t="str">
            <v xml:space="preserve">7305518        </v>
          </cell>
          <cell r="O3490">
            <v>630</v>
          </cell>
        </row>
        <row r="3491">
          <cell r="F3491" t="str">
            <v xml:space="preserve">7223456        </v>
          </cell>
          <cell r="O3491">
            <v>360</v>
          </cell>
        </row>
        <row r="3492">
          <cell r="F3492" t="str">
            <v xml:space="preserve">7305425        </v>
          </cell>
          <cell r="O3492">
            <v>15</v>
          </cell>
        </row>
        <row r="3493">
          <cell r="F3493" t="str">
            <v xml:space="preserve">7305425        </v>
          </cell>
          <cell r="O3493">
            <v>306</v>
          </cell>
        </row>
        <row r="3494">
          <cell r="F3494" t="str">
            <v xml:space="preserve">7301411        </v>
          </cell>
          <cell r="O3494">
            <v>135</v>
          </cell>
        </row>
        <row r="3495">
          <cell r="F3495" t="str">
            <v xml:space="preserve">79734086       </v>
          </cell>
          <cell r="O3495">
            <v>54</v>
          </cell>
        </row>
        <row r="3496">
          <cell r="F3496" t="str">
            <v xml:space="preserve">3024873        </v>
          </cell>
          <cell r="O3496">
            <v>180</v>
          </cell>
        </row>
        <row r="3497">
          <cell r="F3497" t="str">
            <v xml:space="preserve">3024873        </v>
          </cell>
          <cell r="O3497">
            <v>225</v>
          </cell>
        </row>
        <row r="3498">
          <cell r="F3498" t="str">
            <v xml:space="preserve">901019138      </v>
          </cell>
          <cell r="O3498">
            <v>90</v>
          </cell>
        </row>
        <row r="3499">
          <cell r="F3499" t="str">
            <v xml:space="preserve">35250577       </v>
          </cell>
          <cell r="O3499">
            <v>36</v>
          </cell>
        </row>
        <row r="3500">
          <cell r="F3500" t="str">
            <v xml:space="preserve">35250577       </v>
          </cell>
          <cell r="O3500">
            <v>315</v>
          </cell>
        </row>
        <row r="3501">
          <cell r="F3501" t="str">
            <v xml:space="preserve">35250577       </v>
          </cell>
          <cell r="O3501">
            <v>36</v>
          </cell>
        </row>
        <row r="3502">
          <cell r="F3502" t="str">
            <v xml:space="preserve">93131041       </v>
          </cell>
          <cell r="O3502">
            <v>900</v>
          </cell>
        </row>
        <row r="3503">
          <cell r="F3503" t="str">
            <v xml:space="preserve">11320273       </v>
          </cell>
          <cell r="O3503">
            <v>1125</v>
          </cell>
        </row>
        <row r="3504">
          <cell r="F3504" t="str">
            <v xml:space="preserve">5348905        </v>
          </cell>
          <cell r="O3504">
            <v>1350</v>
          </cell>
        </row>
        <row r="3505">
          <cell r="F3505" t="str">
            <v xml:space="preserve">5348905        </v>
          </cell>
          <cell r="O3505">
            <v>675</v>
          </cell>
        </row>
        <row r="3506">
          <cell r="F3506" t="str">
            <v xml:space="preserve">18185538       </v>
          </cell>
          <cell r="O3506">
            <v>30</v>
          </cell>
        </row>
        <row r="3507">
          <cell r="F3507" t="str">
            <v xml:space="preserve">18185538       </v>
          </cell>
          <cell r="O3507">
            <v>432</v>
          </cell>
        </row>
        <row r="3508">
          <cell r="F3508" t="str">
            <v xml:space="preserve">18185538       </v>
          </cell>
          <cell r="O3508">
            <v>180</v>
          </cell>
        </row>
        <row r="3509">
          <cell r="F3509" t="str">
            <v xml:space="preserve">83226520       </v>
          </cell>
          <cell r="O3509">
            <v>2160</v>
          </cell>
        </row>
        <row r="3510">
          <cell r="F3510" t="str">
            <v xml:space="preserve">83226520       </v>
          </cell>
          <cell r="O3510">
            <v>450</v>
          </cell>
        </row>
        <row r="3511">
          <cell r="F3511" t="str">
            <v xml:space="preserve">12266504       </v>
          </cell>
          <cell r="O3511">
            <v>300</v>
          </cell>
        </row>
        <row r="3512">
          <cell r="F3512" t="str">
            <v xml:space="preserve">12266504       </v>
          </cell>
          <cell r="O3512">
            <v>45</v>
          </cell>
        </row>
        <row r="3513">
          <cell r="F3513" t="str">
            <v xml:space="preserve">12266504       </v>
          </cell>
          <cell r="O3513">
            <v>315</v>
          </cell>
        </row>
        <row r="3514">
          <cell r="F3514" t="str">
            <v xml:space="preserve">12266504       </v>
          </cell>
          <cell r="O3514">
            <v>90</v>
          </cell>
        </row>
        <row r="3515">
          <cell r="F3515" t="str">
            <v xml:space="preserve">12266504       </v>
          </cell>
          <cell r="O3515">
            <v>360</v>
          </cell>
        </row>
        <row r="3516">
          <cell r="F3516" t="str">
            <v xml:space="preserve">83042067       </v>
          </cell>
          <cell r="O3516">
            <v>135</v>
          </cell>
        </row>
        <row r="3517">
          <cell r="F3517" t="str">
            <v xml:space="preserve">83042067       </v>
          </cell>
          <cell r="O3517">
            <v>18</v>
          </cell>
        </row>
        <row r="3518">
          <cell r="F3518" t="str">
            <v xml:space="preserve">83042067       </v>
          </cell>
          <cell r="O3518">
            <v>135</v>
          </cell>
        </row>
        <row r="3519">
          <cell r="F3519" t="str">
            <v xml:space="preserve">83042067       </v>
          </cell>
          <cell r="O3519">
            <v>270</v>
          </cell>
        </row>
        <row r="3520">
          <cell r="F3520" t="str">
            <v xml:space="preserve">83042067       </v>
          </cell>
          <cell r="O3520">
            <v>18</v>
          </cell>
        </row>
        <row r="3521">
          <cell r="F3521" t="str">
            <v xml:space="preserve">83042067       </v>
          </cell>
          <cell r="O3521">
            <v>135</v>
          </cell>
        </row>
        <row r="3522">
          <cell r="F3522" t="str">
            <v xml:space="preserve">18144684       </v>
          </cell>
          <cell r="O3522">
            <v>270</v>
          </cell>
        </row>
        <row r="3523">
          <cell r="F3523" t="str">
            <v xml:space="preserve">18144684       </v>
          </cell>
          <cell r="O3523">
            <v>72</v>
          </cell>
        </row>
        <row r="3524">
          <cell r="F3524" t="str">
            <v xml:space="preserve">16864143       </v>
          </cell>
          <cell r="O3524">
            <v>690</v>
          </cell>
        </row>
        <row r="3525">
          <cell r="F3525" t="str">
            <v xml:space="preserve">16864143       </v>
          </cell>
          <cell r="O3525">
            <v>36</v>
          </cell>
        </row>
        <row r="3526">
          <cell r="F3526" t="str">
            <v xml:space="preserve">16864143       </v>
          </cell>
          <cell r="O3526">
            <v>90</v>
          </cell>
        </row>
        <row r="3527">
          <cell r="F3527" t="str">
            <v xml:space="preserve">1062292334     </v>
          </cell>
          <cell r="O3527">
            <v>120</v>
          </cell>
        </row>
        <row r="3528">
          <cell r="F3528" t="str">
            <v xml:space="preserve">1062292334     </v>
          </cell>
          <cell r="O3528">
            <v>180</v>
          </cell>
        </row>
        <row r="3529">
          <cell r="F3529" t="str">
            <v xml:space="preserve">1062292334     </v>
          </cell>
          <cell r="O3529">
            <v>45</v>
          </cell>
        </row>
        <row r="3530">
          <cell r="F3530" t="str">
            <v xml:space="preserve">11445090       </v>
          </cell>
          <cell r="O3530">
            <v>9</v>
          </cell>
        </row>
        <row r="3531">
          <cell r="F3531" t="str">
            <v xml:space="preserve">11445090       </v>
          </cell>
          <cell r="O3531">
            <v>360</v>
          </cell>
        </row>
        <row r="3532">
          <cell r="F3532" t="str">
            <v xml:space="preserve">11445090       </v>
          </cell>
          <cell r="O3532">
            <v>270</v>
          </cell>
        </row>
        <row r="3533">
          <cell r="F3533" t="str">
            <v xml:space="preserve">11445090       </v>
          </cell>
          <cell r="O3533">
            <v>30</v>
          </cell>
        </row>
        <row r="3534">
          <cell r="F3534" t="str">
            <v xml:space="preserve">11445090       </v>
          </cell>
          <cell r="O3534">
            <v>30</v>
          </cell>
        </row>
        <row r="3535">
          <cell r="F3535" t="str">
            <v xml:space="preserve">11445090       </v>
          </cell>
          <cell r="O3535">
            <v>810</v>
          </cell>
        </row>
        <row r="3536">
          <cell r="F3536" t="str">
            <v xml:space="preserve">11445090       </v>
          </cell>
          <cell r="O3536">
            <v>315</v>
          </cell>
        </row>
        <row r="3537">
          <cell r="F3537" t="str">
            <v xml:space="preserve">11445090       </v>
          </cell>
          <cell r="O3537">
            <v>18</v>
          </cell>
        </row>
        <row r="3538">
          <cell r="F3538" t="str">
            <v xml:space="preserve">11445090       </v>
          </cell>
          <cell r="O3538">
            <v>30</v>
          </cell>
        </row>
        <row r="3539">
          <cell r="F3539" t="str">
            <v xml:space="preserve">11445090       </v>
          </cell>
          <cell r="O3539">
            <v>360</v>
          </cell>
        </row>
        <row r="3540">
          <cell r="F3540" t="str">
            <v xml:space="preserve">11445090       </v>
          </cell>
          <cell r="O3540">
            <v>45</v>
          </cell>
        </row>
        <row r="3541">
          <cell r="F3541" t="str">
            <v xml:space="preserve">80351964       </v>
          </cell>
          <cell r="O3541">
            <v>54</v>
          </cell>
        </row>
        <row r="3542">
          <cell r="F3542" t="str">
            <v xml:space="preserve">80351964       </v>
          </cell>
          <cell r="O3542">
            <v>15</v>
          </cell>
        </row>
        <row r="3543">
          <cell r="F3543" t="str">
            <v xml:space="preserve">80351964       </v>
          </cell>
          <cell r="O3543">
            <v>234</v>
          </cell>
        </row>
        <row r="3544">
          <cell r="F3544" t="str">
            <v xml:space="preserve">80351964       </v>
          </cell>
          <cell r="O3544">
            <v>45</v>
          </cell>
        </row>
        <row r="3545">
          <cell r="F3545" t="str">
            <v xml:space="preserve">80351964       </v>
          </cell>
          <cell r="O3545">
            <v>108</v>
          </cell>
        </row>
        <row r="3546">
          <cell r="F3546" t="str">
            <v xml:space="preserve">80351964       </v>
          </cell>
          <cell r="O3546">
            <v>162</v>
          </cell>
        </row>
        <row r="3547">
          <cell r="F3547" t="str">
            <v xml:space="preserve">80351964       </v>
          </cell>
          <cell r="O3547">
            <v>9</v>
          </cell>
        </row>
        <row r="3548">
          <cell r="F3548" t="str">
            <v xml:space="preserve">4090572        </v>
          </cell>
          <cell r="O3548">
            <v>27</v>
          </cell>
        </row>
        <row r="3549">
          <cell r="F3549" t="str">
            <v xml:space="preserve">4090572        </v>
          </cell>
          <cell r="O3549">
            <v>216</v>
          </cell>
        </row>
        <row r="3550">
          <cell r="F3550" t="str">
            <v xml:space="preserve">4198272        </v>
          </cell>
          <cell r="O3550">
            <v>126</v>
          </cell>
        </row>
        <row r="3551">
          <cell r="F3551" t="str">
            <v xml:space="preserve">4198272        </v>
          </cell>
          <cell r="O3551">
            <v>90</v>
          </cell>
        </row>
        <row r="3552">
          <cell r="F3552" t="str">
            <v xml:space="preserve">4198272        </v>
          </cell>
          <cell r="O3552">
            <v>90</v>
          </cell>
        </row>
        <row r="3553">
          <cell r="F3553" t="str">
            <v xml:space="preserve">4198272        </v>
          </cell>
          <cell r="O3553">
            <v>190</v>
          </cell>
        </row>
        <row r="3554">
          <cell r="F3554" t="str">
            <v xml:space="preserve">79339314       </v>
          </cell>
          <cell r="O3554">
            <v>120</v>
          </cell>
        </row>
        <row r="3555">
          <cell r="F3555" t="str">
            <v xml:space="preserve">79339314       </v>
          </cell>
          <cell r="O3555">
            <v>36</v>
          </cell>
        </row>
        <row r="3556">
          <cell r="F3556" t="str">
            <v xml:space="preserve">79339314       </v>
          </cell>
          <cell r="O3556">
            <v>270</v>
          </cell>
        </row>
        <row r="3557">
          <cell r="F3557" t="str">
            <v xml:space="preserve">3171403        </v>
          </cell>
          <cell r="O3557">
            <v>9</v>
          </cell>
        </row>
        <row r="3558">
          <cell r="F3558" t="str">
            <v xml:space="preserve">3171403        </v>
          </cell>
          <cell r="O3558">
            <v>15</v>
          </cell>
        </row>
        <row r="3559">
          <cell r="F3559" t="str">
            <v xml:space="preserve">3171403        </v>
          </cell>
          <cell r="O3559">
            <v>342</v>
          </cell>
        </row>
        <row r="3560">
          <cell r="F3560" t="str">
            <v xml:space="preserve">3171403        </v>
          </cell>
          <cell r="O3560">
            <v>90</v>
          </cell>
        </row>
        <row r="3561">
          <cell r="F3561" t="str">
            <v xml:space="preserve">83218584       </v>
          </cell>
          <cell r="O3561">
            <v>510</v>
          </cell>
        </row>
        <row r="3562">
          <cell r="F3562" t="str">
            <v xml:space="preserve">83218584       </v>
          </cell>
          <cell r="O3562">
            <v>36</v>
          </cell>
        </row>
        <row r="3563">
          <cell r="F3563" t="str">
            <v xml:space="preserve">83218584       </v>
          </cell>
          <cell r="O3563">
            <v>180</v>
          </cell>
        </row>
        <row r="3564">
          <cell r="F3564" t="str">
            <v xml:space="preserve">83218584       </v>
          </cell>
          <cell r="O3564">
            <v>330</v>
          </cell>
        </row>
        <row r="3565">
          <cell r="F3565" t="str">
            <v xml:space="preserve">83218584       </v>
          </cell>
          <cell r="O3565">
            <v>36</v>
          </cell>
        </row>
        <row r="3566">
          <cell r="F3566" t="str">
            <v xml:space="preserve">83218584       </v>
          </cell>
          <cell r="O3566">
            <v>90</v>
          </cell>
        </row>
        <row r="3567">
          <cell r="F3567" t="str">
            <v xml:space="preserve">7305728        </v>
          </cell>
          <cell r="O3567">
            <v>60</v>
          </cell>
        </row>
        <row r="3568">
          <cell r="F3568" t="str">
            <v xml:space="preserve">7305728        </v>
          </cell>
          <cell r="O3568">
            <v>198</v>
          </cell>
        </row>
        <row r="3569">
          <cell r="F3569" t="str">
            <v xml:space="preserve">7305728        </v>
          </cell>
          <cell r="O3569">
            <v>90</v>
          </cell>
        </row>
        <row r="3570">
          <cell r="F3570" t="str">
            <v xml:space="preserve">51856228       </v>
          </cell>
          <cell r="O3570">
            <v>171</v>
          </cell>
        </row>
        <row r="3571">
          <cell r="F3571" t="str">
            <v xml:space="preserve">51856228       </v>
          </cell>
          <cell r="O3571">
            <v>432</v>
          </cell>
        </row>
        <row r="3572">
          <cell r="F3572" t="str">
            <v xml:space="preserve">51856228       </v>
          </cell>
          <cell r="O3572">
            <v>180</v>
          </cell>
        </row>
        <row r="3573">
          <cell r="F3573" t="str">
            <v xml:space="preserve">51856228       </v>
          </cell>
          <cell r="O3573">
            <v>1080</v>
          </cell>
        </row>
        <row r="3574">
          <cell r="F3574" t="str">
            <v xml:space="preserve">51856228       </v>
          </cell>
          <cell r="O3574">
            <v>405</v>
          </cell>
        </row>
        <row r="3575">
          <cell r="F3575" t="str">
            <v xml:space="preserve">830133323      </v>
          </cell>
          <cell r="O3575">
            <v>45</v>
          </cell>
        </row>
        <row r="3576">
          <cell r="F3576" t="str">
            <v xml:space="preserve">860351923      </v>
          </cell>
          <cell r="O3576">
            <v>90</v>
          </cell>
        </row>
        <row r="3577">
          <cell r="F3577" t="str">
            <v xml:space="preserve">1114887745     </v>
          </cell>
          <cell r="O3577">
            <v>882</v>
          </cell>
        </row>
        <row r="3578">
          <cell r="F3578" t="str">
            <v xml:space="preserve">1112626290     </v>
          </cell>
          <cell r="O3578">
            <v>270</v>
          </cell>
        </row>
        <row r="3579">
          <cell r="F3579" t="str">
            <v xml:space="preserve">1112626290     </v>
          </cell>
          <cell r="O3579">
            <v>90</v>
          </cell>
        </row>
        <row r="3580">
          <cell r="F3580" t="str">
            <v xml:space="preserve">1112626290     </v>
          </cell>
          <cell r="O3580">
            <v>630</v>
          </cell>
        </row>
        <row r="3581">
          <cell r="F3581" t="str">
            <v xml:space="preserve">1093217151     </v>
          </cell>
          <cell r="O3581">
            <v>18</v>
          </cell>
        </row>
        <row r="3582">
          <cell r="F3582" t="str">
            <v xml:space="preserve">1093217151     </v>
          </cell>
          <cell r="O3582">
            <v>405</v>
          </cell>
        </row>
        <row r="3583">
          <cell r="F3583" t="str">
            <v xml:space="preserve">1093217151     </v>
          </cell>
          <cell r="O3583">
            <v>330</v>
          </cell>
        </row>
        <row r="3584">
          <cell r="F3584" t="str">
            <v xml:space="preserve">7545517        </v>
          </cell>
          <cell r="O3584">
            <v>60</v>
          </cell>
        </row>
        <row r="3585">
          <cell r="F3585" t="str">
            <v xml:space="preserve">7545517        </v>
          </cell>
          <cell r="O3585">
            <v>198</v>
          </cell>
        </row>
        <row r="3586">
          <cell r="F3586" t="str">
            <v xml:space="preserve">94071517       </v>
          </cell>
          <cell r="O3586">
            <v>300</v>
          </cell>
        </row>
        <row r="3587">
          <cell r="F3587" t="str">
            <v xml:space="preserve">94071517       </v>
          </cell>
          <cell r="O3587">
            <v>90</v>
          </cell>
        </row>
        <row r="3588">
          <cell r="F3588" t="str">
            <v xml:space="preserve">94071517       </v>
          </cell>
          <cell r="O3588">
            <v>45</v>
          </cell>
        </row>
        <row r="3589">
          <cell r="F3589" t="str">
            <v xml:space="preserve">8435389        </v>
          </cell>
          <cell r="O3589">
            <v>135</v>
          </cell>
        </row>
        <row r="3590">
          <cell r="F3590" t="str">
            <v xml:space="preserve">8435389        </v>
          </cell>
          <cell r="O3590">
            <v>1440</v>
          </cell>
        </row>
        <row r="3591">
          <cell r="F3591" t="str">
            <v xml:space="preserve">8458310        </v>
          </cell>
          <cell r="O3591">
            <v>30</v>
          </cell>
        </row>
        <row r="3592">
          <cell r="F3592" t="str">
            <v xml:space="preserve">8458310        </v>
          </cell>
          <cell r="O3592">
            <v>306</v>
          </cell>
        </row>
        <row r="3593">
          <cell r="F3593" t="str">
            <v xml:space="preserve">8458310        </v>
          </cell>
          <cell r="O3593">
            <v>225</v>
          </cell>
        </row>
        <row r="3594">
          <cell r="F3594" t="str">
            <v xml:space="preserve">211            </v>
          </cell>
          <cell r="O3594">
            <v>4.5</v>
          </cell>
        </row>
        <row r="3595">
          <cell r="F3595" t="str">
            <v xml:space="preserve">211            </v>
          </cell>
          <cell r="O3595">
            <v>1224</v>
          </cell>
        </row>
        <row r="3596">
          <cell r="F3596" t="str">
            <v xml:space="preserve">1101440685     </v>
          </cell>
          <cell r="O3596">
            <v>240</v>
          </cell>
        </row>
        <row r="3597">
          <cell r="F3597" t="str">
            <v xml:space="preserve">1101440685     </v>
          </cell>
          <cell r="O3597">
            <v>828</v>
          </cell>
        </row>
        <row r="3598">
          <cell r="F3598" t="str">
            <v xml:space="preserve">1039696881     </v>
          </cell>
          <cell r="O3598">
            <v>1440</v>
          </cell>
        </row>
        <row r="3599">
          <cell r="F3599" t="str">
            <v xml:space="preserve">16553709       </v>
          </cell>
          <cell r="O3599">
            <v>45</v>
          </cell>
        </row>
        <row r="3600">
          <cell r="F3600" t="str">
            <v xml:space="preserve">16553709       </v>
          </cell>
          <cell r="O3600">
            <v>90</v>
          </cell>
        </row>
        <row r="3601">
          <cell r="F3601" t="str">
            <v xml:space="preserve">16553709       </v>
          </cell>
          <cell r="O3601">
            <v>45</v>
          </cell>
        </row>
        <row r="3602">
          <cell r="F3602" t="str">
            <v xml:space="preserve">16553709       </v>
          </cell>
          <cell r="O3602">
            <v>27</v>
          </cell>
        </row>
        <row r="3603">
          <cell r="F3603" t="str">
            <v xml:space="preserve">16553709       </v>
          </cell>
          <cell r="O3603">
            <v>150</v>
          </cell>
        </row>
        <row r="3604">
          <cell r="F3604" t="str">
            <v xml:space="preserve">16553709       </v>
          </cell>
          <cell r="O3604">
            <v>54</v>
          </cell>
        </row>
        <row r="3605">
          <cell r="F3605" t="str">
            <v xml:space="preserve">15381508       </v>
          </cell>
          <cell r="O3605">
            <v>165</v>
          </cell>
        </row>
        <row r="3606">
          <cell r="F3606" t="str">
            <v xml:space="preserve">15381508       </v>
          </cell>
          <cell r="O3606">
            <v>360</v>
          </cell>
        </row>
        <row r="3607">
          <cell r="F3607" t="str">
            <v xml:space="preserve">15381508       </v>
          </cell>
          <cell r="O3607">
            <v>45</v>
          </cell>
        </row>
        <row r="3608">
          <cell r="F3608" t="str">
            <v xml:space="preserve">1104069879     </v>
          </cell>
          <cell r="O3608">
            <v>825</v>
          </cell>
        </row>
        <row r="3609">
          <cell r="F3609" t="str">
            <v xml:space="preserve">1104069879     </v>
          </cell>
          <cell r="O3609">
            <v>612</v>
          </cell>
        </row>
        <row r="3610">
          <cell r="F3610" t="str">
            <v xml:space="preserve">1104069879     </v>
          </cell>
          <cell r="O3610">
            <v>135</v>
          </cell>
        </row>
        <row r="3611">
          <cell r="F3611" t="str">
            <v xml:space="preserve">1105671149     </v>
          </cell>
          <cell r="O3611">
            <v>370</v>
          </cell>
        </row>
        <row r="3612">
          <cell r="F3612" t="str">
            <v xml:space="preserve">1105671149     </v>
          </cell>
          <cell r="O3612">
            <v>351</v>
          </cell>
        </row>
        <row r="3613">
          <cell r="F3613" t="str">
            <v xml:space="preserve">1105671149     </v>
          </cell>
          <cell r="O3613">
            <v>225</v>
          </cell>
        </row>
        <row r="3614">
          <cell r="F3614" t="str">
            <v xml:space="preserve">1105671149     </v>
          </cell>
          <cell r="O3614">
            <v>315</v>
          </cell>
        </row>
        <row r="3615">
          <cell r="F3615" t="str">
            <v xml:space="preserve">88273778       </v>
          </cell>
          <cell r="O3615">
            <v>525</v>
          </cell>
        </row>
        <row r="3616">
          <cell r="F3616" t="str">
            <v xml:space="preserve">88273778       </v>
          </cell>
          <cell r="O3616">
            <v>300</v>
          </cell>
        </row>
        <row r="3617">
          <cell r="F3617" t="str">
            <v xml:space="preserve">88273778       </v>
          </cell>
          <cell r="O3617">
            <v>90</v>
          </cell>
        </row>
        <row r="3618">
          <cell r="F3618" t="str">
            <v xml:space="preserve">7250220        </v>
          </cell>
          <cell r="O3618">
            <v>90</v>
          </cell>
        </row>
        <row r="3619">
          <cell r="F3619" t="str">
            <v xml:space="preserve">7250220        </v>
          </cell>
          <cell r="O3619">
            <v>90</v>
          </cell>
        </row>
        <row r="3620">
          <cell r="F3620" t="str">
            <v xml:space="preserve">7250220        </v>
          </cell>
          <cell r="O3620">
            <v>360</v>
          </cell>
        </row>
        <row r="3621">
          <cell r="F3621" t="str">
            <v xml:space="preserve">13476066       </v>
          </cell>
          <cell r="O3621">
            <v>15</v>
          </cell>
        </row>
        <row r="3622">
          <cell r="F3622" t="str">
            <v xml:space="preserve">13476066       </v>
          </cell>
          <cell r="O3622">
            <v>195</v>
          </cell>
        </row>
        <row r="3623">
          <cell r="F3623" t="str">
            <v xml:space="preserve">13476066       </v>
          </cell>
          <cell r="O3623">
            <v>45</v>
          </cell>
        </row>
        <row r="3624">
          <cell r="F3624" t="str">
            <v xml:space="preserve">98711342       </v>
          </cell>
          <cell r="O3624">
            <v>9</v>
          </cell>
        </row>
        <row r="3625">
          <cell r="F3625" t="str">
            <v xml:space="preserve">98711342       </v>
          </cell>
          <cell r="O3625">
            <v>18</v>
          </cell>
        </row>
        <row r="3626">
          <cell r="F3626" t="str">
            <v xml:space="preserve">98711342       </v>
          </cell>
          <cell r="O3626">
            <v>15</v>
          </cell>
        </row>
        <row r="3627">
          <cell r="F3627" t="str">
            <v xml:space="preserve">98711342       </v>
          </cell>
          <cell r="O3627">
            <v>594</v>
          </cell>
        </row>
        <row r="3628">
          <cell r="F3628" t="str">
            <v xml:space="preserve">1036942800     </v>
          </cell>
          <cell r="O3628">
            <v>45</v>
          </cell>
        </row>
        <row r="3629">
          <cell r="F3629" t="str">
            <v xml:space="preserve">1036942800     </v>
          </cell>
          <cell r="O3629">
            <v>144</v>
          </cell>
        </row>
        <row r="3630">
          <cell r="F3630" t="str">
            <v xml:space="preserve">1036942800     </v>
          </cell>
          <cell r="O3630">
            <v>270</v>
          </cell>
        </row>
        <row r="3631">
          <cell r="F3631" t="str">
            <v xml:space="preserve">1090397527     </v>
          </cell>
          <cell r="O3631">
            <v>1050</v>
          </cell>
        </row>
        <row r="3632">
          <cell r="F3632" t="str">
            <v xml:space="preserve">1090397527     </v>
          </cell>
          <cell r="O3632">
            <v>360</v>
          </cell>
        </row>
        <row r="3633">
          <cell r="F3633" t="str">
            <v xml:space="preserve">1090397527     </v>
          </cell>
          <cell r="O3633">
            <v>4.5</v>
          </cell>
        </row>
        <row r="3634">
          <cell r="F3634" t="str">
            <v xml:space="preserve">1090397527     </v>
          </cell>
          <cell r="O3634">
            <v>90</v>
          </cell>
        </row>
        <row r="3635">
          <cell r="F3635" t="str">
            <v xml:space="preserve">1090397527     </v>
          </cell>
          <cell r="O3635">
            <v>75</v>
          </cell>
        </row>
        <row r="3636">
          <cell r="F3636" t="str">
            <v xml:space="preserve">1090397527     </v>
          </cell>
          <cell r="O3636">
            <v>756</v>
          </cell>
        </row>
        <row r="3637">
          <cell r="F3637" t="str">
            <v xml:space="preserve">1090397527     </v>
          </cell>
          <cell r="O3637">
            <v>585</v>
          </cell>
        </row>
        <row r="3638">
          <cell r="F3638" t="str">
            <v xml:space="preserve">1090397527     </v>
          </cell>
          <cell r="O3638">
            <v>945</v>
          </cell>
        </row>
        <row r="3639">
          <cell r="F3639" t="str">
            <v xml:space="preserve">1090397527     </v>
          </cell>
          <cell r="O3639">
            <v>210</v>
          </cell>
        </row>
        <row r="3640">
          <cell r="F3640" t="str">
            <v xml:space="preserve">1090397527     </v>
          </cell>
          <cell r="O3640">
            <v>810</v>
          </cell>
        </row>
        <row r="3641">
          <cell r="F3641" t="str">
            <v xml:space="preserve">1090397527     </v>
          </cell>
          <cell r="O3641">
            <v>630</v>
          </cell>
        </row>
        <row r="3642">
          <cell r="F3642" t="str">
            <v xml:space="preserve">1090397527     </v>
          </cell>
          <cell r="O3642">
            <v>90</v>
          </cell>
        </row>
        <row r="3643">
          <cell r="F3643" t="str">
            <v xml:space="preserve">1090397527     </v>
          </cell>
          <cell r="O3643">
            <v>585</v>
          </cell>
        </row>
        <row r="3644">
          <cell r="F3644" t="str">
            <v xml:space="preserve">1090397527     </v>
          </cell>
          <cell r="O3644">
            <v>195</v>
          </cell>
        </row>
        <row r="3645">
          <cell r="F3645" t="str">
            <v xml:space="preserve">1090397527     </v>
          </cell>
          <cell r="O3645">
            <v>765</v>
          </cell>
        </row>
        <row r="3646">
          <cell r="F3646" t="str">
            <v xml:space="preserve">1090397527     </v>
          </cell>
          <cell r="O3646">
            <v>285</v>
          </cell>
        </row>
        <row r="3647">
          <cell r="F3647" t="str">
            <v xml:space="preserve">1090397527     </v>
          </cell>
          <cell r="O3647">
            <v>990</v>
          </cell>
        </row>
        <row r="3648">
          <cell r="F3648" t="str">
            <v xml:space="preserve">1090397527     </v>
          </cell>
          <cell r="O3648">
            <v>18</v>
          </cell>
        </row>
        <row r="3649">
          <cell r="F3649" t="str">
            <v xml:space="preserve">1039694009     </v>
          </cell>
          <cell r="O3649">
            <v>1065</v>
          </cell>
        </row>
        <row r="3650">
          <cell r="F3650" t="str">
            <v xml:space="preserve">1039694009     </v>
          </cell>
          <cell r="O3650">
            <v>54</v>
          </cell>
        </row>
        <row r="3651">
          <cell r="F3651" t="str">
            <v xml:space="preserve">1039694009     </v>
          </cell>
          <cell r="O3651">
            <v>180</v>
          </cell>
        </row>
        <row r="3652">
          <cell r="F3652" t="str">
            <v xml:space="preserve">1100623000     </v>
          </cell>
          <cell r="O3652">
            <v>15</v>
          </cell>
        </row>
        <row r="3653">
          <cell r="F3653" t="str">
            <v xml:space="preserve">1100623000     </v>
          </cell>
          <cell r="O3653">
            <v>774</v>
          </cell>
        </row>
        <row r="3654">
          <cell r="F3654" t="str">
            <v xml:space="preserve">1053331458     </v>
          </cell>
          <cell r="O3654">
            <v>756</v>
          </cell>
        </row>
        <row r="3655">
          <cell r="F3655" t="str">
            <v xml:space="preserve">1053331458     </v>
          </cell>
          <cell r="O3655">
            <v>225</v>
          </cell>
        </row>
        <row r="3656">
          <cell r="F3656" t="str">
            <v xml:space="preserve">70303177       </v>
          </cell>
          <cell r="O3656">
            <v>150</v>
          </cell>
        </row>
        <row r="3657">
          <cell r="F3657" t="str">
            <v xml:space="preserve">70303177       </v>
          </cell>
          <cell r="O3657">
            <v>1620</v>
          </cell>
        </row>
        <row r="3658">
          <cell r="F3658" t="str">
            <v xml:space="preserve">71142360       </v>
          </cell>
          <cell r="O3658">
            <v>165</v>
          </cell>
        </row>
        <row r="3659">
          <cell r="F3659" t="str">
            <v xml:space="preserve">71142360       </v>
          </cell>
          <cell r="O3659">
            <v>558</v>
          </cell>
        </row>
        <row r="3660">
          <cell r="F3660" t="str">
            <v xml:space="preserve">71142360       </v>
          </cell>
          <cell r="O3660">
            <v>225</v>
          </cell>
        </row>
        <row r="3661">
          <cell r="F3661" t="str">
            <v xml:space="preserve">71142360       </v>
          </cell>
          <cell r="O3661">
            <v>270</v>
          </cell>
        </row>
        <row r="3662">
          <cell r="F3662" t="str">
            <v xml:space="preserve">71142360       </v>
          </cell>
          <cell r="O3662">
            <v>558</v>
          </cell>
        </row>
        <row r="3663">
          <cell r="F3663" t="str">
            <v xml:space="preserve">71142360       </v>
          </cell>
          <cell r="O3663">
            <v>1050</v>
          </cell>
        </row>
        <row r="3664">
          <cell r="F3664" t="str">
            <v xml:space="preserve">71142360       </v>
          </cell>
          <cell r="O3664">
            <v>450</v>
          </cell>
        </row>
        <row r="3665">
          <cell r="F3665" t="str">
            <v xml:space="preserve">71142360       </v>
          </cell>
          <cell r="O3665">
            <v>315</v>
          </cell>
        </row>
        <row r="3666">
          <cell r="F3666" t="str">
            <v xml:space="preserve">71142360       </v>
          </cell>
          <cell r="O3666">
            <v>120</v>
          </cell>
        </row>
        <row r="3667">
          <cell r="F3667" t="str">
            <v xml:space="preserve">71142360       </v>
          </cell>
          <cell r="O3667">
            <v>756</v>
          </cell>
        </row>
        <row r="3668">
          <cell r="F3668" t="str">
            <v xml:space="preserve">71142360       </v>
          </cell>
          <cell r="O3668">
            <v>90</v>
          </cell>
        </row>
        <row r="3669">
          <cell r="F3669" t="str">
            <v xml:space="preserve">18592123       </v>
          </cell>
          <cell r="O3669">
            <v>2250</v>
          </cell>
        </row>
        <row r="3670">
          <cell r="F3670" t="str">
            <v xml:space="preserve">43656575       </v>
          </cell>
          <cell r="O3670">
            <v>2754</v>
          </cell>
        </row>
        <row r="3671">
          <cell r="F3671" t="str">
            <v xml:space="preserve">43656575       </v>
          </cell>
          <cell r="O3671">
            <v>720</v>
          </cell>
        </row>
        <row r="3672">
          <cell r="F3672" t="str">
            <v xml:space="preserve">43656575       </v>
          </cell>
          <cell r="O3672">
            <v>600</v>
          </cell>
        </row>
        <row r="3673">
          <cell r="F3673" t="str">
            <v xml:space="preserve">43656575       </v>
          </cell>
          <cell r="O3673">
            <v>4.5</v>
          </cell>
        </row>
        <row r="3674">
          <cell r="F3674" t="str">
            <v xml:space="preserve">43656575       </v>
          </cell>
          <cell r="O3674">
            <v>9</v>
          </cell>
        </row>
        <row r="3675">
          <cell r="F3675" t="str">
            <v xml:space="preserve">43656575       </v>
          </cell>
          <cell r="O3675">
            <v>30</v>
          </cell>
        </row>
        <row r="3676">
          <cell r="F3676" t="str">
            <v xml:space="preserve">43656575       </v>
          </cell>
          <cell r="O3676">
            <v>1170</v>
          </cell>
        </row>
        <row r="3677">
          <cell r="F3677" t="str">
            <v xml:space="preserve">43656575       </v>
          </cell>
          <cell r="O3677">
            <v>9</v>
          </cell>
        </row>
        <row r="3678">
          <cell r="F3678" t="str">
            <v xml:space="preserve">43656575       </v>
          </cell>
          <cell r="O3678">
            <v>600</v>
          </cell>
        </row>
        <row r="3679">
          <cell r="F3679" t="str">
            <v xml:space="preserve">43656575       </v>
          </cell>
          <cell r="O3679">
            <v>720</v>
          </cell>
        </row>
        <row r="3680">
          <cell r="F3680" t="str">
            <v xml:space="preserve">43656575       </v>
          </cell>
          <cell r="O3680">
            <v>1260</v>
          </cell>
        </row>
        <row r="3681">
          <cell r="F3681" t="str">
            <v xml:space="preserve">43656575       </v>
          </cell>
          <cell r="O3681">
            <v>540</v>
          </cell>
        </row>
        <row r="3682">
          <cell r="F3682" t="str">
            <v xml:space="preserve">43656575       </v>
          </cell>
          <cell r="O3682">
            <v>9</v>
          </cell>
        </row>
        <row r="3683">
          <cell r="F3683" t="str">
            <v xml:space="preserve">43656575       </v>
          </cell>
          <cell r="O3683">
            <v>4.5</v>
          </cell>
        </row>
        <row r="3684">
          <cell r="F3684" t="str">
            <v xml:space="preserve">43656575       </v>
          </cell>
          <cell r="O3684">
            <v>306</v>
          </cell>
        </row>
        <row r="3685">
          <cell r="F3685" t="str">
            <v xml:space="preserve">73559455       </v>
          </cell>
          <cell r="O3685">
            <v>4.5</v>
          </cell>
        </row>
        <row r="3686">
          <cell r="F3686" t="str">
            <v xml:space="preserve">73559455       </v>
          </cell>
          <cell r="O3686">
            <v>18</v>
          </cell>
        </row>
        <row r="3687">
          <cell r="F3687" t="str">
            <v xml:space="preserve">73559455       </v>
          </cell>
          <cell r="O3687">
            <v>150</v>
          </cell>
        </row>
        <row r="3688">
          <cell r="F3688" t="str">
            <v xml:space="preserve">73559455       </v>
          </cell>
          <cell r="O3688">
            <v>90</v>
          </cell>
        </row>
        <row r="3689">
          <cell r="F3689" t="str">
            <v xml:space="preserve">890404273      </v>
          </cell>
          <cell r="O3689">
            <v>15</v>
          </cell>
        </row>
        <row r="3690">
          <cell r="F3690" t="str">
            <v xml:space="preserve">900406436      </v>
          </cell>
          <cell r="O3690">
            <v>180</v>
          </cell>
        </row>
        <row r="3691">
          <cell r="F3691" t="str">
            <v xml:space="preserve">94262420       </v>
          </cell>
          <cell r="O3691">
            <v>144</v>
          </cell>
        </row>
        <row r="3692">
          <cell r="F3692" t="str">
            <v xml:space="preserve">94262420       </v>
          </cell>
          <cell r="O3692">
            <v>150</v>
          </cell>
        </row>
        <row r="3693">
          <cell r="F3693" t="str">
            <v xml:space="preserve">94262420       </v>
          </cell>
          <cell r="O3693">
            <v>540</v>
          </cell>
        </row>
        <row r="3694">
          <cell r="F3694" t="str">
            <v xml:space="preserve">94262420       </v>
          </cell>
          <cell r="O3694">
            <v>360</v>
          </cell>
        </row>
        <row r="3695">
          <cell r="F3695" t="str">
            <v xml:space="preserve">860005265      </v>
          </cell>
          <cell r="O3695">
            <v>994</v>
          </cell>
        </row>
        <row r="3696">
          <cell r="F3696" t="str">
            <v xml:space="preserve">860005265      </v>
          </cell>
          <cell r="O3696">
            <v>656.9</v>
          </cell>
        </row>
        <row r="3697">
          <cell r="F3697" t="str">
            <v xml:space="preserve">31861590       </v>
          </cell>
          <cell r="O3697">
            <v>54</v>
          </cell>
        </row>
        <row r="3698">
          <cell r="F3698" t="str">
            <v xml:space="preserve">800052377      </v>
          </cell>
          <cell r="O3698">
            <v>18</v>
          </cell>
        </row>
        <row r="3699">
          <cell r="F3699" t="str">
            <v xml:space="preserve">805018495      </v>
          </cell>
          <cell r="O3699">
            <v>144</v>
          </cell>
        </row>
        <row r="3700">
          <cell r="F3700" t="str">
            <v xml:space="preserve">890903939      </v>
          </cell>
          <cell r="O3700">
            <v>133</v>
          </cell>
        </row>
        <row r="3701">
          <cell r="F3701" t="str">
            <v xml:space="preserve">890903939      </v>
          </cell>
          <cell r="O3701">
            <v>76</v>
          </cell>
        </row>
        <row r="3702">
          <cell r="F3702" t="str">
            <v xml:space="preserve">891301594      </v>
          </cell>
          <cell r="O3702">
            <v>18</v>
          </cell>
        </row>
        <row r="3703">
          <cell r="F3703" t="str">
            <v xml:space="preserve">860001697      </v>
          </cell>
          <cell r="O3703">
            <v>195.3</v>
          </cell>
        </row>
        <row r="3704">
          <cell r="F3704" t="str">
            <v xml:space="preserve">860001697      </v>
          </cell>
          <cell r="O3704">
            <v>299.75</v>
          </cell>
        </row>
        <row r="3705">
          <cell r="F3705" t="str">
            <v xml:space="preserve">860001697      </v>
          </cell>
          <cell r="O3705">
            <v>533.5</v>
          </cell>
        </row>
        <row r="3706">
          <cell r="F3706" t="str">
            <v xml:space="preserve">860005265      </v>
          </cell>
          <cell r="O3706">
            <v>159.1</v>
          </cell>
        </row>
        <row r="3707">
          <cell r="F3707" t="str">
            <v xml:space="preserve">101            </v>
          </cell>
          <cell r="O3707">
            <v>54</v>
          </cell>
        </row>
        <row r="3708">
          <cell r="F3708" t="str">
            <v xml:space="preserve">101            </v>
          </cell>
          <cell r="O3708">
            <v>18</v>
          </cell>
        </row>
        <row r="3709">
          <cell r="F3709" t="str">
            <v xml:space="preserve">101            </v>
          </cell>
          <cell r="O3709">
            <v>30</v>
          </cell>
        </row>
        <row r="3710">
          <cell r="F3710" t="str">
            <v xml:space="preserve">7318024        </v>
          </cell>
          <cell r="O3710">
            <v>255</v>
          </cell>
        </row>
        <row r="3711">
          <cell r="F3711" t="str">
            <v xml:space="preserve">7318024        </v>
          </cell>
          <cell r="O3711">
            <v>252</v>
          </cell>
        </row>
        <row r="3712">
          <cell r="F3712" t="str">
            <v xml:space="preserve">890903939      </v>
          </cell>
          <cell r="O3712">
            <v>108</v>
          </cell>
        </row>
        <row r="3713">
          <cell r="F3713" t="str">
            <v xml:space="preserve">900543878      </v>
          </cell>
          <cell r="O3713">
            <v>18</v>
          </cell>
        </row>
        <row r="3714">
          <cell r="F3714" t="str">
            <v xml:space="preserve">901555731      </v>
          </cell>
          <cell r="O3714">
            <v>54</v>
          </cell>
        </row>
        <row r="3715">
          <cell r="F3715" t="str">
            <v xml:space="preserve">901555731      </v>
          </cell>
          <cell r="O3715">
            <v>135</v>
          </cell>
        </row>
        <row r="3716">
          <cell r="F3716" t="str">
            <v xml:space="preserve">32772122       </v>
          </cell>
          <cell r="O3716">
            <v>45</v>
          </cell>
        </row>
        <row r="3717">
          <cell r="F3717" t="str">
            <v xml:space="preserve">32772122       </v>
          </cell>
          <cell r="O3717">
            <v>120</v>
          </cell>
        </row>
        <row r="3718">
          <cell r="F3718" t="str">
            <v xml:space="preserve">73186091       </v>
          </cell>
          <cell r="O3718">
            <v>450</v>
          </cell>
        </row>
        <row r="3719">
          <cell r="F3719" t="str">
            <v xml:space="preserve">73186091       </v>
          </cell>
          <cell r="O3719">
            <v>300</v>
          </cell>
        </row>
        <row r="3720">
          <cell r="F3720" t="str">
            <v xml:space="preserve">8795144        </v>
          </cell>
          <cell r="O3720">
            <v>90</v>
          </cell>
        </row>
        <row r="3721">
          <cell r="F3721" t="str">
            <v xml:space="preserve">8795144        </v>
          </cell>
          <cell r="O3721">
            <v>36</v>
          </cell>
        </row>
        <row r="3722">
          <cell r="F3722" t="str">
            <v xml:space="preserve">212            </v>
          </cell>
          <cell r="O3722">
            <v>915</v>
          </cell>
        </row>
        <row r="3723">
          <cell r="F3723" t="str">
            <v xml:space="preserve">212            </v>
          </cell>
          <cell r="O3723">
            <v>342</v>
          </cell>
        </row>
        <row r="3724">
          <cell r="F3724" t="str">
            <v xml:space="preserve">212            </v>
          </cell>
          <cell r="O3724">
            <v>45</v>
          </cell>
        </row>
        <row r="3725">
          <cell r="F3725" t="str">
            <v xml:space="preserve">800226901      </v>
          </cell>
          <cell r="O3725">
            <v>40</v>
          </cell>
        </row>
        <row r="3726">
          <cell r="F3726" t="str">
            <v xml:space="preserve">800244560      </v>
          </cell>
          <cell r="O3726">
            <v>54</v>
          </cell>
        </row>
        <row r="3727">
          <cell r="F3727" t="str">
            <v xml:space="preserve">811047008      </v>
          </cell>
          <cell r="O3727">
            <v>36</v>
          </cell>
        </row>
        <row r="3728">
          <cell r="F3728" t="str">
            <v xml:space="preserve">830011337      </v>
          </cell>
          <cell r="O3728">
            <v>72</v>
          </cell>
        </row>
        <row r="3729">
          <cell r="F3729" t="str">
            <v xml:space="preserve">830125152      </v>
          </cell>
          <cell r="O3729">
            <v>32</v>
          </cell>
        </row>
        <row r="3730">
          <cell r="F3730" t="str">
            <v xml:space="preserve">860001697      </v>
          </cell>
          <cell r="O3730">
            <v>404.1</v>
          </cell>
        </row>
        <row r="3731">
          <cell r="F3731" t="str">
            <v xml:space="preserve">860070770      </v>
          </cell>
          <cell r="O3731">
            <v>18</v>
          </cell>
        </row>
        <row r="3732">
          <cell r="F3732" t="str">
            <v xml:space="preserve">900239671      </v>
          </cell>
          <cell r="O3732">
            <v>126</v>
          </cell>
        </row>
        <row r="3733">
          <cell r="F3733" t="str">
            <v xml:space="preserve">900603554      </v>
          </cell>
          <cell r="O3733">
            <v>144</v>
          </cell>
        </row>
        <row r="3734">
          <cell r="F3734" t="str">
            <v xml:space="preserve">900896246      </v>
          </cell>
          <cell r="O3734">
            <v>90</v>
          </cell>
        </row>
        <row r="3735">
          <cell r="F3735" t="str">
            <v xml:space="preserve">901083559      </v>
          </cell>
          <cell r="O3735">
            <v>60</v>
          </cell>
        </row>
        <row r="3736">
          <cell r="F3736" t="str">
            <v xml:space="preserve">830016868      </v>
          </cell>
          <cell r="O3736">
            <v>1890</v>
          </cell>
        </row>
        <row r="3737">
          <cell r="F3737" t="str">
            <v xml:space="preserve">1104405256     </v>
          </cell>
          <cell r="O3737">
            <v>90</v>
          </cell>
        </row>
        <row r="3738">
          <cell r="F3738" t="str">
            <v xml:space="preserve">407            </v>
          </cell>
          <cell r="O3738">
            <v>72</v>
          </cell>
        </row>
        <row r="3739">
          <cell r="F3739" t="str">
            <v xml:space="preserve">800090890      </v>
          </cell>
          <cell r="O3739">
            <v>38</v>
          </cell>
        </row>
        <row r="3740">
          <cell r="F3740" t="str">
            <v xml:space="preserve">800090890      </v>
          </cell>
          <cell r="O3740">
            <v>54</v>
          </cell>
        </row>
        <row r="3741">
          <cell r="F3741" t="str">
            <v xml:space="preserve">811014849      </v>
          </cell>
          <cell r="O3741">
            <v>234</v>
          </cell>
        </row>
        <row r="3742">
          <cell r="F3742" t="str">
            <v xml:space="preserve">811014849      </v>
          </cell>
          <cell r="O3742">
            <v>90</v>
          </cell>
        </row>
        <row r="3743">
          <cell r="F3743" t="str">
            <v xml:space="preserve">890903939      </v>
          </cell>
          <cell r="O3743">
            <v>197.38</v>
          </cell>
        </row>
        <row r="3744">
          <cell r="F3744" t="str">
            <v xml:space="preserve">890903939      </v>
          </cell>
          <cell r="O3744">
            <v>187.4</v>
          </cell>
        </row>
        <row r="3745">
          <cell r="F3745" t="str">
            <v xml:space="preserve">890903939      </v>
          </cell>
          <cell r="O3745">
            <v>1265.42</v>
          </cell>
        </row>
        <row r="3746">
          <cell r="F3746" t="str">
            <v xml:space="preserve">211            </v>
          </cell>
          <cell r="O3746">
            <v>30</v>
          </cell>
        </row>
        <row r="3747">
          <cell r="F3747" t="str">
            <v xml:space="preserve">211            </v>
          </cell>
          <cell r="O3747">
            <v>504</v>
          </cell>
        </row>
        <row r="3748">
          <cell r="F3748" t="str">
            <v xml:space="preserve">802015827      </v>
          </cell>
          <cell r="O3748">
            <v>75</v>
          </cell>
        </row>
        <row r="3749">
          <cell r="F3749" t="str">
            <v xml:space="preserve">802015827      </v>
          </cell>
          <cell r="O3749">
            <v>45</v>
          </cell>
        </row>
        <row r="3750">
          <cell r="F3750" t="str">
            <v xml:space="preserve">811032699      </v>
          </cell>
          <cell r="O3750">
            <v>54</v>
          </cell>
        </row>
        <row r="3751">
          <cell r="F3751" t="str">
            <v xml:space="preserve">830095213      </v>
          </cell>
          <cell r="O3751">
            <v>288</v>
          </cell>
        </row>
        <row r="3752">
          <cell r="F3752" t="str">
            <v xml:space="preserve">890903939      </v>
          </cell>
          <cell r="O3752">
            <v>341.18</v>
          </cell>
        </row>
        <row r="3753">
          <cell r="F3753" t="str">
            <v xml:space="preserve">900305709      </v>
          </cell>
          <cell r="O3753">
            <v>15</v>
          </cell>
        </row>
        <row r="3754">
          <cell r="F3754" t="str">
            <v xml:space="preserve">900305709      </v>
          </cell>
          <cell r="O3754">
            <v>90</v>
          </cell>
        </row>
        <row r="3755">
          <cell r="F3755" t="str">
            <v xml:space="preserve">900557954      </v>
          </cell>
          <cell r="O3755">
            <v>60</v>
          </cell>
        </row>
        <row r="3756">
          <cell r="F3756" t="str">
            <v xml:space="preserve">830036921      </v>
          </cell>
          <cell r="O3756">
            <v>307.95</v>
          </cell>
        </row>
        <row r="3757">
          <cell r="F3757" t="str">
            <v xml:space="preserve">860001697      </v>
          </cell>
          <cell r="O3757">
            <v>951.8</v>
          </cell>
        </row>
        <row r="3758">
          <cell r="F3758" t="str">
            <v xml:space="preserve">800148119      </v>
          </cell>
          <cell r="O3758">
            <v>75</v>
          </cell>
        </row>
        <row r="3759">
          <cell r="F3759" t="str">
            <v xml:space="preserve">800229035      </v>
          </cell>
          <cell r="O3759">
            <v>135</v>
          </cell>
        </row>
        <row r="3760">
          <cell r="F3760" t="str">
            <v xml:space="preserve">800229035      </v>
          </cell>
          <cell r="O3760">
            <v>165</v>
          </cell>
        </row>
        <row r="3761">
          <cell r="F3761" t="str">
            <v xml:space="preserve">811016729      </v>
          </cell>
          <cell r="O3761">
            <v>54</v>
          </cell>
        </row>
        <row r="3762">
          <cell r="F3762" t="str">
            <v xml:space="preserve">830060136      </v>
          </cell>
          <cell r="O3762">
            <v>60</v>
          </cell>
        </row>
        <row r="3763">
          <cell r="F3763" t="str">
            <v xml:space="preserve">830106563      </v>
          </cell>
          <cell r="O3763">
            <v>1197.9000000000001</v>
          </cell>
        </row>
        <row r="3764">
          <cell r="F3764" t="str">
            <v xml:space="preserve">860020382      </v>
          </cell>
          <cell r="O3764">
            <v>105</v>
          </cell>
        </row>
        <row r="3765">
          <cell r="F3765" t="str">
            <v xml:space="preserve">890903024      </v>
          </cell>
          <cell r="O3765">
            <v>90</v>
          </cell>
        </row>
        <row r="3766">
          <cell r="F3766" t="str">
            <v xml:space="preserve">890903939      </v>
          </cell>
          <cell r="O3766">
            <v>458.2</v>
          </cell>
        </row>
        <row r="3767">
          <cell r="F3767" t="str">
            <v xml:space="preserve">890903939      </v>
          </cell>
          <cell r="O3767">
            <v>440.7</v>
          </cell>
        </row>
        <row r="3768">
          <cell r="F3768" t="str">
            <v xml:space="preserve">900049818      </v>
          </cell>
          <cell r="O3768">
            <v>30</v>
          </cell>
        </row>
        <row r="3769">
          <cell r="F3769" t="str">
            <v xml:space="preserve">900603554      </v>
          </cell>
          <cell r="O3769">
            <v>144</v>
          </cell>
        </row>
        <row r="3770">
          <cell r="F3770" t="str">
            <v xml:space="preserve">901017528      </v>
          </cell>
          <cell r="O3770">
            <v>255</v>
          </cell>
        </row>
        <row r="3771">
          <cell r="F3771" t="str">
            <v xml:space="preserve">901046830      </v>
          </cell>
          <cell r="O3771">
            <v>330</v>
          </cell>
        </row>
        <row r="3772">
          <cell r="F3772" t="str">
            <v xml:space="preserve">1117528016     </v>
          </cell>
          <cell r="O3772">
            <v>73.7</v>
          </cell>
        </row>
        <row r="3773">
          <cell r="F3773" t="str">
            <v xml:space="preserve">17655255       </v>
          </cell>
          <cell r="O3773">
            <v>91.9</v>
          </cell>
        </row>
        <row r="3774">
          <cell r="F3774" t="str">
            <v xml:space="preserve">40759008       </v>
          </cell>
          <cell r="O3774">
            <v>84.1</v>
          </cell>
        </row>
        <row r="3775">
          <cell r="F3775" t="str">
            <v xml:space="preserve">700171862      </v>
          </cell>
          <cell r="O3775">
            <v>121.7</v>
          </cell>
        </row>
        <row r="3776">
          <cell r="F3776" t="str">
            <v xml:space="preserve">94364658       </v>
          </cell>
          <cell r="O3776">
            <v>160.69999999999999</v>
          </cell>
        </row>
        <row r="3777">
          <cell r="F3777" t="str">
            <v xml:space="preserve">810002278      </v>
          </cell>
          <cell r="O3777">
            <v>652.20000000000005</v>
          </cell>
        </row>
        <row r="3778">
          <cell r="F3778" t="str">
            <v xml:space="preserve">900417711      </v>
          </cell>
          <cell r="O3778">
            <v>224</v>
          </cell>
        </row>
        <row r="3779">
          <cell r="F3779" t="str">
            <v xml:space="preserve">901295190      </v>
          </cell>
          <cell r="O3779">
            <v>581.79999999999995</v>
          </cell>
        </row>
        <row r="3780">
          <cell r="F3780" t="str">
            <v xml:space="preserve">1114729720     </v>
          </cell>
          <cell r="O3780">
            <v>545.4</v>
          </cell>
        </row>
        <row r="3781">
          <cell r="F3781" t="str">
            <v xml:space="preserve">1118292828     </v>
          </cell>
          <cell r="O3781">
            <v>63.3</v>
          </cell>
        </row>
        <row r="3782">
          <cell r="F3782" t="str">
            <v xml:space="preserve">1144138380     </v>
          </cell>
          <cell r="O3782">
            <v>213</v>
          </cell>
        </row>
        <row r="3783">
          <cell r="F3783" t="str">
            <v xml:space="preserve">1144138380     </v>
          </cell>
          <cell r="O3783">
            <v>100</v>
          </cell>
        </row>
        <row r="3784">
          <cell r="F3784" t="str">
            <v xml:space="preserve">29229813       </v>
          </cell>
          <cell r="O3784">
            <v>81.5</v>
          </cell>
        </row>
        <row r="3785">
          <cell r="F3785" t="str">
            <v xml:space="preserve">6256980        </v>
          </cell>
          <cell r="O3785">
            <v>108.3</v>
          </cell>
        </row>
        <row r="3786">
          <cell r="F3786" t="str">
            <v xml:space="preserve">66719542       </v>
          </cell>
          <cell r="O3786">
            <v>74.2</v>
          </cell>
        </row>
        <row r="3787">
          <cell r="F3787" t="str">
            <v xml:space="preserve">76312079       </v>
          </cell>
          <cell r="O3787">
            <v>61.1</v>
          </cell>
        </row>
        <row r="3788">
          <cell r="F3788" t="str">
            <v xml:space="preserve">890302046      </v>
          </cell>
          <cell r="O3788">
            <v>893.2</v>
          </cell>
        </row>
        <row r="3789">
          <cell r="F3789" t="str">
            <v xml:space="preserve">900598527      </v>
          </cell>
          <cell r="O3789">
            <v>353.5</v>
          </cell>
        </row>
        <row r="3790">
          <cell r="F3790" t="str">
            <v xml:space="preserve">900700313      </v>
          </cell>
          <cell r="O3790">
            <v>202</v>
          </cell>
        </row>
        <row r="3791">
          <cell r="F3791" t="str">
            <v xml:space="preserve">900702496      </v>
          </cell>
          <cell r="O3791">
            <v>508.3</v>
          </cell>
        </row>
        <row r="3792">
          <cell r="F3792" t="str">
            <v xml:space="preserve">79981193       </v>
          </cell>
          <cell r="O3792">
            <v>107.6</v>
          </cell>
        </row>
        <row r="3793">
          <cell r="F3793" t="str">
            <v xml:space="preserve">832006599      </v>
          </cell>
          <cell r="O3793">
            <v>5200.7</v>
          </cell>
        </row>
        <row r="3794">
          <cell r="F3794" t="str">
            <v xml:space="preserve">900451111      </v>
          </cell>
          <cell r="O3794">
            <v>364.4</v>
          </cell>
        </row>
        <row r="3795">
          <cell r="F3795" t="str">
            <v xml:space="preserve">900992422      </v>
          </cell>
          <cell r="O3795">
            <v>6690.1</v>
          </cell>
        </row>
        <row r="3796">
          <cell r="F3796" t="str">
            <v xml:space="preserve">890903939      </v>
          </cell>
          <cell r="O3796">
            <v>337.78</v>
          </cell>
        </row>
        <row r="3797">
          <cell r="F3797" t="str">
            <v xml:space="preserve">900445736      </v>
          </cell>
          <cell r="O3797">
            <v>90</v>
          </cell>
        </row>
        <row r="3798">
          <cell r="F3798" t="str">
            <v xml:space="preserve">900445736      </v>
          </cell>
          <cell r="O3798">
            <v>45</v>
          </cell>
        </row>
        <row r="3799">
          <cell r="F3799" t="str">
            <v xml:space="preserve">900762346      </v>
          </cell>
          <cell r="O3799">
            <v>45</v>
          </cell>
        </row>
        <row r="3800">
          <cell r="F3800" t="str">
            <v xml:space="preserve">212            </v>
          </cell>
          <cell r="O3800">
            <v>165</v>
          </cell>
        </row>
        <row r="3801">
          <cell r="F3801" t="str">
            <v xml:space="preserve">212            </v>
          </cell>
          <cell r="O3801">
            <v>414</v>
          </cell>
        </row>
        <row r="3802">
          <cell r="F3802" t="str">
            <v xml:space="preserve">212            </v>
          </cell>
          <cell r="O3802">
            <v>45</v>
          </cell>
        </row>
        <row r="3803">
          <cell r="F3803" t="str">
            <v xml:space="preserve">203            </v>
          </cell>
          <cell r="O3803">
            <v>9</v>
          </cell>
        </row>
        <row r="3804">
          <cell r="F3804" t="str">
            <v xml:space="preserve">203            </v>
          </cell>
          <cell r="O3804">
            <v>15</v>
          </cell>
        </row>
        <row r="3805">
          <cell r="F3805" t="str">
            <v xml:space="preserve">203            </v>
          </cell>
          <cell r="O3805">
            <v>72</v>
          </cell>
        </row>
        <row r="3806">
          <cell r="F3806" t="str">
            <v xml:space="preserve">203            </v>
          </cell>
          <cell r="O3806">
            <v>4.5</v>
          </cell>
        </row>
        <row r="3807">
          <cell r="F3807" t="str">
            <v xml:space="preserve">203            </v>
          </cell>
          <cell r="O3807">
            <v>36</v>
          </cell>
        </row>
        <row r="3808">
          <cell r="F3808" t="str">
            <v xml:space="preserve">21650387       </v>
          </cell>
          <cell r="O3808">
            <v>126</v>
          </cell>
        </row>
        <row r="3809">
          <cell r="F3809" t="str">
            <v xml:space="preserve">21785126       </v>
          </cell>
          <cell r="O3809">
            <v>15</v>
          </cell>
        </row>
        <row r="3810">
          <cell r="F3810" t="str">
            <v xml:space="preserve">21785126       </v>
          </cell>
          <cell r="O3810">
            <v>18</v>
          </cell>
        </row>
        <row r="3811">
          <cell r="F3811" t="str">
            <v xml:space="preserve">43032786       </v>
          </cell>
          <cell r="O3811">
            <v>18</v>
          </cell>
        </row>
        <row r="3812">
          <cell r="F3812" t="str">
            <v xml:space="preserve">890926617      </v>
          </cell>
          <cell r="O3812">
            <v>45</v>
          </cell>
        </row>
        <row r="3813">
          <cell r="F3813" t="str">
            <v xml:space="preserve">890938952      </v>
          </cell>
          <cell r="O3813">
            <v>90</v>
          </cell>
        </row>
        <row r="3814">
          <cell r="F3814" t="str">
            <v xml:space="preserve">890985417      </v>
          </cell>
          <cell r="O3814">
            <v>90</v>
          </cell>
        </row>
        <row r="3815">
          <cell r="F3815" t="str">
            <v xml:space="preserve">900199056      </v>
          </cell>
          <cell r="O3815">
            <v>90</v>
          </cell>
        </row>
        <row r="3816">
          <cell r="F3816" t="str">
            <v xml:space="preserve">900199056      </v>
          </cell>
          <cell r="O3816">
            <v>90</v>
          </cell>
        </row>
        <row r="3817">
          <cell r="F3817" t="str">
            <v xml:space="preserve">900199056      </v>
          </cell>
          <cell r="O3817">
            <v>36</v>
          </cell>
        </row>
        <row r="3818">
          <cell r="F3818" t="str">
            <v xml:space="preserve">900445736      </v>
          </cell>
          <cell r="O3818">
            <v>45</v>
          </cell>
        </row>
        <row r="3819">
          <cell r="F3819" t="str">
            <v xml:space="preserve">900445736      </v>
          </cell>
          <cell r="O3819">
            <v>45</v>
          </cell>
        </row>
        <row r="3820">
          <cell r="F3820" t="str">
            <v xml:space="preserve">900445736      </v>
          </cell>
          <cell r="O3820">
            <v>45</v>
          </cell>
        </row>
        <row r="3821">
          <cell r="F3821" t="str">
            <v xml:space="preserve">900880568      </v>
          </cell>
          <cell r="O3821">
            <v>72</v>
          </cell>
        </row>
        <row r="3822">
          <cell r="F3822" t="str">
            <v xml:space="preserve">70052771       </v>
          </cell>
          <cell r="O3822">
            <v>84</v>
          </cell>
        </row>
        <row r="3823">
          <cell r="F3823" t="str">
            <v xml:space="preserve">800092723      </v>
          </cell>
          <cell r="O3823">
            <v>30</v>
          </cell>
        </row>
        <row r="3824">
          <cell r="F3824" t="str">
            <v xml:space="preserve">811022351      </v>
          </cell>
          <cell r="O3824">
            <v>54</v>
          </cell>
        </row>
        <row r="3825">
          <cell r="F3825" t="str">
            <v xml:space="preserve">811034230      </v>
          </cell>
          <cell r="O3825">
            <v>18</v>
          </cell>
        </row>
        <row r="3826">
          <cell r="F3826" t="str">
            <v xml:space="preserve">811035741      </v>
          </cell>
          <cell r="O3826">
            <v>123</v>
          </cell>
        </row>
        <row r="3827">
          <cell r="F3827" t="str">
            <v xml:space="preserve">860013809      </v>
          </cell>
          <cell r="O3827">
            <v>162</v>
          </cell>
        </row>
        <row r="3828">
          <cell r="F3828" t="str">
            <v xml:space="preserve">860020382      </v>
          </cell>
          <cell r="O3828">
            <v>75</v>
          </cell>
        </row>
        <row r="3829">
          <cell r="F3829" t="str">
            <v xml:space="preserve">890900424      </v>
          </cell>
          <cell r="O3829">
            <v>75</v>
          </cell>
        </row>
        <row r="3830">
          <cell r="F3830" t="str">
            <v xml:space="preserve">890907406      </v>
          </cell>
          <cell r="O3830">
            <v>45</v>
          </cell>
        </row>
        <row r="3831">
          <cell r="F3831" t="str">
            <v xml:space="preserve">899999049      </v>
          </cell>
          <cell r="O3831">
            <v>15</v>
          </cell>
        </row>
        <row r="3832">
          <cell r="F3832" t="str">
            <v xml:space="preserve">901436775      </v>
          </cell>
          <cell r="O3832">
            <v>120</v>
          </cell>
        </row>
        <row r="3833">
          <cell r="F3833" t="str">
            <v xml:space="preserve">210            </v>
          </cell>
          <cell r="O3833">
            <v>4.5</v>
          </cell>
        </row>
        <row r="3834">
          <cell r="F3834" t="str">
            <v xml:space="preserve">210            </v>
          </cell>
          <cell r="O3834">
            <v>576</v>
          </cell>
        </row>
        <row r="3835">
          <cell r="F3835" t="str">
            <v xml:space="preserve">210            </v>
          </cell>
          <cell r="O3835">
            <v>45</v>
          </cell>
        </row>
        <row r="3836">
          <cell r="F3836" t="str">
            <v xml:space="preserve">210            </v>
          </cell>
          <cell r="O3836">
            <v>450</v>
          </cell>
        </row>
        <row r="3837">
          <cell r="F3837" t="str">
            <v xml:space="preserve">210            </v>
          </cell>
          <cell r="O3837">
            <v>315</v>
          </cell>
        </row>
        <row r="3838">
          <cell r="F3838" t="str">
            <v xml:space="preserve">210            </v>
          </cell>
          <cell r="O3838">
            <v>486</v>
          </cell>
        </row>
        <row r="3839">
          <cell r="F3839" t="str">
            <v xml:space="preserve">210            </v>
          </cell>
          <cell r="O3839">
            <v>45</v>
          </cell>
        </row>
        <row r="3840">
          <cell r="F3840" t="str">
            <v xml:space="preserve">101            </v>
          </cell>
          <cell r="O3840">
            <v>9</v>
          </cell>
        </row>
        <row r="3841">
          <cell r="F3841" t="str">
            <v xml:space="preserve">101            </v>
          </cell>
          <cell r="O3841">
            <v>90</v>
          </cell>
        </row>
        <row r="3842">
          <cell r="F3842" t="str">
            <v xml:space="preserve">101            </v>
          </cell>
          <cell r="O3842">
            <v>486</v>
          </cell>
        </row>
        <row r="3843">
          <cell r="F3843" t="str">
            <v xml:space="preserve">101            </v>
          </cell>
          <cell r="O3843">
            <v>18</v>
          </cell>
        </row>
        <row r="3844">
          <cell r="F3844" t="str">
            <v xml:space="preserve">860001697      </v>
          </cell>
          <cell r="O3844">
            <v>289.07</v>
          </cell>
        </row>
        <row r="3845">
          <cell r="F3845" t="str">
            <v xml:space="preserve">860001697      </v>
          </cell>
          <cell r="O3845">
            <v>206.1</v>
          </cell>
        </row>
        <row r="3846">
          <cell r="F3846" t="str">
            <v xml:space="preserve">404            </v>
          </cell>
          <cell r="O3846">
            <v>150</v>
          </cell>
        </row>
        <row r="3847">
          <cell r="F3847" t="str">
            <v xml:space="preserve">404            </v>
          </cell>
          <cell r="O3847">
            <v>18</v>
          </cell>
        </row>
        <row r="3848">
          <cell r="F3848" t="str">
            <v xml:space="preserve">404            </v>
          </cell>
          <cell r="O3848">
            <v>45</v>
          </cell>
        </row>
        <row r="3849">
          <cell r="F3849" t="str">
            <v xml:space="preserve">404            </v>
          </cell>
          <cell r="O3849">
            <v>210</v>
          </cell>
        </row>
        <row r="3850">
          <cell r="F3850" t="str">
            <v xml:space="preserve">860026753      </v>
          </cell>
          <cell r="O3850">
            <v>90</v>
          </cell>
        </row>
        <row r="3851">
          <cell r="F3851" t="str">
            <v xml:space="preserve">210            </v>
          </cell>
          <cell r="O3851">
            <v>30</v>
          </cell>
        </row>
        <row r="3852">
          <cell r="F3852" t="str">
            <v xml:space="preserve">210            </v>
          </cell>
          <cell r="O3852">
            <v>648</v>
          </cell>
        </row>
        <row r="3853">
          <cell r="F3853" t="str">
            <v xml:space="preserve">800003267      </v>
          </cell>
          <cell r="O3853">
            <v>180</v>
          </cell>
        </row>
        <row r="3854">
          <cell r="F3854" t="str">
            <v xml:space="preserve">800003267      </v>
          </cell>
          <cell r="O3854">
            <v>18</v>
          </cell>
        </row>
        <row r="3855">
          <cell r="F3855" t="str">
            <v xml:space="preserve">800161451      </v>
          </cell>
          <cell r="O3855">
            <v>18</v>
          </cell>
        </row>
        <row r="3856">
          <cell r="F3856" t="str">
            <v xml:space="preserve">805026018      </v>
          </cell>
          <cell r="O3856">
            <v>36</v>
          </cell>
        </row>
        <row r="3857">
          <cell r="F3857" t="str">
            <v xml:space="preserve">811047008      </v>
          </cell>
          <cell r="O3857">
            <v>36</v>
          </cell>
        </row>
        <row r="3858">
          <cell r="F3858" t="str">
            <v xml:space="preserve">890302609      </v>
          </cell>
          <cell r="O3858">
            <v>105</v>
          </cell>
        </row>
        <row r="3859">
          <cell r="F3859" t="str">
            <v xml:space="preserve">890304611      </v>
          </cell>
          <cell r="O3859">
            <v>60</v>
          </cell>
        </row>
        <row r="3860">
          <cell r="F3860" t="str">
            <v xml:space="preserve">890321924      </v>
          </cell>
          <cell r="O3860">
            <v>54</v>
          </cell>
        </row>
        <row r="3861">
          <cell r="F3861" t="str">
            <v xml:space="preserve">890805453      </v>
          </cell>
          <cell r="O3861">
            <v>54</v>
          </cell>
        </row>
        <row r="3862">
          <cell r="F3862" t="str">
            <v xml:space="preserve">890903939      </v>
          </cell>
          <cell r="O3862">
            <v>338</v>
          </cell>
        </row>
        <row r="3863">
          <cell r="F3863" t="str">
            <v xml:space="preserve">900233101      </v>
          </cell>
          <cell r="O3863">
            <v>90</v>
          </cell>
        </row>
        <row r="3864">
          <cell r="F3864" t="str">
            <v xml:space="preserve">900319753      </v>
          </cell>
          <cell r="O3864">
            <v>36</v>
          </cell>
        </row>
        <row r="3865">
          <cell r="F3865" t="str">
            <v xml:space="preserve">811020038      </v>
          </cell>
          <cell r="O3865">
            <v>54</v>
          </cell>
        </row>
        <row r="3866">
          <cell r="F3866" t="str">
            <v xml:space="preserve">860001697      </v>
          </cell>
          <cell r="O3866">
            <v>171.94</v>
          </cell>
        </row>
        <row r="3867">
          <cell r="F3867" t="str">
            <v xml:space="preserve">860001697      </v>
          </cell>
          <cell r="O3867">
            <v>533.38</v>
          </cell>
        </row>
        <row r="3868">
          <cell r="F3868" t="str">
            <v xml:space="preserve">860001697      </v>
          </cell>
          <cell r="O3868">
            <v>180.4</v>
          </cell>
        </row>
        <row r="3869">
          <cell r="F3869" t="str">
            <v xml:space="preserve">70900706       </v>
          </cell>
          <cell r="O3869">
            <v>45</v>
          </cell>
        </row>
        <row r="3870">
          <cell r="F3870" t="str">
            <v xml:space="preserve">70900706       </v>
          </cell>
          <cell r="O3870">
            <v>450</v>
          </cell>
        </row>
        <row r="3871">
          <cell r="F3871" t="str">
            <v xml:space="preserve">70900706       </v>
          </cell>
          <cell r="O3871">
            <v>45</v>
          </cell>
        </row>
        <row r="3872">
          <cell r="F3872" t="str">
            <v xml:space="preserve">70900706       </v>
          </cell>
          <cell r="O3872">
            <v>60</v>
          </cell>
        </row>
        <row r="3873">
          <cell r="F3873" t="str">
            <v xml:space="preserve">70900706       </v>
          </cell>
          <cell r="O3873">
            <v>252</v>
          </cell>
        </row>
        <row r="3874">
          <cell r="F3874" t="str">
            <v xml:space="preserve">70900706       </v>
          </cell>
          <cell r="O3874">
            <v>135</v>
          </cell>
        </row>
        <row r="3875">
          <cell r="F3875" t="str">
            <v xml:space="preserve">830010738      </v>
          </cell>
          <cell r="O3875">
            <v>254</v>
          </cell>
        </row>
        <row r="3876">
          <cell r="F3876" t="str">
            <v xml:space="preserve">830010738      </v>
          </cell>
          <cell r="O3876">
            <v>2302.6</v>
          </cell>
        </row>
        <row r="3877">
          <cell r="F3877" t="str">
            <v xml:space="preserve">832004045      </v>
          </cell>
          <cell r="O3877">
            <v>582.9</v>
          </cell>
        </row>
        <row r="3878">
          <cell r="F3878" t="str">
            <v xml:space="preserve">900081723      </v>
          </cell>
          <cell r="O3878">
            <v>935.9</v>
          </cell>
        </row>
        <row r="3879">
          <cell r="F3879" t="str">
            <v xml:space="preserve">900662475      </v>
          </cell>
          <cell r="O3879">
            <v>2500.1999999999998</v>
          </cell>
        </row>
        <row r="3880">
          <cell r="F3880" t="str">
            <v xml:space="preserve">52790620       </v>
          </cell>
          <cell r="O3880">
            <v>2268</v>
          </cell>
        </row>
        <row r="3881">
          <cell r="F3881" t="str">
            <v xml:space="preserve">18936116       </v>
          </cell>
          <cell r="O3881">
            <v>108</v>
          </cell>
        </row>
        <row r="3882">
          <cell r="F3882" t="str">
            <v xml:space="preserve">808001557      </v>
          </cell>
          <cell r="O3882">
            <v>1125</v>
          </cell>
        </row>
        <row r="3883">
          <cell r="F3883" t="str">
            <v xml:space="preserve">808001557      </v>
          </cell>
          <cell r="O3883">
            <v>1125</v>
          </cell>
        </row>
        <row r="3884">
          <cell r="F3884" t="str">
            <v xml:space="preserve">91451564       </v>
          </cell>
          <cell r="O3884">
            <v>240</v>
          </cell>
        </row>
        <row r="3885">
          <cell r="F3885" t="str">
            <v xml:space="preserve">91451564       </v>
          </cell>
          <cell r="O3885">
            <v>135</v>
          </cell>
        </row>
        <row r="3886">
          <cell r="F3886" t="str">
            <v xml:space="preserve">815003963      </v>
          </cell>
          <cell r="O3886">
            <v>9</v>
          </cell>
        </row>
        <row r="3887">
          <cell r="F3887" t="str">
            <v xml:space="preserve">900992422      </v>
          </cell>
          <cell r="O3887">
            <v>5216.8999999999996</v>
          </cell>
        </row>
        <row r="3888">
          <cell r="F3888" t="str">
            <v xml:space="preserve">15930557       </v>
          </cell>
          <cell r="O3888">
            <v>483.5</v>
          </cell>
        </row>
        <row r="3889">
          <cell r="F3889" t="str">
            <v xml:space="preserve">22058643       </v>
          </cell>
          <cell r="O3889">
            <v>728</v>
          </cell>
        </row>
        <row r="3890">
          <cell r="F3890" t="str">
            <v xml:space="preserve">70976688       </v>
          </cell>
          <cell r="O3890">
            <v>372.5</v>
          </cell>
        </row>
        <row r="3891">
          <cell r="F3891" t="str">
            <v xml:space="preserve">811013857      </v>
          </cell>
          <cell r="O3891">
            <v>1219.7</v>
          </cell>
        </row>
        <row r="3892">
          <cell r="F3892" t="str">
            <v xml:space="preserve">811014849      </v>
          </cell>
          <cell r="O3892">
            <v>699.3</v>
          </cell>
        </row>
        <row r="3893">
          <cell r="F3893" t="str">
            <v xml:space="preserve">811037075      </v>
          </cell>
          <cell r="O3893">
            <v>1184.3</v>
          </cell>
        </row>
        <row r="3894">
          <cell r="F3894" t="str">
            <v xml:space="preserve">901038239      </v>
          </cell>
          <cell r="O3894">
            <v>30</v>
          </cell>
        </row>
        <row r="3895">
          <cell r="F3895" t="str">
            <v xml:space="preserve">212            </v>
          </cell>
          <cell r="O3895">
            <v>45</v>
          </cell>
        </row>
        <row r="3896">
          <cell r="F3896" t="str">
            <v xml:space="preserve">900569044      </v>
          </cell>
          <cell r="O3896">
            <v>45</v>
          </cell>
        </row>
        <row r="3897">
          <cell r="F3897" t="str">
            <v xml:space="preserve">212            </v>
          </cell>
          <cell r="O3897">
            <v>45</v>
          </cell>
        </row>
        <row r="3898">
          <cell r="F3898" t="str">
            <v xml:space="preserve">212            </v>
          </cell>
          <cell r="O3898">
            <v>18</v>
          </cell>
        </row>
        <row r="3899">
          <cell r="F3899" t="str">
            <v xml:space="preserve">212            </v>
          </cell>
          <cell r="O3899">
            <v>90</v>
          </cell>
        </row>
        <row r="3900">
          <cell r="F3900" t="str">
            <v xml:space="preserve">830027386      </v>
          </cell>
          <cell r="O3900">
            <v>129</v>
          </cell>
        </row>
        <row r="3901">
          <cell r="F3901" t="str">
            <v xml:space="preserve">890900161      </v>
          </cell>
          <cell r="O3901">
            <v>240</v>
          </cell>
        </row>
        <row r="3902">
          <cell r="F3902" t="str">
            <v xml:space="preserve">890903939      </v>
          </cell>
          <cell r="O3902">
            <v>166.6</v>
          </cell>
        </row>
        <row r="3903">
          <cell r="F3903" t="str">
            <v xml:space="preserve">900603554      </v>
          </cell>
          <cell r="O3903">
            <v>54</v>
          </cell>
        </row>
        <row r="3904">
          <cell r="F3904" t="str">
            <v xml:space="preserve">901172312      </v>
          </cell>
          <cell r="O3904">
            <v>15</v>
          </cell>
        </row>
        <row r="3905">
          <cell r="F3905" t="str">
            <v xml:space="preserve">805000977      </v>
          </cell>
          <cell r="O3905">
            <v>18</v>
          </cell>
        </row>
        <row r="3906">
          <cell r="F3906" t="str">
            <v xml:space="preserve">805007674      </v>
          </cell>
          <cell r="O3906">
            <v>198</v>
          </cell>
        </row>
        <row r="3907">
          <cell r="F3907" t="str">
            <v xml:space="preserve">805012977      </v>
          </cell>
          <cell r="O3907">
            <v>144</v>
          </cell>
        </row>
        <row r="3908">
          <cell r="F3908" t="str">
            <v xml:space="preserve">830052685      </v>
          </cell>
          <cell r="O3908">
            <v>36</v>
          </cell>
        </row>
        <row r="3909">
          <cell r="F3909" t="str">
            <v xml:space="preserve">860020382      </v>
          </cell>
          <cell r="O3909">
            <v>36</v>
          </cell>
        </row>
        <row r="3910">
          <cell r="F3910" t="str">
            <v xml:space="preserve">860020382      </v>
          </cell>
          <cell r="O3910">
            <v>36</v>
          </cell>
        </row>
        <row r="3911">
          <cell r="F3911" t="str">
            <v xml:space="preserve">890308085      </v>
          </cell>
          <cell r="O3911">
            <v>36</v>
          </cell>
        </row>
        <row r="3912">
          <cell r="F3912" t="str">
            <v xml:space="preserve">890311251      </v>
          </cell>
          <cell r="O3912">
            <v>72</v>
          </cell>
        </row>
        <row r="3913">
          <cell r="F3913" t="str">
            <v xml:space="preserve">890312630      </v>
          </cell>
          <cell r="O3913">
            <v>72</v>
          </cell>
        </row>
        <row r="3914">
          <cell r="F3914" t="str">
            <v xml:space="preserve">890904713      </v>
          </cell>
          <cell r="O3914">
            <v>0</v>
          </cell>
        </row>
        <row r="3915">
          <cell r="F3915" t="str">
            <v xml:space="preserve">900204935      </v>
          </cell>
          <cell r="O3915">
            <v>36</v>
          </cell>
        </row>
        <row r="3916">
          <cell r="F3916" t="str">
            <v xml:space="preserve">900818921      </v>
          </cell>
          <cell r="O3916">
            <v>475</v>
          </cell>
        </row>
        <row r="3917">
          <cell r="F3917" t="str">
            <v xml:space="preserve">900896300      </v>
          </cell>
          <cell r="O3917">
            <v>123</v>
          </cell>
        </row>
        <row r="3918">
          <cell r="F3918" t="str">
            <v xml:space="preserve">901026262      </v>
          </cell>
          <cell r="O3918">
            <v>54</v>
          </cell>
        </row>
        <row r="3919">
          <cell r="F3919" t="str">
            <v xml:space="preserve">901286513      </v>
          </cell>
          <cell r="O3919">
            <v>45</v>
          </cell>
        </row>
        <row r="3920">
          <cell r="F3920" t="str">
            <v xml:space="preserve">203            </v>
          </cell>
          <cell r="O3920">
            <v>15</v>
          </cell>
        </row>
        <row r="3921">
          <cell r="F3921" t="str">
            <v xml:space="preserve">212            </v>
          </cell>
          <cell r="O3921">
            <v>45</v>
          </cell>
        </row>
        <row r="3922">
          <cell r="F3922" t="str">
            <v xml:space="preserve">212            </v>
          </cell>
          <cell r="O3922">
            <v>72</v>
          </cell>
        </row>
        <row r="3923">
          <cell r="F3923" t="str">
            <v xml:space="preserve">212            </v>
          </cell>
          <cell r="O3923">
            <v>45</v>
          </cell>
        </row>
        <row r="3924">
          <cell r="F3924" t="str">
            <v xml:space="preserve">900495908      </v>
          </cell>
          <cell r="O3924">
            <v>45</v>
          </cell>
        </row>
        <row r="3925">
          <cell r="F3925" t="str">
            <v xml:space="preserve">900495908      </v>
          </cell>
          <cell r="O3925">
            <v>15</v>
          </cell>
        </row>
        <row r="3926">
          <cell r="F3926" t="str">
            <v xml:space="preserve">900495908      </v>
          </cell>
          <cell r="O3926">
            <v>45</v>
          </cell>
        </row>
        <row r="3927">
          <cell r="F3927" t="str">
            <v xml:space="preserve">900495908      </v>
          </cell>
          <cell r="O3927">
            <v>45</v>
          </cell>
        </row>
        <row r="3928">
          <cell r="F3928" t="str">
            <v xml:space="preserve">1095837688     </v>
          </cell>
          <cell r="O3928">
            <v>67.8</v>
          </cell>
        </row>
        <row r="3929">
          <cell r="F3929" t="str">
            <v xml:space="preserve">37274379       </v>
          </cell>
          <cell r="O3929">
            <v>68.3</v>
          </cell>
        </row>
        <row r="3930">
          <cell r="F3930" t="str">
            <v xml:space="preserve">37390072       </v>
          </cell>
          <cell r="O3930">
            <v>142.5</v>
          </cell>
        </row>
        <row r="3931">
          <cell r="F3931" t="str">
            <v xml:space="preserve">37392006       </v>
          </cell>
          <cell r="O3931">
            <v>40.9</v>
          </cell>
        </row>
        <row r="3932">
          <cell r="F3932" t="str">
            <v xml:space="preserve">51652376       </v>
          </cell>
          <cell r="O3932">
            <v>189.4</v>
          </cell>
        </row>
        <row r="3933">
          <cell r="F3933" t="str">
            <v xml:space="preserve">807004341      </v>
          </cell>
          <cell r="O3933">
            <v>560</v>
          </cell>
        </row>
        <row r="3934">
          <cell r="F3934" t="str">
            <v xml:space="preserve">900431463      </v>
          </cell>
          <cell r="O3934">
            <v>105.1</v>
          </cell>
        </row>
        <row r="3935">
          <cell r="F3935" t="str">
            <v xml:space="preserve">901215181      </v>
          </cell>
          <cell r="O3935">
            <v>59.1</v>
          </cell>
        </row>
        <row r="3936">
          <cell r="F3936" t="str">
            <v xml:space="preserve">901595394      </v>
          </cell>
          <cell r="O3936">
            <v>1064.5999999999999</v>
          </cell>
        </row>
        <row r="3937">
          <cell r="F3937" t="str">
            <v xml:space="preserve">1088315297     </v>
          </cell>
          <cell r="O3937">
            <v>39</v>
          </cell>
        </row>
        <row r="3938">
          <cell r="F3938" t="str">
            <v xml:space="preserve">29352455       </v>
          </cell>
          <cell r="O3938">
            <v>60.6</v>
          </cell>
        </row>
        <row r="3939">
          <cell r="F3939" t="str">
            <v xml:space="preserve">29993012       </v>
          </cell>
          <cell r="O3939">
            <v>799</v>
          </cell>
        </row>
        <row r="3940">
          <cell r="F3940" t="str">
            <v xml:space="preserve">830107617      </v>
          </cell>
          <cell r="O3940">
            <v>2160</v>
          </cell>
        </row>
        <row r="3941">
          <cell r="F3941" t="str">
            <v xml:space="preserve">890300431      </v>
          </cell>
          <cell r="O3941">
            <v>1121.0999999999999</v>
          </cell>
        </row>
        <row r="3942">
          <cell r="F3942" t="str">
            <v xml:space="preserve">890308786      </v>
          </cell>
          <cell r="O3942">
            <v>3220.9</v>
          </cell>
        </row>
        <row r="3943">
          <cell r="F3943" t="str">
            <v xml:space="preserve">900030756      </v>
          </cell>
          <cell r="O3943">
            <v>2480.3000000000002</v>
          </cell>
        </row>
        <row r="3944">
          <cell r="F3944" t="str">
            <v xml:space="preserve">1007868559     </v>
          </cell>
          <cell r="O3944">
            <v>118.8</v>
          </cell>
        </row>
        <row r="3945">
          <cell r="F3945" t="str">
            <v xml:space="preserve">1098646917     </v>
          </cell>
          <cell r="O3945">
            <v>47.4</v>
          </cell>
        </row>
        <row r="3946">
          <cell r="F3946" t="str">
            <v xml:space="preserve">1102364375     </v>
          </cell>
          <cell r="O3946">
            <v>47.4</v>
          </cell>
        </row>
        <row r="3947">
          <cell r="F3947" t="str">
            <v xml:space="preserve">890205142      </v>
          </cell>
          <cell r="O3947">
            <v>1538.8</v>
          </cell>
        </row>
        <row r="3948">
          <cell r="F3948" t="str">
            <v xml:space="preserve">890205142      </v>
          </cell>
          <cell r="O3948">
            <v>5130</v>
          </cell>
        </row>
        <row r="3949">
          <cell r="F3949" t="str">
            <v xml:space="preserve">860518811      </v>
          </cell>
          <cell r="O3949">
            <v>340.7</v>
          </cell>
        </row>
        <row r="3950">
          <cell r="F3950" t="str">
            <v xml:space="preserve">901221052      </v>
          </cell>
          <cell r="O3950">
            <v>1288.5</v>
          </cell>
        </row>
        <row r="3951">
          <cell r="F3951" t="str">
            <v xml:space="preserve">811014849      </v>
          </cell>
          <cell r="O3951">
            <v>632.6</v>
          </cell>
        </row>
        <row r="3952">
          <cell r="F3952" t="str">
            <v xml:space="preserve">811025289      </v>
          </cell>
          <cell r="O3952">
            <v>588.4</v>
          </cell>
        </row>
        <row r="3953">
          <cell r="F3953" t="str">
            <v xml:space="preserve">890900223      </v>
          </cell>
          <cell r="O3953">
            <v>830</v>
          </cell>
        </row>
        <row r="3954">
          <cell r="F3954" t="str">
            <v xml:space="preserve">890910131      </v>
          </cell>
          <cell r="O3954">
            <v>202.6</v>
          </cell>
        </row>
        <row r="3955">
          <cell r="F3955" t="str">
            <v xml:space="preserve">890910131      </v>
          </cell>
          <cell r="O3955">
            <v>711.7</v>
          </cell>
        </row>
        <row r="3956">
          <cell r="F3956" t="str">
            <v xml:space="preserve">900256470      </v>
          </cell>
          <cell r="O3956">
            <v>416.4</v>
          </cell>
        </row>
        <row r="3957">
          <cell r="F3957" t="str">
            <v xml:space="preserve">901040236      </v>
          </cell>
          <cell r="O3957">
            <v>331.3</v>
          </cell>
        </row>
        <row r="3958">
          <cell r="F3958" t="str">
            <v xml:space="preserve">901243034      </v>
          </cell>
          <cell r="O3958">
            <v>400.2</v>
          </cell>
        </row>
        <row r="3959">
          <cell r="F3959" t="str">
            <v xml:space="preserve">800154428      </v>
          </cell>
          <cell r="O3959">
            <v>298</v>
          </cell>
        </row>
        <row r="3960">
          <cell r="F3960" t="str">
            <v xml:space="preserve">860002536      </v>
          </cell>
          <cell r="O3960">
            <v>1776.8</v>
          </cell>
        </row>
        <row r="3961">
          <cell r="F3961" t="str">
            <v xml:space="preserve">860002536      </v>
          </cell>
          <cell r="O3961">
            <v>465.9</v>
          </cell>
        </row>
        <row r="3962">
          <cell r="F3962" t="str">
            <v xml:space="preserve">860002536      </v>
          </cell>
          <cell r="O3962">
            <v>1502.9</v>
          </cell>
        </row>
        <row r="3963">
          <cell r="F3963" t="str">
            <v xml:space="preserve">900425471      </v>
          </cell>
          <cell r="O3963">
            <v>1202.0999999999999</v>
          </cell>
        </row>
        <row r="3964">
          <cell r="F3964" t="str">
            <v xml:space="preserve">900474647      </v>
          </cell>
          <cell r="O3964">
            <v>385.3</v>
          </cell>
        </row>
        <row r="3965">
          <cell r="F3965" t="str">
            <v xml:space="preserve">900474647      </v>
          </cell>
          <cell r="O3965">
            <v>1202.7</v>
          </cell>
        </row>
        <row r="3966">
          <cell r="F3966" t="str">
            <v xml:space="preserve">900805585      </v>
          </cell>
          <cell r="O3966">
            <v>1354</v>
          </cell>
        </row>
        <row r="3967">
          <cell r="F3967" t="str">
            <v xml:space="preserve">901392009      </v>
          </cell>
          <cell r="O3967">
            <v>4904.6000000000004</v>
          </cell>
        </row>
        <row r="3968">
          <cell r="F3968" t="str">
            <v xml:space="preserve">52790620       </v>
          </cell>
          <cell r="O3968">
            <v>225</v>
          </cell>
        </row>
        <row r="3969">
          <cell r="F3969" t="str">
            <v xml:space="preserve">52790620       </v>
          </cell>
          <cell r="O3969">
            <v>225</v>
          </cell>
        </row>
        <row r="3970">
          <cell r="F3970" t="str">
            <v xml:space="preserve">20369504       </v>
          </cell>
          <cell r="O3970">
            <v>71.5</v>
          </cell>
        </row>
        <row r="3971">
          <cell r="F3971" t="str">
            <v xml:space="preserve">20369504       </v>
          </cell>
          <cell r="O3971">
            <v>29.5</v>
          </cell>
        </row>
        <row r="3972">
          <cell r="F3972" t="str">
            <v xml:space="preserve">800134497      </v>
          </cell>
          <cell r="O3972">
            <v>748.9</v>
          </cell>
        </row>
        <row r="3973">
          <cell r="F3973" t="str">
            <v xml:space="preserve">808000785      </v>
          </cell>
          <cell r="O3973">
            <v>1900.6</v>
          </cell>
        </row>
        <row r="3974">
          <cell r="F3974" t="str">
            <v xml:space="preserve">808000785      </v>
          </cell>
          <cell r="O3974">
            <v>83.3</v>
          </cell>
        </row>
        <row r="3975">
          <cell r="F3975" t="str">
            <v xml:space="preserve">900166217      </v>
          </cell>
          <cell r="O3975">
            <v>0</v>
          </cell>
        </row>
        <row r="3976">
          <cell r="F3976" t="str">
            <v xml:space="preserve">805004809      </v>
          </cell>
          <cell r="O3976">
            <v>206.4</v>
          </cell>
        </row>
        <row r="3977">
          <cell r="F3977" t="str">
            <v xml:space="preserve">900233101      </v>
          </cell>
          <cell r="O3977">
            <v>842</v>
          </cell>
        </row>
        <row r="3978">
          <cell r="F3978" t="str">
            <v xml:space="preserve">901247983      </v>
          </cell>
          <cell r="O3978">
            <v>4480</v>
          </cell>
        </row>
        <row r="3979">
          <cell r="F3979" t="str">
            <v xml:space="preserve">900366070      </v>
          </cell>
          <cell r="O3979">
            <v>0</v>
          </cell>
        </row>
        <row r="3980">
          <cell r="F3980" t="str">
            <v xml:space="preserve">830118416      </v>
          </cell>
          <cell r="O3980">
            <v>6680</v>
          </cell>
        </row>
        <row r="3981">
          <cell r="F3981" t="str">
            <v xml:space="preserve">900197640      </v>
          </cell>
          <cell r="O3981">
            <v>1309.5</v>
          </cell>
        </row>
        <row r="3982">
          <cell r="F3982" t="str">
            <v xml:space="preserve">900197640      </v>
          </cell>
          <cell r="O3982">
            <v>1321.5</v>
          </cell>
        </row>
        <row r="3983">
          <cell r="F3983" t="str">
            <v xml:space="preserve">901020967      </v>
          </cell>
          <cell r="O3983">
            <v>3770</v>
          </cell>
        </row>
        <row r="3984">
          <cell r="F3984" t="str">
            <v xml:space="preserve">900716459      </v>
          </cell>
          <cell r="O3984">
            <v>3971.23</v>
          </cell>
        </row>
        <row r="3985">
          <cell r="F3985" t="str">
            <v xml:space="preserve">39656581       </v>
          </cell>
          <cell r="O3985">
            <v>40.28</v>
          </cell>
        </row>
        <row r="3986">
          <cell r="F3986" t="str">
            <v xml:space="preserve">51958738       </v>
          </cell>
          <cell r="O3986">
            <v>431.19</v>
          </cell>
        </row>
        <row r="3987">
          <cell r="F3987" t="str">
            <v xml:space="preserve">830018288      </v>
          </cell>
          <cell r="O3987">
            <v>60.75</v>
          </cell>
        </row>
        <row r="3988">
          <cell r="F3988" t="str">
            <v xml:space="preserve">830026277      </v>
          </cell>
          <cell r="O3988">
            <v>1600.79</v>
          </cell>
        </row>
        <row r="3989">
          <cell r="F3989" t="str">
            <v xml:space="preserve">900354555      </v>
          </cell>
          <cell r="O3989">
            <v>559.85</v>
          </cell>
        </row>
        <row r="3990">
          <cell r="F3990" t="str">
            <v xml:space="preserve">901177650      </v>
          </cell>
          <cell r="O3990">
            <v>90.61</v>
          </cell>
        </row>
        <row r="3991">
          <cell r="F3991" t="str">
            <v xml:space="preserve">20454645       </v>
          </cell>
          <cell r="O3991">
            <v>51.2</v>
          </cell>
        </row>
        <row r="3992">
          <cell r="F3992" t="str">
            <v xml:space="preserve">830010738      </v>
          </cell>
          <cell r="O3992">
            <v>122.8</v>
          </cell>
        </row>
        <row r="3993">
          <cell r="F3993" t="str">
            <v xml:space="preserve">830016868      </v>
          </cell>
          <cell r="O3993">
            <v>301</v>
          </cell>
        </row>
        <row r="3994">
          <cell r="F3994" t="str">
            <v xml:space="preserve">901169273      </v>
          </cell>
          <cell r="O3994">
            <v>1700.4</v>
          </cell>
        </row>
        <row r="3995">
          <cell r="F3995" t="str">
            <v xml:space="preserve">800028446      </v>
          </cell>
          <cell r="O3995">
            <v>1165.9000000000001</v>
          </cell>
        </row>
        <row r="3996">
          <cell r="F3996" t="str">
            <v xml:space="preserve">830073592      </v>
          </cell>
          <cell r="O3996">
            <v>811.3</v>
          </cell>
        </row>
        <row r="3997">
          <cell r="F3997" t="str">
            <v xml:space="preserve">830091965      </v>
          </cell>
          <cell r="O3997">
            <v>920</v>
          </cell>
        </row>
        <row r="3998">
          <cell r="F3998" t="str">
            <v xml:space="preserve">860002119      </v>
          </cell>
          <cell r="O3998">
            <v>1780.3</v>
          </cell>
        </row>
        <row r="3999">
          <cell r="F3999" t="str">
            <v xml:space="preserve">860011109      </v>
          </cell>
          <cell r="O3999">
            <v>1848.5</v>
          </cell>
        </row>
        <row r="4000">
          <cell r="F4000" t="str">
            <v xml:space="preserve">800209179      </v>
          </cell>
          <cell r="O4000">
            <v>45</v>
          </cell>
        </row>
        <row r="4001">
          <cell r="F4001" t="str">
            <v xml:space="preserve">805005148      </v>
          </cell>
          <cell r="O4001">
            <v>1026</v>
          </cell>
        </row>
        <row r="4002">
          <cell r="F4002" t="str">
            <v xml:space="preserve">805005148      </v>
          </cell>
          <cell r="O4002">
            <v>135</v>
          </cell>
        </row>
        <row r="4003">
          <cell r="F4003" t="str">
            <v xml:space="preserve">805005148      </v>
          </cell>
          <cell r="O4003">
            <v>180</v>
          </cell>
        </row>
        <row r="4004">
          <cell r="F4004" t="str">
            <v xml:space="preserve">805005148      </v>
          </cell>
          <cell r="O4004">
            <v>750</v>
          </cell>
        </row>
        <row r="4005">
          <cell r="F4005" t="str">
            <v xml:space="preserve">805005148      </v>
          </cell>
          <cell r="O4005">
            <v>972</v>
          </cell>
        </row>
        <row r="4006">
          <cell r="F4006" t="str">
            <v xml:space="preserve">805005148      </v>
          </cell>
          <cell r="O4006">
            <v>900</v>
          </cell>
        </row>
        <row r="4007">
          <cell r="F4007" t="str">
            <v xml:space="preserve">805005148      </v>
          </cell>
          <cell r="O4007">
            <v>45</v>
          </cell>
        </row>
        <row r="4008">
          <cell r="F4008" t="str">
            <v xml:space="preserve">805005148      </v>
          </cell>
          <cell r="O4008">
            <v>54</v>
          </cell>
        </row>
        <row r="4009">
          <cell r="F4009" t="str">
            <v xml:space="preserve">805005148      </v>
          </cell>
          <cell r="O4009">
            <v>5706</v>
          </cell>
        </row>
        <row r="4010">
          <cell r="F4010" t="str">
            <v xml:space="preserve">805005148      </v>
          </cell>
          <cell r="O4010">
            <v>300</v>
          </cell>
        </row>
        <row r="4011">
          <cell r="F4011" t="str">
            <v xml:space="preserve">805005148      </v>
          </cell>
          <cell r="O4011">
            <v>1170</v>
          </cell>
        </row>
        <row r="4012">
          <cell r="F4012" t="str">
            <v xml:space="preserve">805005148      </v>
          </cell>
          <cell r="O4012">
            <v>180</v>
          </cell>
        </row>
        <row r="4013">
          <cell r="F4013" t="str">
            <v xml:space="preserve">805005148      </v>
          </cell>
          <cell r="O4013">
            <v>60</v>
          </cell>
        </row>
        <row r="4014">
          <cell r="F4014" t="str">
            <v xml:space="preserve">805005148      </v>
          </cell>
          <cell r="O4014">
            <v>90</v>
          </cell>
        </row>
        <row r="4015">
          <cell r="F4015" t="str">
            <v xml:space="preserve">805005148      </v>
          </cell>
          <cell r="O4015">
            <v>18</v>
          </cell>
        </row>
        <row r="4016">
          <cell r="F4016" t="str">
            <v xml:space="preserve">805005148      </v>
          </cell>
          <cell r="O4016">
            <v>9</v>
          </cell>
        </row>
        <row r="4017">
          <cell r="F4017" t="str">
            <v xml:space="preserve">805005148      </v>
          </cell>
          <cell r="O4017">
            <v>45</v>
          </cell>
        </row>
        <row r="4018">
          <cell r="F4018" t="str">
            <v xml:space="preserve">805005148      </v>
          </cell>
          <cell r="O4018">
            <v>1548</v>
          </cell>
        </row>
        <row r="4019">
          <cell r="F4019" t="str">
            <v xml:space="preserve">805005148      </v>
          </cell>
          <cell r="O4019">
            <v>405</v>
          </cell>
        </row>
        <row r="4020">
          <cell r="F4020" t="str">
            <v xml:space="preserve">830089785      </v>
          </cell>
          <cell r="O4020">
            <v>54</v>
          </cell>
        </row>
        <row r="4021">
          <cell r="F4021" t="str">
            <v xml:space="preserve">1130605276     </v>
          </cell>
          <cell r="O4021">
            <v>4.5</v>
          </cell>
        </row>
        <row r="4022">
          <cell r="F4022" t="str">
            <v xml:space="preserve">1130605276     </v>
          </cell>
          <cell r="O4022">
            <v>9</v>
          </cell>
        </row>
        <row r="4023">
          <cell r="F4023" t="str">
            <v xml:space="preserve">1130605276     </v>
          </cell>
          <cell r="O4023">
            <v>135</v>
          </cell>
        </row>
        <row r="4024">
          <cell r="F4024" t="str">
            <v xml:space="preserve">1130605276     </v>
          </cell>
          <cell r="O4024">
            <v>792</v>
          </cell>
        </row>
        <row r="4025">
          <cell r="F4025" t="str">
            <v xml:space="preserve">1130605276     </v>
          </cell>
          <cell r="O4025">
            <v>135</v>
          </cell>
        </row>
        <row r="4026">
          <cell r="F4026" t="str">
            <v xml:space="preserve">94050412       </v>
          </cell>
          <cell r="O4026">
            <v>360</v>
          </cell>
        </row>
        <row r="4027">
          <cell r="F4027" t="str">
            <v xml:space="preserve">94050412       </v>
          </cell>
          <cell r="O4027">
            <v>90</v>
          </cell>
        </row>
        <row r="4028">
          <cell r="F4028" t="str">
            <v xml:space="preserve">88275315       </v>
          </cell>
          <cell r="O4028">
            <v>13.5</v>
          </cell>
        </row>
        <row r="4029">
          <cell r="F4029" t="str">
            <v xml:space="preserve">88275315       </v>
          </cell>
          <cell r="O4029">
            <v>27</v>
          </cell>
        </row>
        <row r="4030">
          <cell r="F4030" t="str">
            <v xml:space="preserve">88275315       </v>
          </cell>
          <cell r="O4030">
            <v>45</v>
          </cell>
        </row>
        <row r="4031">
          <cell r="F4031" t="str">
            <v xml:space="preserve">88275315       </v>
          </cell>
          <cell r="O4031">
            <v>1926</v>
          </cell>
        </row>
        <row r="4032">
          <cell r="F4032" t="str">
            <v xml:space="preserve">88275315       </v>
          </cell>
          <cell r="O4032">
            <v>270</v>
          </cell>
        </row>
        <row r="4033">
          <cell r="F4033" t="str">
            <v xml:space="preserve">94464104       </v>
          </cell>
          <cell r="O4033">
            <v>360</v>
          </cell>
        </row>
        <row r="4034">
          <cell r="F4034" t="str">
            <v xml:space="preserve">94464104       </v>
          </cell>
          <cell r="O4034">
            <v>126</v>
          </cell>
        </row>
        <row r="4035">
          <cell r="F4035" t="str">
            <v xml:space="preserve">16458005       </v>
          </cell>
          <cell r="O4035">
            <v>162</v>
          </cell>
        </row>
        <row r="4036">
          <cell r="F4036" t="str">
            <v xml:space="preserve">16458005       </v>
          </cell>
          <cell r="O4036">
            <v>90</v>
          </cell>
        </row>
        <row r="4037">
          <cell r="F4037" t="str">
            <v xml:space="preserve">16669313       </v>
          </cell>
          <cell r="O4037">
            <v>36</v>
          </cell>
        </row>
        <row r="4038">
          <cell r="F4038" t="str">
            <v xml:space="preserve">16669313       </v>
          </cell>
          <cell r="O4038">
            <v>60</v>
          </cell>
        </row>
        <row r="4039">
          <cell r="F4039" t="str">
            <v xml:space="preserve">16669313       </v>
          </cell>
          <cell r="O4039">
            <v>1440</v>
          </cell>
        </row>
        <row r="4040">
          <cell r="F4040" t="str">
            <v xml:space="preserve">16669313       </v>
          </cell>
          <cell r="O4040">
            <v>90</v>
          </cell>
        </row>
        <row r="4041">
          <cell r="F4041" t="str">
            <v xml:space="preserve">900034686      </v>
          </cell>
          <cell r="O4041">
            <v>36</v>
          </cell>
        </row>
        <row r="4042">
          <cell r="F4042" t="str">
            <v xml:space="preserve">900034686      </v>
          </cell>
          <cell r="O4042">
            <v>45</v>
          </cell>
        </row>
        <row r="4043">
          <cell r="F4043" t="str">
            <v xml:space="preserve">900034686      </v>
          </cell>
          <cell r="O4043">
            <v>90</v>
          </cell>
        </row>
        <row r="4044">
          <cell r="F4044" t="str">
            <v xml:space="preserve">900034686      </v>
          </cell>
          <cell r="O4044">
            <v>90</v>
          </cell>
        </row>
        <row r="4045">
          <cell r="F4045" t="str">
            <v xml:space="preserve">901551934      </v>
          </cell>
          <cell r="O4045">
            <v>36</v>
          </cell>
        </row>
        <row r="4046">
          <cell r="F4046" t="str">
            <v xml:space="preserve">901551934      </v>
          </cell>
          <cell r="O4046">
            <v>135</v>
          </cell>
        </row>
        <row r="4047">
          <cell r="F4047" t="str">
            <v xml:space="preserve">16460421       </v>
          </cell>
          <cell r="O4047">
            <v>45</v>
          </cell>
        </row>
        <row r="4048">
          <cell r="F4048" t="str">
            <v xml:space="preserve">16460421       </v>
          </cell>
          <cell r="O4048">
            <v>60</v>
          </cell>
        </row>
        <row r="4049">
          <cell r="F4049" t="str">
            <v xml:space="preserve">16460421       </v>
          </cell>
          <cell r="O4049">
            <v>1008</v>
          </cell>
        </row>
        <row r="4050">
          <cell r="F4050" t="str">
            <v xml:space="preserve">901382327      </v>
          </cell>
          <cell r="O4050">
            <v>36</v>
          </cell>
        </row>
        <row r="4051">
          <cell r="F4051" t="str">
            <v xml:space="preserve">75099432       </v>
          </cell>
          <cell r="O4051">
            <v>9</v>
          </cell>
        </row>
        <row r="4052">
          <cell r="F4052" t="str">
            <v xml:space="preserve">75099432       </v>
          </cell>
          <cell r="O4052">
            <v>600</v>
          </cell>
        </row>
        <row r="4053">
          <cell r="F4053" t="str">
            <v xml:space="preserve">75099432       </v>
          </cell>
          <cell r="O4053">
            <v>90</v>
          </cell>
        </row>
        <row r="4054">
          <cell r="F4054" t="str">
            <v xml:space="preserve">75099432       </v>
          </cell>
          <cell r="O4054">
            <v>180</v>
          </cell>
        </row>
        <row r="4055">
          <cell r="F4055" t="str">
            <v xml:space="preserve">15920401       </v>
          </cell>
          <cell r="O4055">
            <v>2070</v>
          </cell>
        </row>
        <row r="4056">
          <cell r="F4056" t="str">
            <v xml:space="preserve">15920401       </v>
          </cell>
          <cell r="O4056">
            <v>630</v>
          </cell>
        </row>
        <row r="4057">
          <cell r="F4057" t="str">
            <v xml:space="preserve">96359555       </v>
          </cell>
          <cell r="O4057">
            <v>1500</v>
          </cell>
        </row>
        <row r="4058">
          <cell r="F4058" t="str">
            <v xml:space="preserve">9696643        </v>
          </cell>
          <cell r="O4058">
            <v>2850</v>
          </cell>
        </row>
        <row r="4059">
          <cell r="F4059" t="str">
            <v xml:space="preserve">9696643        </v>
          </cell>
          <cell r="O4059">
            <v>612</v>
          </cell>
        </row>
        <row r="4060">
          <cell r="F4060" t="str">
            <v xml:space="preserve">10237057       </v>
          </cell>
          <cell r="O4060">
            <v>165</v>
          </cell>
        </row>
        <row r="4061">
          <cell r="F4061" t="str">
            <v xml:space="preserve">10237057       </v>
          </cell>
          <cell r="O4061">
            <v>18</v>
          </cell>
        </row>
        <row r="4062">
          <cell r="F4062" t="str">
            <v xml:space="preserve">10237057       </v>
          </cell>
          <cell r="O4062">
            <v>45</v>
          </cell>
        </row>
        <row r="4063">
          <cell r="F4063" t="str">
            <v xml:space="preserve">1111745154     </v>
          </cell>
          <cell r="O4063">
            <v>90</v>
          </cell>
        </row>
        <row r="4064">
          <cell r="F4064" t="str">
            <v xml:space="preserve">1111745154     </v>
          </cell>
          <cell r="O4064">
            <v>600</v>
          </cell>
        </row>
        <row r="4065">
          <cell r="F4065" t="str">
            <v xml:space="preserve">1111745154     </v>
          </cell>
          <cell r="O4065">
            <v>72</v>
          </cell>
        </row>
        <row r="4066">
          <cell r="F4066" t="str">
            <v xml:space="preserve">1111745154     </v>
          </cell>
          <cell r="O4066">
            <v>45</v>
          </cell>
        </row>
        <row r="4067">
          <cell r="F4067" t="str">
            <v xml:space="preserve">16456104       </v>
          </cell>
          <cell r="O4067">
            <v>450</v>
          </cell>
        </row>
        <row r="4068">
          <cell r="F4068" t="str">
            <v xml:space="preserve">16456104       </v>
          </cell>
          <cell r="O4068">
            <v>180</v>
          </cell>
        </row>
        <row r="4069">
          <cell r="F4069" t="str">
            <v xml:space="preserve">71734502       </v>
          </cell>
          <cell r="O4069">
            <v>4.5</v>
          </cell>
        </row>
        <row r="4070">
          <cell r="F4070" t="str">
            <v xml:space="preserve">71734502       </v>
          </cell>
          <cell r="O4070">
            <v>180</v>
          </cell>
        </row>
        <row r="4071">
          <cell r="F4071" t="str">
            <v xml:space="preserve">14471042       </v>
          </cell>
          <cell r="O4071">
            <v>150</v>
          </cell>
        </row>
        <row r="4072">
          <cell r="F4072" t="str">
            <v xml:space="preserve">14471042       </v>
          </cell>
          <cell r="O4072">
            <v>90</v>
          </cell>
        </row>
        <row r="4073">
          <cell r="F4073" t="str">
            <v xml:space="preserve">16479359       </v>
          </cell>
          <cell r="O4073">
            <v>180</v>
          </cell>
        </row>
        <row r="4074">
          <cell r="F4074" t="str">
            <v xml:space="preserve">16479359       </v>
          </cell>
          <cell r="O4074">
            <v>180</v>
          </cell>
        </row>
        <row r="4075">
          <cell r="F4075" t="str">
            <v xml:space="preserve">16214926       </v>
          </cell>
          <cell r="O4075">
            <v>150</v>
          </cell>
        </row>
        <row r="4076">
          <cell r="F4076" t="str">
            <v xml:space="preserve">29233836       </v>
          </cell>
          <cell r="O4076">
            <v>13.5</v>
          </cell>
        </row>
        <row r="4077">
          <cell r="F4077" t="str">
            <v xml:space="preserve">29233836       </v>
          </cell>
          <cell r="O4077">
            <v>345</v>
          </cell>
        </row>
        <row r="4078">
          <cell r="F4078" t="str">
            <v xml:space="preserve">29233836       </v>
          </cell>
          <cell r="O4078">
            <v>45</v>
          </cell>
        </row>
        <row r="4079">
          <cell r="F4079" t="str">
            <v xml:space="preserve">1088256267     </v>
          </cell>
          <cell r="O4079">
            <v>90</v>
          </cell>
        </row>
        <row r="4080">
          <cell r="F4080" t="str">
            <v xml:space="preserve">1088256267     </v>
          </cell>
          <cell r="O4080">
            <v>330</v>
          </cell>
        </row>
        <row r="4081">
          <cell r="F4081" t="str">
            <v xml:space="preserve">1088256267     </v>
          </cell>
          <cell r="O4081">
            <v>72</v>
          </cell>
        </row>
        <row r="4082">
          <cell r="F4082" t="str">
            <v xml:space="preserve">1088256267     </v>
          </cell>
          <cell r="O4082">
            <v>90</v>
          </cell>
        </row>
        <row r="4083">
          <cell r="F4083" t="str">
            <v xml:space="preserve">16225682       </v>
          </cell>
          <cell r="O4083">
            <v>390</v>
          </cell>
        </row>
        <row r="4084">
          <cell r="F4084" t="str">
            <v xml:space="preserve">16225682       </v>
          </cell>
          <cell r="O4084">
            <v>36</v>
          </cell>
        </row>
        <row r="4085">
          <cell r="F4085" t="str">
            <v xml:space="preserve">16225682       </v>
          </cell>
          <cell r="O4085">
            <v>9</v>
          </cell>
        </row>
        <row r="4086">
          <cell r="F4086" t="str">
            <v xml:space="preserve">24835836       </v>
          </cell>
          <cell r="O4086">
            <v>270</v>
          </cell>
        </row>
        <row r="4087">
          <cell r="F4087" t="str">
            <v xml:space="preserve">24835836       </v>
          </cell>
          <cell r="O4087">
            <v>54</v>
          </cell>
        </row>
        <row r="4088">
          <cell r="F4088" t="str">
            <v xml:space="preserve">18596221       </v>
          </cell>
          <cell r="O4088">
            <v>195</v>
          </cell>
        </row>
        <row r="4089">
          <cell r="F4089" t="str">
            <v xml:space="preserve">18596221       </v>
          </cell>
          <cell r="O4089">
            <v>18</v>
          </cell>
        </row>
        <row r="4090">
          <cell r="F4090" t="str">
            <v xml:space="preserve">805005148      </v>
          </cell>
          <cell r="O4090">
            <v>1782</v>
          </cell>
        </row>
        <row r="4091">
          <cell r="F4091" t="str">
            <v xml:space="preserve">805005148      </v>
          </cell>
          <cell r="O4091">
            <v>345</v>
          </cell>
        </row>
        <row r="4092">
          <cell r="F4092" t="str">
            <v xml:space="preserve">805005148      </v>
          </cell>
          <cell r="O4092">
            <v>1728</v>
          </cell>
        </row>
        <row r="4093">
          <cell r="F4093" t="str">
            <v xml:space="preserve">10532222       </v>
          </cell>
          <cell r="O4093">
            <v>216</v>
          </cell>
        </row>
        <row r="4094">
          <cell r="F4094" t="str">
            <v xml:space="preserve">12168724       </v>
          </cell>
          <cell r="O4094">
            <v>342</v>
          </cell>
        </row>
        <row r="4095">
          <cell r="F4095" t="str">
            <v xml:space="preserve">76211412       </v>
          </cell>
          <cell r="O4095">
            <v>90</v>
          </cell>
        </row>
        <row r="4096">
          <cell r="F4096" t="str">
            <v xml:space="preserve">10755493       </v>
          </cell>
          <cell r="O4096">
            <v>342</v>
          </cell>
        </row>
        <row r="4097">
          <cell r="F4097" t="str">
            <v xml:space="preserve">10755493       </v>
          </cell>
          <cell r="O4097">
            <v>45</v>
          </cell>
        </row>
        <row r="4098">
          <cell r="F4098" t="str">
            <v xml:space="preserve">10292388       </v>
          </cell>
          <cell r="O4098">
            <v>270</v>
          </cell>
        </row>
        <row r="4099">
          <cell r="F4099" t="str">
            <v xml:space="preserve">10292388       </v>
          </cell>
          <cell r="O4099">
            <v>225</v>
          </cell>
        </row>
        <row r="4100">
          <cell r="F4100" t="str">
            <v xml:space="preserve">9900047        </v>
          </cell>
          <cell r="O4100">
            <v>18</v>
          </cell>
        </row>
        <row r="4101">
          <cell r="F4101" t="str">
            <v xml:space="preserve">9900047        </v>
          </cell>
          <cell r="O4101">
            <v>45</v>
          </cell>
        </row>
        <row r="4102">
          <cell r="F4102" t="str">
            <v xml:space="preserve">9900047        </v>
          </cell>
          <cell r="O4102">
            <v>54</v>
          </cell>
        </row>
        <row r="4103">
          <cell r="F4103" t="str">
            <v xml:space="preserve">18389245       </v>
          </cell>
          <cell r="O4103">
            <v>225</v>
          </cell>
        </row>
        <row r="4104">
          <cell r="F4104" t="str">
            <v xml:space="preserve">18389245       </v>
          </cell>
          <cell r="O4104">
            <v>72</v>
          </cell>
        </row>
        <row r="4105">
          <cell r="F4105" t="str">
            <v xml:space="preserve">4613715        </v>
          </cell>
          <cell r="O4105">
            <v>27</v>
          </cell>
        </row>
        <row r="4106">
          <cell r="F4106" t="str">
            <v xml:space="preserve">4613715        </v>
          </cell>
          <cell r="O4106">
            <v>285</v>
          </cell>
        </row>
        <row r="4107">
          <cell r="F4107" t="str">
            <v xml:space="preserve">4613715        </v>
          </cell>
          <cell r="O4107">
            <v>396</v>
          </cell>
        </row>
        <row r="4108">
          <cell r="F4108" t="str">
            <v xml:space="preserve">4613715        </v>
          </cell>
          <cell r="O4108">
            <v>90</v>
          </cell>
        </row>
        <row r="4109">
          <cell r="F4109" t="str">
            <v xml:space="preserve">4613715        </v>
          </cell>
          <cell r="O4109">
            <v>648</v>
          </cell>
        </row>
        <row r="4110">
          <cell r="F4110" t="str">
            <v xml:space="preserve">6110295        </v>
          </cell>
          <cell r="O4110">
            <v>36</v>
          </cell>
        </row>
        <row r="4111">
          <cell r="F4111" t="str">
            <v xml:space="preserve">6110295        </v>
          </cell>
          <cell r="O4111">
            <v>315</v>
          </cell>
        </row>
        <row r="4112">
          <cell r="F4112" t="str">
            <v xml:space="preserve">6110295        </v>
          </cell>
          <cell r="O4112">
            <v>288</v>
          </cell>
        </row>
        <row r="4113">
          <cell r="F4113" t="str">
            <v xml:space="preserve">6110295        </v>
          </cell>
          <cell r="O4113">
            <v>180</v>
          </cell>
        </row>
        <row r="4114">
          <cell r="F4114" t="str">
            <v xml:space="preserve">805005148      </v>
          </cell>
          <cell r="O4114">
            <v>9</v>
          </cell>
        </row>
        <row r="4115">
          <cell r="F4115" t="str">
            <v xml:space="preserve">805005148      </v>
          </cell>
          <cell r="O4115">
            <v>30</v>
          </cell>
        </row>
        <row r="4116">
          <cell r="F4116" t="str">
            <v xml:space="preserve">805005148      </v>
          </cell>
          <cell r="O4116">
            <v>72</v>
          </cell>
        </row>
        <row r="4117">
          <cell r="F4117" t="str">
            <v xml:space="preserve">10488839       </v>
          </cell>
          <cell r="O4117">
            <v>522</v>
          </cell>
        </row>
        <row r="4118">
          <cell r="F4118" t="str">
            <v xml:space="preserve">10488839       </v>
          </cell>
          <cell r="O4118">
            <v>15</v>
          </cell>
        </row>
        <row r="4119">
          <cell r="F4119" t="str">
            <v xml:space="preserve">16843578       </v>
          </cell>
          <cell r="O4119">
            <v>1800</v>
          </cell>
        </row>
        <row r="4120">
          <cell r="F4120" t="str">
            <v xml:space="preserve">16843578       </v>
          </cell>
          <cell r="O4120">
            <v>45</v>
          </cell>
        </row>
        <row r="4121">
          <cell r="F4121" t="str">
            <v xml:space="preserve">16849293       </v>
          </cell>
          <cell r="O4121">
            <v>306</v>
          </cell>
        </row>
        <row r="4122">
          <cell r="F4122" t="str">
            <v xml:space="preserve">901465120      </v>
          </cell>
          <cell r="O4122">
            <v>18</v>
          </cell>
        </row>
        <row r="4123">
          <cell r="F4123" t="str">
            <v xml:space="preserve">10555516       </v>
          </cell>
          <cell r="O4123">
            <v>15</v>
          </cell>
        </row>
        <row r="4124">
          <cell r="F4124" t="str">
            <v xml:space="preserve">10555516       </v>
          </cell>
          <cell r="O4124">
            <v>432</v>
          </cell>
        </row>
        <row r="4125">
          <cell r="F4125" t="str">
            <v xml:space="preserve">10555516       </v>
          </cell>
          <cell r="O4125">
            <v>135</v>
          </cell>
        </row>
        <row r="4126">
          <cell r="F4126" t="str">
            <v xml:space="preserve">10555516       </v>
          </cell>
          <cell r="O4126">
            <v>18</v>
          </cell>
        </row>
        <row r="4127">
          <cell r="F4127" t="str">
            <v xml:space="preserve">900444531      </v>
          </cell>
          <cell r="O4127">
            <v>144</v>
          </cell>
        </row>
        <row r="4128">
          <cell r="F4128" t="str">
            <v xml:space="preserve">900893538      </v>
          </cell>
          <cell r="O4128">
            <v>18</v>
          </cell>
        </row>
        <row r="4129">
          <cell r="F4129" t="str">
            <v xml:space="preserve">7247040        </v>
          </cell>
          <cell r="O4129">
            <v>60</v>
          </cell>
        </row>
        <row r="4130">
          <cell r="F4130" t="str">
            <v xml:space="preserve">79736632       </v>
          </cell>
          <cell r="O4130">
            <v>630</v>
          </cell>
        </row>
        <row r="4131">
          <cell r="F4131" t="str">
            <v xml:space="preserve">26050336       </v>
          </cell>
          <cell r="O4131">
            <v>18</v>
          </cell>
        </row>
        <row r="4132">
          <cell r="F4132" t="str">
            <v xml:space="preserve">26050336       </v>
          </cell>
          <cell r="O4132">
            <v>15</v>
          </cell>
        </row>
        <row r="4133">
          <cell r="F4133" t="str">
            <v xml:space="preserve">26050336       </v>
          </cell>
          <cell r="O4133">
            <v>90</v>
          </cell>
        </row>
        <row r="4134">
          <cell r="F4134" t="str">
            <v xml:space="preserve">7163709        </v>
          </cell>
          <cell r="O4134">
            <v>450</v>
          </cell>
        </row>
        <row r="4135">
          <cell r="F4135" t="str">
            <v xml:space="preserve">7163709        </v>
          </cell>
          <cell r="O4135">
            <v>1296</v>
          </cell>
        </row>
        <row r="4136">
          <cell r="F4136" t="str">
            <v xml:space="preserve">7163709        </v>
          </cell>
          <cell r="O4136">
            <v>450</v>
          </cell>
        </row>
        <row r="4137">
          <cell r="F4137" t="str">
            <v xml:space="preserve">80397293       </v>
          </cell>
          <cell r="O4137">
            <v>75</v>
          </cell>
        </row>
        <row r="4138">
          <cell r="F4138" t="str">
            <v xml:space="preserve">80397293       </v>
          </cell>
          <cell r="O4138">
            <v>450</v>
          </cell>
        </row>
        <row r="4139">
          <cell r="F4139" t="str">
            <v xml:space="preserve">80397293       </v>
          </cell>
          <cell r="O4139">
            <v>180</v>
          </cell>
        </row>
        <row r="4140">
          <cell r="F4140" t="str">
            <v xml:space="preserve">93152963       </v>
          </cell>
          <cell r="O4140">
            <v>252</v>
          </cell>
        </row>
        <row r="4141">
          <cell r="F4141" t="str">
            <v xml:space="preserve">79824837       </v>
          </cell>
          <cell r="O4141">
            <v>558</v>
          </cell>
        </row>
        <row r="4142">
          <cell r="F4142" t="str">
            <v xml:space="preserve">79824837       </v>
          </cell>
          <cell r="O4142">
            <v>702</v>
          </cell>
        </row>
        <row r="4143">
          <cell r="F4143" t="str">
            <v xml:space="preserve">79824837       </v>
          </cell>
          <cell r="O4143">
            <v>1836</v>
          </cell>
        </row>
        <row r="4144">
          <cell r="F4144" t="str">
            <v xml:space="preserve">79824837       </v>
          </cell>
          <cell r="O4144">
            <v>90</v>
          </cell>
        </row>
        <row r="4145">
          <cell r="F4145" t="str">
            <v xml:space="preserve">3273085        </v>
          </cell>
          <cell r="O4145">
            <v>90</v>
          </cell>
        </row>
        <row r="4146">
          <cell r="F4146" t="str">
            <v xml:space="preserve">3273085        </v>
          </cell>
          <cell r="O4146">
            <v>900</v>
          </cell>
        </row>
        <row r="4147">
          <cell r="F4147" t="str">
            <v xml:space="preserve">3273085        </v>
          </cell>
          <cell r="O4147">
            <v>270</v>
          </cell>
        </row>
        <row r="4148">
          <cell r="F4148" t="str">
            <v xml:space="preserve">6667772        </v>
          </cell>
          <cell r="O4148">
            <v>27</v>
          </cell>
        </row>
        <row r="4149">
          <cell r="F4149" t="str">
            <v xml:space="preserve">6667772        </v>
          </cell>
          <cell r="O4149">
            <v>600</v>
          </cell>
        </row>
        <row r="4150">
          <cell r="F4150" t="str">
            <v xml:space="preserve">6667772        </v>
          </cell>
          <cell r="O4150">
            <v>1080</v>
          </cell>
        </row>
        <row r="4151">
          <cell r="F4151" t="str">
            <v xml:space="preserve">6667772        </v>
          </cell>
          <cell r="O4151">
            <v>900</v>
          </cell>
        </row>
        <row r="4152">
          <cell r="F4152" t="str">
            <v xml:space="preserve">6667772        </v>
          </cell>
          <cell r="O4152">
            <v>36</v>
          </cell>
        </row>
        <row r="4153">
          <cell r="F4153" t="str">
            <v xml:space="preserve">900459366      </v>
          </cell>
          <cell r="O4153">
            <v>75</v>
          </cell>
        </row>
        <row r="4154">
          <cell r="F4154" t="str">
            <v xml:space="preserve">900459366      </v>
          </cell>
          <cell r="O4154">
            <v>2520</v>
          </cell>
        </row>
        <row r="4155">
          <cell r="F4155" t="str">
            <v xml:space="preserve">900459366      </v>
          </cell>
          <cell r="O4155">
            <v>270</v>
          </cell>
        </row>
        <row r="4156">
          <cell r="F4156" t="str">
            <v xml:space="preserve">900459366      </v>
          </cell>
          <cell r="O4156">
            <v>36</v>
          </cell>
        </row>
        <row r="4157">
          <cell r="F4157" t="str">
            <v xml:space="preserve">71747063       </v>
          </cell>
          <cell r="O4157">
            <v>18</v>
          </cell>
        </row>
        <row r="4158">
          <cell r="F4158" t="str">
            <v xml:space="preserve">71747063       </v>
          </cell>
          <cell r="O4158">
            <v>1098</v>
          </cell>
        </row>
        <row r="4159">
          <cell r="F4159" t="str">
            <v xml:space="preserve">71747063       </v>
          </cell>
          <cell r="O4159">
            <v>540</v>
          </cell>
        </row>
        <row r="4160">
          <cell r="F4160" t="str">
            <v xml:space="preserve">71747063       </v>
          </cell>
          <cell r="O4160">
            <v>9</v>
          </cell>
        </row>
        <row r="4161">
          <cell r="F4161" t="str">
            <v xml:space="preserve">71747063       </v>
          </cell>
          <cell r="O4161">
            <v>198</v>
          </cell>
        </row>
        <row r="4162">
          <cell r="F4162" t="str">
            <v xml:space="preserve">71312536       </v>
          </cell>
          <cell r="O4162">
            <v>15</v>
          </cell>
        </row>
        <row r="4163">
          <cell r="F4163" t="str">
            <v xml:space="preserve">71312536       </v>
          </cell>
          <cell r="O4163">
            <v>4.5</v>
          </cell>
        </row>
        <row r="4164">
          <cell r="F4164" t="str">
            <v xml:space="preserve">71312536       </v>
          </cell>
          <cell r="O4164">
            <v>9</v>
          </cell>
        </row>
        <row r="4165">
          <cell r="F4165" t="str">
            <v xml:space="preserve">71312536       </v>
          </cell>
          <cell r="O4165">
            <v>165</v>
          </cell>
        </row>
        <row r="4166">
          <cell r="F4166" t="str">
            <v xml:space="preserve">71312536       </v>
          </cell>
          <cell r="O4166">
            <v>1260</v>
          </cell>
        </row>
        <row r="4167">
          <cell r="F4167" t="str">
            <v xml:space="preserve">71312536       </v>
          </cell>
          <cell r="O4167">
            <v>45</v>
          </cell>
        </row>
        <row r="4168">
          <cell r="F4168" t="str">
            <v xml:space="preserve">71215358       </v>
          </cell>
          <cell r="O4168">
            <v>90</v>
          </cell>
        </row>
        <row r="4169">
          <cell r="F4169" t="str">
            <v xml:space="preserve">71215358       </v>
          </cell>
          <cell r="O4169">
            <v>54</v>
          </cell>
        </row>
        <row r="4170">
          <cell r="F4170" t="str">
            <v xml:space="preserve">71215358       </v>
          </cell>
          <cell r="O4170">
            <v>75</v>
          </cell>
        </row>
        <row r="4171">
          <cell r="F4171" t="str">
            <v xml:space="preserve">71215358       </v>
          </cell>
          <cell r="O4171">
            <v>432</v>
          </cell>
        </row>
        <row r="4172">
          <cell r="F4172" t="str">
            <v xml:space="preserve">71215358       </v>
          </cell>
          <cell r="O4172">
            <v>90</v>
          </cell>
        </row>
        <row r="4173">
          <cell r="F4173" t="str">
            <v xml:space="preserve">71053866       </v>
          </cell>
          <cell r="O4173">
            <v>300</v>
          </cell>
        </row>
        <row r="4174">
          <cell r="F4174" t="str">
            <v xml:space="preserve">71053866       </v>
          </cell>
          <cell r="O4174">
            <v>1800</v>
          </cell>
        </row>
        <row r="4175">
          <cell r="F4175" t="str">
            <v xml:space="preserve">91179385       </v>
          </cell>
          <cell r="O4175">
            <v>30</v>
          </cell>
        </row>
        <row r="4176">
          <cell r="F4176" t="str">
            <v xml:space="preserve">91179385       </v>
          </cell>
          <cell r="O4176">
            <v>450</v>
          </cell>
        </row>
        <row r="4177">
          <cell r="F4177" t="str">
            <v xml:space="preserve">91179385       </v>
          </cell>
          <cell r="O4177">
            <v>225</v>
          </cell>
        </row>
        <row r="4178">
          <cell r="F4178" t="str">
            <v xml:space="preserve">88275004       </v>
          </cell>
          <cell r="O4178">
            <v>1500</v>
          </cell>
        </row>
        <row r="4179">
          <cell r="F4179" t="str">
            <v xml:space="preserve">88275004       </v>
          </cell>
          <cell r="O4179">
            <v>900</v>
          </cell>
        </row>
        <row r="4180">
          <cell r="F4180" t="str">
            <v xml:space="preserve">88275004       </v>
          </cell>
          <cell r="O4180">
            <v>270</v>
          </cell>
        </row>
        <row r="4181">
          <cell r="F4181" t="str">
            <v xml:space="preserve">88158577       </v>
          </cell>
          <cell r="O4181">
            <v>450</v>
          </cell>
        </row>
        <row r="4182">
          <cell r="F4182" t="str">
            <v xml:space="preserve">88158577       </v>
          </cell>
          <cell r="O4182">
            <v>900</v>
          </cell>
        </row>
        <row r="4183">
          <cell r="F4183" t="str">
            <v xml:space="preserve">88158577       </v>
          </cell>
          <cell r="O4183">
            <v>900</v>
          </cell>
        </row>
        <row r="4184">
          <cell r="F4184" t="str">
            <v xml:space="preserve">88158577       </v>
          </cell>
          <cell r="O4184">
            <v>270</v>
          </cell>
        </row>
        <row r="4185">
          <cell r="F4185" t="str">
            <v xml:space="preserve">79384689       </v>
          </cell>
          <cell r="O4185">
            <v>195</v>
          </cell>
        </row>
        <row r="4186">
          <cell r="F4186" t="str">
            <v xml:space="preserve">13494934       </v>
          </cell>
          <cell r="O4186">
            <v>465</v>
          </cell>
        </row>
        <row r="4187">
          <cell r="F4187" t="str">
            <v xml:space="preserve">13494934       </v>
          </cell>
          <cell r="O4187">
            <v>126</v>
          </cell>
        </row>
        <row r="4188">
          <cell r="F4188" t="str">
            <v xml:space="preserve">13494934       </v>
          </cell>
          <cell r="O4188">
            <v>225</v>
          </cell>
        </row>
        <row r="4189">
          <cell r="F4189" t="str">
            <v xml:space="preserve">13494934       </v>
          </cell>
          <cell r="O4189">
            <v>375</v>
          </cell>
        </row>
        <row r="4190">
          <cell r="F4190" t="str">
            <v xml:space="preserve">13494934       </v>
          </cell>
          <cell r="O4190">
            <v>72</v>
          </cell>
        </row>
        <row r="4191">
          <cell r="F4191" t="str">
            <v xml:space="preserve">13494934       </v>
          </cell>
          <cell r="O4191">
            <v>180</v>
          </cell>
        </row>
        <row r="4192">
          <cell r="F4192" t="str">
            <v xml:space="preserve">13494934       </v>
          </cell>
          <cell r="O4192">
            <v>210</v>
          </cell>
        </row>
        <row r="4193">
          <cell r="F4193" t="str">
            <v xml:space="preserve">13494934       </v>
          </cell>
          <cell r="O4193">
            <v>9</v>
          </cell>
        </row>
        <row r="4194">
          <cell r="F4194" t="str">
            <v xml:space="preserve">13494934       </v>
          </cell>
          <cell r="O4194">
            <v>90</v>
          </cell>
        </row>
        <row r="4195">
          <cell r="F4195" t="str">
            <v xml:space="preserve">88188644       </v>
          </cell>
          <cell r="O4195">
            <v>570</v>
          </cell>
        </row>
        <row r="4196">
          <cell r="F4196" t="str">
            <v xml:space="preserve">88188644       </v>
          </cell>
          <cell r="O4196">
            <v>225</v>
          </cell>
        </row>
        <row r="4197">
          <cell r="F4197" t="str">
            <v xml:space="preserve">1117502076     </v>
          </cell>
          <cell r="O4197">
            <v>9</v>
          </cell>
        </row>
        <row r="4198">
          <cell r="F4198" t="str">
            <v xml:space="preserve">1117502076     </v>
          </cell>
          <cell r="O4198">
            <v>15</v>
          </cell>
        </row>
        <row r="4199">
          <cell r="F4199" t="str">
            <v xml:space="preserve">1117502076     </v>
          </cell>
          <cell r="O4199">
            <v>720</v>
          </cell>
        </row>
        <row r="4200">
          <cell r="F4200" t="str">
            <v xml:space="preserve">5689927        </v>
          </cell>
          <cell r="O4200">
            <v>1008</v>
          </cell>
        </row>
        <row r="4201">
          <cell r="F4201" t="str">
            <v xml:space="preserve">5689927        </v>
          </cell>
          <cell r="O4201">
            <v>45</v>
          </cell>
        </row>
        <row r="4202">
          <cell r="F4202" t="str">
            <v xml:space="preserve">91266362       </v>
          </cell>
          <cell r="O4202">
            <v>180</v>
          </cell>
        </row>
        <row r="4203">
          <cell r="F4203" t="str">
            <v xml:space="preserve">91266362       </v>
          </cell>
          <cell r="O4203">
            <v>126</v>
          </cell>
        </row>
        <row r="4204">
          <cell r="F4204" t="str">
            <v xml:space="preserve">13537217       </v>
          </cell>
          <cell r="O4204">
            <v>60</v>
          </cell>
        </row>
        <row r="4205">
          <cell r="F4205" t="str">
            <v xml:space="preserve">13537217       </v>
          </cell>
          <cell r="O4205">
            <v>1458</v>
          </cell>
        </row>
        <row r="4206">
          <cell r="F4206" t="str">
            <v xml:space="preserve">13537217       </v>
          </cell>
          <cell r="O4206">
            <v>45</v>
          </cell>
        </row>
        <row r="4207">
          <cell r="F4207" t="str">
            <v xml:space="preserve">91136131       </v>
          </cell>
          <cell r="O4207">
            <v>1065</v>
          </cell>
        </row>
        <row r="4208">
          <cell r="F4208" t="str">
            <v xml:space="preserve">91136131       </v>
          </cell>
          <cell r="O4208">
            <v>540</v>
          </cell>
        </row>
        <row r="4209">
          <cell r="F4209" t="str">
            <v xml:space="preserve">91136131       </v>
          </cell>
          <cell r="O4209">
            <v>45</v>
          </cell>
        </row>
        <row r="4210">
          <cell r="F4210" t="str">
            <v xml:space="preserve">91136131       </v>
          </cell>
          <cell r="O4210">
            <v>135</v>
          </cell>
        </row>
        <row r="4211">
          <cell r="F4211" t="str">
            <v xml:space="preserve">890503966      </v>
          </cell>
          <cell r="O4211">
            <v>3330</v>
          </cell>
        </row>
        <row r="4212">
          <cell r="F4212" t="str">
            <v xml:space="preserve">890503966      </v>
          </cell>
          <cell r="O4212">
            <v>540</v>
          </cell>
        </row>
        <row r="4213">
          <cell r="F4213" t="str">
            <v xml:space="preserve">890503966      </v>
          </cell>
          <cell r="O4213">
            <v>855</v>
          </cell>
        </row>
        <row r="4214">
          <cell r="F4214" t="str">
            <v xml:space="preserve">890503966      </v>
          </cell>
          <cell r="O4214">
            <v>360</v>
          </cell>
        </row>
        <row r="4215">
          <cell r="F4215" t="str">
            <v xml:space="preserve">13702886       </v>
          </cell>
          <cell r="O4215">
            <v>90</v>
          </cell>
        </row>
        <row r="4216">
          <cell r="F4216" t="str">
            <v xml:space="preserve">91067422       </v>
          </cell>
          <cell r="O4216">
            <v>150</v>
          </cell>
        </row>
        <row r="4217">
          <cell r="F4217" t="str">
            <v xml:space="preserve">91067422       </v>
          </cell>
          <cell r="O4217">
            <v>180</v>
          </cell>
        </row>
        <row r="4218">
          <cell r="F4218" t="str">
            <v xml:space="preserve">91272730       </v>
          </cell>
          <cell r="O4218">
            <v>195</v>
          </cell>
        </row>
        <row r="4219">
          <cell r="F4219" t="str">
            <v xml:space="preserve">91272730       </v>
          </cell>
          <cell r="O4219">
            <v>72</v>
          </cell>
        </row>
        <row r="4220">
          <cell r="F4220" t="str">
            <v xml:space="preserve">13701254       </v>
          </cell>
          <cell r="O4220">
            <v>750</v>
          </cell>
        </row>
        <row r="4221">
          <cell r="F4221" t="str">
            <v xml:space="preserve">13701254       </v>
          </cell>
          <cell r="O4221">
            <v>90</v>
          </cell>
        </row>
        <row r="4222">
          <cell r="F4222" t="str">
            <v xml:space="preserve">13701254       </v>
          </cell>
          <cell r="O4222">
            <v>18</v>
          </cell>
        </row>
        <row r="4223">
          <cell r="F4223" t="str">
            <v xml:space="preserve">13701254       </v>
          </cell>
          <cell r="O4223">
            <v>45</v>
          </cell>
        </row>
        <row r="4224">
          <cell r="F4224" t="str">
            <v xml:space="preserve">13701254       </v>
          </cell>
          <cell r="O4224">
            <v>360</v>
          </cell>
        </row>
        <row r="4225">
          <cell r="F4225" t="str">
            <v xml:space="preserve">92543124       </v>
          </cell>
          <cell r="O4225">
            <v>1050</v>
          </cell>
        </row>
        <row r="4226">
          <cell r="F4226" t="str">
            <v xml:space="preserve">26229305       </v>
          </cell>
          <cell r="O4226">
            <v>1200</v>
          </cell>
        </row>
        <row r="4227">
          <cell r="F4227" t="str">
            <v xml:space="preserve">78033625       </v>
          </cell>
          <cell r="O4227">
            <v>2340</v>
          </cell>
        </row>
        <row r="4228">
          <cell r="F4228" t="str">
            <v xml:space="preserve">78033625       </v>
          </cell>
          <cell r="O4228">
            <v>45</v>
          </cell>
        </row>
        <row r="4229">
          <cell r="F4229" t="str">
            <v xml:space="preserve">901096204      </v>
          </cell>
          <cell r="O4229">
            <v>4.5</v>
          </cell>
        </row>
        <row r="4230">
          <cell r="F4230" t="str">
            <v xml:space="preserve">901096204      </v>
          </cell>
          <cell r="O4230">
            <v>18</v>
          </cell>
        </row>
        <row r="4231">
          <cell r="F4231" t="str">
            <v xml:space="preserve">901096204      </v>
          </cell>
          <cell r="O4231">
            <v>75</v>
          </cell>
        </row>
        <row r="4232">
          <cell r="F4232" t="str">
            <v xml:space="preserve">901096204      </v>
          </cell>
          <cell r="O4232">
            <v>1962</v>
          </cell>
        </row>
        <row r="4233">
          <cell r="F4233" t="str">
            <v xml:space="preserve">901096204      </v>
          </cell>
          <cell r="O4233">
            <v>2124</v>
          </cell>
        </row>
        <row r="4234">
          <cell r="F4234" t="str">
            <v xml:space="preserve">30853980       </v>
          </cell>
          <cell r="O4234">
            <v>30</v>
          </cell>
        </row>
        <row r="4235">
          <cell r="F4235" t="str">
            <v xml:space="preserve">30853980       </v>
          </cell>
          <cell r="O4235">
            <v>360</v>
          </cell>
        </row>
        <row r="4236">
          <cell r="F4236" t="str">
            <v xml:space="preserve">72137594       </v>
          </cell>
          <cell r="O4236">
            <v>360</v>
          </cell>
        </row>
        <row r="4237">
          <cell r="F4237" t="str">
            <v xml:space="preserve">72137594       </v>
          </cell>
          <cell r="O4237">
            <v>378</v>
          </cell>
        </row>
        <row r="4238">
          <cell r="F4238" t="str">
            <v xml:space="preserve">73238025       </v>
          </cell>
          <cell r="O4238">
            <v>255</v>
          </cell>
        </row>
        <row r="4239">
          <cell r="F4239" t="str">
            <v xml:space="preserve">73238025       </v>
          </cell>
          <cell r="O4239">
            <v>4554</v>
          </cell>
        </row>
        <row r="4240">
          <cell r="F4240" t="str">
            <v xml:space="preserve">73238025       </v>
          </cell>
          <cell r="O4240">
            <v>540</v>
          </cell>
        </row>
        <row r="4241">
          <cell r="F4241" t="str">
            <v xml:space="preserve">72196317       </v>
          </cell>
          <cell r="O4241">
            <v>15</v>
          </cell>
        </row>
        <row r="4242">
          <cell r="F4242" t="str">
            <v xml:space="preserve">72196317       </v>
          </cell>
          <cell r="O4242">
            <v>75</v>
          </cell>
        </row>
        <row r="4243">
          <cell r="F4243" t="str">
            <v xml:space="preserve">72196317       </v>
          </cell>
          <cell r="O4243">
            <v>660</v>
          </cell>
        </row>
        <row r="4244">
          <cell r="F4244" t="str">
            <v xml:space="preserve">72196317       </v>
          </cell>
          <cell r="O4244">
            <v>180</v>
          </cell>
        </row>
        <row r="4245">
          <cell r="F4245" t="str">
            <v xml:space="preserve">72196317       </v>
          </cell>
          <cell r="O4245">
            <v>315</v>
          </cell>
        </row>
        <row r="4246">
          <cell r="F4246" t="str">
            <v xml:space="preserve">72196317       </v>
          </cell>
          <cell r="O4246">
            <v>255</v>
          </cell>
        </row>
        <row r="4247">
          <cell r="F4247" t="str">
            <v xml:space="preserve">72196317       </v>
          </cell>
          <cell r="O4247">
            <v>36</v>
          </cell>
        </row>
        <row r="4248">
          <cell r="F4248" t="str">
            <v xml:space="preserve">72196317       </v>
          </cell>
          <cell r="O4248">
            <v>45</v>
          </cell>
        </row>
        <row r="4249">
          <cell r="F4249" t="str">
            <v xml:space="preserve">1047231108     </v>
          </cell>
          <cell r="O4249">
            <v>855</v>
          </cell>
        </row>
        <row r="4250">
          <cell r="F4250" t="str">
            <v xml:space="preserve">1047231108     </v>
          </cell>
          <cell r="O4250">
            <v>615</v>
          </cell>
        </row>
        <row r="4251">
          <cell r="F4251" t="str">
            <v xml:space="preserve">1047349327     </v>
          </cell>
          <cell r="O4251">
            <v>225</v>
          </cell>
        </row>
        <row r="4252">
          <cell r="F4252" t="str">
            <v xml:space="preserve">73079740       </v>
          </cell>
          <cell r="O4252">
            <v>522</v>
          </cell>
        </row>
        <row r="4253">
          <cell r="F4253" t="str">
            <v xml:space="preserve">73079740       </v>
          </cell>
          <cell r="O4253">
            <v>45</v>
          </cell>
        </row>
        <row r="4254">
          <cell r="F4254" t="str">
            <v xml:space="preserve">18531333       </v>
          </cell>
          <cell r="O4254">
            <v>510</v>
          </cell>
        </row>
        <row r="4255">
          <cell r="F4255" t="str">
            <v xml:space="preserve">18531333       </v>
          </cell>
          <cell r="O4255">
            <v>54</v>
          </cell>
        </row>
        <row r="4256">
          <cell r="F4256" t="str">
            <v xml:space="preserve">79827688       </v>
          </cell>
          <cell r="O4256">
            <v>288</v>
          </cell>
        </row>
        <row r="4257">
          <cell r="F4257" t="str">
            <v xml:space="preserve">79827688       </v>
          </cell>
          <cell r="O4257">
            <v>75</v>
          </cell>
        </row>
        <row r="4258">
          <cell r="F4258" t="str">
            <v xml:space="preserve">79827688       </v>
          </cell>
          <cell r="O4258">
            <v>126</v>
          </cell>
        </row>
        <row r="4259">
          <cell r="F4259" t="str">
            <v xml:space="preserve">92520690       </v>
          </cell>
          <cell r="O4259">
            <v>1386</v>
          </cell>
        </row>
        <row r="4260">
          <cell r="F4260" t="str">
            <v xml:space="preserve">80266206       </v>
          </cell>
          <cell r="O4260">
            <v>306</v>
          </cell>
        </row>
        <row r="4261">
          <cell r="F4261" t="str">
            <v xml:space="preserve">80266206       </v>
          </cell>
          <cell r="O4261">
            <v>72</v>
          </cell>
        </row>
        <row r="4262">
          <cell r="F4262" t="str">
            <v xml:space="preserve">1111739602     </v>
          </cell>
          <cell r="O4262">
            <v>1185</v>
          </cell>
        </row>
        <row r="4263">
          <cell r="F4263" t="str">
            <v xml:space="preserve">1111739602     </v>
          </cell>
          <cell r="O4263">
            <v>45</v>
          </cell>
        </row>
        <row r="4264">
          <cell r="F4264" t="str">
            <v xml:space="preserve">1111739602     </v>
          </cell>
          <cell r="O4264">
            <v>750</v>
          </cell>
        </row>
        <row r="4265">
          <cell r="F4265" t="str">
            <v xml:space="preserve">1111739602     </v>
          </cell>
          <cell r="O4265">
            <v>45</v>
          </cell>
        </row>
        <row r="4266">
          <cell r="F4266" t="str">
            <v xml:space="preserve">1111739602     </v>
          </cell>
          <cell r="O4266">
            <v>0</v>
          </cell>
        </row>
        <row r="4267">
          <cell r="F4267" t="str">
            <v xml:space="preserve">88168843       </v>
          </cell>
          <cell r="O4267">
            <v>9</v>
          </cell>
        </row>
        <row r="4268">
          <cell r="F4268" t="str">
            <v xml:space="preserve">88168843       </v>
          </cell>
          <cell r="O4268">
            <v>270</v>
          </cell>
        </row>
        <row r="4269">
          <cell r="F4269" t="str">
            <v xml:space="preserve">79266522       </v>
          </cell>
          <cell r="O4269">
            <v>180</v>
          </cell>
        </row>
        <row r="4270">
          <cell r="F4270" t="str">
            <v xml:space="preserve">79221604       </v>
          </cell>
          <cell r="O4270">
            <v>15</v>
          </cell>
        </row>
        <row r="4271">
          <cell r="F4271" t="str">
            <v xml:space="preserve">79221604       </v>
          </cell>
          <cell r="O4271">
            <v>450</v>
          </cell>
        </row>
        <row r="4272">
          <cell r="F4272" t="str">
            <v xml:space="preserve">79221604       </v>
          </cell>
          <cell r="O4272">
            <v>90</v>
          </cell>
        </row>
        <row r="4273">
          <cell r="F4273" t="str">
            <v xml:space="preserve">79221604       </v>
          </cell>
          <cell r="O4273">
            <v>36</v>
          </cell>
        </row>
        <row r="4274">
          <cell r="F4274" t="str">
            <v xml:space="preserve">79221604       </v>
          </cell>
          <cell r="O4274">
            <v>18</v>
          </cell>
        </row>
        <row r="4275">
          <cell r="F4275" t="str">
            <v xml:space="preserve">79221604       </v>
          </cell>
          <cell r="O4275">
            <v>15</v>
          </cell>
        </row>
        <row r="4276">
          <cell r="F4276" t="str">
            <v xml:space="preserve">79221604       </v>
          </cell>
          <cell r="O4276">
            <v>252</v>
          </cell>
        </row>
        <row r="4277">
          <cell r="F4277" t="str">
            <v xml:space="preserve">79221604       </v>
          </cell>
          <cell r="O4277">
            <v>90</v>
          </cell>
        </row>
        <row r="4278">
          <cell r="F4278" t="str">
            <v xml:space="preserve">9867640        </v>
          </cell>
          <cell r="O4278">
            <v>135</v>
          </cell>
        </row>
        <row r="4279">
          <cell r="F4279" t="str">
            <v xml:space="preserve">9867640        </v>
          </cell>
          <cell r="O4279">
            <v>36</v>
          </cell>
        </row>
        <row r="4280">
          <cell r="F4280" t="str">
            <v xml:space="preserve">10315862       </v>
          </cell>
          <cell r="O4280">
            <v>270</v>
          </cell>
        </row>
        <row r="4281">
          <cell r="F4281" t="str">
            <v xml:space="preserve">10315862       </v>
          </cell>
          <cell r="O4281">
            <v>45</v>
          </cell>
        </row>
        <row r="4282">
          <cell r="F4282" t="str">
            <v xml:space="preserve">1103101503     </v>
          </cell>
          <cell r="O4282">
            <v>15</v>
          </cell>
        </row>
        <row r="4283">
          <cell r="F4283" t="str">
            <v xml:space="preserve">1103101503     </v>
          </cell>
          <cell r="O4283">
            <v>36</v>
          </cell>
        </row>
        <row r="4284">
          <cell r="F4284" t="str">
            <v xml:space="preserve">1103101503     </v>
          </cell>
          <cell r="O4284">
            <v>270</v>
          </cell>
        </row>
        <row r="4285">
          <cell r="F4285" t="str">
            <v xml:space="preserve">73507193       </v>
          </cell>
          <cell r="O4285">
            <v>270</v>
          </cell>
        </row>
        <row r="4286">
          <cell r="F4286" t="str">
            <v xml:space="preserve">73507193       </v>
          </cell>
          <cell r="O4286">
            <v>360</v>
          </cell>
        </row>
        <row r="4287">
          <cell r="F4287" t="str">
            <v xml:space="preserve">73507193       </v>
          </cell>
          <cell r="O4287">
            <v>45</v>
          </cell>
        </row>
        <row r="4288">
          <cell r="F4288" t="str">
            <v xml:space="preserve">80021718       </v>
          </cell>
          <cell r="O4288">
            <v>1440</v>
          </cell>
        </row>
        <row r="4289">
          <cell r="F4289" t="str">
            <v xml:space="preserve">80021718       </v>
          </cell>
          <cell r="O4289">
            <v>450</v>
          </cell>
        </row>
        <row r="4290">
          <cell r="F4290" t="str">
            <v xml:space="preserve">74170036       </v>
          </cell>
          <cell r="O4290">
            <v>234</v>
          </cell>
        </row>
        <row r="4291">
          <cell r="F4291" t="str">
            <v xml:space="preserve">74170036       </v>
          </cell>
          <cell r="O4291">
            <v>135</v>
          </cell>
        </row>
        <row r="4292">
          <cell r="F4292" t="str">
            <v xml:space="preserve">7305425        </v>
          </cell>
          <cell r="O4292">
            <v>15</v>
          </cell>
        </row>
        <row r="4293">
          <cell r="F4293" t="str">
            <v xml:space="preserve">7305425        </v>
          </cell>
          <cell r="O4293">
            <v>270</v>
          </cell>
        </row>
        <row r="4294">
          <cell r="F4294" t="str">
            <v xml:space="preserve">7305425        </v>
          </cell>
          <cell r="O4294">
            <v>135</v>
          </cell>
        </row>
        <row r="4295">
          <cell r="F4295" t="str">
            <v xml:space="preserve">7301411        </v>
          </cell>
          <cell r="O4295">
            <v>774</v>
          </cell>
        </row>
        <row r="4296">
          <cell r="F4296" t="str">
            <v xml:space="preserve">7301411        </v>
          </cell>
          <cell r="O4296">
            <v>405</v>
          </cell>
        </row>
        <row r="4297">
          <cell r="F4297" t="str">
            <v xml:space="preserve">4252280        </v>
          </cell>
          <cell r="O4297">
            <v>450</v>
          </cell>
        </row>
        <row r="4298">
          <cell r="F4298" t="str">
            <v xml:space="preserve">4252280        </v>
          </cell>
          <cell r="O4298">
            <v>45</v>
          </cell>
        </row>
        <row r="4299">
          <cell r="F4299" t="str">
            <v xml:space="preserve">79734086       </v>
          </cell>
          <cell r="O4299">
            <v>414</v>
          </cell>
        </row>
        <row r="4300">
          <cell r="F4300" t="str">
            <v xml:space="preserve">79734086       </v>
          </cell>
          <cell r="O4300">
            <v>45</v>
          </cell>
        </row>
        <row r="4301">
          <cell r="F4301" t="str">
            <v xml:space="preserve">17783299       </v>
          </cell>
          <cell r="O4301">
            <v>1950</v>
          </cell>
        </row>
        <row r="4302">
          <cell r="F4302" t="str">
            <v xml:space="preserve">17783299       </v>
          </cell>
          <cell r="O4302">
            <v>35</v>
          </cell>
        </row>
        <row r="4303">
          <cell r="F4303" t="str">
            <v xml:space="preserve">3024873        </v>
          </cell>
          <cell r="O4303">
            <v>126</v>
          </cell>
        </row>
        <row r="4304">
          <cell r="F4304" t="str">
            <v xml:space="preserve">3024873        </v>
          </cell>
          <cell r="O4304">
            <v>135</v>
          </cell>
        </row>
        <row r="4305">
          <cell r="F4305" t="str">
            <v xml:space="preserve">800141632      </v>
          </cell>
          <cell r="O4305">
            <v>90</v>
          </cell>
        </row>
        <row r="4306">
          <cell r="F4306" t="str">
            <v xml:space="preserve">901019138      </v>
          </cell>
          <cell r="O4306">
            <v>54</v>
          </cell>
        </row>
        <row r="4307">
          <cell r="F4307" t="str">
            <v xml:space="preserve">35250577       </v>
          </cell>
          <cell r="O4307">
            <v>54</v>
          </cell>
        </row>
        <row r="4308">
          <cell r="F4308" t="str">
            <v xml:space="preserve">35250577       </v>
          </cell>
          <cell r="O4308">
            <v>18</v>
          </cell>
        </row>
        <row r="4309">
          <cell r="F4309" t="str">
            <v xml:space="preserve">35250577       </v>
          </cell>
          <cell r="O4309">
            <v>270</v>
          </cell>
        </row>
        <row r="4310">
          <cell r="F4310" t="str">
            <v xml:space="preserve">19389409       </v>
          </cell>
          <cell r="O4310">
            <v>378</v>
          </cell>
        </row>
        <row r="4311">
          <cell r="F4311" t="str">
            <v xml:space="preserve">19389409       </v>
          </cell>
          <cell r="O4311">
            <v>90</v>
          </cell>
        </row>
        <row r="4312">
          <cell r="F4312" t="str">
            <v xml:space="preserve">93131041       </v>
          </cell>
          <cell r="O4312">
            <v>900</v>
          </cell>
        </row>
        <row r="4313">
          <cell r="F4313" t="str">
            <v xml:space="preserve">93131041       </v>
          </cell>
          <cell r="O4313">
            <v>135</v>
          </cell>
        </row>
        <row r="4314">
          <cell r="F4314" t="str">
            <v xml:space="preserve">11320273       </v>
          </cell>
          <cell r="O4314">
            <v>882</v>
          </cell>
        </row>
        <row r="4315">
          <cell r="F4315" t="str">
            <v xml:space="preserve">11320273       </v>
          </cell>
          <cell r="O4315">
            <v>675</v>
          </cell>
        </row>
        <row r="4316">
          <cell r="F4316" t="str">
            <v xml:space="preserve">18185538       </v>
          </cell>
          <cell r="O4316">
            <v>450</v>
          </cell>
        </row>
        <row r="4317">
          <cell r="F4317" t="str">
            <v xml:space="preserve">18185538       </v>
          </cell>
          <cell r="O4317">
            <v>396</v>
          </cell>
        </row>
        <row r="4318">
          <cell r="F4318" t="str">
            <v xml:space="preserve">18185538       </v>
          </cell>
          <cell r="O4318">
            <v>90</v>
          </cell>
        </row>
        <row r="4319">
          <cell r="F4319" t="str">
            <v xml:space="preserve">12266504       </v>
          </cell>
          <cell r="O4319">
            <v>345</v>
          </cell>
        </row>
        <row r="4320">
          <cell r="F4320" t="str">
            <v xml:space="preserve">12266504       </v>
          </cell>
          <cell r="O4320">
            <v>45</v>
          </cell>
        </row>
        <row r="4321">
          <cell r="F4321" t="str">
            <v xml:space="preserve">12231586       </v>
          </cell>
          <cell r="O4321">
            <v>210</v>
          </cell>
        </row>
        <row r="4322">
          <cell r="F4322" t="str">
            <v xml:space="preserve">12231586       </v>
          </cell>
          <cell r="O4322">
            <v>72</v>
          </cell>
        </row>
        <row r="4323">
          <cell r="F4323" t="str">
            <v xml:space="preserve">12231586       </v>
          </cell>
          <cell r="O4323">
            <v>135</v>
          </cell>
        </row>
        <row r="4324">
          <cell r="F4324" t="str">
            <v xml:space="preserve">83042067       </v>
          </cell>
          <cell r="O4324">
            <v>135</v>
          </cell>
        </row>
        <row r="4325">
          <cell r="F4325" t="str">
            <v xml:space="preserve">83042067       </v>
          </cell>
          <cell r="O4325">
            <v>18</v>
          </cell>
        </row>
        <row r="4326">
          <cell r="F4326" t="str">
            <v xml:space="preserve">83042067       </v>
          </cell>
          <cell r="O4326">
            <v>270</v>
          </cell>
        </row>
        <row r="4327">
          <cell r="F4327" t="str">
            <v xml:space="preserve">18104078       </v>
          </cell>
          <cell r="O4327">
            <v>870</v>
          </cell>
        </row>
        <row r="4328">
          <cell r="F4328" t="str">
            <v xml:space="preserve">18104078       </v>
          </cell>
          <cell r="O4328">
            <v>144</v>
          </cell>
        </row>
        <row r="4329">
          <cell r="F4329" t="str">
            <v xml:space="preserve">18144684       </v>
          </cell>
          <cell r="O4329">
            <v>180</v>
          </cell>
        </row>
        <row r="4330">
          <cell r="F4330" t="str">
            <v xml:space="preserve">18144684       </v>
          </cell>
          <cell r="O4330">
            <v>90</v>
          </cell>
        </row>
        <row r="4331">
          <cell r="F4331" t="str">
            <v xml:space="preserve">1062292334     </v>
          </cell>
          <cell r="O4331">
            <v>900</v>
          </cell>
        </row>
        <row r="4332">
          <cell r="F4332" t="str">
            <v xml:space="preserve">1062292334     </v>
          </cell>
          <cell r="O4332">
            <v>450</v>
          </cell>
        </row>
        <row r="4333">
          <cell r="F4333" t="str">
            <v xml:space="preserve">15945210       </v>
          </cell>
          <cell r="O4333">
            <v>900</v>
          </cell>
        </row>
        <row r="4334">
          <cell r="F4334" t="str">
            <v xml:space="preserve">15945210       </v>
          </cell>
          <cell r="O4334">
            <v>360</v>
          </cell>
        </row>
        <row r="4335">
          <cell r="F4335" t="str">
            <v xml:space="preserve">15945210       </v>
          </cell>
          <cell r="O4335">
            <v>30</v>
          </cell>
        </row>
        <row r="4336">
          <cell r="F4336" t="str">
            <v xml:space="preserve">15945210       </v>
          </cell>
          <cell r="O4336">
            <v>135</v>
          </cell>
        </row>
        <row r="4337">
          <cell r="F4337" t="str">
            <v xml:space="preserve">15945210       </v>
          </cell>
          <cell r="O4337">
            <v>720</v>
          </cell>
        </row>
        <row r="4338">
          <cell r="F4338" t="str">
            <v xml:space="preserve">93287188       </v>
          </cell>
          <cell r="O4338">
            <v>720</v>
          </cell>
        </row>
        <row r="4339">
          <cell r="F4339" t="str">
            <v xml:space="preserve">11445090       </v>
          </cell>
          <cell r="O4339">
            <v>30</v>
          </cell>
        </row>
        <row r="4340">
          <cell r="F4340" t="str">
            <v xml:space="preserve">11445090       </v>
          </cell>
          <cell r="O4340">
            <v>72</v>
          </cell>
        </row>
        <row r="4341">
          <cell r="F4341" t="str">
            <v xml:space="preserve">11445090       </v>
          </cell>
          <cell r="O4341">
            <v>18</v>
          </cell>
        </row>
        <row r="4342">
          <cell r="F4342" t="str">
            <v xml:space="preserve">11445090       </v>
          </cell>
          <cell r="O4342">
            <v>135</v>
          </cell>
        </row>
        <row r="4343">
          <cell r="F4343" t="str">
            <v xml:space="preserve">11445090       </v>
          </cell>
          <cell r="O4343">
            <v>45</v>
          </cell>
        </row>
        <row r="4344">
          <cell r="F4344" t="str">
            <v xml:space="preserve">11445090       </v>
          </cell>
          <cell r="O4344">
            <v>36</v>
          </cell>
        </row>
        <row r="4345">
          <cell r="F4345" t="str">
            <v xml:space="preserve">11445090       </v>
          </cell>
          <cell r="O4345">
            <v>450</v>
          </cell>
        </row>
        <row r="4346">
          <cell r="F4346" t="str">
            <v xml:space="preserve">11445090       </v>
          </cell>
          <cell r="O4346">
            <v>153</v>
          </cell>
        </row>
        <row r="4347">
          <cell r="F4347" t="str">
            <v xml:space="preserve">11445090       </v>
          </cell>
          <cell r="O4347">
            <v>75</v>
          </cell>
        </row>
        <row r="4348">
          <cell r="F4348" t="str">
            <v xml:space="preserve">11445090       </v>
          </cell>
          <cell r="O4348">
            <v>540</v>
          </cell>
        </row>
        <row r="4349">
          <cell r="F4349" t="str">
            <v xml:space="preserve">11445090       </v>
          </cell>
          <cell r="O4349">
            <v>180</v>
          </cell>
        </row>
        <row r="4350">
          <cell r="F4350" t="str">
            <v xml:space="preserve">11445090       </v>
          </cell>
          <cell r="O4350">
            <v>180</v>
          </cell>
        </row>
        <row r="4351">
          <cell r="F4351" t="str">
            <v xml:space="preserve">11445090       </v>
          </cell>
          <cell r="O4351">
            <v>90</v>
          </cell>
        </row>
        <row r="4352">
          <cell r="F4352" t="str">
            <v xml:space="preserve">11445090       </v>
          </cell>
          <cell r="O4352">
            <v>252</v>
          </cell>
        </row>
        <row r="4353">
          <cell r="F4353" t="str">
            <v xml:space="preserve">11445090       </v>
          </cell>
          <cell r="O4353">
            <v>90</v>
          </cell>
        </row>
        <row r="4354">
          <cell r="F4354" t="str">
            <v xml:space="preserve">11445090       </v>
          </cell>
          <cell r="O4354">
            <v>180</v>
          </cell>
        </row>
        <row r="4355">
          <cell r="F4355" t="str">
            <v xml:space="preserve">11445090       </v>
          </cell>
          <cell r="O4355">
            <v>120</v>
          </cell>
        </row>
        <row r="4356">
          <cell r="F4356" t="str">
            <v xml:space="preserve">11445090       </v>
          </cell>
          <cell r="O4356">
            <v>684</v>
          </cell>
        </row>
        <row r="4357">
          <cell r="F4357" t="str">
            <v xml:space="preserve">11445090       </v>
          </cell>
          <cell r="O4357">
            <v>90</v>
          </cell>
        </row>
        <row r="4358">
          <cell r="F4358" t="str">
            <v xml:space="preserve">11445090       </v>
          </cell>
          <cell r="O4358">
            <v>99</v>
          </cell>
        </row>
        <row r="4359">
          <cell r="F4359" t="str">
            <v xml:space="preserve">11445090       </v>
          </cell>
          <cell r="O4359">
            <v>60</v>
          </cell>
        </row>
        <row r="4360">
          <cell r="F4360" t="str">
            <v xml:space="preserve">11445090       </v>
          </cell>
          <cell r="O4360">
            <v>756</v>
          </cell>
        </row>
        <row r="4361">
          <cell r="F4361" t="str">
            <v xml:space="preserve">11445090       </v>
          </cell>
          <cell r="O4361">
            <v>45</v>
          </cell>
        </row>
        <row r="4362">
          <cell r="F4362" t="str">
            <v xml:space="preserve">11445090       </v>
          </cell>
          <cell r="O4362">
            <v>450</v>
          </cell>
        </row>
        <row r="4363">
          <cell r="F4363" t="str">
            <v xml:space="preserve">11445090       </v>
          </cell>
          <cell r="O4363">
            <v>135</v>
          </cell>
        </row>
        <row r="4364">
          <cell r="F4364" t="str">
            <v xml:space="preserve">11445090       </v>
          </cell>
          <cell r="O4364">
            <v>144</v>
          </cell>
        </row>
        <row r="4365">
          <cell r="F4365" t="str">
            <v xml:space="preserve">11445090       </v>
          </cell>
          <cell r="O4365">
            <v>105</v>
          </cell>
        </row>
        <row r="4366">
          <cell r="F4366" t="str">
            <v xml:space="preserve">11445090       </v>
          </cell>
          <cell r="O4366">
            <v>1098</v>
          </cell>
        </row>
        <row r="4367">
          <cell r="F4367" t="str">
            <v xml:space="preserve">11445090       </v>
          </cell>
          <cell r="O4367">
            <v>54</v>
          </cell>
        </row>
        <row r="4368">
          <cell r="F4368" t="str">
            <v xml:space="preserve">11445090       </v>
          </cell>
          <cell r="O4368">
            <v>75</v>
          </cell>
        </row>
        <row r="4369">
          <cell r="F4369" t="str">
            <v xml:space="preserve">11445090       </v>
          </cell>
          <cell r="O4369">
            <v>198</v>
          </cell>
        </row>
        <row r="4370">
          <cell r="F4370" t="str">
            <v xml:space="preserve">11445090       </v>
          </cell>
          <cell r="O4370">
            <v>180</v>
          </cell>
        </row>
        <row r="4371">
          <cell r="F4371" t="str">
            <v xml:space="preserve">11445090       </v>
          </cell>
          <cell r="O4371">
            <v>99</v>
          </cell>
        </row>
        <row r="4372">
          <cell r="F4372" t="str">
            <v xml:space="preserve">11445090       </v>
          </cell>
          <cell r="O4372">
            <v>75</v>
          </cell>
        </row>
        <row r="4373">
          <cell r="F4373" t="str">
            <v xml:space="preserve">11445090       </v>
          </cell>
          <cell r="O4373">
            <v>162</v>
          </cell>
        </row>
        <row r="4374">
          <cell r="F4374" t="str">
            <v xml:space="preserve">11445090       </v>
          </cell>
          <cell r="O4374">
            <v>45</v>
          </cell>
        </row>
        <row r="4375">
          <cell r="F4375" t="str">
            <v xml:space="preserve">11445090       </v>
          </cell>
          <cell r="O4375">
            <v>45</v>
          </cell>
        </row>
        <row r="4376">
          <cell r="F4376" t="str">
            <v xml:space="preserve">11445090       </v>
          </cell>
          <cell r="O4376">
            <v>150</v>
          </cell>
        </row>
        <row r="4377">
          <cell r="F4377" t="str">
            <v xml:space="preserve">11445090       </v>
          </cell>
          <cell r="O4377">
            <v>36</v>
          </cell>
        </row>
        <row r="4378">
          <cell r="F4378" t="str">
            <v xml:space="preserve">11445090       </v>
          </cell>
          <cell r="O4378">
            <v>90</v>
          </cell>
        </row>
        <row r="4379">
          <cell r="F4379" t="str">
            <v xml:space="preserve">4090806        </v>
          </cell>
          <cell r="O4379">
            <v>18</v>
          </cell>
        </row>
        <row r="4380">
          <cell r="F4380" t="str">
            <v xml:space="preserve">860000762      </v>
          </cell>
          <cell r="O4380">
            <v>0</v>
          </cell>
        </row>
        <row r="4381">
          <cell r="F4381" t="str">
            <v xml:space="preserve">900396458      </v>
          </cell>
          <cell r="O4381">
            <v>90</v>
          </cell>
        </row>
        <row r="4382">
          <cell r="F4382" t="str">
            <v xml:space="preserve">1010164223     </v>
          </cell>
          <cell r="O4382">
            <v>378</v>
          </cell>
        </row>
        <row r="4383">
          <cell r="F4383" t="str">
            <v xml:space="preserve">1015995477     </v>
          </cell>
          <cell r="O4383">
            <v>243</v>
          </cell>
        </row>
        <row r="4384">
          <cell r="F4384" t="str">
            <v xml:space="preserve">1015995477     </v>
          </cell>
          <cell r="O4384">
            <v>45</v>
          </cell>
        </row>
        <row r="4385">
          <cell r="F4385" t="str">
            <v xml:space="preserve">80351964       </v>
          </cell>
          <cell r="O4385">
            <v>63</v>
          </cell>
        </row>
        <row r="4386">
          <cell r="F4386" t="str">
            <v xml:space="preserve">80351964       </v>
          </cell>
          <cell r="O4386">
            <v>30</v>
          </cell>
        </row>
        <row r="4387">
          <cell r="F4387" t="str">
            <v xml:space="preserve">80351964       </v>
          </cell>
          <cell r="O4387">
            <v>270</v>
          </cell>
        </row>
        <row r="4388">
          <cell r="F4388" t="str">
            <v xml:space="preserve">80351964       </v>
          </cell>
          <cell r="O4388">
            <v>45</v>
          </cell>
        </row>
        <row r="4389">
          <cell r="F4389" t="str">
            <v xml:space="preserve">860013720      </v>
          </cell>
          <cell r="O4389">
            <v>90</v>
          </cell>
        </row>
        <row r="4390">
          <cell r="F4390" t="str">
            <v xml:space="preserve">3155595        </v>
          </cell>
          <cell r="O4390">
            <v>720</v>
          </cell>
        </row>
        <row r="4391">
          <cell r="F4391" t="str">
            <v xml:space="preserve">3155595        </v>
          </cell>
          <cell r="O4391">
            <v>270</v>
          </cell>
        </row>
        <row r="4392">
          <cell r="F4392" t="str">
            <v xml:space="preserve">3090329        </v>
          </cell>
          <cell r="O4392">
            <v>270</v>
          </cell>
        </row>
        <row r="4393">
          <cell r="F4393" t="str">
            <v xml:space="preserve">1072422938     </v>
          </cell>
          <cell r="O4393">
            <v>9</v>
          </cell>
        </row>
        <row r="4394">
          <cell r="F4394" t="str">
            <v xml:space="preserve">1072422938     </v>
          </cell>
          <cell r="O4394">
            <v>522</v>
          </cell>
        </row>
        <row r="4395">
          <cell r="F4395" t="str">
            <v xml:space="preserve">1072422938     </v>
          </cell>
          <cell r="O4395">
            <v>270</v>
          </cell>
        </row>
        <row r="4396">
          <cell r="F4396" t="str">
            <v xml:space="preserve">79210220       </v>
          </cell>
          <cell r="O4396">
            <v>360</v>
          </cell>
        </row>
        <row r="4397">
          <cell r="F4397" t="str">
            <v xml:space="preserve">80024551       </v>
          </cell>
          <cell r="O4397">
            <v>18</v>
          </cell>
        </row>
        <row r="4398">
          <cell r="F4398" t="str">
            <v xml:space="preserve">80024551       </v>
          </cell>
          <cell r="O4398">
            <v>90</v>
          </cell>
        </row>
        <row r="4399">
          <cell r="F4399" t="str">
            <v xml:space="preserve">80024551       </v>
          </cell>
          <cell r="O4399">
            <v>1044</v>
          </cell>
        </row>
        <row r="4400">
          <cell r="F4400" t="str">
            <v xml:space="preserve">80024551       </v>
          </cell>
          <cell r="O4400">
            <v>225</v>
          </cell>
        </row>
        <row r="4401">
          <cell r="F4401" t="str">
            <v xml:space="preserve">4090806        </v>
          </cell>
          <cell r="O4401">
            <v>153</v>
          </cell>
        </row>
        <row r="4402">
          <cell r="F4402" t="str">
            <v xml:space="preserve">4090806        </v>
          </cell>
          <cell r="O4402">
            <v>75</v>
          </cell>
        </row>
        <row r="4403">
          <cell r="F4403" t="str">
            <v xml:space="preserve">4090806        </v>
          </cell>
          <cell r="O4403">
            <v>864</v>
          </cell>
        </row>
        <row r="4404">
          <cell r="F4404" t="str">
            <v xml:space="preserve">4090806        </v>
          </cell>
          <cell r="O4404">
            <v>450</v>
          </cell>
        </row>
        <row r="4405">
          <cell r="F4405" t="str">
            <v xml:space="preserve">80829725       </v>
          </cell>
          <cell r="O4405">
            <v>1260</v>
          </cell>
        </row>
        <row r="4406">
          <cell r="F4406" t="str">
            <v xml:space="preserve">80829725       </v>
          </cell>
          <cell r="O4406">
            <v>225</v>
          </cell>
        </row>
        <row r="4407">
          <cell r="F4407" t="str">
            <v xml:space="preserve">80004213       </v>
          </cell>
          <cell r="O4407">
            <v>150</v>
          </cell>
        </row>
        <row r="4408">
          <cell r="F4408" t="str">
            <v xml:space="preserve">80004213       </v>
          </cell>
          <cell r="O4408">
            <v>594</v>
          </cell>
        </row>
        <row r="4409">
          <cell r="F4409" t="str">
            <v xml:space="preserve">80004213       </v>
          </cell>
          <cell r="O4409">
            <v>90</v>
          </cell>
        </row>
        <row r="4410">
          <cell r="F4410" t="str">
            <v xml:space="preserve">98330118       </v>
          </cell>
          <cell r="O4410">
            <v>495</v>
          </cell>
        </row>
        <row r="4411">
          <cell r="F4411" t="str">
            <v xml:space="preserve">1126452165     </v>
          </cell>
          <cell r="O4411">
            <v>375</v>
          </cell>
        </row>
        <row r="4412">
          <cell r="F4412" t="str">
            <v xml:space="preserve">1126452165     </v>
          </cell>
          <cell r="O4412">
            <v>36</v>
          </cell>
        </row>
        <row r="4413">
          <cell r="F4413" t="str">
            <v xml:space="preserve">79339314       </v>
          </cell>
          <cell r="O4413">
            <v>135</v>
          </cell>
        </row>
        <row r="4414">
          <cell r="F4414" t="str">
            <v xml:space="preserve">79339314       </v>
          </cell>
          <cell r="O4414">
            <v>18</v>
          </cell>
        </row>
        <row r="4415">
          <cell r="F4415" t="str">
            <v xml:space="preserve">79339314       </v>
          </cell>
          <cell r="O4415">
            <v>90</v>
          </cell>
        </row>
        <row r="4416">
          <cell r="F4416" t="str">
            <v xml:space="preserve">3171403        </v>
          </cell>
          <cell r="O4416">
            <v>30</v>
          </cell>
        </row>
        <row r="4417">
          <cell r="F4417" t="str">
            <v xml:space="preserve">3171403        </v>
          </cell>
          <cell r="O4417">
            <v>306</v>
          </cell>
        </row>
        <row r="4418">
          <cell r="F4418" t="str">
            <v xml:space="preserve">3171403        </v>
          </cell>
          <cell r="O4418">
            <v>225</v>
          </cell>
        </row>
        <row r="4419">
          <cell r="F4419" t="str">
            <v xml:space="preserve">83218584       </v>
          </cell>
          <cell r="O4419">
            <v>315</v>
          </cell>
        </row>
        <row r="4420">
          <cell r="F4420" t="str">
            <v xml:space="preserve">83218584       </v>
          </cell>
          <cell r="O4420">
            <v>18</v>
          </cell>
        </row>
        <row r="4421">
          <cell r="F4421" t="str">
            <v xml:space="preserve">83218584       </v>
          </cell>
          <cell r="O4421">
            <v>90</v>
          </cell>
        </row>
        <row r="4422">
          <cell r="F4422" t="str">
            <v xml:space="preserve">83218584       </v>
          </cell>
          <cell r="O4422">
            <v>315</v>
          </cell>
        </row>
        <row r="4423">
          <cell r="F4423" t="str">
            <v xml:space="preserve">83218584       </v>
          </cell>
          <cell r="O4423">
            <v>54</v>
          </cell>
        </row>
        <row r="4424">
          <cell r="F4424" t="str">
            <v xml:space="preserve">83218584       </v>
          </cell>
          <cell r="O4424">
            <v>45</v>
          </cell>
        </row>
        <row r="4425">
          <cell r="F4425" t="str">
            <v xml:space="preserve">7305728        </v>
          </cell>
          <cell r="O4425">
            <v>120</v>
          </cell>
        </row>
        <row r="4426">
          <cell r="F4426" t="str">
            <v xml:space="preserve">7305728        </v>
          </cell>
          <cell r="O4426">
            <v>288</v>
          </cell>
        </row>
        <row r="4427">
          <cell r="F4427" t="str">
            <v xml:space="preserve">7305728        </v>
          </cell>
          <cell r="O4427">
            <v>90</v>
          </cell>
        </row>
        <row r="4428">
          <cell r="F4428" t="str">
            <v xml:space="preserve">16186421       </v>
          </cell>
          <cell r="O4428">
            <v>1200</v>
          </cell>
        </row>
        <row r="4429">
          <cell r="F4429" t="str">
            <v xml:space="preserve">16186421       </v>
          </cell>
          <cell r="O4429">
            <v>270</v>
          </cell>
        </row>
        <row r="4430">
          <cell r="F4430" t="str">
            <v xml:space="preserve">1093217151     </v>
          </cell>
          <cell r="O4430">
            <v>510</v>
          </cell>
        </row>
        <row r="4431">
          <cell r="F4431" t="str">
            <v xml:space="preserve">7545517        </v>
          </cell>
          <cell r="O4431">
            <v>9</v>
          </cell>
        </row>
        <row r="4432">
          <cell r="F4432" t="str">
            <v xml:space="preserve">901331542      </v>
          </cell>
          <cell r="O4432">
            <v>225</v>
          </cell>
        </row>
        <row r="4433">
          <cell r="F4433" t="str">
            <v xml:space="preserve">94071517       </v>
          </cell>
          <cell r="O4433">
            <v>225</v>
          </cell>
        </row>
        <row r="4434">
          <cell r="F4434" t="str">
            <v xml:space="preserve">94071517       </v>
          </cell>
          <cell r="O4434">
            <v>90</v>
          </cell>
        </row>
        <row r="4435">
          <cell r="F4435" t="str">
            <v xml:space="preserve">94071517       </v>
          </cell>
          <cell r="O4435">
            <v>45</v>
          </cell>
        </row>
        <row r="4436">
          <cell r="F4436" t="str">
            <v xml:space="preserve">8458310        </v>
          </cell>
          <cell r="O4436">
            <v>15</v>
          </cell>
        </row>
        <row r="4437">
          <cell r="F4437" t="str">
            <v xml:space="preserve">8458310        </v>
          </cell>
          <cell r="O4437">
            <v>180</v>
          </cell>
        </row>
        <row r="4438">
          <cell r="F4438" t="str">
            <v xml:space="preserve">8458310        </v>
          </cell>
          <cell r="O4438">
            <v>315</v>
          </cell>
        </row>
        <row r="4439">
          <cell r="F4439" t="str">
            <v xml:space="preserve">8101796        </v>
          </cell>
          <cell r="O4439">
            <v>450</v>
          </cell>
        </row>
        <row r="4440">
          <cell r="F4440" t="str">
            <v xml:space="preserve">8101796        </v>
          </cell>
          <cell r="O4440">
            <v>2340</v>
          </cell>
        </row>
        <row r="4441">
          <cell r="F4441" t="str">
            <v xml:space="preserve">8101796        </v>
          </cell>
          <cell r="O4441">
            <v>180</v>
          </cell>
        </row>
        <row r="4442">
          <cell r="F4442" t="str">
            <v xml:space="preserve">71174894       </v>
          </cell>
          <cell r="O4442">
            <v>2625</v>
          </cell>
        </row>
        <row r="4443">
          <cell r="F4443" t="str">
            <v xml:space="preserve">71174894       </v>
          </cell>
          <cell r="O4443">
            <v>90</v>
          </cell>
        </row>
        <row r="4444">
          <cell r="F4444" t="str">
            <v xml:space="preserve">71174894       </v>
          </cell>
          <cell r="O4444">
            <v>180</v>
          </cell>
        </row>
        <row r="4445">
          <cell r="F4445" t="str">
            <v xml:space="preserve">1023722736     </v>
          </cell>
          <cell r="O4445">
            <v>1125</v>
          </cell>
        </row>
        <row r="4446">
          <cell r="F4446" t="str">
            <v xml:space="preserve">1039696881     </v>
          </cell>
          <cell r="O4446">
            <v>1458</v>
          </cell>
        </row>
        <row r="4447">
          <cell r="F4447" t="str">
            <v xml:space="preserve">1039696881     </v>
          </cell>
          <cell r="O4447">
            <v>45</v>
          </cell>
        </row>
        <row r="4448">
          <cell r="F4448" t="str">
            <v xml:space="preserve">16186973       </v>
          </cell>
          <cell r="O4448">
            <v>27</v>
          </cell>
        </row>
        <row r="4449">
          <cell r="F4449" t="str">
            <v xml:space="preserve">16186973       </v>
          </cell>
          <cell r="O4449">
            <v>540</v>
          </cell>
        </row>
        <row r="4450">
          <cell r="F4450" t="str">
            <v xml:space="preserve">16186973       </v>
          </cell>
          <cell r="O4450">
            <v>90</v>
          </cell>
        </row>
        <row r="4451">
          <cell r="F4451" t="str">
            <v xml:space="preserve">1070329625     </v>
          </cell>
          <cell r="O4451">
            <v>450</v>
          </cell>
        </row>
        <row r="4452">
          <cell r="F4452" t="str">
            <v xml:space="preserve">1092154547     </v>
          </cell>
          <cell r="O4452">
            <v>30</v>
          </cell>
        </row>
        <row r="4453">
          <cell r="F4453" t="str">
            <v xml:space="preserve">1092154547     </v>
          </cell>
          <cell r="O4453">
            <v>378</v>
          </cell>
        </row>
        <row r="4454">
          <cell r="F4454" t="str">
            <v xml:space="preserve">1092154547     </v>
          </cell>
          <cell r="O4454">
            <v>4.5</v>
          </cell>
        </row>
        <row r="4455">
          <cell r="F4455" t="str">
            <v xml:space="preserve">1092154547     </v>
          </cell>
          <cell r="O4455">
            <v>27</v>
          </cell>
        </row>
        <row r="4456">
          <cell r="F4456" t="str">
            <v xml:space="preserve">15342410       </v>
          </cell>
          <cell r="O4456">
            <v>234</v>
          </cell>
        </row>
        <row r="4457">
          <cell r="F4457" t="str">
            <v xml:space="preserve">15342410       </v>
          </cell>
          <cell r="O4457">
            <v>1800</v>
          </cell>
        </row>
        <row r="4458">
          <cell r="F4458" t="str">
            <v xml:space="preserve">91352291       </v>
          </cell>
          <cell r="O4458">
            <v>120</v>
          </cell>
        </row>
        <row r="4459">
          <cell r="F4459" t="str">
            <v xml:space="preserve">91352291       </v>
          </cell>
          <cell r="O4459">
            <v>126</v>
          </cell>
        </row>
        <row r="4460">
          <cell r="F4460" t="str">
            <v xml:space="preserve">91352291       </v>
          </cell>
          <cell r="O4460">
            <v>135</v>
          </cell>
        </row>
        <row r="4461">
          <cell r="F4461" t="str">
            <v xml:space="preserve">91352291       </v>
          </cell>
          <cell r="O4461">
            <v>15</v>
          </cell>
        </row>
        <row r="4462">
          <cell r="F4462" t="str">
            <v xml:space="preserve">91352291       </v>
          </cell>
          <cell r="O4462">
            <v>225</v>
          </cell>
        </row>
        <row r="4463">
          <cell r="F4463" t="str">
            <v xml:space="preserve">91352291       </v>
          </cell>
          <cell r="O4463">
            <v>60</v>
          </cell>
        </row>
        <row r="4464">
          <cell r="F4464" t="str">
            <v xml:space="preserve">91352291       </v>
          </cell>
          <cell r="O4464">
            <v>378</v>
          </cell>
        </row>
        <row r="4465">
          <cell r="F4465" t="str">
            <v xml:space="preserve">10178861       </v>
          </cell>
          <cell r="O4465">
            <v>738</v>
          </cell>
        </row>
        <row r="4466">
          <cell r="F4466" t="str">
            <v xml:space="preserve">10178861       </v>
          </cell>
          <cell r="O4466">
            <v>225</v>
          </cell>
        </row>
        <row r="4467">
          <cell r="F4467" t="str">
            <v xml:space="preserve">6802563        </v>
          </cell>
          <cell r="O4467">
            <v>510</v>
          </cell>
        </row>
        <row r="4468">
          <cell r="F4468" t="str">
            <v xml:space="preserve">1105671149     </v>
          </cell>
          <cell r="O4468">
            <v>2142</v>
          </cell>
        </row>
        <row r="4469">
          <cell r="F4469" t="str">
            <v xml:space="preserve">88273778       </v>
          </cell>
          <cell r="O4469">
            <v>30</v>
          </cell>
        </row>
        <row r="4470">
          <cell r="F4470" t="str">
            <v xml:space="preserve">88273778       </v>
          </cell>
          <cell r="O4470">
            <v>210</v>
          </cell>
        </row>
        <row r="4471">
          <cell r="F4471" t="str">
            <v xml:space="preserve">88273778       </v>
          </cell>
          <cell r="O4471">
            <v>90</v>
          </cell>
        </row>
        <row r="4472">
          <cell r="F4472" t="str">
            <v xml:space="preserve">10174892       </v>
          </cell>
          <cell r="O4472">
            <v>180</v>
          </cell>
        </row>
        <row r="4473">
          <cell r="F4473" t="str">
            <v xml:space="preserve">10174892       </v>
          </cell>
          <cell r="O4473">
            <v>720</v>
          </cell>
        </row>
        <row r="4474">
          <cell r="F4474" t="str">
            <v xml:space="preserve">10174892       </v>
          </cell>
          <cell r="O4474">
            <v>150</v>
          </cell>
        </row>
        <row r="4475">
          <cell r="F4475" t="str">
            <v xml:space="preserve">13476066       </v>
          </cell>
          <cell r="O4475">
            <v>18</v>
          </cell>
        </row>
        <row r="4476">
          <cell r="F4476" t="str">
            <v xml:space="preserve">13476066       </v>
          </cell>
          <cell r="O4476">
            <v>450</v>
          </cell>
        </row>
        <row r="4477">
          <cell r="F4477" t="str">
            <v xml:space="preserve">13476066       </v>
          </cell>
          <cell r="O4477">
            <v>72</v>
          </cell>
        </row>
        <row r="4478">
          <cell r="F4478" t="str">
            <v xml:space="preserve">13476066       </v>
          </cell>
          <cell r="O4478">
            <v>180</v>
          </cell>
        </row>
        <row r="4479">
          <cell r="F4479" t="str">
            <v xml:space="preserve">98763233       </v>
          </cell>
          <cell r="O4479">
            <v>31.5</v>
          </cell>
        </row>
        <row r="4480">
          <cell r="F4480" t="str">
            <v xml:space="preserve">98763233       </v>
          </cell>
          <cell r="O4480">
            <v>18</v>
          </cell>
        </row>
        <row r="4481">
          <cell r="F4481" t="str">
            <v xml:space="preserve">98763233       </v>
          </cell>
          <cell r="O4481">
            <v>1296</v>
          </cell>
        </row>
        <row r="4482">
          <cell r="F4482" t="str">
            <v xml:space="preserve">10180926       </v>
          </cell>
          <cell r="O4482">
            <v>105</v>
          </cell>
        </row>
        <row r="4483">
          <cell r="F4483" t="str">
            <v xml:space="preserve">10180926       </v>
          </cell>
          <cell r="O4483">
            <v>540</v>
          </cell>
        </row>
        <row r="4484">
          <cell r="F4484" t="str">
            <v xml:space="preserve">10180926       </v>
          </cell>
          <cell r="O4484">
            <v>45</v>
          </cell>
        </row>
        <row r="4485">
          <cell r="F4485" t="str">
            <v xml:space="preserve">901301637      </v>
          </cell>
          <cell r="O4485">
            <v>630</v>
          </cell>
        </row>
        <row r="4486">
          <cell r="F4486" t="str">
            <v xml:space="preserve">901301637      </v>
          </cell>
          <cell r="O4486">
            <v>5274</v>
          </cell>
        </row>
        <row r="4487">
          <cell r="F4487" t="str">
            <v xml:space="preserve">901301637      </v>
          </cell>
          <cell r="O4487">
            <v>360</v>
          </cell>
        </row>
        <row r="4488">
          <cell r="F4488" t="str">
            <v xml:space="preserve">901301637      </v>
          </cell>
          <cell r="O4488">
            <v>900</v>
          </cell>
        </row>
        <row r="4489">
          <cell r="F4489" t="str">
            <v xml:space="preserve">1036942800     </v>
          </cell>
          <cell r="O4489">
            <v>90</v>
          </cell>
        </row>
        <row r="4490">
          <cell r="F4490" t="str">
            <v xml:space="preserve">1036942800     </v>
          </cell>
          <cell r="O4490">
            <v>225</v>
          </cell>
        </row>
        <row r="4491">
          <cell r="F4491" t="str">
            <v xml:space="preserve">1090397527     </v>
          </cell>
          <cell r="O4491">
            <v>600</v>
          </cell>
        </row>
        <row r="4492">
          <cell r="F4492" t="str">
            <v xml:space="preserve">1090397527     </v>
          </cell>
          <cell r="O4492">
            <v>135</v>
          </cell>
        </row>
        <row r="4493">
          <cell r="F4493" t="str">
            <v xml:space="preserve">1090397527     </v>
          </cell>
          <cell r="O4493">
            <v>390</v>
          </cell>
        </row>
        <row r="4494">
          <cell r="F4494" t="str">
            <v xml:space="preserve">1090397527     </v>
          </cell>
          <cell r="O4494">
            <v>180</v>
          </cell>
        </row>
        <row r="4495">
          <cell r="F4495" t="str">
            <v xml:space="preserve">1090397527     </v>
          </cell>
          <cell r="O4495">
            <v>345</v>
          </cell>
        </row>
        <row r="4496">
          <cell r="F4496" t="str">
            <v xml:space="preserve">1090397527     </v>
          </cell>
          <cell r="O4496">
            <v>720</v>
          </cell>
        </row>
        <row r="4497">
          <cell r="F4497" t="str">
            <v xml:space="preserve">1090397527     </v>
          </cell>
          <cell r="O4497">
            <v>600</v>
          </cell>
        </row>
        <row r="4498">
          <cell r="F4498" t="str">
            <v xml:space="preserve">1090397527     </v>
          </cell>
          <cell r="O4498">
            <v>315</v>
          </cell>
        </row>
        <row r="4499">
          <cell r="F4499" t="str">
            <v xml:space="preserve">1090397527     </v>
          </cell>
          <cell r="O4499">
            <v>480</v>
          </cell>
        </row>
        <row r="4500">
          <cell r="F4500" t="str">
            <v xml:space="preserve">1090397527     </v>
          </cell>
          <cell r="O4500">
            <v>540</v>
          </cell>
        </row>
        <row r="4501">
          <cell r="F4501" t="str">
            <v xml:space="preserve">1090397527     </v>
          </cell>
          <cell r="O4501">
            <v>90</v>
          </cell>
        </row>
        <row r="4502">
          <cell r="F4502" t="str">
            <v xml:space="preserve">1090397527     </v>
          </cell>
          <cell r="O4502">
            <v>630</v>
          </cell>
        </row>
        <row r="4503">
          <cell r="F4503" t="str">
            <v xml:space="preserve">1090397527     </v>
          </cell>
          <cell r="O4503">
            <v>270</v>
          </cell>
        </row>
        <row r="4504">
          <cell r="F4504" t="str">
            <v xml:space="preserve">1039694009     </v>
          </cell>
          <cell r="O4504">
            <v>1020</v>
          </cell>
        </row>
        <row r="4505">
          <cell r="F4505" t="str">
            <v xml:space="preserve">1039694009     </v>
          </cell>
          <cell r="O4505">
            <v>72</v>
          </cell>
        </row>
        <row r="4506">
          <cell r="F4506" t="str">
            <v xml:space="preserve">73126502       </v>
          </cell>
          <cell r="O4506">
            <v>150</v>
          </cell>
        </row>
        <row r="4507">
          <cell r="F4507" t="str">
            <v xml:space="preserve">73126502       </v>
          </cell>
          <cell r="O4507">
            <v>126</v>
          </cell>
        </row>
        <row r="4508">
          <cell r="F4508" t="str">
            <v xml:space="preserve">73126502       </v>
          </cell>
          <cell r="O4508">
            <v>45</v>
          </cell>
        </row>
        <row r="4509">
          <cell r="F4509" t="str">
            <v xml:space="preserve">70303177       </v>
          </cell>
          <cell r="O4509">
            <v>1725</v>
          </cell>
        </row>
        <row r="4510">
          <cell r="F4510" t="str">
            <v xml:space="preserve">70303177       </v>
          </cell>
          <cell r="O4510">
            <v>540</v>
          </cell>
        </row>
        <row r="4511">
          <cell r="F4511" t="str">
            <v xml:space="preserve">71142360       </v>
          </cell>
          <cell r="O4511">
            <v>195</v>
          </cell>
        </row>
        <row r="4512">
          <cell r="F4512" t="str">
            <v xml:space="preserve">71142360       </v>
          </cell>
          <cell r="O4512">
            <v>504</v>
          </cell>
        </row>
        <row r="4513">
          <cell r="F4513" t="str">
            <v xml:space="preserve">71142360       </v>
          </cell>
          <cell r="O4513">
            <v>90</v>
          </cell>
        </row>
        <row r="4514">
          <cell r="F4514" t="str">
            <v xml:space="preserve">24341063       </v>
          </cell>
          <cell r="O4514">
            <v>18</v>
          </cell>
        </row>
        <row r="4515">
          <cell r="F4515" t="str">
            <v xml:space="preserve">24341063       </v>
          </cell>
          <cell r="O4515">
            <v>1200</v>
          </cell>
        </row>
        <row r="4516">
          <cell r="F4516" t="str">
            <v xml:space="preserve">24341063       </v>
          </cell>
          <cell r="O4516">
            <v>90</v>
          </cell>
        </row>
        <row r="4517">
          <cell r="F4517" t="str">
            <v xml:space="preserve">24341063       </v>
          </cell>
          <cell r="O4517">
            <v>90</v>
          </cell>
        </row>
        <row r="4518">
          <cell r="F4518" t="str">
            <v xml:space="preserve">24341063       </v>
          </cell>
          <cell r="O4518">
            <v>27</v>
          </cell>
        </row>
        <row r="4519">
          <cell r="F4519" t="str">
            <v xml:space="preserve">24341063       </v>
          </cell>
          <cell r="O4519">
            <v>600</v>
          </cell>
        </row>
        <row r="4520">
          <cell r="F4520" t="str">
            <v xml:space="preserve">24341063       </v>
          </cell>
          <cell r="O4520">
            <v>90</v>
          </cell>
        </row>
        <row r="4521">
          <cell r="F4521" t="str">
            <v xml:space="preserve">901021497      </v>
          </cell>
          <cell r="O4521">
            <v>18</v>
          </cell>
        </row>
        <row r="4522">
          <cell r="F4522" t="str">
            <v xml:space="preserve">91180797       </v>
          </cell>
          <cell r="O4522">
            <v>510</v>
          </cell>
        </row>
        <row r="4523">
          <cell r="F4523" t="str">
            <v xml:space="preserve">91180797       </v>
          </cell>
          <cell r="O4523">
            <v>180</v>
          </cell>
        </row>
        <row r="4524">
          <cell r="F4524" t="str">
            <v xml:space="preserve">73559455       </v>
          </cell>
          <cell r="O4524">
            <v>15</v>
          </cell>
        </row>
        <row r="4525">
          <cell r="F4525" t="str">
            <v xml:space="preserve">73559455       </v>
          </cell>
          <cell r="O4525">
            <v>18</v>
          </cell>
        </row>
        <row r="4526">
          <cell r="F4526" t="str">
            <v xml:space="preserve">73559455       </v>
          </cell>
          <cell r="O4526">
            <v>120</v>
          </cell>
        </row>
        <row r="4527">
          <cell r="F4527" t="str">
            <v xml:space="preserve">73559455       </v>
          </cell>
          <cell r="O4527">
            <v>90</v>
          </cell>
        </row>
        <row r="4528">
          <cell r="F4528" t="str">
            <v xml:space="preserve">800141645      </v>
          </cell>
          <cell r="O4528">
            <v>90</v>
          </cell>
        </row>
        <row r="4529">
          <cell r="F4529" t="str">
            <v xml:space="preserve">800141645      </v>
          </cell>
          <cell r="O4529">
            <v>90</v>
          </cell>
        </row>
        <row r="4530">
          <cell r="F4530" t="str">
            <v xml:space="preserve">860001697      </v>
          </cell>
          <cell r="O4530">
            <v>629.97</v>
          </cell>
        </row>
        <row r="4531">
          <cell r="F4531" t="str">
            <v xml:space="preserve">1214745372     </v>
          </cell>
          <cell r="O4531">
            <v>540</v>
          </cell>
        </row>
        <row r="4532">
          <cell r="F4532" t="str">
            <v xml:space="preserve">860002523      </v>
          </cell>
          <cell r="O4532">
            <v>0</v>
          </cell>
        </row>
        <row r="4533">
          <cell r="F4533" t="str">
            <v xml:space="preserve">860002523      </v>
          </cell>
          <cell r="O4533">
            <v>0</v>
          </cell>
        </row>
        <row r="4534">
          <cell r="F4534" t="str">
            <v xml:space="preserve">860005265      </v>
          </cell>
          <cell r="O4534">
            <v>888</v>
          </cell>
        </row>
        <row r="4535">
          <cell r="F4535" t="str">
            <v xml:space="preserve">860005265      </v>
          </cell>
          <cell r="O4535">
            <v>645.29999999999995</v>
          </cell>
        </row>
        <row r="4536">
          <cell r="F4536" t="str">
            <v xml:space="preserve">860047066      </v>
          </cell>
          <cell r="O4536">
            <v>40</v>
          </cell>
        </row>
        <row r="4537">
          <cell r="F4537" t="str">
            <v xml:space="preserve">860001697      </v>
          </cell>
          <cell r="O4537">
            <v>168.9</v>
          </cell>
        </row>
        <row r="4538">
          <cell r="F4538" t="str">
            <v xml:space="preserve">203            </v>
          </cell>
          <cell r="O4538">
            <v>18</v>
          </cell>
        </row>
        <row r="4539">
          <cell r="F4539" t="str">
            <v xml:space="preserve">203            </v>
          </cell>
          <cell r="O4539">
            <v>45</v>
          </cell>
        </row>
        <row r="4540">
          <cell r="F4540" t="str">
            <v xml:space="preserve">811012427      </v>
          </cell>
          <cell r="O4540">
            <v>18</v>
          </cell>
        </row>
        <row r="4541">
          <cell r="F4541" t="str">
            <v xml:space="preserve">811012427      </v>
          </cell>
          <cell r="O4541">
            <v>45</v>
          </cell>
        </row>
        <row r="4542">
          <cell r="F4542" t="str">
            <v xml:space="preserve">811020078      </v>
          </cell>
          <cell r="O4542">
            <v>18</v>
          </cell>
        </row>
        <row r="4543">
          <cell r="F4543" t="str">
            <v xml:space="preserve">901482893      </v>
          </cell>
          <cell r="O4543">
            <v>225</v>
          </cell>
        </row>
        <row r="4544">
          <cell r="F4544" t="str">
            <v xml:space="preserve">800052377      </v>
          </cell>
          <cell r="O4544">
            <v>54</v>
          </cell>
        </row>
        <row r="4545">
          <cell r="F4545" t="str">
            <v xml:space="preserve">821000169      </v>
          </cell>
          <cell r="O4545">
            <v>98</v>
          </cell>
        </row>
        <row r="4546">
          <cell r="F4546" t="str">
            <v xml:space="preserve">890903939      </v>
          </cell>
          <cell r="O4546">
            <v>95</v>
          </cell>
        </row>
        <row r="4547">
          <cell r="F4547" t="str">
            <v xml:space="preserve">901547329      </v>
          </cell>
          <cell r="O4547">
            <v>675</v>
          </cell>
        </row>
        <row r="4548">
          <cell r="F4548" t="str">
            <v xml:space="preserve">800032071      </v>
          </cell>
          <cell r="O4548">
            <v>140</v>
          </cell>
        </row>
        <row r="4549">
          <cell r="F4549" t="str">
            <v xml:space="preserve">800032071      </v>
          </cell>
          <cell r="O4549">
            <v>120</v>
          </cell>
        </row>
        <row r="4550">
          <cell r="F4550" t="str">
            <v xml:space="preserve">860001697      </v>
          </cell>
          <cell r="O4550">
            <v>364.32</v>
          </cell>
        </row>
        <row r="4551">
          <cell r="F4551" t="str">
            <v xml:space="preserve">860002523      </v>
          </cell>
          <cell r="O4551">
            <v>0</v>
          </cell>
        </row>
        <row r="4552">
          <cell r="F4552" t="str">
            <v xml:space="preserve">860502509      </v>
          </cell>
          <cell r="O4552">
            <v>59.95</v>
          </cell>
        </row>
        <row r="4553">
          <cell r="F4553" t="str">
            <v xml:space="preserve">860502509      </v>
          </cell>
          <cell r="O4553">
            <v>307.45</v>
          </cell>
        </row>
        <row r="4554">
          <cell r="F4554" t="str">
            <v xml:space="preserve">901079460      </v>
          </cell>
          <cell r="O4554">
            <v>660.95</v>
          </cell>
        </row>
        <row r="4555">
          <cell r="F4555" t="str">
            <v xml:space="preserve">890904078      </v>
          </cell>
          <cell r="O4555">
            <v>30</v>
          </cell>
        </row>
        <row r="4556">
          <cell r="F4556" t="str">
            <v xml:space="preserve">101            </v>
          </cell>
          <cell r="O4556">
            <v>45</v>
          </cell>
        </row>
        <row r="4557">
          <cell r="F4557" t="str">
            <v xml:space="preserve">101            </v>
          </cell>
          <cell r="O4557">
            <v>54</v>
          </cell>
        </row>
        <row r="4558">
          <cell r="F4558" t="str">
            <v xml:space="preserve">101            </v>
          </cell>
          <cell r="O4558">
            <v>72</v>
          </cell>
        </row>
        <row r="4559">
          <cell r="F4559" t="str">
            <v xml:space="preserve">30305213       </v>
          </cell>
          <cell r="O4559">
            <v>45</v>
          </cell>
        </row>
        <row r="4560">
          <cell r="F4560" t="str">
            <v xml:space="preserve">800044807      </v>
          </cell>
          <cell r="O4560">
            <v>72</v>
          </cell>
        </row>
        <row r="4561">
          <cell r="F4561" t="str">
            <v xml:space="preserve">800090890      </v>
          </cell>
          <cell r="O4561">
            <v>54</v>
          </cell>
        </row>
        <row r="4562">
          <cell r="F4562" t="str">
            <v xml:space="preserve">800185306      </v>
          </cell>
          <cell r="O4562">
            <v>36</v>
          </cell>
        </row>
        <row r="4563">
          <cell r="F4563" t="str">
            <v xml:space="preserve">900204935      </v>
          </cell>
          <cell r="O4563">
            <v>72</v>
          </cell>
        </row>
        <row r="4564">
          <cell r="F4564" t="str">
            <v xml:space="preserve">32772122       </v>
          </cell>
          <cell r="O4564">
            <v>450</v>
          </cell>
        </row>
        <row r="4565">
          <cell r="F4565" t="str">
            <v xml:space="preserve">32772122       </v>
          </cell>
          <cell r="O4565">
            <v>180</v>
          </cell>
        </row>
        <row r="4566">
          <cell r="F4566" t="str">
            <v xml:space="preserve">32772122       </v>
          </cell>
          <cell r="O4566">
            <v>225</v>
          </cell>
        </row>
        <row r="4567">
          <cell r="F4567" t="str">
            <v xml:space="preserve">73186091       </v>
          </cell>
          <cell r="O4567">
            <v>225</v>
          </cell>
        </row>
        <row r="4568">
          <cell r="F4568" t="str">
            <v xml:space="preserve">830015914      </v>
          </cell>
          <cell r="O4568">
            <v>90</v>
          </cell>
        </row>
        <row r="4569">
          <cell r="F4569" t="str">
            <v xml:space="preserve">830015914      </v>
          </cell>
          <cell r="O4569">
            <v>-90</v>
          </cell>
        </row>
        <row r="4570">
          <cell r="F4570" t="str">
            <v xml:space="preserve">8795144        </v>
          </cell>
          <cell r="O4570">
            <v>210</v>
          </cell>
        </row>
        <row r="4571">
          <cell r="F4571" t="str">
            <v xml:space="preserve">860002523      </v>
          </cell>
          <cell r="O4571">
            <v>0</v>
          </cell>
        </row>
        <row r="4572">
          <cell r="F4572" t="str">
            <v xml:space="preserve">900239671      </v>
          </cell>
          <cell r="O4572">
            <v>0</v>
          </cell>
        </row>
        <row r="4573">
          <cell r="F4573" t="str">
            <v xml:space="preserve">813000298      </v>
          </cell>
          <cell r="O4573">
            <v>36</v>
          </cell>
        </row>
        <row r="4574">
          <cell r="F4574" t="str">
            <v xml:space="preserve">830006735      </v>
          </cell>
          <cell r="O4574">
            <v>691.75</v>
          </cell>
        </row>
        <row r="4575">
          <cell r="F4575" t="str">
            <v xml:space="preserve">830094679      </v>
          </cell>
          <cell r="O4575">
            <v>100</v>
          </cell>
        </row>
        <row r="4576">
          <cell r="F4576" t="str">
            <v xml:space="preserve">830099238      </v>
          </cell>
          <cell r="O4576">
            <v>80</v>
          </cell>
        </row>
        <row r="4577">
          <cell r="F4577" t="str">
            <v xml:space="preserve">830118404      </v>
          </cell>
          <cell r="O4577">
            <v>72</v>
          </cell>
        </row>
        <row r="4578">
          <cell r="F4578" t="str">
            <v xml:space="preserve">860031786      </v>
          </cell>
          <cell r="O4578">
            <v>108</v>
          </cell>
        </row>
        <row r="4579">
          <cell r="F4579" t="str">
            <v xml:space="preserve">860054073      </v>
          </cell>
          <cell r="O4579">
            <v>126</v>
          </cell>
        </row>
        <row r="4580">
          <cell r="F4580" t="str">
            <v xml:space="preserve">890311875      </v>
          </cell>
          <cell r="O4580">
            <v>72</v>
          </cell>
        </row>
        <row r="4581">
          <cell r="F4581" t="str">
            <v xml:space="preserve">900239671      </v>
          </cell>
          <cell r="O4581">
            <v>0</v>
          </cell>
        </row>
        <row r="4582">
          <cell r="F4582" t="str">
            <v xml:space="preserve">890201881      </v>
          </cell>
          <cell r="O4582">
            <v>75</v>
          </cell>
        </row>
        <row r="4583">
          <cell r="F4583" t="str">
            <v xml:space="preserve">890201881      </v>
          </cell>
          <cell r="O4583">
            <v>135</v>
          </cell>
        </row>
        <row r="4584">
          <cell r="F4584" t="str">
            <v xml:space="preserve">890201881      </v>
          </cell>
          <cell r="O4584">
            <v>45</v>
          </cell>
        </row>
        <row r="4585">
          <cell r="F4585" t="str">
            <v xml:space="preserve">890201881      </v>
          </cell>
          <cell r="O4585">
            <v>-45</v>
          </cell>
        </row>
        <row r="4586">
          <cell r="F4586" t="str">
            <v xml:space="preserve">407            </v>
          </cell>
          <cell r="O4586">
            <v>468</v>
          </cell>
        </row>
        <row r="4587">
          <cell r="F4587" t="str">
            <v xml:space="preserve">800090890      </v>
          </cell>
          <cell r="O4587">
            <v>38</v>
          </cell>
        </row>
        <row r="4588">
          <cell r="F4588" t="str">
            <v xml:space="preserve">800090890      </v>
          </cell>
          <cell r="O4588">
            <v>51</v>
          </cell>
        </row>
        <row r="4589">
          <cell r="F4589" t="str">
            <v xml:space="preserve">811014849      </v>
          </cell>
          <cell r="O4589">
            <v>108</v>
          </cell>
        </row>
        <row r="4590">
          <cell r="F4590" t="str">
            <v xml:space="preserve">811014849      </v>
          </cell>
          <cell r="O4590">
            <v>162</v>
          </cell>
        </row>
        <row r="4591">
          <cell r="F4591" t="str">
            <v xml:space="preserve">890903939      </v>
          </cell>
          <cell r="O4591">
            <v>1194.95</v>
          </cell>
        </row>
        <row r="4592">
          <cell r="F4592" t="str">
            <v xml:space="preserve">890903939      </v>
          </cell>
          <cell r="O4592">
            <v>233.5</v>
          </cell>
        </row>
        <row r="4593">
          <cell r="F4593" t="str">
            <v xml:space="preserve">890903939      </v>
          </cell>
          <cell r="O4593">
            <v>199.65</v>
          </cell>
        </row>
        <row r="4594">
          <cell r="F4594" t="str">
            <v xml:space="preserve">211            </v>
          </cell>
          <cell r="O4594">
            <v>450</v>
          </cell>
        </row>
        <row r="4595">
          <cell r="F4595" t="str">
            <v xml:space="preserve">211            </v>
          </cell>
          <cell r="O4595">
            <v>54</v>
          </cell>
        </row>
        <row r="4596">
          <cell r="F4596" t="str">
            <v xml:space="preserve">211            </v>
          </cell>
          <cell r="O4596">
            <v>90</v>
          </cell>
        </row>
        <row r="4597">
          <cell r="F4597" t="str">
            <v xml:space="preserve">211            </v>
          </cell>
          <cell r="O4597">
            <v>60</v>
          </cell>
        </row>
        <row r="4598">
          <cell r="F4598" t="str">
            <v xml:space="preserve">211            </v>
          </cell>
          <cell r="O4598">
            <v>585</v>
          </cell>
        </row>
        <row r="4599">
          <cell r="F4599" t="str">
            <v xml:space="preserve">211            </v>
          </cell>
          <cell r="O4599">
            <v>1674</v>
          </cell>
        </row>
        <row r="4600">
          <cell r="F4600" t="str">
            <v xml:space="preserve">211            </v>
          </cell>
          <cell r="O4600">
            <v>1584</v>
          </cell>
        </row>
        <row r="4601">
          <cell r="F4601" t="str">
            <v xml:space="preserve">830076368      </v>
          </cell>
          <cell r="O4601">
            <v>60</v>
          </cell>
        </row>
        <row r="4602">
          <cell r="F4602" t="str">
            <v xml:space="preserve">890406520      </v>
          </cell>
          <cell r="O4602">
            <v>90</v>
          </cell>
        </row>
        <row r="4603">
          <cell r="F4603" t="str">
            <v xml:space="preserve">890903939      </v>
          </cell>
          <cell r="O4603">
            <v>322.13</v>
          </cell>
        </row>
        <row r="4604">
          <cell r="F4604" t="str">
            <v xml:space="preserve">899999049      </v>
          </cell>
          <cell r="O4604">
            <v>180</v>
          </cell>
        </row>
        <row r="4605">
          <cell r="F4605" t="str">
            <v xml:space="preserve">900820045      </v>
          </cell>
          <cell r="O4605">
            <v>45</v>
          </cell>
        </row>
        <row r="4606">
          <cell r="F4606" t="str">
            <v xml:space="preserve">900820045      </v>
          </cell>
          <cell r="O4606">
            <v>54</v>
          </cell>
        </row>
        <row r="4607">
          <cell r="F4607" t="str">
            <v xml:space="preserve">900968793      </v>
          </cell>
          <cell r="O4607">
            <v>90</v>
          </cell>
        </row>
        <row r="4608">
          <cell r="F4608" t="str">
            <v xml:space="preserve">830009573      </v>
          </cell>
          <cell r="O4608">
            <v>60</v>
          </cell>
        </row>
        <row r="4609">
          <cell r="F4609" t="str">
            <v xml:space="preserve">860001697      </v>
          </cell>
          <cell r="O4609">
            <v>1062.05</v>
          </cell>
        </row>
        <row r="4610">
          <cell r="F4610" t="str">
            <v xml:space="preserve">860006160      </v>
          </cell>
          <cell r="O4610">
            <v>200</v>
          </cell>
        </row>
        <row r="4611">
          <cell r="F4611" t="str">
            <v xml:space="preserve">800229035      </v>
          </cell>
          <cell r="O4611">
            <v>60</v>
          </cell>
        </row>
        <row r="4612">
          <cell r="F4612" t="str">
            <v xml:space="preserve">800229035      </v>
          </cell>
          <cell r="O4612">
            <v>135</v>
          </cell>
        </row>
        <row r="4613">
          <cell r="F4613" t="str">
            <v xml:space="preserve">800229035      </v>
          </cell>
          <cell r="O4613">
            <v>75</v>
          </cell>
        </row>
        <row r="4614">
          <cell r="F4614" t="str">
            <v xml:space="preserve">800229035      </v>
          </cell>
          <cell r="O4614">
            <v>165</v>
          </cell>
        </row>
        <row r="4615">
          <cell r="F4615" t="str">
            <v xml:space="preserve">811016729      </v>
          </cell>
          <cell r="O4615">
            <v>36</v>
          </cell>
        </row>
        <row r="4616">
          <cell r="F4616" t="str">
            <v xml:space="preserve">830015914      </v>
          </cell>
          <cell r="O4616">
            <v>180</v>
          </cell>
        </row>
        <row r="4617">
          <cell r="F4617" t="str">
            <v xml:space="preserve">830015914      </v>
          </cell>
          <cell r="O4617">
            <v>-180</v>
          </cell>
        </row>
        <row r="4618">
          <cell r="F4618" t="str">
            <v xml:space="preserve">890903939      </v>
          </cell>
          <cell r="O4618">
            <v>342.8</v>
          </cell>
        </row>
        <row r="4619">
          <cell r="F4619" t="str">
            <v xml:space="preserve">901017528      </v>
          </cell>
          <cell r="O4619">
            <v>345</v>
          </cell>
        </row>
        <row r="4620">
          <cell r="F4620" t="str">
            <v xml:space="preserve">901046830      </v>
          </cell>
          <cell r="O4620">
            <v>375</v>
          </cell>
        </row>
        <row r="4621">
          <cell r="F4621" t="str">
            <v xml:space="preserve">830085642      </v>
          </cell>
          <cell r="O4621">
            <v>1274.8</v>
          </cell>
        </row>
        <row r="4622">
          <cell r="F4622" t="str">
            <v xml:space="preserve">10215830       </v>
          </cell>
          <cell r="O4622">
            <v>143</v>
          </cell>
        </row>
        <row r="4623">
          <cell r="F4623" t="str">
            <v xml:space="preserve">1060589688     </v>
          </cell>
          <cell r="O4623">
            <v>89.7</v>
          </cell>
        </row>
        <row r="4624">
          <cell r="F4624" t="str">
            <v xml:space="preserve">15926984       </v>
          </cell>
          <cell r="O4624">
            <v>41.4</v>
          </cell>
        </row>
        <row r="4625">
          <cell r="F4625" t="str">
            <v xml:space="preserve">30281441       </v>
          </cell>
          <cell r="O4625">
            <v>61.7</v>
          </cell>
        </row>
        <row r="4626">
          <cell r="F4626" t="str">
            <v xml:space="preserve">30310943       </v>
          </cell>
          <cell r="O4626">
            <v>80</v>
          </cell>
        </row>
        <row r="4627">
          <cell r="F4627" t="str">
            <v xml:space="preserve">70113637       </v>
          </cell>
          <cell r="O4627">
            <v>311.5</v>
          </cell>
        </row>
        <row r="4628">
          <cell r="F4628" t="str">
            <v xml:space="preserve">7133546        </v>
          </cell>
          <cell r="O4628">
            <v>80.599999999999994</v>
          </cell>
        </row>
        <row r="4629">
          <cell r="F4629" t="str">
            <v xml:space="preserve">79845495       </v>
          </cell>
          <cell r="O4629">
            <v>100</v>
          </cell>
        </row>
        <row r="4630">
          <cell r="F4630" t="str">
            <v xml:space="preserve">800014246      </v>
          </cell>
          <cell r="O4630">
            <v>193.2</v>
          </cell>
        </row>
        <row r="4631">
          <cell r="F4631" t="str">
            <v xml:space="preserve">901448112      </v>
          </cell>
          <cell r="O4631">
            <v>3000.1</v>
          </cell>
        </row>
        <row r="4632">
          <cell r="F4632" t="str">
            <v xml:space="preserve">16632894       </v>
          </cell>
          <cell r="O4632">
            <v>1738.3</v>
          </cell>
        </row>
        <row r="4633">
          <cell r="F4633" t="str">
            <v xml:space="preserve">890308729      </v>
          </cell>
          <cell r="O4633">
            <v>2025.3</v>
          </cell>
        </row>
        <row r="4634">
          <cell r="F4634" t="str">
            <v xml:space="preserve">900434637      </v>
          </cell>
          <cell r="O4634">
            <v>904.5</v>
          </cell>
        </row>
        <row r="4635">
          <cell r="F4635" t="str">
            <v xml:space="preserve">901011227      </v>
          </cell>
          <cell r="O4635">
            <v>717.3</v>
          </cell>
        </row>
        <row r="4636">
          <cell r="F4636" t="str">
            <v xml:space="preserve">901177420      </v>
          </cell>
          <cell r="O4636">
            <v>629.79999999999995</v>
          </cell>
        </row>
        <row r="4637">
          <cell r="F4637" t="str">
            <v xml:space="preserve">901391623      </v>
          </cell>
          <cell r="O4637">
            <v>592.9</v>
          </cell>
        </row>
        <row r="4638">
          <cell r="F4638" t="str">
            <v xml:space="preserve">7120547        </v>
          </cell>
          <cell r="O4638">
            <v>57.4</v>
          </cell>
        </row>
        <row r="4639">
          <cell r="F4639" t="str">
            <v xml:space="preserve">7128297        </v>
          </cell>
          <cell r="O4639">
            <v>370.8</v>
          </cell>
        </row>
        <row r="4640">
          <cell r="F4640" t="str">
            <v xml:space="preserve">7128442        </v>
          </cell>
          <cell r="O4640">
            <v>30.3</v>
          </cell>
        </row>
        <row r="4641">
          <cell r="F4641" t="str">
            <v xml:space="preserve">901488798      </v>
          </cell>
          <cell r="O4641">
            <v>331.3</v>
          </cell>
        </row>
        <row r="4642">
          <cell r="F4642" t="str">
            <v xml:space="preserve">860002536      </v>
          </cell>
          <cell r="O4642">
            <v>459.3</v>
          </cell>
        </row>
        <row r="4643">
          <cell r="F4643" t="str">
            <v xml:space="preserve">860002536      </v>
          </cell>
          <cell r="O4643">
            <v>1167.2</v>
          </cell>
        </row>
        <row r="4644">
          <cell r="F4644" t="str">
            <v xml:space="preserve">860039884      </v>
          </cell>
          <cell r="O4644">
            <v>912</v>
          </cell>
        </row>
        <row r="4645">
          <cell r="F4645" t="str">
            <v xml:space="preserve">900327148      </v>
          </cell>
          <cell r="O4645">
            <v>353.2</v>
          </cell>
        </row>
        <row r="4646">
          <cell r="F4646" t="str">
            <v xml:space="preserve">860001697      </v>
          </cell>
          <cell r="O4646">
            <v>444.98</v>
          </cell>
        </row>
        <row r="4647">
          <cell r="F4647" t="str">
            <v xml:space="preserve">110            </v>
          </cell>
          <cell r="O4647">
            <v>90</v>
          </cell>
        </row>
        <row r="4648">
          <cell r="F4648" t="str">
            <v xml:space="preserve">901349574      </v>
          </cell>
          <cell r="O4648">
            <v>540</v>
          </cell>
        </row>
        <row r="4649">
          <cell r="F4649" t="str">
            <v xml:space="preserve">212            </v>
          </cell>
          <cell r="O4649">
            <v>54</v>
          </cell>
        </row>
        <row r="4650">
          <cell r="F4650" t="str">
            <v xml:space="preserve">212            </v>
          </cell>
          <cell r="O4650">
            <v>135</v>
          </cell>
        </row>
        <row r="4651">
          <cell r="F4651" t="str">
            <v xml:space="preserve">900084859      </v>
          </cell>
          <cell r="O4651">
            <v>18</v>
          </cell>
        </row>
        <row r="4652">
          <cell r="F4652" t="str">
            <v xml:space="preserve">70052771       </v>
          </cell>
          <cell r="O4652">
            <v>30</v>
          </cell>
        </row>
        <row r="4653">
          <cell r="F4653" t="str">
            <v xml:space="preserve">800147650      </v>
          </cell>
          <cell r="O4653">
            <v>105</v>
          </cell>
        </row>
        <row r="4654">
          <cell r="F4654" t="str">
            <v xml:space="preserve">811014849      </v>
          </cell>
          <cell r="O4654">
            <v>162</v>
          </cell>
        </row>
        <row r="4655">
          <cell r="F4655" t="str">
            <v xml:space="preserve">811014849      </v>
          </cell>
          <cell r="O4655">
            <v>54</v>
          </cell>
        </row>
        <row r="4656">
          <cell r="F4656" t="str">
            <v xml:space="preserve">860013809      </v>
          </cell>
          <cell r="O4656">
            <v>180</v>
          </cell>
        </row>
        <row r="4657">
          <cell r="F4657" t="str">
            <v xml:space="preserve">890900424      </v>
          </cell>
          <cell r="O4657">
            <v>60</v>
          </cell>
        </row>
        <row r="4658">
          <cell r="F4658" t="str">
            <v xml:space="preserve">890906407      </v>
          </cell>
          <cell r="O4658">
            <v>36</v>
          </cell>
        </row>
        <row r="4659">
          <cell r="F4659" t="str">
            <v xml:space="preserve">890921463      </v>
          </cell>
          <cell r="O4659">
            <v>51</v>
          </cell>
        </row>
        <row r="4660">
          <cell r="F4660" t="str">
            <v xml:space="preserve">890932389      </v>
          </cell>
          <cell r="O4660">
            <v>54</v>
          </cell>
        </row>
        <row r="4661">
          <cell r="F4661" t="str">
            <v xml:space="preserve">899999049      </v>
          </cell>
          <cell r="O4661">
            <v>54</v>
          </cell>
        </row>
        <row r="4662">
          <cell r="F4662" t="str">
            <v xml:space="preserve">900049818      </v>
          </cell>
          <cell r="O4662">
            <v>45</v>
          </cell>
        </row>
        <row r="4663">
          <cell r="F4663" t="str">
            <v xml:space="preserve">901436775      </v>
          </cell>
          <cell r="O4663">
            <v>135</v>
          </cell>
        </row>
        <row r="4664">
          <cell r="F4664" t="str">
            <v xml:space="preserve">101            </v>
          </cell>
          <cell r="O4664">
            <v>18</v>
          </cell>
        </row>
        <row r="4665">
          <cell r="F4665" t="str">
            <v xml:space="preserve">891300382      </v>
          </cell>
          <cell r="O4665">
            <v>144</v>
          </cell>
        </row>
        <row r="4666">
          <cell r="F4666" t="str">
            <v xml:space="preserve">101            </v>
          </cell>
          <cell r="O4666">
            <v>9</v>
          </cell>
        </row>
        <row r="4667">
          <cell r="F4667" t="str">
            <v xml:space="preserve">101            </v>
          </cell>
          <cell r="O4667">
            <v>18</v>
          </cell>
        </row>
        <row r="4668">
          <cell r="F4668" t="str">
            <v xml:space="preserve">890903939      </v>
          </cell>
          <cell r="O4668">
            <v>114</v>
          </cell>
        </row>
        <row r="4669">
          <cell r="F4669" t="str">
            <v xml:space="preserve">860001697      </v>
          </cell>
          <cell r="O4669">
            <v>1173.0999999999999</v>
          </cell>
        </row>
        <row r="4670">
          <cell r="F4670" t="str">
            <v xml:space="preserve">404            </v>
          </cell>
          <cell r="O4670">
            <v>180</v>
          </cell>
        </row>
        <row r="4671">
          <cell r="F4671" t="str">
            <v xml:space="preserve">404            </v>
          </cell>
          <cell r="O4671">
            <v>18</v>
          </cell>
        </row>
        <row r="4672">
          <cell r="F4672" t="str">
            <v xml:space="preserve">404            </v>
          </cell>
          <cell r="O4672">
            <v>45</v>
          </cell>
        </row>
        <row r="4673">
          <cell r="F4673" t="str">
            <v xml:space="preserve">900247070      </v>
          </cell>
          <cell r="O4673">
            <v>54</v>
          </cell>
        </row>
        <row r="4674">
          <cell r="F4674" t="str">
            <v xml:space="preserve">805017747      </v>
          </cell>
          <cell r="O4674">
            <v>18</v>
          </cell>
        </row>
        <row r="4675">
          <cell r="F4675" t="str">
            <v xml:space="preserve">805026018      </v>
          </cell>
          <cell r="O4675">
            <v>54</v>
          </cell>
        </row>
        <row r="4676">
          <cell r="F4676" t="str">
            <v xml:space="preserve">811020038      </v>
          </cell>
          <cell r="O4676">
            <v>18</v>
          </cell>
        </row>
        <row r="4677">
          <cell r="F4677" t="str">
            <v xml:space="preserve">890301602      </v>
          </cell>
          <cell r="O4677">
            <v>360</v>
          </cell>
        </row>
        <row r="4678">
          <cell r="F4678" t="str">
            <v xml:space="preserve">890302609      </v>
          </cell>
          <cell r="O4678">
            <v>201</v>
          </cell>
        </row>
        <row r="4679">
          <cell r="F4679" t="str">
            <v xml:space="preserve">890304607      </v>
          </cell>
          <cell r="O4679">
            <v>72</v>
          </cell>
        </row>
        <row r="4680">
          <cell r="F4680" t="str">
            <v xml:space="preserve">890304611      </v>
          </cell>
          <cell r="O4680">
            <v>15</v>
          </cell>
        </row>
        <row r="4681">
          <cell r="F4681" t="str">
            <v xml:space="preserve">890903939      </v>
          </cell>
          <cell r="O4681">
            <v>148</v>
          </cell>
        </row>
        <row r="4682">
          <cell r="F4682" t="str">
            <v xml:space="preserve">890903939      </v>
          </cell>
          <cell r="O4682">
            <v>317</v>
          </cell>
        </row>
        <row r="4683">
          <cell r="F4683" t="str">
            <v xml:space="preserve">900233101      </v>
          </cell>
          <cell r="O4683">
            <v>54</v>
          </cell>
        </row>
        <row r="4684">
          <cell r="F4684" t="str">
            <v xml:space="preserve">900319753      </v>
          </cell>
          <cell r="O4684">
            <v>45</v>
          </cell>
        </row>
        <row r="4685">
          <cell r="F4685" t="str">
            <v xml:space="preserve">901167377      </v>
          </cell>
          <cell r="O4685">
            <v>61.5</v>
          </cell>
        </row>
        <row r="4686">
          <cell r="F4686" t="str">
            <v xml:space="preserve">1066184116     </v>
          </cell>
          <cell r="O4686">
            <v>54</v>
          </cell>
        </row>
        <row r="4687">
          <cell r="F4687" t="str">
            <v xml:space="preserve">407            </v>
          </cell>
          <cell r="O4687">
            <v>0</v>
          </cell>
        </row>
        <row r="4688">
          <cell r="F4688" t="str">
            <v xml:space="preserve">407            </v>
          </cell>
          <cell r="O4688">
            <v>0</v>
          </cell>
        </row>
        <row r="4689">
          <cell r="F4689" t="str">
            <v xml:space="preserve">812003591      </v>
          </cell>
          <cell r="O4689">
            <v>150</v>
          </cell>
        </row>
        <row r="4690">
          <cell r="F4690" t="str">
            <v xml:space="preserve">812003591      </v>
          </cell>
          <cell r="O4690">
            <v>54</v>
          </cell>
        </row>
        <row r="4691">
          <cell r="F4691" t="str">
            <v xml:space="preserve">900996674      </v>
          </cell>
          <cell r="O4691">
            <v>75</v>
          </cell>
        </row>
        <row r="4692">
          <cell r="F4692" t="str">
            <v xml:space="preserve">900996674      </v>
          </cell>
          <cell r="O4692">
            <v>36</v>
          </cell>
        </row>
        <row r="4693">
          <cell r="F4693" t="str">
            <v xml:space="preserve">901069211      </v>
          </cell>
          <cell r="O4693">
            <v>30</v>
          </cell>
        </row>
        <row r="4694">
          <cell r="F4694" t="str">
            <v xml:space="preserve">901069211      </v>
          </cell>
          <cell r="O4694">
            <v>306</v>
          </cell>
        </row>
        <row r="4695">
          <cell r="F4695" t="str">
            <v xml:space="preserve">800049083      </v>
          </cell>
          <cell r="O4695">
            <v>590</v>
          </cell>
        </row>
        <row r="4696">
          <cell r="F4696" t="str">
            <v xml:space="preserve">860001930      </v>
          </cell>
          <cell r="O4696">
            <v>1216.4000000000001</v>
          </cell>
        </row>
        <row r="4697">
          <cell r="F4697" t="str">
            <v xml:space="preserve">860033045      </v>
          </cell>
          <cell r="O4697">
            <v>302.5</v>
          </cell>
        </row>
        <row r="4698">
          <cell r="F4698" t="str">
            <v xml:space="preserve">860033045      </v>
          </cell>
          <cell r="O4698">
            <v>1104.4000000000001</v>
          </cell>
        </row>
        <row r="4699">
          <cell r="F4699" t="str">
            <v xml:space="preserve">860033045      </v>
          </cell>
          <cell r="O4699">
            <v>229.4</v>
          </cell>
        </row>
        <row r="4700">
          <cell r="F4700" t="str">
            <v xml:space="preserve">800130632      </v>
          </cell>
          <cell r="O4700">
            <v>306.3</v>
          </cell>
        </row>
        <row r="4701">
          <cell r="F4701" t="str">
            <v xml:space="preserve">830072419      </v>
          </cell>
          <cell r="O4701">
            <v>97.7</v>
          </cell>
        </row>
        <row r="4702">
          <cell r="F4702" t="str">
            <v xml:space="preserve">860058831      </v>
          </cell>
          <cell r="O4702">
            <v>700.2</v>
          </cell>
        </row>
        <row r="4703">
          <cell r="F4703" t="str">
            <v xml:space="preserve">860403972      </v>
          </cell>
          <cell r="O4703">
            <v>1501.1</v>
          </cell>
        </row>
        <row r="4704">
          <cell r="F4704" t="str">
            <v xml:space="preserve">210            </v>
          </cell>
          <cell r="O4704">
            <v>22.5</v>
          </cell>
        </row>
        <row r="4705">
          <cell r="F4705" t="str">
            <v xml:space="preserve">210            </v>
          </cell>
          <cell r="O4705">
            <v>180</v>
          </cell>
        </row>
        <row r="4706">
          <cell r="F4706" t="str">
            <v xml:space="preserve">210            </v>
          </cell>
          <cell r="O4706">
            <v>405</v>
          </cell>
        </row>
        <row r="4707">
          <cell r="F4707" t="str">
            <v xml:space="preserve">110            </v>
          </cell>
          <cell r="O4707">
            <v>1098</v>
          </cell>
        </row>
        <row r="4708">
          <cell r="F4708" t="str">
            <v xml:space="preserve">106            </v>
          </cell>
          <cell r="O4708">
            <v>180</v>
          </cell>
        </row>
        <row r="4709">
          <cell r="F4709" t="str">
            <v xml:space="preserve">39538743       </v>
          </cell>
          <cell r="O4709">
            <v>41.3</v>
          </cell>
        </row>
        <row r="4710">
          <cell r="F4710" t="str">
            <v xml:space="preserve">65823154       </v>
          </cell>
          <cell r="O4710">
            <v>84.8</v>
          </cell>
        </row>
        <row r="4711">
          <cell r="F4711" t="str">
            <v xml:space="preserve">75056610       </v>
          </cell>
          <cell r="O4711">
            <v>205.6</v>
          </cell>
        </row>
        <row r="4712">
          <cell r="F4712" t="str">
            <v xml:space="preserve">808001297      </v>
          </cell>
          <cell r="O4712">
            <v>375.6</v>
          </cell>
        </row>
        <row r="4713">
          <cell r="F4713" t="str">
            <v xml:space="preserve">830036921      </v>
          </cell>
          <cell r="O4713">
            <v>202.5</v>
          </cell>
        </row>
        <row r="4714">
          <cell r="F4714" t="str">
            <v xml:space="preserve">860000794      </v>
          </cell>
          <cell r="O4714">
            <v>650.20000000000005</v>
          </cell>
        </row>
        <row r="4715">
          <cell r="F4715" t="str">
            <v xml:space="preserve">830010738      </v>
          </cell>
          <cell r="O4715">
            <v>133.5</v>
          </cell>
        </row>
        <row r="4716">
          <cell r="F4716" t="str">
            <v xml:space="preserve">890900161      </v>
          </cell>
          <cell r="O4716">
            <v>851.1</v>
          </cell>
        </row>
        <row r="4717">
          <cell r="F4717" t="str">
            <v xml:space="preserve">890910131      </v>
          </cell>
          <cell r="O4717">
            <v>782.9</v>
          </cell>
        </row>
        <row r="4718">
          <cell r="F4718" t="str">
            <v xml:space="preserve">900280406      </v>
          </cell>
          <cell r="O4718">
            <v>101.9</v>
          </cell>
        </row>
        <row r="4719">
          <cell r="F4719" t="str">
            <v xml:space="preserve">900280406      </v>
          </cell>
          <cell r="O4719">
            <v>54.6</v>
          </cell>
        </row>
        <row r="4720">
          <cell r="F4720" t="str">
            <v xml:space="preserve">900652958      </v>
          </cell>
          <cell r="O4720">
            <v>169.8</v>
          </cell>
        </row>
        <row r="4721">
          <cell r="F4721" t="str">
            <v xml:space="preserve">901107328      </v>
          </cell>
          <cell r="O4721">
            <v>51.3</v>
          </cell>
        </row>
        <row r="4722">
          <cell r="F4722" t="str">
            <v xml:space="preserve">901142147      </v>
          </cell>
          <cell r="O4722">
            <v>354.2</v>
          </cell>
        </row>
        <row r="4723">
          <cell r="F4723" t="str">
            <v xml:space="preserve">79095204       </v>
          </cell>
          <cell r="O4723">
            <v>216</v>
          </cell>
        </row>
        <row r="4724">
          <cell r="F4724" t="str">
            <v xml:space="preserve">79095204       </v>
          </cell>
          <cell r="O4724">
            <v>45</v>
          </cell>
        </row>
        <row r="4725">
          <cell r="F4725" t="str">
            <v xml:space="preserve">860065656      </v>
          </cell>
          <cell r="O4725">
            <v>180</v>
          </cell>
        </row>
        <row r="4726">
          <cell r="F4726" t="str">
            <v xml:space="preserve">900569044      </v>
          </cell>
          <cell r="O4726">
            <v>18</v>
          </cell>
        </row>
        <row r="4727">
          <cell r="F4727" t="str">
            <v xml:space="preserve">900569044      </v>
          </cell>
          <cell r="O4727">
            <v>45</v>
          </cell>
        </row>
        <row r="4728">
          <cell r="F4728" t="str">
            <v xml:space="preserve">890900161      </v>
          </cell>
          <cell r="O4728">
            <v>30</v>
          </cell>
        </row>
        <row r="4729">
          <cell r="F4729" t="str">
            <v xml:space="preserve">900313945      </v>
          </cell>
          <cell r="O4729">
            <v>120</v>
          </cell>
        </row>
        <row r="4730">
          <cell r="F4730" t="str">
            <v xml:space="preserve">805012977      </v>
          </cell>
          <cell r="O4730">
            <v>72</v>
          </cell>
        </row>
        <row r="4731">
          <cell r="F4731" t="str">
            <v xml:space="preserve">815004320      </v>
          </cell>
          <cell r="O4731">
            <v>72</v>
          </cell>
        </row>
        <row r="4732">
          <cell r="F4732" t="str">
            <v xml:space="preserve">860020382      </v>
          </cell>
          <cell r="O4732">
            <v>18</v>
          </cell>
        </row>
        <row r="4733">
          <cell r="F4733" t="str">
            <v xml:space="preserve">860020382      </v>
          </cell>
          <cell r="O4733">
            <v>18</v>
          </cell>
        </row>
        <row r="4734">
          <cell r="F4734" t="str">
            <v xml:space="preserve">860047066      </v>
          </cell>
          <cell r="O4734">
            <v>72</v>
          </cell>
        </row>
        <row r="4735">
          <cell r="F4735" t="str">
            <v xml:space="preserve">890307885      </v>
          </cell>
          <cell r="O4735">
            <v>117</v>
          </cell>
        </row>
        <row r="4736">
          <cell r="F4736" t="str">
            <v xml:space="preserve">890322007      </v>
          </cell>
          <cell r="O4736">
            <v>288</v>
          </cell>
        </row>
        <row r="4737">
          <cell r="F4737" t="str">
            <v xml:space="preserve">890332889      </v>
          </cell>
          <cell r="O4737">
            <v>93</v>
          </cell>
        </row>
        <row r="4738">
          <cell r="F4738" t="str">
            <v xml:space="preserve">900818921      </v>
          </cell>
          <cell r="O4738">
            <v>373</v>
          </cell>
        </row>
        <row r="4739">
          <cell r="F4739" t="str">
            <v xml:space="preserve">900896300      </v>
          </cell>
          <cell r="O4739">
            <v>126</v>
          </cell>
        </row>
        <row r="4740">
          <cell r="F4740" t="str">
            <v xml:space="preserve">901026262      </v>
          </cell>
          <cell r="O4740">
            <v>36</v>
          </cell>
        </row>
        <row r="4741">
          <cell r="F4741" t="str">
            <v xml:space="preserve">212            </v>
          </cell>
          <cell r="O4741">
            <v>150</v>
          </cell>
        </row>
        <row r="4742">
          <cell r="F4742" t="str">
            <v xml:space="preserve">212            </v>
          </cell>
          <cell r="O4742">
            <v>72</v>
          </cell>
        </row>
        <row r="4743">
          <cell r="F4743" t="str">
            <v xml:space="preserve">212            </v>
          </cell>
          <cell r="O4743">
            <v>30</v>
          </cell>
        </row>
        <row r="4744">
          <cell r="F4744" t="str">
            <v xml:space="preserve">900495908      </v>
          </cell>
          <cell r="O4744">
            <v>15</v>
          </cell>
        </row>
        <row r="4745">
          <cell r="F4745" t="str">
            <v xml:space="preserve">860058831      </v>
          </cell>
          <cell r="O4745">
            <v>731.9</v>
          </cell>
        </row>
        <row r="4746">
          <cell r="F4746" t="str">
            <v xml:space="preserve">860058831      </v>
          </cell>
          <cell r="O4746">
            <v>1000.2</v>
          </cell>
        </row>
        <row r="4747">
          <cell r="F4747" t="str">
            <v xml:space="preserve">860058831      </v>
          </cell>
          <cell r="O4747">
            <v>380.9</v>
          </cell>
        </row>
        <row r="4748">
          <cell r="F4748" t="str">
            <v xml:space="preserve">900067125      </v>
          </cell>
          <cell r="O4748">
            <v>120.7</v>
          </cell>
        </row>
        <row r="4749">
          <cell r="F4749" t="str">
            <v xml:space="preserve">1090373566     </v>
          </cell>
          <cell r="O4749">
            <v>71</v>
          </cell>
        </row>
        <row r="4750">
          <cell r="F4750" t="str">
            <v xml:space="preserve">1090524322     </v>
          </cell>
          <cell r="O4750">
            <v>290</v>
          </cell>
        </row>
        <row r="4751">
          <cell r="F4751" t="str">
            <v xml:space="preserve">1093800773     </v>
          </cell>
          <cell r="O4751">
            <v>67</v>
          </cell>
        </row>
        <row r="4752">
          <cell r="F4752" t="str">
            <v xml:space="preserve">1098799280     </v>
          </cell>
          <cell r="O4752">
            <v>100</v>
          </cell>
        </row>
        <row r="4753">
          <cell r="F4753" t="str">
            <v xml:space="preserve">13373455       </v>
          </cell>
          <cell r="O4753">
            <v>182.8</v>
          </cell>
        </row>
        <row r="4754">
          <cell r="F4754" t="str">
            <v xml:space="preserve">37397539       </v>
          </cell>
          <cell r="O4754">
            <v>86.1</v>
          </cell>
        </row>
        <row r="4755">
          <cell r="F4755" t="str">
            <v xml:space="preserve">5546993        </v>
          </cell>
          <cell r="O4755">
            <v>144</v>
          </cell>
        </row>
        <row r="4756">
          <cell r="F4756" t="str">
            <v xml:space="preserve">5546993        </v>
          </cell>
          <cell r="O4756">
            <v>162.4</v>
          </cell>
        </row>
        <row r="4757">
          <cell r="F4757" t="str">
            <v xml:space="preserve">60342963       </v>
          </cell>
          <cell r="O4757">
            <v>87.4</v>
          </cell>
        </row>
        <row r="4758">
          <cell r="F4758" t="str">
            <v xml:space="preserve">890500531      </v>
          </cell>
          <cell r="O4758">
            <v>110.6</v>
          </cell>
        </row>
        <row r="4759">
          <cell r="F4759" t="str">
            <v xml:space="preserve">900265983      </v>
          </cell>
          <cell r="O4759">
            <v>277.39999999999998</v>
          </cell>
        </row>
        <row r="4760">
          <cell r="F4760" t="str">
            <v xml:space="preserve">900395536      </v>
          </cell>
          <cell r="O4760">
            <v>117.2</v>
          </cell>
        </row>
        <row r="4761">
          <cell r="F4761" t="str">
            <v xml:space="preserve">900395536      </v>
          </cell>
          <cell r="O4761">
            <v>112.4</v>
          </cell>
        </row>
        <row r="4762">
          <cell r="F4762" t="str">
            <v xml:space="preserve">900740022      </v>
          </cell>
          <cell r="O4762">
            <v>450</v>
          </cell>
        </row>
        <row r="4763">
          <cell r="F4763" t="str">
            <v xml:space="preserve">900740022      </v>
          </cell>
          <cell r="O4763">
            <v>284</v>
          </cell>
        </row>
        <row r="4764">
          <cell r="F4764" t="str">
            <v xml:space="preserve">901377572      </v>
          </cell>
          <cell r="O4764">
            <v>134.1</v>
          </cell>
        </row>
        <row r="4765">
          <cell r="F4765" t="str">
            <v xml:space="preserve">901488458      </v>
          </cell>
          <cell r="O4765">
            <v>153</v>
          </cell>
        </row>
        <row r="4766">
          <cell r="F4766" t="str">
            <v xml:space="preserve">890320250      </v>
          </cell>
          <cell r="O4766">
            <v>872.5</v>
          </cell>
        </row>
        <row r="4767">
          <cell r="F4767" t="str">
            <v xml:space="preserve">901061638      </v>
          </cell>
          <cell r="O4767">
            <v>3000.4</v>
          </cell>
        </row>
        <row r="4768">
          <cell r="F4768" t="str">
            <v xml:space="preserve">804017348      </v>
          </cell>
          <cell r="O4768">
            <v>112.8</v>
          </cell>
        </row>
        <row r="4769">
          <cell r="F4769" t="str">
            <v xml:space="preserve">890201881      </v>
          </cell>
          <cell r="O4769">
            <v>-265</v>
          </cell>
        </row>
        <row r="4770">
          <cell r="F4770" t="str">
            <v xml:space="preserve">900197640      </v>
          </cell>
          <cell r="O4770">
            <v>1300</v>
          </cell>
        </row>
        <row r="4771">
          <cell r="F4771" t="str">
            <v xml:space="preserve">900197640      </v>
          </cell>
          <cell r="O4771">
            <v>900.1</v>
          </cell>
        </row>
        <row r="4772">
          <cell r="F4772" t="str">
            <v xml:space="preserve">900197640      </v>
          </cell>
          <cell r="O4772">
            <v>1098.4000000000001</v>
          </cell>
        </row>
        <row r="4773">
          <cell r="F4773" t="str">
            <v xml:space="preserve">900197640      </v>
          </cell>
          <cell r="O4773">
            <v>1000.1</v>
          </cell>
        </row>
        <row r="4774">
          <cell r="F4774" t="str">
            <v xml:space="preserve">900197640      </v>
          </cell>
          <cell r="O4774">
            <v>1400.2</v>
          </cell>
        </row>
        <row r="4775">
          <cell r="F4775" t="str">
            <v xml:space="preserve">900197640      </v>
          </cell>
          <cell r="O4775">
            <v>417.3</v>
          </cell>
        </row>
        <row r="4776">
          <cell r="F4776" t="str">
            <v xml:space="preserve">901262040      </v>
          </cell>
          <cell r="O4776">
            <v>1226.5</v>
          </cell>
        </row>
        <row r="4777">
          <cell r="F4777" t="str">
            <v xml:space="preserve">900649729      </v>
          </cell>
          <cell r="O4777">
            <v>712.1</v>
          </cell>
        </row>
        <row r="4778">
          <cell r="F4778" t="str">
            <v xml:space="preserve">901172312      </v>
          </cell>
          <cell r="O4778">
            <v>3537.8</v>
          </cell>
        </row>
        <row r="4779">
          <cell r="F4779" t="str">
            <v xml:space="preserve">79581982       </v>
          </cell>
          <cell r="O4779">
            <v>238.9</v>
          </cell>
        </row>
        <row r="4780">
          <cell r="F4780" t="str">
            <v xml:space="preserve">860527701      </v>
          </cell>
          <cell r="O4780">
            <v>1905.7</v>
          </cell>
        </row>
        <row r="4781">
          <cell r="F4781" t="str">
            <v xml:space="preserve">860527701      </v>
          </cell>
          <cell r="O4781">
            <v>2003.1</v>
          </cell>
        </row>
        <row r="4782">
          <cell r="F4782" t="str">
            <v xml:space="preserve">900474647      </v>
          </cell>
          <cell r="O4782">
            <v>702.2</v>
          </cell>
        </row>
        <row r="4783">
          <cell r="F4783" t="str">
            <v xml:space="preserve">52656913       </v>
          </cell>
          <cell r="O4783">
            <v>247.2</v>
          </cell>
        </row>
        <row r="4784">
          <cell r="F4784" t="str">
            <v xml:space="preserve">811014849      </v>
          </cell>
          <cell r="O4784">
            <v>1256.5</v>
          </cell>
        </row>
        <row r="4785">
          <cell r="F4785" t="str">
            <v xml:space="preserve">860403972      </v>
          </cell>
          <cell r="O4785">
            <v>3330.5</v>
          </cell>
        </row>
        <row r="4786">
          <cell r="F4786" t="str">
            <v xml:space="preserve">901037898      </v>
          </cell>
          <cell r="O4786">
            <v>82.2</v>
          </cell>
        </row>
        <row r="4787">
          <cell r="F4787" t="str">
            <v xml:space="preserve">52790620       </v>
          </cell>
          <cell r="O4787">
            <v>1650</v>
          </cell>
        </row>
        <row r="4788">
          <cell r="F4788" t="str">
            <v xml:space="preserve">52790620       </v>
          </cell>
          <cell r="O4788">
            <v>2790</v>
          </cell>
        </row>
        <row r="4789">
          <cell r="F4789" t="str">
            <v xml:space="preserve">52790620       </v>
          </cell>
          <cell r="O4789">
            <v>360</v>
          </cell>
        </row>
        <row r="4790">
          <cell r="F4790" t="str">
            <v xml:space="preserve">52790620       </v>
          </cell>
          <cell r="O4790">
            <v>2070</v>
          </cell>
        </row>
        <row r="4791">
          <cell r="F4791" t="str">
            <v xml:space="preserve">900343005      </v>
          </cell>
          <cell r="O4791">
            <v>1169.2</v>
          </cell>
        </row>
        <row r="4792">
          <cell r="F4792" t="str">
            <v xml:space="preserve">900343005      </v>
          </cell>
          <cell r="O4792">
            <v>1441.8</v>
          </cell>
        </row>
        <row r="4793">
          <cell r="F4793" t="str">
            <v xml:space="preserve">900030756      </v>
          </cell>
          <cell r="O4793">
            <v>1441.9</v>
          </cell>
        </row>
        <row r="4794">
          <cell r="F4794" t="str">
            <v xml:space="preserve">860001697      </v>
          </cell>
          <cell r="O4794">
            <v>157.72</v>
          </cell>
        </row>
        <row r="4795">
          <cell r="F4795" t="str">
            <v xml:space="preserve">901020967      </v>
          </cell>
          <cell r="O4795">
            <v>4150</v>
          </cell>
        </row>
        <row r="4796">
          <cell r="F4796" t="str">
            <v xml:space="preserve">830002131      </v>
          </cell>
          <cell r="O4796">
            <v>-26.49</v>
          </cell>
        </row>
        <row r="4797">
          <cell r="F4797" t="str">
            <v xml:space="preserve">800041723      </v>
          </cell>
          <cell r="O4797">
            <v>305.2</v>
          </cell>
        </row>
        <row r="4798">
          <cell r="F4798" t="str">
            <v xml:space="preserve">800154428      </v>
          </cell>
          <cell r="O4798">
            <v>221.8</v>
          </cell>
        </row>
        <row r="4799">
          <cell r="F4799" t="str">
            <v xml:space="preserve">830010738      </v>
          </cell>
          <cell r="O4799">
            <v>128.19999999999999</v>
          </cell>
        </row>
        <row r="4800">
          <cell r="F4800" t="str">
            <v xml:space="preserve">900436352      </v>
          </cell>
          <cell r="O4800">
            <v>3016</v>
          </cell>
        </row>
        <row r="4801">
          <cell r="F4801" t="str">
            <v xml:space="preserve">900474647      </v>
          </cell>
          <cell r="O4801">
            <v>1204.2</v>
          </cell>
        </row>
        <row r="4802">
          <cell r="F4802" t="str">
            <v xml:space="preserve">805005148      </v>
          </cell>
          <cell r="O4802">
            <v>1044</v>
          </cell>
        </row>
        <row r="4803">
          <cell r="F4803" t="str">
            <v xml:space="preserve">805005148      </v>
          </cell>
          <cell r="O4803">
            <v>135</v>
          </cell>
        </row>
        <row r="4804">
          <cell r="F4804" t="str">
            <v xml:space="preserve">805005148      </v>
          </cell>
          <cell r="O4804">
            <v>150</v>
          </cell>
        </row>
        <row r="4805">
          <cell r="F4805" t="str">
            <v xml:space="preserve">805005148      </v>
          </cell>
          <cell r="O4805">
            <v>1368</v>
          </cell>
        </row>
        <row r="4806">
          <cell r="F4806" t="str">
            <v xml:space="preserve">805005148      </v>
          </cell>
          <cell r="O4806">
            <v>225</v>
          </cell>
        </row>
        <row r="4807">
          <cell r="F4807" t="str">
            <v xml:space="preserve">94050412       </v>
          </cell>
          <cell r="O4807">
            <v>252</v>
          </cell>
        </row>
        <row r="4808">
          <cell r="F4808" t="str">
            <v xml:space="preserve">94050412       </v>
          </cell>
          <cell r="O4808">
            <v>90</v>
          </cell>
        </row>
        <row r="4809">
          <cell r="F4809" t="str">
            <v xml:space="preserve">3229407        </v>
          </cell>
          <cell r="O4809">
            <v>45</v>
          </cell>
        </row>
        <row r="4810">
          <cell r="F4810" t="str">
            <v xml:space="preserve">821002939      </v>
          </cell>
          <cell r="O4810">
            <v>45</v>
          </cell>
        </row>
        <row r="4811">
          <cell r="F4811" t="str">
            <v xml:space="preserve">88275315       </v>
          </cell>
          <cell r="O4811">
            <v>18</v>
          </cell>
        </row>
        <row r="4812">
          <cell r="F4812" t="str">
            <v xml:space="preserve">88275315       </v>
          </cell>
          <cell r="O4812">
            <v>45</v>
          </cell>
        </row>
        <row r="4813">
          <cell r="F4813" t="str">
            <v xml:space="preserve">88275315       </v>
          </cell>
          <cell r="O4813">
            <v>1872</v>
          </cell>
        </row>
        <row r="4814">
          <cell r="F4814" t="str">
            <v xml:space="preserve">88275315       </v>
          </cell>
          <cell r="O4814">
            <v>90</v>
          </cell>
        </row>
        <row r="4815">
          <cell r="F4815" t="str">
            <v xml:space="preserve">88275315       </v>
          </cell>
          <cell r="O4815">
            <v>72</v>
          </cell>
        </row>
        <row r="4816">
          <cell r="F4816" t="str">
            <v xml:space="preserve">901561185      </v>
          </cell>
          <cell r="O4816">
            <v>36</v>
          </cell>
        </row>
        <row r="4817">
          <cell r="F4817" t="str">
            <v xml:space="preserve">94464104       </v>
          </cell>
          <cell r="O4817">
            <v>252</v>
          </cell>
        </row>
        <row r="4818">
          <cell r="F4818" t="str">
            <v xml:space="preserve">94464104       </v>
          </cell>
          <cell r="O4818">
            <v>15</v>
          </cell>
        </row>
        <row r="4819">
          <cell r="F4819" t="str">
            <v xml:space="preserve">94464104       </v>
          </cell>
          <cell r="O4819">
            <v>414</v>
          </cell>
        </row>
        <row r="4820">
          <cell r="F4820" t="str">
            <v xml:space="preserve">94464104       </v>
          </cell>
          <cell r="O4820">
            <v>135</v>
          </cell>
        </row>
        <row r="4821">
          <cell r="F4821" t="str">
            <v xml:space="preserve">16458005       </v>
          </cell>
          <cell r="O4821">
            <v>288</v>
          </cell>
        </row>
        <row r="4822">
          <cell r="F4822" t="str">
            <v xml:space="preserve">901204907      </v>
          </cell>
          <cell r="O4822">
            <v>18</v>
          </cell>
        </row>
        <row r="4823">
          <cell r="F4823" t="str">
            <v xml:space="preserve">901204907      </v>
          </cell>
          <cell r="O4823">
            <v>18</v>
          </cell>
        </row>
        <row r="4824">
          <cell r="F4824" t="str">
            <v xml:space="preserve">94419930       </v>
          </cell>
          <cell r="O4824">
            <v>990</v>
          </cell>
        </row>
        <row r="4825">
          <cell r="F4825" t="str">
            <v xml:space="preserve">94419930       </v>
          </cell>
          <cell r="O4825">
            <v>135</v>
          </cell>
        </row>
        <row r="4826">
          <cell r="F4826" t="str">
            <v xml:space="preserve">94419930       </v>
          </cell>
          <cell r="O4826">
            <v>45</v>
          </cell>
        </row>
        <row r="4827">
          <cell r="F4827" t="str">
            <v xml:space="preserve">94420019       </v>
          </cell>
          <cell r="O4827">
            <v>15</v>
          </cell>
        </row>
        <row r="4828">
          <cell r="F4828" t="str">
            <v xml:space="preserve">94420019       </v>
          </cell>
          <cell r="O4828">
            <v>342</v>
          </cell>
        </row>
        <row r="4829">
          <cell r="F4829" t="str">
            <v xml:space="preserve">94420019       </v>
          </cell>
          <cell r="O4829">
            <v>135</v>
          </cell>
        </row>
        <row r="4830">
          <cell r="F4830" t="str">
            <v xml:space="preserve">94420019       </v>
          </cell>
          <cell r="O4830">
            <v>45</v>
          </cell>
        </row>
        <row r="4831">
          <cell r="F4831" t="str">
            <v xml:space="preserve">16669313       </v>
          </cell>
          <cell r="O4831">
            <v>27</v>
          </cell>
        </row>
        <row r="4832">
          <cell r="F4832" t="str">
            <v xml:space="preserve">16669313       </v>
          </cell>
          <cell r="O4832">
            <v>15</v>
          </cell>
        </row>
        <row r="4833">
          <cell r="F4833" t="str">
            <v xml:space="preserve">16669313       </v>
          </cell>
          <cell r="O4833">
            <v>1494</v>
          </cell>
        </row>
        <row r="4834">
          <cell r="F4834" t="str">
            <v xml:space="preserve">16669313       </v>
          </cell>
          <cell r="O4834">
            <v>135</v>
          </cell>
        </row>
        <row r="4835">
          <cell r="F4835" t="str">
            <v xml:space="preserve">900034686      </v>
          </cell>
          <cell r="O4835">
            <v>18</v>
          </cell>
        </row>
        <row r="4836">
          <cell r="F4836" t="str">
            <v xml:space="preserve">900034686      </v>
          </cell>
          <cell r="O4836">
            <v>90</v>
          </cell>
        </row>
        <row r="4837">
          <cell r="F4837" t="str">
            <v xml:space="preserve">900034686      </v>
          </cell>
          <cell r="O4837">
            <v>36</v>
          </cell>
        </row>
        <row r="4838">
          <cell r="F4838" t="str">
            <v xml:space="preserve">900034686      </v>
          </cell>
          <cell r="O4838">
            <v>90</v>
          </cell>
        </row>
        <row r="4839">
          <cell r="F4839" t="str">
            <v xml:space="preserve">901551934      </v>
          </cell>
          <cell r="O4839">
            <v>54</v>
          </cell>
        </row>
        <row r="4840">
          <cell r="F4840" t="str">
            <v xml:space="preserve">901551934      </v>
          </cell>
          <cell r="O4840">
            <v>135</v>
          </cell>
        </row>
        <row r="4841">
          <cell r="F4841" t="str">
            <v xml:space="preserve">16460421       </v>
          </cell>
          <cell r="O4841">
            <v>27</v>
          </cell>
        </row>
        <row r="4842">
          <cell r="F4842" t="str">
            <v xml:space="preserve">16460421       </v>
          </cell>
          <cell r="O4842">
            <v>30</v>
          </cell>
        </row>
        <row r="4843">
          <cell r="F4843" t="str">
            <v xml:space="preserve">16460421       </v>
          </cell>
          <cell r="O4843">
            <v>684</v>
          </cell>
        </row>
        <row r="4844">
          <cell r="F4844" t="str">
            <v xml:space="preserve">16460421       </v>
          </cell>
          <cell r="O4844">
            <v>45</v>
          </cell>
        </row>
        <row r="4845">
          <cell r="F4845" t="str">
            <v xml:space="preserve">75074760       </v>
          </cell>
          <cell r="O4845">
            <v>180</v>
          </cell>
        </row>
        <row r="4846">
          <cell r="F4846" t="str">
            <v xml:space="preserve">75074760       </v>
          </cell>
          <cell r="O4846">
            <v>36</v>
          </cell>
        </row>
        <row r="4847">
          <cell r="F4847" t="str">
            <v xml:space="preserve">15920401       </v>
          </cell>
          <cell r="O4847">
            <v>54</v>
          </cell>
        </row>
        <row r="4848">
          <cell r="F4848" t="str">
            <v xml:space="preserve">15920401       </v>
          </cell>
          <cell r="O4848">
            <v>2250</v>
          </cell>
        </row>
        <row r="4849">
          <cell r="F4849" t="str">
            <v xml:space="preserve">15920401       </v>
          </cell>
          <cell r="O4849">
            <v>450</v>
          </cell>
        </row>
        <row r="4850">
          <cell r="F4850" t="str">
            <v xml:space="preserve">10237057       </v>
          </cell>
          <cell r="O4850">
            <v>36</v>
          </cell>
        </row>
        <row r="4851">
          <cell r="F4851" t="str">
            <v xml:space="preserve">10237057       </v>
          </cell>
          <cell r="O4851">
            <v>45</v>
          </cell>
        </row>
        <row r="4852">
          <cell r="F4852" t="str">
            <v xml:space="preserve">901555731      </v>
          </cell>
          <cell r="O4852">
            <v>90</v>
          </cell>
        </row>
        <row r="4853">
          <cell r="F4853" t="str">
            <v xml:space="preserve">901555731      </v>
          </cell>
          <cell r="O4853">
            <v>135</v>
          </cell>
        </row>
        <row r="4854">
          <cell r="F4854" t="str">
            <v xml:space="preserve">6157942        </v>
          </cell>
          <cell r="O4854">
            <v>150</v>
          </cell>
        </row>
        <row r="4855">
          <cell r="F4855" t="str">
            <v xml:space="preserve">6157942        </v>
          </cell>
          <cell r="O4855">
            <v>36</v>
          </cell>
        </row>
        <row r="4856">
          <cell r="F4856" t="str">
            <v xml:space="preserve">6157942        </v>
          </cell>
          <cell r="O4856">
            <v>90</v>
          </cell>
        </row>
        <row r="4857">
          <cell r="F4857" t="str">
            <v xml:space="preserve">16456104       </v>
          </cell>
          <cell r="O4857">
            <v>765</v>
          </cell>
        </row>
        <row r="4858">
          <cell r="F4858" t="str">
            <v xml:space="preserve">16456104       </v>
          </cell>
          <cell r="O4858">
            <v>45</v>
          </cell>
        </row>
        <row r="4859">
          <cell r="F4859" t="str">
            <v xml:space="preserve">14471042       </v>
          </cell>
          <cell r="O4859">
            <v>195</v>
          </cell>
        </row>
        <row r="4860">
          <cell r="F4860" t="str">
            <v xml:space="preserve">29233836       </v>
          </cell>
          <cell r="O4860">
            <v>90</v>
          </cell>
        </row>
        <row r="4861">
          <cell r="F4861" t="str">
            <v xml:space="preserve">1088256267     </v>
          </cell>
          <cell r="O4861">
            <v>285</v>
          </cell>
        </row>
        <row r="4862">
          <cell r="F4862" t="str">
            <v xml:space="preserve">1088256267     </v>
          </cell>
          <cell r="O4862">
            <v>90</v>
          </cell>
        </row>
        <row r="4863">
          <cell r="F4863" t="str">
            <v xml:space="preserve">66676270       </v>
          </cell>
          <cell r="O4863">
            <v>180</v>
          </cell>
        </row>
        <row r="4864">
          <cell r="F4864" t="str">
            <v xml:space="preserve">94228120       </v>
          </cell>
          <cell r="O4864">
            <v>30</v>
          </cell>
        </row>
        <row r="4865">
          <cell r="F4865" t="str">
            <v xml:space="preserve">94228120       </v>
          </cell>
          <cell r="O4865">
            <v>486</v>
          </cell>
        </row>
        <row r="4866">
          <cell r="F4866" t="str">
            <v xml:space="preserve">94228120       </v>
          </cell>
          <cell r="O4866">
            <v>90</v>
          </cell>
        </row>
        <row r="4867">
          <cell r="F4867" t="str">
            <v xml:space="preserve">94228120       </v>
          </cell>
          <cell r="O4867">
            <v>135</v>
          </cell>
        </row>
        <row r="4868">
          <cell r="F4868" t="str">
            <v xml:space="preserve">4527357        </v>
          </cell>
          <cell r="O4868">
            <v>27</v>
          </cell>
        </row>
        <row r="4869">
          <cell r="F4869" t="str">
            <v xml:space="preserve">4527357        </v>
          </cell>
          <cell r="O4869">
            <v>525</v>
          </cell>
        </row>
        <row r="4870">
          <cell r="F4870" t="str">
            <v xml:space="preserve">4527357        </v>
          </cell>
          <cell r="O4870">
            <v>180</v>
          </cell>
        </row>
        <row r="4871">
          <cell r="F4871" t="str">
            <v xml:space="preserve">16225682       </v>
          </cell>
          <cell r="O4871">
            <v>45</v>
          </cell>
        </row>
        <row r="4872">
          <cell r="F4872" t="str">
            <v xml:space="preserve">16225682       </v>
          </cell>
          <cell r="O4872">
            <v>36</v>
          </cell>
        </row>
        <row r="4873">
          <cell r="F4873" t="str">
            <v xml:space="preserve">16225682       </v>
          </cell>
          <cell r="O4873">
            <v>345</v>
          </cell>
        </row>
        <row r="4874">
          <cell r="F4874" t="str">
            <v xml:space="preserve">16225682       </v>
          </cell>
          <cell r="O4874">
            <v>9</v>
          </cell>
        </row>
        <row r="4875">
          <cell r="F4875" t="str">
            <v xml:space="preserve">10144092       </v>
          </cell>
          <cell r="O4875">
            <v>330</v>
          </cell>
        </row>
        <row r="4876">
          <cell r="F4876" t="str">
            <v xml:space="preserve">10144092       </v>
          </cell>
          <cell r="O4876">
            <v>45</v>
          </cell>
        </row>
        <row r="4877">
          <cell r="F4877" t="str">
            <v xml:space="preserve">10144092       </v>
          </cell>
          <cell r="O4877">
            <v>90</v>
          </cell>
        </row>
        <row r="4878">
          <cell r="F4878" t="str">
            <v xml:space="preserve">10144092       </v>
          </cell>
          <cell r="O4878">
            <v>75</v>
          </cell>
        </row>
        <row r="4879">
          <cell r="F4879" t="str">
            <v xml:space="preserve">10144092       </v>
          </cell>
          <cell r="O4879">
            <v>378</v>
          </cell>
        </row>
        <row r="4880">
          <cell r="F4880" t="str">
            <v xml:space="preserve">16225675       </v>
          </cell>
          <cell r="O4880">
            <v>210</v>
          </cell>
        </row>
        <row r="4881">
          <cell r="F4881" t="str">
            <v xml:space="preserve">16225675       </v>
          </cell>
          <cell r="O4881">
            <v>108</v>
          </cell>
        </row>
        <row r="4882">
          <cell r="F4882" t="str">
            <v xml:space="preserve">16225675       </v>
          </cell>
          <cell r="O4882">
            <v>90</v>
          </cell>
        </row>
        <row r="4883">
          <cell r="F4883" t="str">
            <v xml:space="preserve">16225675       </v>
          </cell>
          <cell r="O4883">
            <v>450</v>
          </cell>
        </row>
        <row r="4884">
          <cell r="F4884" t="str">
            <v xml:space="preserve">16225675       </v>
          </cell>
          <cell r="O4884">
            <v>144</v>
          </cell>
        </row>
        <row r="4885">
          <cell r="F4885" t="str">
            <v xml:space="preserve">16225675       </v>
          </cell>
          <cell r="O4885">
            <v>9</v>
          </cell>
        </row>
        <row r="4886">
          <cell r="F4886" t="str">
            <v xml:space="preserve">18596221       </v>
          </cell>
          <cell r="O4886">
            <v>135</v>
          </cell>
        </row>
        <row r="4887">
          <cell r="F4887" t="str">
            <v xml:space="preserve">18596221       </v>
          </cell>
          <cell r="O4887">
            <v>90</v>
          </cell>
        </row>
        <row r="4888">
          <cell r="F4888" t="str">
            <v xml:space="preserve">805005148      </v>
          </cell>
          <cell r="O4888">
            <v>1152</v>
          </cell>
        </row>
        <row r="4889">
          <cell r="F4889" t="str">
            <v xml:space="preserve">805005148      </v>
          </cell>
          <cell r="O4889">
            <v>450</v>
          </cell>
        </row>
        <row r="4890">
          <cell r="F4890" t="str">
            <v xml:space="preserve">805005148      </v>
          </cell>
          <cell r="O4890">
            <v>30</v>
          </cell>
        </row>
        <row r="4891">
          <cell r="F4891" t="str">
            <v xml:space="preserve">805005148      </v>
          </cell>
          <cell r="O4891">
            <v>828</v>
          </cell>
        </row>
        <row r="4892">
          <cell r="F4892" t="str">
            <v xml:space="preserve">901303668      </v>
          </cell>
          <cell r="O4892">
            <v>450</v>
          </cell>
        </row>
        <row r="4893">
          <cell r="F4893" t="str">
            <v xml:space="preserve">94373864       </v>
          </cell>
          <cell r="O4893">
            <v>648</v>
          </cell>
        </row>
        <row r="4894">
          <cell r="F4894" t="str">
            <v xml:space="preserve">76323227       </v>
          </cell>
          <cell r="O4894">
            <v>540</v>
          </cell>
        </row>
        <row r="4895">
          <cell r="F4895" t="str">
            <v xml:space="preserve">10532222       </v>
          </cell>
          <cell r="O4895">
            <v>180</v>
          </cell>
        </row>
        <row r="4896">
          <cell r="F4896" t="str">
            <v xml:space="preserve">10532222       </v>
          </cell>
          <cell r="O4896">
            <v>45</v>
          </cell>
        </row>
        <row r="4897">
          <cell r="F4897" t="str">
            <v xml:space="preserve">12168724       </v>
          </cell>
          <cell r="O4897">
            <v>900</v>
          </cell>
        </row>
        <row r="4898">
          <cell r="F4898" t="str">
            <v xml:space="preserve">10755493       </v>
          </cell>
          <cell r="O4898">
            <v>288</v>
          </cell>
        </row>
        <row r="4899">
          <cell r="F4899" t="str">
            <v xml:space="preserve">10292388       </v>
          </cell>
          <cell r="O4899">
            <v>270</v>
          </cell>
        </row>
        <row r="4900">
          <cell r="F4900" t="str">
            <v xml:space="preserve">10292388       </v>
          </cell>
          <cell r="O4900">
            <v>45</v>
          </cell>
        </row>
        <row r="4901">
          <cell r="F4901" t="str">
            <v xml:space="preserve">76331539       </v>
          </cell>
          <cell r="O4901">
            <v>75</v>
          </cell>
        </row>
        <row r="4902">
          <cell r="F4902" t="str">
            <v xml:space="preserve">76331539       </v>
          </cell>
          <cell r="O4902">
            <v>864</v>
          </cell>
        </row>
        <row r="4903">
          <cell r="F4903" t="str">
            <v xml:space="preserve">76331539       </v>
          </cell>
          <cell r="O4903">
            <v>90</v>
          </cell>
        </row>
        <row r="4904">
          <cell r="F4904" t="str">
            <v xml:space="preserve">9900047        </v>
          </cell>
          <cell r="O4904">
            <v>45</v>
          </cell>
        </row>
        <row r="4905">
          <cell r="F4905" t="str">
            <v xml:space="preserve">9900047        </v>
          </cell>
          <cell r="O4905">
            <v>54</v>
          </cell>
        </row>
        <row r="4906">
          <cell r="F4906" t="str">
            <v xml:space="preserve">9900047        </v>
          </cell>
          <cell r="O4906">
            <v>45</v>
          </cell>
        </row>
        <row r="4907">
          <cell r="F4907" t="str">
            <v xml:space="preserve">18416624       </v>
          </cell>
          <cell r="O4907">
            <v>54</v>
          </cell>
        </row>
        <row r="4908">
          <cell r="F4908" t="str">
            <v xml:space="preserve">18416624       </v>
          </cell>
          <cell r="O4908">
            <v>135</v>
          </cell>
        </row>
        <row r="4909">
          <cell r="F4909" t="str">
            <v xml:space="preserve">4613715        </v>
          </cell>
          <cell r="O4909">
            <v>165</v>
          </cell>
        </row>
        <row r="4910">
          <cell r="F4910" t="str">
            <v xml:space="preserve">4613715        </v>
          </cell>
          <cell r="O4910">
            <v>36</v>
          </cell>
        </row>
        <row r="4911">
          <cell r="F4911" t="str">
            <v xml:space="preserve">4613715        </v>
          </cell>
          <cell r="O4911">
            <v>324</v>
          </cell>
        </row>
        <row r="4912">
          <cell r="F4912" t="str">
            <v xml:space="preserve">4613715        </v>
          </cell>
          <cell r="O4912">
            <v>90</v>
          </cell>
        </row>
        <row r="4913">
          <cell r="F4913" t="str">
            <v xml:space="preserve">4613715        </v>
          </cell>
          <cell r="O4913">
            <v>480</v>
          </cell>
        </row>
        <row r="4914">
          <cell r="F4914" t="str">
            <v xml:space="preserve">900368190      </v>
          </cell>
          <cell r="O4914">
            <v>360</v>
          </cell>
        </row>
        <row r="4915">
          <cell r="F4915" t="str">
            <v xml:space="preserve">18415903       </v>
          </cell>
          <cell r="O4915">
            <v>525</v>
          </cell>
        </row>
        <row r="4916">
          <cell r="F4916" t="str">
            <v xml:space="preserve">18415903       </v>
          </cell>
          <cell r="O4916">
            <v>630</v>
          </cell>
        </row>
        <row r="4917">
          <cell r="F4917" t="str">
            <v xml:space="preserve">18415903       </v>
          </cell>
          <cell r="O4917">
            <v>450</v>
          </cell>
        </row>
        <row r="4918">
          <cell r="F4918" t="str">
            <v xml:space="preserve">6110295        </v>
          </cell>
          <cell r="O4918">
            <v>27</v>
          </cell>
        </row>
        <row r="4919">
          <cell r="F4919" t="str">
            <v xml:space="preserve">6110295        </v>
          </cell>
          <cell r="O4919">
            <v>405</v>
          </cell>
        </row>
        <row r="4920">
          <cell r="F4920" t="str">
            <v xml:space="preserve">6110295        </v>
          </cell>
          <cell r="O4920">
            <v>198</v>
          </cell>
        </row>
        <row r="4921">
          <cell r="F4921" t="str">
            <v xml:space="preserve">6110295        </v>
          </cell>
          <cell r="O4921">
            <v>225</v>
          </cell>
        </row>
        <row r="4922">
          <cell r="F4922" t="str">
            <v xml:space="preserve">805005148      </v>
          </cell>
          <cell r="O4922">
            <v>45</v>
          </cell>
        </row>
        <row r="4923">
          <cell r="F4923" t="str">
            <v xml:space="preserve">805005148      </v>
          </cell>
          <cell r="O4923">
            <v>126</v>
          </cell>
        </row>
        <row r="4924">
          <cell r="F4924" t="str">
            <v xml:space="preserve">805005148      </v>
          </cell>
          <cell r="O4924">
            <v>45</v>
          </cell>
        </row>
        <row r="4925">
          <cell r="F4925" t="str">
            <v xml:space="preserve">10488839       </v>
          </cell>
          <cell r="O4925">
            <v>30</v>
          </cell>
        </row>
        <row r="4926">
          <cell r="F4926" t="str">
            <v xml:space="preserve">10488839       </v>
          </cell>
          <cell r="O4926">
            <v>900</v>
          </cell>
        </row>
        <row r="4927">
          <cell r="F4927" t="str">
            <v xml:space="preserve">10488839       </v>
          </cell>
          <cell r="O4927">
            <v>45</v>
          </cell>
        </row>
        <row r="4928">
          <cell r="F4928" t="str">
            <v xml:space="preserve">16843578       </v>
          </cell>
          <cell r="O4928">
            <v>72</v>
          </cell>
        </row>
        <row r="4929">
          <cell r="F4929" t="str">
            <v xml:space="preserve">16843578       </v>
          </cell>
          <cell r="O4929">
            <v>900</v>
          </cell>
        </row>
        <row r="4930">
          <cell r="F4930" t="str">
            <v xml:space="preserve">900034686      </v>
          </cell>
          <cell r="O4930">
            <v>270</v>
          </cell>
        </row>
        <row r="4931">
          <cell r="F4931" t="str">
            <v xml:space="preserve">10484782       </v>
          </cell>
          <cell r="O4931">
            <v>2736</v>
          </cell>
        </row>
        <row r="4932">
          <cell r="F4932" t="str">
            <v xml:space="preserve">16849293       </v>
          </cell>
          <cell r="O4932">
            <v>306</v>
          </cell>
        </row>
        <row r="4933">
          <cell r="F4933" t="str">
            <v xml:space="preserve">14229215       </v>
          </cell>
          <cell r="O4933">
            <v>540</v>
          </cell>
        </row>
        <row r="4934">
          <cell r="F4934" t="str">
            <v xml:space="preserve">79736632       </v>
          </cell>
          <cell r="O4934">
            <v>900</v>
          </cell>
        </row>
        <row r="4935">
          <cell r="F4935" t="str">
            <v xml:space="preserve">13701412       </v>
          </cell>
          <cell r="O4935">
            <v>450</v>
          </cell>
        </row>
        <row r="4936">
          <cell r="F4936" t="str">
            <v xml:space="preserve">79448203       </v>
          </cell>
          <cell r="O4936">
            <v>18</v>
          </cell>
        </row>
        <row r="4937">
          <cell r="F4937" t="str">
            <v xml:space="preserve">79448203       </v>
          </cell>
          <cell r="O4937">
            <v>720</v>
          </cell>
        </row>
        <row r="4938">
          <cell r="F4938" t="str">
            <v xml:space="preserve">79448203       </v>
          </cell>
          <cell r="O4938">
            <v>180</v>
          </cell>
        </row>
        <row r="4939">
          <cell r="F4939" t="str">
            <v xml:space="preserve">26050336       </v>
          </cell>
          <cell r="O4939">
            <v>9</v>
          </cell>
        </row>
        <row r="4940">
          <cell r="F4940" t="str">
            <v xml:space="preserve">26050336       </v>
          </cell>
          <cell r="O4940">
            <v>15</v>
          </cell>
        </row>
        <row r="4941">
          <cell r="F4941" t="str">
            <v xml:space="preserve">26050336       </v>
          </cell>
          <cell r="O4941">
            <v>54</v>
          </cell>
        </row>
        <row r="4942">
          <cell r="F4942" t="str">
            <v xml:space="preserve">830001241      </v>
          </cell>
          <cell r="O4942">
            <v>315</v>
          </cell>
        </row>
        <row r="4943">
          <cell r="F4943" t="str">
            <v xml:space="preserve">900115560      </v>
          </cell>
          <cell r="O4943">
            <v>45</v>
          </cell>
        </row>
        <row r="4944">
          <cell r="F4944" t="str">
            <v xml:space="preserve">91360601       </v>
          </cell>
          <cell r="O4944">
            <v>120</v>
          </cell>
        </row>
        <row r="4945">
          <cell r="F4945" t="str">
            <v xml:space="preserve">91360601       </v>
          </cell>
          <cell r="O4945">
            <v>1800</v>
          </cell>
        </row>
        <row r="4946">
          <cell r="F4946" t="str">
            <v xml:space="preserve">91360601       </v>
          </cell>
          <cell r="O4946">
            <v>18</v>
          </cell>
        </row>
        <row r="4947">
          <cell r="F4947" t="str">
            <v xml:space="preserve">91360601       </v>
          </cell>
          <cell r="O4947">
            <v>270</v>
          </cell>
        </row>
        <row r="4948">
          <cell r="F4948" t="str">
            <v xml:space="preserve">18385749       </v>
          </cell>
          <cell r="O4948">
            <v>15</v>
          </cell>
        </row>
        <row r="4949">
          <cell r="F4949" t="str">
            <v xml:space="preserve">18385749       </v>
          </cell>
          <cell r="O4949">
            <v>342</v>
          </cell>
        </row>
        <row r="4950">
          <cell r="F4950" t="str">
            <v xml:space="preserve">18385749       </v>
          </cell>
          <cell r="O4950">
            <v>675</v>
          </cell>
        </row>
        <row r="4951">
          <cell r="F4951" t="str">
            <v xml:space="preserve">79824837       </v>
          </cell>
          <cell r="O4951">
            <v>1080</v>
          </cell>
        </row>
        <row r="4952">
          <cell r="F4952" t="str">
            <v xml:space="preserve">79824837       </v>
          </cell>
          <cell r="O4952">
            <v>2448</v>
          </cell>
        </row>
        <row r="4953">
          <cell r="F4953" t="str">
            <v xml:space="preserve">79824837       </v>
          </cell>
          <cell r="O4953">
            <v>180</v>
          </cell>
        </row>
        <row r="4954">
          <cell r="F4954" t="str">
            <v xml:space="preserve">6667772        </v>
          </cell>
          <cell r="O4954">
            <v>153</v>
          </cell>
        </row>
        <row r="4955">
          <cell r="F4955" t="str">
            <v xml:space="preserve">6667772        </v>
          </cell>
          <cell r="O4955">
            <v>300</v>
          </cell>
        </row>
        <row r="4956">
          <cell r="F4956" t="str">
            <v xml:space="preserve">6667772        </v>
          </cell>
          <cell r="O4956">
            <v>252</v>
          </cell>
        </row>
        <row r="4957">
          <cell r="F4957" t="str">
            <v xml:space="preserve">6667772        </v>
          </cell>
          <cell r="O4957">
            <v>468</v>
          </cell>
        </row>
        <row r="4958">
          <cell r="F4958" t="str">
            <v xml:space="preserve">6667772        </v>
          </cell>
          <cell r="O4958">
            <v>675</v>
          </cell>
        </row>
        <row r="4959">
          <cell r="F4959" t="str">
            <v xml:space="preserve">71215358       </v>
          </cell>
          <cell r="O4959">
            <v>4.5</v>
          </cell>
        </row>
        <row r="4960">
          <cell r="F4960" t="str">
            <v xml:space="preserve">71215358       </v>
          </cell>
          <cell r="O4960">
            <v>9</v>
          </cell>
        </row>
        <row r="4961">
          <cell r="F4961" t="str">
            <v xml:space="preserve">71215358       </v>
          </cell>
          <cell r="O4961">
            <v>90</v>
          </cell>
        </row>
        <row r="4962">
          <cell r="F4962" t="str">
            <v xml:space="preserve">71215358       </v>
          </cell>
          <cell r="O4962">
            <v>270</v>
          </cell>
        </row>
        <row r="4963">
          <cell r="F4963" t="str">
            <v xml:space="preserve">71215358       </v>
          </cell>
          <cell r="O4963">
            <v>36</v>
          </cell>
        </row>
        <row r="4964">
          <cell r="F4964" t="str">
            <v xml:space="preserve">71215358       </v>
          </cell>
          <cell r="O4964">
            <v>135</v>
          </cell>
        </row>
        <row r="4965">
          <cell r="F4965" t="str">
            <v xml:space="preserve">91179385       </v>
          </cell>
          <cell r="O4965">
            <v>702</v>
          </cell>
        </row>
        <row r="4966">
          <cell r="F4966" t="str">
            <v xml:space="preserve">91179385       </v>
          </cell>
          <cell r="O4966">
            <v>450</v>
          </cell>
        </row>
        <row r="4967">
          <cell r="F4967" t="str">
            <v xml:space="preserve">88275004       </v>
          </cell>
          <cell r="O4967">
            <v>1485</v>
          </cell>
        </row>
        <row r="4968">
          <cell r="F4968" t="str">
            <v xml:space="preserve">88275004       </v>
          </cell>
          <cell r="O4968">
            <v>1062</v>
          </cell>
        </row>
        <row r="4969">
          <cell r="F4969" t="str">
            <v xml:space="preserve">88275004       </v>
          </cell>
          <cell r="O4969">
            <v>270</v>
          </cell>
        </row>
        <row r="4970">
          <cell r="F4970" t="str">
            <v xml:space="preserve">88275004       </v>
          </cell>
          <cell r="O4970">
            <v>180</v>
          </cell>
        </row>
        <row r="4971">
          <cell r="F4971" t="str">
            <v xml:space="preserve">79384689       </v>
          </cell>
          <cell r="O4971">
            <v>90</v>
          </cell>
        </row>
        <row r="4972">
          <cell r="F4972" t="str">
            <v xml:space="preserve">88288258       </v>
          </cell>
          <cell r="O4972">
            <v>75</v>
          </cell>
        </row>
        <row r="4973">
          <cell r="F4973" t="str">
            <v xml:space="preserve">13494934       </v>
          </cell>
          <cell r="O4973">
            <v>360</v>
          </cell>
        </row>
        <row r="4974">
          <cell r="F4974" t="str">
            <v xml:space="preserve">13494934       </v>
          </cell>
          <cell r="O4974">
            <v>36</v>
          </cell>
        </row>
        <row r="4975">
          <cell r="F4975" t="str">
            <v xml:space="preserve">13494934       </v>
          </cell>
          <cell r="O4975">
            <v>45</v>
          </cell>
        </row>
        <row r="4976">
          <cell r="F4976" t="str">
            <v xml:space="preserve">88188644       </v>
          </cell>
          <cell r="O4976">
            <v>375</v>
          </cell>
        </row>
        <row r="4977">
          <cell r="F4977" t="str">
            <v xml:space="preserve">88188644       </v>
          </cell>
          <cell r="O4977">
            <v>180</v>
          </cell>
        </row>
        <row r="4978">
          <cell r="F4978" t="str">
            <v xml:space="preserve">900864885      </v>
          </cell>
          <cell r="O4978">
            <v>150</v>
          </cell>
        </row>
        <row r="4979">
          <cell r="F4979" t="str">
            <v xml:space="preserve">1117502076     </v>
          </cell>
          <cell r="O4979">
            <v>432</v>
          </cell>
        </row>
        <row r="4980">
          <cell r="F4980" t="str">
            <v xml:space="preserve">1117502076     </v>
          </cell>
          <cell r="O4980">
            <v>225</v>
          </cell>
        </row>
        <row r="4981">
          <cell r="F4981" t="str">
            <v xml:space="preserve">91266362       </v>
          </cell>
          <cell r="O4981">
            <v>162</v>
          </cell>
        </row>
        <row r="4982">
          <cell r="F4982" t="str">
            <v xml:space="preserve">91266362       </v>
          </cell>
          <cell r="O4982">
            <v>90</v>
          </cell>
        </row>
        <row r="4983">
          <cell r="F4983" t="str">
            <v xml:space="preserve">91179643       </v>
          </cell>
          <cell r="O4983">
            <v>108</v>
          </cell>
        </row>
        <row r="4984">
          <cell r="F4984" t="str">
            <v xml:space="preserve">91179643       </v>
          </cell>
          <cell r="O4984">
            <v>45</v>
          </cell>
        </row>
        <row r="4985">
          <cell r="F4985" t="str">
            <v xml:space="preserve">91179643       </v>
          </cell>
          <cell r="O4985">
            <v>72</v>
          </cell>
        </row>
        <row r="4986">
          <cell r="F4986" t="str">
            <v xml:space="preserve">91222539       </v>
          </cell>
          <cell r="O4986">
            <v>300</v>
          </cell>
        </row>
        <row r="4987">
          <cell r="F4987" t="str">
            <v xml:space="preserve">91222539       </v>
          </cell>
          <cell r="O4987">
            <v>1080</v>
          </cell>
        </row>
        <row r="4988">
          <cell r="F4988" t="str">
            <v xml:space="preserve">91222539       </v>
          </cell>
          <cell r="O4988">
            <v>180</v>
          </cell>
        </row>
        <row r="4989">
          <cell r="F4989" t="str">
            <v xml:space="preserve">91222539       </v>
          </cell>
          <cell r="O4989">
            <v>360</v>
          </cell>
        </row>
        <row r="4990">
          <cell r="F4990" t="str">
            <v xml:space="preserve">13702886       </v>
          </cell>
          <cell r="O4990">
            <v>750</v>
          </cell>
        </row>
        <row r="4991">
          <cell r="F4991" t="str">
            <v xml:space="preserve">13702886       </v>
          </cell>
          <cell r="O4991">
            <v>360</v>
          </cell>
        </row>
        <row r="4992">
          <cell r="F4992" t="str">
            <v xml:space="preserve">13702886       </v>
          </cell>
          <cell r="O4992">
            <v>450</v>
          </cell>
        </row>
        <row r="4993">
          <cell r="F4993" t="str">
            <v xml:space="preserve">91067422       </v>
          </cell>
          <cell r="O4993">
            <v>150</v>
          </cell>
        </row>
        <row r="4994">
          <cell r="F4994" t="str">
            <v xml:space="preserve">91067422       </v>
          </cell>
          <cell r="O4994">
            <v>54</v>
          </cell>
        </row>
        <row r="4995">
          <cell r="F4995" t="str">
            <v xml:space="preserve">91067422       </v>
          </cell>
          <cell r="O4995">
            <v>180</v>
          </cell>
        </row>
        <row r="4996">
          <cell r="F4996" t="str">
            <v xml:space="preserve">91272730       </v>
          </cell>
          <cell r="O4996">
            <v>120</v>
          </cell>
        </row>
        <row r="4997">
          <cell r="F4997" t="str">
            <v xml:space="preserve">91272730       </v>
          </cell>
          <cell r="O4997">
            <v>126</v>
          </cell>
        </row>
        <row r="4998">
          <cell r="F4998" t="str">
            <v xml:space="preserve">91272730       </v>
          </cell>
          <cell r="O4998">
            <v>90</v>
          </cell>
        </row>
        <row r="4999">
          <cell r="F4999" t="str">
            <v xml:space="preserve">92543124       </v>
          </cell>
          <cell r="O4999">
            <v>600</v>
          </cell>
        </row>
        <row r="5000">
          <cell r="F5000" t="str">
            <v xml:space="preserve">26229305       </v>
          </cell>
          <cell r="O5000">
            <v>1050</v>
          </cell>
        </row>
        <row r="5001">
          <cell r="F5001" t="str">
            <v xml:space="preserve">26229305       </v>
          </cell>
          <cell r="O5001">
            <v>180</v>
          </cell>
        </row>
        <row r="5002">
          <cell r="F5002" t="str">
            <v xml:space="preserve">26229305       </v>
          </cell>
          <cell r="O5002">
            <v>450</v>
          </cell>
        </row>
        <row r="5003">
          <cell r="F5003" t="str">
            <v xml:space="preserve">78112896       </v>
          </cell>
          <cell r="O5003">
            <v>1080</v>
          </cell>
        </row>
        <row r="5004">
          <cell r="F5004" t="str">
            <v xml:space="preserve">78112896       </v>
          </cell>
          <cell r="O5004">
            <v>108</v>
          </cell>
        </row>
        <row r="5005">
          <cell r="F5005" t="str">
            <v xml:space="preserve">73134768       </v>
          </cell>
          <cell r="O5005">
            <v>330</v>
          </cell>
        </row>
        <row r="5006">
          <cell r="F5006" t="str">
            <v xml:space="preserve">73134768       </v>
          </cell>
          <cell r="O5006">
            <v>360</v>
          </cell>
        </row>
        <row r="5007">
          <cell r="F5007" t="str">
            <v xml:space="preserve">73134768       </v>
          </cell>
          <cell r="O5007">
            <v>90</v>
          </cell>
        </row>
        <row r="5008">
          <cell r="F5008" t="str">
            <v xml:space="preserve">85477397       </v>
          </cell>
          <cell r="O5008">
            <v>3225</v>
          </cell>
        </row>
        <row r="5009">
          <cell r="F5009" t="str">
            <v xml:space="preserve">85477397       </v>
          </cell>
          <cell r="O5009">
            <v>1350</v>
          </cell>
        </row>
        <row r="5010">
          <cell r="F5010" t="str">
            <v xml:space="preserve">17842923       </v>
          </cell>
          <cell r="O5010">
            <v>432</v>
          </cell>
        </row>
        <row r="5011">
          <cell r="F5011" t="str">
            <v xml:space="preserve">18916872       </v>
          </cell>
          <cell r="O5011">
            <v>1650</v>
          </cell>
        </row>
        <row r="5012">
          <cell r="F5012" t="str">
            <v xml:space="preserve">91288772       </v>
          </cell>
          <cell r="O5012">
            <v>1050</v>
          </cell>
        </row>
        <row r="5013">
          <cell r="F5013" t="str">
            <v xml:space="preserve">91288772       </v>
          </cell>
          <cell r="O5013">
            <v>90</v>
          </cell>
        </row>
        <row r="5014">
          <cell r="F5014" t="str">
            <v xml:space="preserve">77191750       </v>
          </cell>
          <cell r="O5014">
            <v>828</v>
          </cell>
        </row>
        <row r="5015">
          <cell r="F5015" t="str">
            <v xml:space="preserve">91213004       </v>
          </cell>
          <cell r="O5015">
            <v>270</v>
          </cell>
        </row>
        <row r="5016">
          <cell r="F5016" t="str">
            <v xml:space="preserve">91213004       </v>
          </cell>
          <cell r="O5016">
            <v>225</v>
          </cell>
        </row>
        <row r="5017">
          <cell r="F5017" t="str">
            <v xml:space="preserve">9262987        </v>
          </cell>
          <cell r="O5017">
            <v>108</v>
          </cell>
        </row>
        <row r="5018">
          <cell r="F5018" t="str">
            <v xml:space="preserve">72196317       </v>
          </cell>
          <cell r="O5018">
            <v>285</v>
          </cell>
        </row>
        <row r="5019">
          <cell r="F5019" t="str">
            <v xml:space="preserve">72196317       </v>
          </cell>
          <cell r="O5019">
            <v>54</v>
          </cell>
        </row>
        <row r="5020">
          <cell r="F5020" t="str">
            <v xml:space="preserve">72196317       </v>
          </cell>
          <cell r="O5020">
            <v>9</v>
          </cell>
        </row>
        <row r="5021">
          <cell r="F5021" t="str">
            <v xml:space="preserve">72196317       </v>
          </cell>
          <cell r="O5021">
            <v>1020</v>
          </cell>
        </row>
        <row r="5022">
          <cell r="F5022" t="str">
            <v xml:space="preserve">72196317       </v>
          </cell>
          <cell r="O5022">
            <v>216</v>
          </cell>
        </row>
        <row r="5023">
          <cell r="F5023" t="str">
            <v xml:space="preserve">72196317       </v>
          </cell>
          <cell r="O5023">
            <v>90</v>
          </cell>
        </row>
        <row r="5024">
          <cell r="F5024" t="str">
            <v xml:space="preserve">72196317       </v>
          </cell>
          <cell r="O5024">
            <v>36</v>
          </cell>
        </row>
        <row r="5025">
          <cell r="F5025" t="str">
            <v xml:space="preserve">72196317       </v>
          </cell>
          <cell r="O5025">
            <v>225</v>
          </cell>
        </row>
        <row r="5026">
          <cell r="F5026" t="str">
            <v xml:space="preserve">73079740       </v>
          </cell>
          <cell r="O5026">
            <v>612</v>
          </cell>
        </row>
        <row r="5027">
          <cell r="F5027" t="str">
            <v xml:space="preserve">73079740       </v>
          </cell>
          <cell r="O5027">
            <v>135</v>
          </cell>
        </row>
        <row r="5028">
          <cell r="F5028" t="str">
            <v xml:space="preserve">18531333       </v>
          </cell>
          <cell r="O5028">
            <v>300</v>
          </cell>
        </row>
        <row r="5029">
          <cell r="F5029" t="str">
            <v xml:space="preserve">18531333       </v>
          </cell>
          <cell r="O5029">
            <v>540</v>
          </cell>
        </row>
        <row r="5030">
          <cell r="F5030" t="str">
            <v xml:space="preserve">1120352593     </v>
          </cell>
          <cell r="O5030">
            <v>2952</v>
          </cell>
        </row>
        <row r="5031">
          <cell r="F5031" t="str">
            <v xml:space="preserve">1120352593     </v>
          </cell>
          <cell r="O5031">
            <v>135</v>
          </cell>
        </row>
        <row r="5032">
          <cell r="F5032" t="str">
            <v xml:space="preserve">860001697      </v>
          </cell>
          <cell r="O5032">
            <v>187.3</v>
          </cell>
        </row>
        <row r="5033">
          <cell r="F5033" t="str">
            <v xml:space="preserve">860001697      </v>
          </cell>
          <cell r="O5033">
            <v>147.97999999999999</v>
          </cell>
        </row>
        <row r="5034">
          <cell r="F5034" t="str">
            <v xml:space="preserve">71172414       </v>
          </cell>
          <cell r="O5034">
            <v>9</v>
          </cell>
        </row>
        <row r="5035">
          <cell r="F5035" t="str">
            <v xml:space="preserve">71172414       </v>
          </cell>
          <cell r="O5035">
            <v>1095</v>
          </cell>
        </row>
        <row r="5036">
          <cell r="F5036" t="str">
            <v xml:space="preserve">71172414       </v>
          </cell>
          <cell r="O5036">
            <v>324</v>
          </cell>
        </row>
        <row r="5037">
          <cell r="F5037" t="str">
            <v xml:space="preserve">71172414       </v>
          </cell>
          <cell r="O5037">
            <v>90</v>
          </cell>
        </row>
        <row r="5038">
          <cell r="F5038" t="str">
            <v xml:space="preserve">11255578       </v>
          </cell>
          <cell r="O5038">
            <v>135</v>
          </cell>
        </row>
        <row r="5039">
          <cell r="F5039" t="str">
            <v xml:space="preserve">79827688       </v>
          </cell>
          <cell r="O5039">
            <v>9</v>
          </cell>
        </row>
        <row r="5040">
          <cell r="F5040" t="str">
            <v xml:space="preserve">79827688       </v>
          </cell>
          <cell r="O5040">
            <v>135</v>
          </cell>
        </row>
        <row r="5041">
          <cell r="F5041" t="str">
            <v xml:space="preserve">79827688       </v>
          </cell>
          <cell r="O5041">
            <v>360</v>
          </cell>
        </row>
        <row r="5042">
          <cell r="F5042" t="str">
            <v xml:space="preserve">79827688       </v>
          </cell>
          <cell r="O5042">
            <v>180</v>
          </cell>
        </row>
        <row r="5043">
          <cell r="F5043" t="str">
            <v xml:space="preserve">79827688       </v>
          </cell>
          <cell r="O5043">
            <v>45</v>
          </cell>
        </row>
        <row r="5044">
          <cell r="F5044" t="str">
            <v xml:space="preserve">79827688       </v>
          </cell>
          <cell r="O5044">
            <v>216</v>
          </cell>
        </row>
        <row r="5045">
          <cell r="F5045" t="str">
            <v xml:space="preserve">70752579       </v>
          </cell>
          <cell r="O5045">
            <v>45</v>
          </cell>
        </row>
        <row r="5046">
          <cell r="F5046" t="str">
            <v xml:space="preserve">70752579       </v>
          </cell>
          <cell r="O5046">
            <v>540</v>
          </cell>
        </row>
        <row r="5047">
          <cell r="F5047" t="str">
            <v xml:space="preserve">70752579       </v>
          </cell>
          <cell r="O5047">
            <v>300</v>
          </cell>
        </row>
        <row r="5048">
          <cell r="F5048" t="str">
            <v xml:space="preserve">80266206       </v>
          </cell>
          <cell r="O5048">
            <v>30</v>
          </cell>
        </row>
        <row r="5049">
          <cell r="F5049" t="str">
            <v xml:space="preserve">80266206       </v>
          </cell>
          <cell r="O5049">
            <v>288</v>
          </cell>
        </row>
        <row r="5050">
          <cell r="F5050" t="str">
            <v xml:space="preserve">80266206       </v>
          </cell>
          <cell r="O5050">
            <v>135</v>
          </cell>
        </row>
        <row r="5051">
          <cell r="F5051" t="str">
            <v xml:space="preserve">80266206       </v>
          </cell>
          <cell r="O5051">
            <v>72</v>
          </cell>
        </row>
        <row r="5052">
          <cell r="F5052" t="str">
            <v xml:space="preserve">79119755       </v>
          </cell>
          <cell r="O5052">
            <v>144</v>
          </cell>
        </row>
        <row r="5053">
          <cell r="F5053" t="str">
            <v xml:space="preserve">79119755       </v>
          </cell>
          <cell r="O5053">
            <v>120</v>
          </cell>
        </row>
        <row r="5054">
          <cell r="F5054" t="str">
            <v xml:space="preserve">79119755       </v>
          </cell>
          <cell r="O5054">
            <v>450</v>
          </cell>
        </row>
        <row r="5055">
          <cell r="F5055" t="str">
            <v xml:space="preserve">1111739602     </v>
          </cell>
          <cell r="O5055">
            <v>885</v>
          </cell>
        </row>
        <row r="5056">
          <cell r="F5056" t="str">
            <v xml:space="preserve">1111739602     </v>
          </cell>
          <cell r="O5056">
            <v>225</v>
          </cell>
        </row>
        <row r="5057">
          <cell r="F5057" t="str">
            <v xml:space="preserve">1111739602     </v>
          </cell>
          <cell r="O5057">
            <v>630</v>
          </cell>
        </row>
        <row r="5058">
          <cell r="F5058" t="str">
            <v xml:space="preserve">88168843       </v>
          </cell>
          <cell r="O5058">
            <v>9</v>
          </cell>
        </row>
        <row r="5059">
          <cell r="F5059" t="str">
            <v xml:space="preserve">88168843       </v>
          </cell>
          <cell r="O5059">
            <v>15</v>
          </cell>
        </row>
        <row r="5060">
          <cell r="F5060" t="str">
            <v xml:space="preserve">88168843       </v>
          </cell>
          <cell r="O5060">
            <v>270</v>
          </cell>
        </row>
        <row r="5061">
          <cell r="F5061" t="str">
            <v xml:space="preserve">79266522       </v>
          </cell>
          <cell r="O5061">
            <v>180</v>
          </cell>
        </row>
        <row r="5062">
          <cell r="F5062" t="str">
            <v xml:space="preserve">79266522       </v>
          </cell>
          <cell r="O5062">
            <v>90</v>
          </cell>
        </row>
        <row r="5063">
          <cell r="F5063" t="str">
            <v xml:space="preserve">79266522       </v>
          </cell>
          <cell r="O5063">
            <v>225</v>
          </cell>
        </row>
        <row r="5064">
          <cell r="F5064" t="str">
            <v xml:space="preserve">79266522       </v>
          </cell>
          <cell r="O5064">
            <v>30</v>
          </cell>
        </row>
        <row r="5065">
          <cell r="F5065" t="str">
            <v xml:space="preserve">79221604       </v>
          </cell>
          <cell r="O5065">
            <v>18</v>
          </cell>
        </row>
        <row r="5066">
          <cell r="F5066" t="str">
            <v xml:space="preserve">79221604       </v>
          </cell>
          <cell r="O5066">
            <v>72</v>
          </cell>
        </row>
        <row r="5067">
          <cell r="F5067" t="str">
            <v xml:space="preserve">79221604       </v>
          </cell>
          <cell r="O5067">
            <v>45</v>
          </cell>
        </row>
        <row r="5068">
          <cell r="F5068" t="str">
            <v xml:space="preserve">79221604       </v>
          </cell>
          <cell r="O5068">
            <v>18</v>
          </cell>
        </row>
        <row r="5069">
          <cell r="F5069" t="str">
            <v xml:space="preserve">79221604       </v>
          </cell>
          <cell r="O5069">
            <v>15</v>
          </cell>
        </row>
        <row r="5070">
          <cell r="F5070" t="str">
            <v xml:space="preserve">79221604       </v>
          </cell>
          <cell r="O5070">
            <v>270</v>
          </cell>
        </row>
        <row r="5071">
          <cell r="F5071" t="str">
            <v xml:space="preserve">79221604       </v>
          </cell>
          <cell r="O5071">
            <v>45</v>
          </cell>
        </row>
        <row r="5072">
          <cell r="F5072" t="str">
            <v xml:space="preserve">9867640        </v>
          </cell>
          <cell r="O5072">
            <v>18</v>
          </cell>
        </row>
        <row r="5073">
          <cell r="F5073" t="str">
            <v xml:space="preserve">9867640        </v>
          </cell>
          <cell r="O5073">
            <v>240</v>
          </cell>
        </row>
        <row r="5074">
          <cell r="F5074" t="str">
            <v xml:space="preserve">10315862       </v>
          </cell>
          <cell r="O5074">
            <v>234</v>
          </cell>
        </row>
        <row r="5075">
          <cell r="F5075" t="str">
            <v xml:space="preserve">10315862       </v>
          </cell>
          <cell r="O5075">
            <v>135</v>
          </cell>
        </row>
        <row r="5076">
          <cell r="F5076" t="str">
            <v xml:space="preserve">1103101503     </v>
          </cell>
          <cell r="O5076">
            <v>60</v>
          </cell>
        </row>
        <row r="5077">
          <cell r="F5077" t="str">
            <v xml:space="preserve">1103101503     </v>
          </cell>
          <cell r="O5077">
            <v>756</v>
          </cell>
        </row>
        <row r="5078">
          <cell r="F5078" t="str">
            <v xml:space="preserve">1103101503     </v>
          </cell>
          <cell r="O5078">
            <v>135</v>
          </cell>
        </row>
        <row r="5079">
          <cell r="F5079" t="str">
            <v xml:space="preserve">73166349       </v>
          </cell>
          <cell r="O5079">
            <v>150</v>
          </cell>
        </row>
        <row r="5080">
          <cell r="F5080" t="str">
            <v xml:space="preserve">73166349       </v>
          </cell>
          <cell r="O5080">
            <v>360</v>
          </cell>
        </row>
        <row r="5081">
          <cell r="F5081" t="str">
            <v xml:space="preserve">860001697      </v>
          </cell>
          <cell r="O5081">
            <v>192.1</v>
          </cell>
        </row>
        <row r="5082">
          <cell r="F5082" t="str">
            <v xml:space="preserve">860001697      </v>
          </cell>
          <cell r="O5082">
            <v>245</v>
          </cell>
        </row>
        <row r="5083">
          <cell r="F5083" t="str">
            <v xml:space="preserve">860001697      </v>
          </cell>
          <cell r="O5083">
            <v>547.64</v>
          </cell>
        </row>
        <row r="5084">
          <cell r="F5084" t="str">
            <v xml:space="preserve">860001697      </v>
          </cell>
          <cell r="O5084">
            <v>563.4</v>
          </cell>
        </row>
        <row r="5085">
          <cell r="F5085" t="str">
            <v xml:space="preserve">860001697      </v>
          </cell>
          <cell r="O5085">
            <v>489.85</v>
          </cell>
        </row>
        <row r="5086">
          <cell r="F5086" t="str">
            <v xml:space="preserve">860001697      </v>
          </cell>
          <cell r="O5086">
            <v>118.3</v>
          </cell>
        </row>
        <row r="5087">
          <cell r="F5087" t="str">
            <v xml:space="preserve">860001697      </v>
          </cell>
          <cell r="O5087">
            <v>62.95</v>
          </cell>
        </row>
        <row r="5088">
          <cell r="F5088" t="str">
            <v xml:space="preserve">860001697      </v>
          </cell>
          <cell r="O5088">
            <v>109.31</v>
          </cell>
        </row>
        <row r="5089">
          <cell r="F5089" t="str">
            <v xml:space="preserve">900783521      </v>
          </cell>
          <cell r="O5089">
            <v>209</v>
          </cell>
        </row>
        <row r="5090">
          <cell r="F5090" t="str">
            <v xml:space="preserve">94429458       </v>
          </cell>
          <cell r="O5090">
            <v>63</v>
          </cell>
        </row>
        <row r="5091">
          <cell r="F5091" t="str">
            <v xml:space="preserve">94429458       </v>
          </cell>
          <cell r="O5091">
            <v>2550</v>
          </cell>
        </row>
        <row r="5092">
          <cell r="F5092" t="str">
            <v xml:space="preserve">94429458       </v>
          </cell>
          <cell r="O5092">
            <v>162</v>
          </cell>
        </row>
        <row r="5093">
          <cell r="F5093" t="str">
            <v xml:space="preserve">94429458       </v>
          </cell>
          <cell r="O5093">
            <v>1440</v>
          </cell>
        </row>
        <row r="5094">
          <cell r="F5094" t="str">
            <v xml:space="preserve">94429458       </v>
          </cell>
          <cell r="O5094">
            <v>360</v>
          </cell>
        </row>
        <row r="5095">
          <cell r="F5095" t="str">
            <v xml:space="preserve">74170036       </v>
          </cell>
          <cell r="O5095">
            <v>180</v>
          </cell>
        </row>
        <row r="5096">
          <cell r="F5096" t="str">
            <v xml:space="preserve">74170036       </v>
          </cell>
          <cell r="O5096">
            <v>225</v>
          </cell>
        </row>
        <row r="5097">
          <cell r="F5097" t="str">
            <v xml:space="preserve">7305518        </v>
          </cell>
          <cell r="O5097">
            <v>9</v>
          </cell>
        </row>
        <row r="5098">
          <cell r="F5098" t="str">
            <v xml:space="preserve">7305518        </v>
          </cell>
          <cell r="O5098">
            <v>1800</v>
          </cell>
        </row>
        <row r="5099">
          <cell r="F5099" t="str">
            <v xml:space="preserve">7305518        </v>
          </cell>
          <cell r="O5099">
            <v>630</v>
          </cell>
        </row>
        <row r="5100">
          <cell r="F5100" t="str">
            <v xml:space="preserve">832010019      </v>
          </cell>
          <cell r="O5100">
            <v>270</v>
          </cell>
        </row>
        <row r="5101">
          <cell r="F5101" t="str">
            <v xml:space="preserve">7305425        </v>
          </cell>
          <cell r="O5101">
            <v>486</v>
          </cell>
        </row>
        <row r="5102">
          <cell r="F5102" t="str">
            <v xml:space="preserve">7305425        </v>
          </cell>
          <cell r="O5102">
            <v>90</v>
          </cell>
        </row>
        <row r="5103">
          <cell r="F5103" t="str">
            <v xml:space="preserve">7301411        </v>
          </cell>
          <cell r="O5103">
            <v>414</v>
          </cell>
        </row>
        <row r="5104">
          <cell r="F5104" t="str">
            <v xml:space="preserve">7301411        </v>
          </cell>
          <cell r="O5104">
            <v>180</v>
          </cell>
        </row>
        <row r="5105">
          <cell r="F5105" t="str">
            <v xml:space="preserve">17655129       </v>
          </cell>
          <cell r="O5105">
            <v>375</v>
          </cell>
        </row>
        <row r="5106">
          <cell r="F5106" t="str">
            <v xml:space="preserve">17655129       </v>
          </cell>
          <cell r="O5106">
            <v>270</v>
          </cell>
        </row>
        <row r="5107">
          <cell r="F5107" t="str">
            <v xml:space="preserve">17655129       </v>
          </cell>
          <cell r="O5107">
            <v>345</v>
          </cell>
        </row>
        <row r="5108">
          <cell r="F5108" t="str">
            <v xml:space="preserve">17655129       </v>
          </cell>
          <cell r="O5108">
            <v>35</v>
          </cell>
        </row>
        <row r="5109">
          <cell r="F5109" t="str">
            <v xml:space="preserve">1083686504     </v>
          </cell>
          <cell r="O5109">
            <v>300</v>
          </cell>
        </row>
        <row r="5110">
          <cell r="F5110" t="str">
            <v xml:space="preserve">1083686504     </v>
          </cell>
          <cell r="O5110">
            <v>135</v>
          </cell>
        </row>
        <row r="5111">
          <cell r="F5111" t="str">
            <v xml:space="preserve">1083686504     </v>
          </cell>
          <cell r="O5111">
            <v>180</v>
          </cell>
        </row>
        <row r="5112">
          <cell r="F5112" t="str">
            <v xml:space="preserve">35250577       </v>
          </cell>
          <cell r="O5112">
            <v>9</v>
          </cell>
        </row>
        <row r="5113">
          <cell r="F5113" t="str">
            <v xml:space="preserve">35250577       </v>
          </cell>
          <cell r="O5113">
            <v>108</v>
          </cell>
        </row>
        <row r="5114">
          <cell r="F5114" t="str">
            <v xml:space="preserve">35250577       </v>
          </cell>
          <cell r="O5114">
            <v>135</v>
          </cell>
        </row>
        <row r="5115">
          <cell r="F5115" t="str">
            <v xml:space="preserve">11320273       </v>
          </cell>
          <cell r="O5115">
            <v>240</v>
          </cell>
        </row>
        <row r="5116">
          <cell r="F5116" t="str">
            <v xml:space="preserve">11320273       </v>
          </cell>
          <cell r="O5116">
            <v>900</v>
          </cell>
        </row>
        <row r="5117">
          <cell r="F5117" t="str">
            <v xml:space="preserve">11320273       </v>
          </cell>
          <cell r="O5117">
            <v>675</v>
          </cell>
        </row>
        <row r="5118">
          <cell r="F5118" t="str">
            <v xml:space="preserve">5348905        </v>
          </cell>
          <cell r="O5118">
            <v>225</v>
          </cell>
        </row>
        <row r="5119">
          <cell r="F5119" t="str">
            <v xml:space="preserve">5348905        </v>
          </cell>
          <cell r="O5119">
            <v>1800</v>
          </cell>
        </row>
        <row r="5120">
          <cell r="F5120" t="str">
            <v xml:space="preserve">18185538       </v>
          </cell>
          <cell r="O5120">
            <v>195</v>
          </cell>
        </row>
        <row r="5121">
          <cell r="F5121" t="str">
            <v xml:space="preserve">12266504       </v>
          </cell>
          <cell r="O5121">
            <v>210</v>
          </cell>
        </row>
        <row r="5122">
          <cell r="F5122" t="str">
            <v xml:space="preserve">12266504       </v>
          </cell>
          <cell r="O5122">
            <v>18</v>
          </cell>
        </row>
        <row r="5123">
          <cell r="F5123" t="str">
            <v xml:space="preserve">12266504       </v>
          </cell>
          <cell r="O5123">
            <v>90</v>
          </cell>
        </row>
        <row r="5124">
          <cell r="F5124" t="str">
            <v xml:space="preserve">12266504       </v>
          </cell>
          <cell r="O5124">
            <v>60</v>
          </cell>
        </row>
        <row r="5125">
          <cell r="F5125" t="str">
            <v xml:space="preserve">12266504       </v>
          </cell>
          <cell r="O5125">
            <v>36</v>
          </cell>
        </row>
        <row r="5126">
          <cell r="F5126" t="str">
            <v xml:space="preserve">12266504       </v>
          </cell>
          <cell r="O5126">
            <v>180</v>
          </cell>
        </row>
        <row r="5127">
          <cell r="F5127" t="str">
            <v xml:space="preserve">12266504       </v>
          </cell>
          <cell r="O5127">
            <v>405</v>
          </cell>
        </row>
        <row r="5128">
          <cell r="F5128" t="str">
            <v xml:space="preserve">12266504       </v>
          </cell>
          <cell r="O5128">
            <v>90</v>
          </cell>
        </row>
        <row r="5129">
          <cell r="F5129" t="str">
            <v xml:space="preserve">79847779       </v>
          </cell>
          <cell r="O5129">
            <v>450</v>
          </cell>
        </row>
        <row r="5130">
          <cell r="F5130" t="str">
            <v xml:space="preserve">79847779       </v>
          </cell>
          <cell r="O5130">
            <v>450</v>
          </cell>
        </row>
        <row r="5131">
          <cell r="F5131" t="str">
            <v xml:space="preserve">79847779       </v>
          </cell>
          <cell r="O5131">
            <v>270</v>
          </cell>
        </row>
        <row r="5132">
          <cell r="F5132" t="str">
            <v xml:space="preserve">12231586       </v>
          </cell>
          <cell r="O5132">
            <v>90</v>
          </cell>
        </row>
        <row r="5133">
          <cell r="F5133" t="str">
            <v xml:space="preserve">12231586       </v>
          </cell>
          <cell r="O5133">
            <v>36</v>
          </cell>
        </row>
        <row r="5134">
          <cell r="F5134" t="str">
            <v xml:space="preserve">12231586       </v>
          </cell>
          <cell r="O5134">
            <v>135</v>
          </cell>
        </row>
        <row r="5135">
          <cell r="F5135" t="str">
            <v xml:space="preserve">83042067       </v>
          </cell>
          <cell r="O5135">
            <v>150</v>
          </cell>
        </row>
        <row r="5136">
          <cell r="F5136" t="str">
            <v xml:space="preserve">83042067       </v>
          </cell>
          <cell r="O5136">
            <v>54</v>
          </cell>
        </row>
        <row r="5137">
          <cell r="F5137" t="str">
            <v xml:space="preserve">83042067       </v>
          </cell>
          <cell r="O5137">
            <v>90</v>
          </cell>
        </row>
        <row r="5138">
          <cell r="F5138" t="str">
            <v xml:space="preserve">1062292334     </v>
          </cell>
          <cell r="O5138">
            <v>210</v>
          </cell>
        </row>
        <row r="5139">
          <cell r="F5139" t="str">
            <v xml:space="preserve">1062292334     </v>
          </cell>
          <cell r="O5139">
            <v>558</v>
          </cell>
        </row>
        <row r="5140">
          <cell r="F5140" t="str">
            <v xml:space="preserve">1062292334     </v>
          </cell>
          <cell r="O5140">
            <v>180</v>
          </cell>
        </row>
        <row r="5141">
          <cell r="F5141" t="str">
            <v xml:space="preserve">79004412       </v>
          </cell>
          <cell r="O5141">
            <v>360</v>
          </cell>
        </row>
        <row r="5142">
          <cell r="F5142" t="str">
            <v xml:space="preserve">79004412       </v>
          </cell>
          <cell r="O5142">
            <v>765</v>
          </cell>
        </row>
        <row r="5143">
          <cell r="F5143" t="str">
            <v xml:space="preserve">79004412       </v>
          </cell>
          <cell r="O5143">
            <v>360</v>
          </cell>
        </row>
        <row r="5144">
          <cell r="F5144" t="str">
            <v xml:space="preserve">79004412       </v>
          </cell>
          <cell r="O5144">
            <v>405</v>
          </cell>
        </row>
        <row r="5145">
          <cell r="F5145" t="str">
            <v xml:space="preserve">11445090       </v>
          </cell>
          <cell r="O5145">
            <v>72</v>
          </cell>
        </row>
        <row r="5146">
          <cell r="F5146" t="str">
            <v xml:space="preserve">11445090       </v>
          </cell>
          <cell r="O5146">
            <v>75</v>
          </cell>
        </row>
        <row r="5147">
          <cell r="F5147" t="str">
            <v xml:space="preserve">11445090       </v>
          </cell>
          <cell r="O5147">
            <v>882</v>
          </cell>
        </row>
        <row r="5148">
          <cell r="F5148" t="str">
            <v xml:space="preserve">800210865      </v>
          </cell>
          <cell r="O5148">
            <v>9</v>
          </cell>
        </row>
        <row r="5149">
          <cell r="F5149" t="str">
            <v xml:space="preserve">800210865      </v>
          </cell>
          <cell r="O5149">
            <v>108</v>
          </cell>
        </row>
        <row r="5150">
          <cell r="F5150" t="str">
            <v xml:space="preserve">800210865      </v>
          </cell>
          <cell r="O5150">
            <v>135</v>
          </cell>
        </row>
        <row r="5151">
          <cell r="F5151" t="str">
            <v xml:space="preserve">80351964       </v>
          </cell>
          <cell r="O5151">
            <v>63</v>
          </cell>
        </row>
        <row r="5152">
          <cell r="F5152" t="str">
            <v xml:space="preserve">80351964       </v>
          </cell>
          <cell r="O5152">
            <v>162</v>
          </cell>
        </row>
        <row r="5153">
          <cell r="F5153" t="str">
            <v xml:space="preserve">80351964       </v>
          </cell>
          <cell r="O5153">
            <v>45</v>
          </cell>
        </row>
        <row r="5154">
          <cell r="F5154" t="str">
            <v xml:space="preserve">3090329        </v>
          </cell>
          <cell r="O5154">
            <v>225</v>
          </cell>
        </row>
        <row r="5155">
          <cell r="F5155" t="str">
            <v xml:space="preserve">4090572        </v>
          </cell>
          <cell r="O5155">
            <v>18</v>
          </cell>
        </row>
        <row r="5156">
          <cell r="F5156" t="str">
            <v xml:space="preserve">4090572        </v>
          </cell>
          <cell r="O5156">
            <v>450</v>
          </cell>
        </row>
        <row r="5157">
          <cell r="F5157" t="str">
            <v xml:space="preserve">4090572        </v>
          </cell>
          <cell r="O5157">
            <v>180</v>
          </cell>
        </row>
        <row r="5158">
          <cell r="F5158" t="str">
            <v xml:space="preserve">80024551       </v>
          </cell>
          <cell r="O5158">
            <v>63</v>
          </cell>
        </row>
        <row r="5159">
          <cell r="F5159" t="str">
            <v xml:space="preserve">80024551       </v>
          </cell>
          <cell r="O5159">
            <v>90</v>
          </cell>
        </row>
        <row r="5160">
          <cell r="F5160" t="str">
            <v xml:space="preserve">80024551       </v>
          </cell>
          <cell r="O5160">
            <v>414</v>
          </cell>
        </row>
        <row r="5161">
          <cell r="F5161" t="str">
            <v xml:space="preserve">80024551       </v>
          </cell>
          <cell r="O5161">
            <v>135</v>
          </cell>
        </row>
        <row r="5162">
          <cell r="F5162" t="str">
            <v xml:space="preserve">80024551       </v>
          </cell>
          <cell r="O5162">
            <v>72</v>
          </cell>
        </row>
        <row r="5163">
          <cell r="F5163" t="str">
            <v xml:space="preserve">80024551       </v>
          </cell>
          <cell r="O5163">
            <v>45</v>
          </cell>
        </row>
        <row r="5164">
          <cell r="F5164" t="str">
            <v xml:space="preserve">80024551       </v>
          </cell>
          <cell r="O5164">
            <v>738</v>
          </cell>
        </row>
        <row r="5165">
          <cell r="F5165" t="str">
            <v xml:space="preserve">80024551       </v>
          </cell>
          <cell r="O5165">
            <v>360</v>
          </cell>
        </row>
        <row r="5166">
          <cell r="F5166" t="str">
            <v xml:space="preserve">811037915      </v>
          </cell>
          <cell r="O5166">
            <v>15</v>
          </cell>
        </row>
        <row r="5167">
          <cell r="F5167" t="str">
            <v xml:space="preserve">900127140      </v>
          </cell>
          <cell r="O5167">
            <v>54</v>
          </cell>
        </row>
        <row r="5168">
          <cell r="F5168" t="str">
            <v xml:space="preserve">4198272        </v>
          </cell>
          <cell r="O5168">
            <v>45</v>
          </cell>
        </row>
        <row r="5169">
          <cell r="F5169" t="str">
            <v xml:space="preserve">4198272        </v>
          </cell>
          <cell r="O5169">
            <v>81</v>
          </cell>
        </row>
        <row r="5170">
          <cell r="F5170" t="str">
            <v xml:space="preserve">4090806        </v>
          </cell>
          <cell r="O5170">
            <v>126</v>
          </cell>
        </row>
        <row r="5171">
          <cell r="F5171" t="str">
            <v xml:space="preserve">4090806        </v>
          </cell>
          <cell r="O5171">
            <v>30</v>
          </cell>
        </row>
        <row r="5172">
          <cell r="F5172" t="str">
            <v xml:space="preserve">4090806        </v>
          </cell>
          <cell r="O5172">
            <v>918</v>
          </cell>
        </row>
        <row r="5173">
          <cell r="F5173" t="str">
            <v xml:space="preserve">4090806        </v>
          </cell>
          <cell r="O5173">
            <v>540</v>
          </cell>
        </row>
        <row r="5174">
          <cell r="F5174" t="str">
            <v xml:space="preserve">1049794120     </v>
          </cell>
          <cell r="O5174">
            <v>810</v>
          </cell>
        </row>
        <row r="5175">
          <cell r="F5175" t="str">
            <v xml:space="preserve">1049794120     </v>
          </cell>
          <cell r="O5175">
            <v>18</v>
          </cell>
        </row>
        <row r="5176">
          <cell r="F5176" t="str">
            <v xml:space="preserve">1049794120     </v>
          </cell>
          <cell r="O5176">
            <v>630</v>
          </cell>
        </row>
        <row r="5177">
          <cell r="F5177" t="str">
            <v xml:space="preserve">79339314       </v>
          </cell>
          <cell r="O5177">
            <v>150</v>
          </cell>
        </row>
        <row r="5178">
          <cell r="F5178" t="str">
            <v xml:space="preserve">79339314       </v>
          </cell>
          <cell r="O5178">
            <v>90</v>
          </cell>
        </row>
        <row r="5179">
          <cell r="F5179" t="str">
            <v xml:space="preserve">3171403        </v>
          </cell>
          <cell r="O5179">
            <v>30</v>
          </cell>
        </row>
        <row r="5180">
          <cell r="F5180" t="str">
            <v xml:space="preserve">3171403        </v>
          </cell>
          <cell r="O5180">
            <v>180</v>
          </cell>
        </row>
        <row r="5181">
          <cell r="F5181" t="str">
            <v xml:space="preserve">3171403        </v>
          </cell>
          <cell r="O5181">
            <v>135</v>
          </cell>
        </row>
        <row r="5182">
          <cell r="F5182" t="str">
            <v xml:space="preserve">3171403        </v>
          </cell>
          <cell r="O5182">
            <v>9</v>
          </cell>
        </row>
        <row r="5183">
          <cell r="F5183" t="str">
            <v xml:space="preserve">3171403        </v>
          </cell>
          <cell r="O5183">
            <v>216</v>
          </cell>
        </row>
        <row r="5184">
          <cell r="F5184" t="str">
            <v xml:space="preserve">3171403        </v>
          </cell>
          <cell r="O5184">
            <v>180</v>
          </cell>
        </row>
        <row r="5185">
          <cell r="F5185" t="str">
            <v xml:space="preserve">83218584       </v>
          </cell>
          <cell r="O5185">
            <v>255</v>
          </cell>
        </row>
        <row r="5186">
          <cell r="F5186" t="str">
            <v xml:space="preserve">83218584       </v>
          </cell>
          <cell r="O5186">
            <v>126</v>
          </cell>
        </row>
        <row r="5187">
          <cell r="F5187" t="str">
            <v xml:space="preserve">83218584       </v>
          </cell>
          <cell r="O5187">
            <v>270</v>
          </cell>
        </row>
        <row r="5188">
          <cell r="F5188" t="str">
            <v xml:space="preserve">83218584       </v>
          </cell>
          <cell r="O5188">
            <v>375</v>
          </cell>
        </row>
        <row r="5189">
          <cell r="F5189" t="str">
            <v xml:space="preserve">83218584       </v>
          </cell>
          <cell r="O5189">
            <v>54</v>
          </cell>
        </row>
        <row r="5190">
          <cell r="F5190" t="str">
            <v xml:space="preserve">83218584       </v>
          </cell>
          <cell r="O5190">
            <v>90</v>
          </cell>
        </row>
        <row r="5191">
          <cell r="F5191" t="str">
            <v xml:space="preserve">7545517        </v>
          </cell>
          <cell r="O5191">
            <v>90</v>
          </cell>
        </row>
        <row r="5192">
          <cell r="F5192" t="str">
            <v xml:space="preserve">7545517        </v>
          </cell>
          <cell r="O5192">
            <v>126</v>
          </cell>
        </row>
        <row r="5193">
          <cell r="F5193" t="str">
            <v xml:space="preserve">10185600       </v>
          </cell>
          <cell r="O5193">
            <v>468</v>
          </cell>
        </row>
        <row r="5194">
          <cell r="F5194" t="str">
            <v xml:space="preserve">10185600       </v>
          </cell>
          <cell r="O5194">
            <v>90</v>
          </cell>
        </row>
        <row r="5195">
          <cell r="F5195" t="str">
            <v xml:space="preserve">8435389        </v>
          </cell>
          <cell r="O5195">
            <v>750</v>
          </cell>
        </row>
        <row r="5196">
          <cell r="F5196" t="str">
            <v xml:space="preserve">8435389        </v>
          </cell>
          <cell r="O5196">
            <v>2160</v>
          </cell>
        </row>
        <row r="5197">
          <cell r="F5197" t="str">
            <v xml:space="preserve">8435389        </v>
          </cell>
          <cell r="O5197">
            <v>45</v>
          </cell>
        </row>
        <row r="5198">
          <cell r="F5198" t="str">
            <v xml:space="preserve">1101440685     </v>
          </cell>
          <cell r="O5198">
            <v>450</v>
          </cell>
        </row>
        <row r="5199">
          <cell r="F5199" t="str">
            <v xml:space="preserve">1101440685     </v>
          </cell>
          <cell r="O5199">
            <v>612</v>
          </cell>
        </row>
        <row r="5200">
          <cell r="F5200" t="str">
            <v xml:space="preserve">1023722736     </v>
          </cell>
          <cell r="O5200">
            <v>420</v>
          </cell>
        </row>
        <row r="5201">
          <cell r="F5201" t="str">
            <v xml:space="preserve">1023722736     </v>
          </cell>
          <cell r="O5201">
            <v>54</v>
          </cell>
        </row>
        <row r="5202">
          <cell r="F5202" t="str">
            <v xml:space="preserve">1039696881     </v>
          </cell>
          <cell r="O5202">
            <v>18</v>
          </cell>
        </row>
        <row r="5203">
          <cell r="F5203" t="str">
            <v xml:space="preserve">1039696881     </v>
          </cell>
          <cell r="O5203">
            <v>9</v>
          </cell>
        </row>
        <row r="5204">
          <cell r="F5204" t="str">
            <v xml:space="preserve">1039696881     </v>
          </cell>
          <cell r="O5204">
            <v>30</v>
          </cell>
        </row>
        <row r="5205">
          <cell r="F5205" t="str">
            <v xml:space="preserve">1039696881     </v>
          </cell>
          <cell r="O5205">
            <v>360</v>
          </cell>
        </row>
        <row r="5206">
          <cell r="F5206" t="str">
            <v xml:space="preserve">1039696881     </v>
          </cell>
          <cell r="O5206">
            <v>1080</v>
          </cell>
        </row>
        <row r="5207">
          <cell r="F5207" t="str">
            <v xml:space="preserve">1039696881     </v>
          </cell>
          <cell r="O5207">
            <v>225</v>
          </cell>
        </row>
        <row r="5208">
          <cell r="F5208" t="str">
            <v xml:space="preserve">1039696881     </v>
          </cell>
          <cell r="O5208">
            <v>9</v>
          </cell>
        </row>
        <row r="5209">
          <cell r="F5209" t="str">
            <v xml:space="preserve">1039696881     </v>
          </cell>
          <cell r="O5209">
            <v>4.5</v>
          </cell>
        </row>
        <row r="5210">
          <cell r="F5210" t="str">
            <v xml:space="preserve">1039696881     </v>
          </cell>
          <cell r="O5210">
            <v>1278</v>
          </cell>
        </row>
        <row r="5211">
          <cell r="F5211" t="str">
            <v xml:space="preserve">16553709       </v>
          </cell>
          <cell r="O5211">
            <v>135</v>
          </cell>
        </row>
        <row r="5212">
          <cell r="F5212" t="str">
            <v xml:space="preserve">16553709       </v>
          </cell>
          <cell r="O5212">
            <v>270</v>
          </cell>
        </row>
        <row r="5213">
          <cell r="F5213" t="str">
            <v xml:space="preserve">16553709       </v>
          </cell>
          <cell r="O5213">
            <v>45</v>
          </cell>
        </row>
        <row r="5214">
          <cell r="F5214" t="str">
            <v xml:space="preserve">15381508       </v>
          </cell>
          <cell r="O5214">
            <v>75</v>
          </cell>
        </row>
        <row r="5215">
          <cell r="F5215" t="str">
            <v xml:space="preserve">15381508       </v>
          </cell>
          <cell r="O5215">
            <v>198</v>
          </cell>
        </row>
        <row r="5216">
          <cell r="F5216" t="str">
            <v xml:space="preserve">15381508       </v>
          </cell>
          <cell r="O5216">
            <v>90</v>
          </cell>
        </row>
        <row r="5217">
          <cell r="F5217" t="str">
            <v xml:space="preserve">15381508       </v>
          </cell>
          <cell r="O5217">
            <v>180</v>
          </cell>
        </row>
        <row r="5218">
          <cell r="F5218" t="str">
            <v xml:space="preserve">15381508       </v>
          </cell>
          <cell r="O5218">
            <v>252</v>
          </cell>
        </row>
        <row r="5219">
          <cell r="F5219" t="str">
            <v xml:space="preserve">15381508       </v>
          </cell>
          <cell r="O5219">
            <v>225</v>
          </cell>
        </row>
        <row r="5220">
          <cell r="F5220" t="str">
            <v xml:space="preserve">1105671149     </v>
          </cell>
          <cell r="O5220">
            <v>135</v>
          </cell>
        </row>
        <row r="5221">
          <cell r="F5221" t="str">
            <v xml:space="preserve">1105671149     </v>
          </cell>
          <cell r="O5221">
            <v>45</v>
          </cell>
        </row>
        <row r="5222">
          <cell r="F5222" t="str">
            <v xml:space="preserve">1105671149     </v>
          </cell>
          <cell r="O5222">
            <v>540</v>
          </cell>
        </row>
        <row r="5223">
          <cell r="F5223" t="str">
            <v xml:space="preserve">88273778       </v>
          </cell>
          <cell r="O5223">
            <v>300</v>
          </cell>
        </row>
        <row r="5224">
          <cell r="F5224" t="str">
            <v xml:space="preserve">10174892       </v>
          </cell>
          <cell r="O5224">
            <v>630</v>
          </cell>
        </row>
        <row r="5225">
          <cell r="F5225" t="str">
            <v xml:space="preserve">10174892       </v>
          </cell>
          <cell r="O5225">
            <v>75</v>
          </cell>
        </row>
        <row r="5226">
          <cell r="F5226" t="str">
            <v xml:space="preserve">10174892       </v>
          </cell>
          <cell r="O5226">
            <v>270</v>
          </cell>
        </row>
        <row r="5227">
          <cell r="F5227" t="str">
            <v xml:space="preserve">13476066       </v>
          </cell>
          <cell r="O5227">
            <v>90</v>
          </cell>
        </row>
        <row r="5228">
          <cell r="F5228" t="str">
            <v xml:space="preserve">13476066       </v>
          </cell>
          <cell r="O5228">
            <v>18</v>
          </cell>
        </row>
        <row r="5229">
          <cell r="F5229" t="str">
            <v xml:space="preserve">13476066       </v>
          </cell>
          <cell r="O5229">
            <v>90</v>
          </cell>
        </row>
        <row r="5230">
          <cell r="F5230" t="str">
            <v xml:space="preserve">98763233       </v>
          </cell>
          <cell r="O5230">
            <v>990</v>
          </cell>
        </row>
        <row r="5231">
          <cell r="F5231" t="str">
            <v xml:space="preserve">98763233       </v>
          </cell>
          <cell r="O5231">
            <v>45</v>
          </cell>
        </row>
        <row r="5232">
          <cell r="F5232" t="str">
            <v xml:space="preserve">98711342       </v>
          </cell>
          <cell r="O5232">
            <v>4.5</v>
          </cell>
        </row>
        <row r="5233">
          <cell r="F5233" t="str">
            <v xml:space="preserve">98711342       </v>
          </cell>
          <cell r="O5233">
            <v>9</v>
          </cell>
        </row>
        <row r="5234">
          <cell r="F5234" t="str">
            <v xml:space="preserve">98711342       </v>
          </cell>
          <cell r="O5234">
            <v>15</v>
          </cell>
        </row>
        <row r="5235">
          <cell r="F5235" t="str">
            <v xml:space="preserve">98711342       </v>
          </cell>
          <cell r="O5235">
            <v>612</v>
          </cell>
        </row>
        <row r="5236">
          <cell r="F5236" t="str">
            <v xml:space="preserve">98711342       </v>
          </cell>
          <cell r="O5236">
            <v>45</v>
          </cell>
        </row>
        <row r="5237">
          <cell r="F5237" t="str">
            <v xml:space="preserve">37726719       </v>
          </cell>
          <cell r="O5237">
            <v>150</v>
          </cell>
        </row>
        <row r="5238">
          <cell r="F5238" t="str">
            <v xml:space="preserve">37726719       </v>
          </cell>
          <cell r="O5238">
            <v>720</v>
          </cell>
        </row>
        <row r="5239">
          <cell r="F5239" t="str">
            <v xml:space="preserve">37726719       </v>
          </cell>
          <cell r="O5239">
            <v>135</v>
          </cell>
        </row>
        <row r="5240">
          <cell r="F5240" t="str">
            <v xml:space="preserve">94420654       </v>
          </cell>
          <cell r="O5240">
            <v>90</v>
          </cell>
        </row>
        <row r="5241">
          <cell r="F5241" t="str">
            <v xml:space="preserve">94420654       </v>
          </cell>
          <cell r="O5241">
            <v>360</v>
          </cell>
        </row>
        <row r="5242">
          <cell r="F5242" t="str">
            <v xml:space="preserve">1090397527     </v>
          </cell>
          <cell r="O5242">
            <v>180</v>
          </cell>
        </row>
        <row r="5243">
          <cell r="F5243" t="str">
            <v xml:space="preserve">1090397527     </v>
          </cell>
          <cell r="O5243">
            <v>405</v>
          </cell>
        </row>
        <row r="5244">
          <cell r="F5244" t="str">
            <v xml:space="preserve">1090397527     </v>
          </cell>
          <cell r="O5244">
            <v>330</v>
          </cell>
        </row>
        <row r="5245">
          <cell r="F5245" t="str">
            <v xml:space="preserve">1090397527     </v>
          </cell>
          <cell r="O5245">
            <v>90</v>
          </cell>
        </row>
        <row r="5246">
          <cell r="F5246" t="str">
            <v xml:space="preserve">1090397527     </v>
          </cell>
          <cell r="O5246">
            <v>540</v>
          </cell>
        </row>
        <row r="5247">
          <cell r="F5247" t="str">
            <v xml:space="preserve">1090397527     </v>
          </cell>
          <cell r="O5247">
            <v>90</v>
          </cell>
        </row>
        <row r="5248">
          <cell r="F5248" t="str">
            <v xml:space="preserve">1090397527     </v>
          </cell>
          <cell r="O5248">
            <v>630</v>
          </cell>
        </row>
        <row r="5249">
          <cell r="F5249" t="str">
            <v xml:space="preserve">1100623000     </v>
          </cell>
          <cell r="O5249">
            <v>30</v>
          </cell>
        </row>
        <row r="5250">
          <cell r="F5250" t="str">
            <v xml:space="preserve">1100623000     </v>
          </cell>
          <cell r="O5250">
            <v>432</v>
          </cell>
        </row>
        <row r="5251">
          <cell r="F5251" t="str">
            <v xml:space="preserve">1100623000     </v>
          </cell>
          <cell r="O5251">
            <v>45</v>
          </cell>
        </row>
        <row r="5252">
          <cell r="F5252" t="str">
            <v xml:space="preserve">73126502       </v>
          </cell>
          <cell r="O5252">
            <v>210</v>
          </cell>
        </row>
        <row r="5253">
          <cell r="F5253" t="str">
            <v xml:space="preserve">73126502       </v>
          </cell>
          <cell r="O5253">
            <v>162</v>
          </cell>
        </row>
        <row r="5254">
          <cell r="F5254" t="str">
            <v xml:space="preserve">83221998       </v>
          </cell>
          <cell r="O5254">
            <v>195</v>
          </cell>
        </row>
        <row r="5255">
          <cell r="F5255" t="str">
            <v xml:space="preserve">83221998       </v>
          </cell>
          <cell r="O5255">
            <v>270</v>
          </cell>
        </row>
        <row r="5256">
          <cell r="F5256" t="str">
            <v xml:space="preserve">83221998       </v>
          </cell>
          <cell r="O5256">
            <v>135</v>
          </cell>
        </row>
        <row r="5257">
          <cell r="F5257" t="str">
            <v xml:space="preserve">71142360       </v>
          </cell>
          <cell r="O5257">
            <v>90</v>
          </cell>
        </row>
        <row r="5258">
          <cell r="F5258" t="str">
            <v xml:space="preserve">71142360       </v>
          </cell>
          <cell r="O5258">
            <v>720</v>
          </cell>
        </row>
        <row r="5259">
          <cell r="F5259" t="str">
            <v xml:space="preserve">71142360       </v>
          </cell>
          <cell r="O5259">
            <v>150</v>
          </cell>
        </row>
        <row r="5260">
          <cell r="F5260" t="str">
            <v xml:space="preserve">71142360       </v>
          </cell>
          <cell r="O5260">
            <v>4.5</v>
          </cell>
        </row>
        <row r="5261">
          <cell r="F5261" t="str">
            <v xml:space="preserve">71142360       </v>
          </cell>
          <cell r="O5261">
            <v>432</v>
          </cell>
        </row>
        <row r="5262">
          <cell r="F5262" t="str">
            <v xml:space="preserve">43656575       </v>
          </cell>
          <cell r="O5262">
            <v>990</v>
          </cell>
        </row>
        <row r="5263">
          <cell r="F5263" t="str">
            <v xml:space="preserve">43656575       </v>
          </cell>
          <cell r="O5263">
            <v>1800</v>
          </cell>
        </row>
        <row r="5264">
          <cell r="F5264" t="str">
            <v xml:space="preserve">43656575       </v>
          </cell>
          <cell r="O5264">
            <v>22.5</v>
          </cell>
        </row>
        <row r="5265">
          <cell r="F5265" t="str">
            <v xml:space="preserve">43656575       </v>
          </cell>
          <cell r="O5265">
            <v>9</v>
          </cell>
        </row>
        <row r="5266">
          <cell r="F5266" t="str">
            <v xml:space="preserve">43656575       </v>
          </cell>
          <cell r="O5266">
            <v>30</v>
          </cell>
        </row>
        <row r="5267">
          <cell r="F5267" t="str">
            <v xml:space="preserve">43656575       </v>
          </cell>
          <cell r="O5267">
            <v>1260</v>
          </cell>
        </row>
        <row r="5268">
          <cell r="F5268" t="str">
            <v xml:space="preserve">43656575       </v>
          </cell>
          <cell r="O5268">
            <v>540</v>
          </cell>
        </row>
        <row r="5269">
          <cell r="F5269" t="str">
            <v xml:space="preserve">16836063       </v>
          </cell>
          <cell r="O5269">
            <v>9</v>
          </cell>
        </row>
        <row r="5270">
          <cell r="F5270" t="str">
            <v xml:space="preserve">16836063       </v>
          </cell>
          <cell r="O5270">
            <v>90</v>
          </cell>
        </row>
        <row r="5271">
          <cell r="F5271" t="str">
            <v xml:space="preserve">94262420       </v>
          </cell>
          <cell r="O5271">
            <v>75</v>
          </cell>
        </row>
        <row r="5272">
          <cell r="F5272" t="str">
            <v xml:space="preserve">94262420       </v>
          </cell>
          <cell r="O5272">
            <v>225</v>
          </cell>
        </row>
        <row r="5273">
          <cell r="F5273" t="str">
            <v xml:space="preserve">94262420       </v>
          </cell>
          <cell r="O5273">
            <v>216</v>
          </cell>
        </row>
        <row r="5274">
          <cell r="F5274" t="str">
            <v xml:space="preserve">860001697      </v>
          </cell>
          <cell r="O5274">
            <v>258.29000000000002</v>
          </cell>
        </row>
        <row r="5275">
          <cell r="F5275" t="str">
            <v xml:space="preserve">1214745372     </v>
          </cell>
          <cell r="O5275">
            <v>31.5</v>
          </cell>
        </row>
        <row r="5276">
          <cell r="F5276" t="str">
            <v xml:space="preserve">1214745372     </v>
          </cell>
          <cell r="O5276">
            <v>900</v>
          </cell>
        </row>
        <row r="5277">
          <cell r="F5277" t="str">
            <v xml:space="preserve">860002523      </v>
          </cell>
          <cell r="O5277">
            <v>120</v>
          </cell>
        </row>
        <row r="5278">
          <cell r="F5278" t="str">
            <v xml:space="preserve">860005265      </v>
          </cell>
          <cell r="O5278">
            <v>724.35</v>
          </cell>
        </row>
        <row r="5279">
          <cell r="F5279" t="str">
            <v xml:space="preserve">860005265      </v>
          </cell>
          <cell r="O5279">
            <v>798</v>
          </cell>
        </row>
        <row r="5280">
          <cell r="F5280" t="str">
            <v xml:space="preserve">800012375      </v>
          </cell>
          <cell r="O5280">
            <v>180</v>
          </cell>
        </row>
        <row r="5281">
          <cell r="F5281" t="str">
            <v xml:space="preserve">800052377      </v>
          </cell>
          <cell r="O5281">
            <v>36</v>
          </cell>
        </row>
        <row r="5282">
          <cell r="F5282" t="str">
            <v xml:space="preserve">800150267      </v>
          </cell>
          <cell r="O5282">
            <v>18</v>
          </cell>
        </row>
        <row r="5283">
          <cell r="F5283" t="str">
            <v xml:space="preserve">805018495      </v>
          </cell>
          <cell r="O5283">
            <v>126</v>
          </cell>
        </row>
        <row r="5284">
          <cell r="F5284" t="str">
            <v xml:space="preserve">815000863      </v>
          </cell>
          <cell r="O5284">
            <v>540</v>
          </cell>
        </row>
        <row r="5285">
          <cell r="F5285" t="str">
            <v xml:space="preserve">815002042      </v>
          </cell>
          <cell r="O5285">
            <v>90</v>
          </cell>
        </row>
        <row r="5286">
          <cell r="F5286" t="str">
            <v xml:space="preserve">821000169      </v>
          </cell>
          <cell r="O5286">
            <v>114</v>
          </cell>
        </row>
        <row r="5287">
          <cell r="F5287" t="str">
            <v xml:space="preserve">890302594      </v>
          </cell>
          <cell r="O5287">
            <v>18</v>
          </cell>
        </row>
        <row r="5288">
          <cell r="F5288" t="str">
            <v xml:space="preserve">890302594      </v>
          </cell>
          <cell r="O5288">
            <v>90</v>
          </cell>
        </row>
        <row r="5289">
          <cell r="F5289" t="str">
            <v xml:space="preserve">890903939      </v>
          </cell>
          <cell r="O5289">
            <v>114</v>
          </cell>
        </row>
        <row r="5290">
          <cell r="F5290" t="str">
            <v xml:space="preserve">891301549      </v>
          </cell>
          <cell r="O5290">
            <v>36</v>
          </cell>
        </row>
        <row r="5291">
          <cell r="F5291" t="str">
            <v xml:space="preserve">891301549      </v>
          </cell>
          <cell r="O5291">
            <v>90</v>
          </cell>
        </row>
        <row r="5292">
          <cell r="F5292" t="str">
            <v xml:space="preserve">800067861      </v>
          </cell>
          <cell r="O5292">
            <v>84.65</v>
          </cell>
        </row>
        <row r="5293">
          <cell r="F5293" t="str">
            <v xml:space="preserve">811014849      </v>
          </cell>
          <cell r="O5293">
            <v>78.25</v>
          </cell>
        </row>
        <row r="5294">
          <cell r="F5294" t="str">
            <v xml:space="preserve">811020038      </v>
          </cell>
          <cell r="O5294">
            <v>96</v>
          </cell>
        </row>
        <row r="5295">
          <cell r="F5295" t="str">
            <v xml:space="preserve">860001697      </v>
          </cell>
          <cell r="O5295">
            <v>219.14</v>
          </cell>
        </row>
        <row r="5296">
          <cell r="F5296" t="str">
            <v xml:space="preserve">860001697      </v>
          </cell>
          <cell r="O5296">
            <v>388.8</v>
          </cell>
        </row>
        <row r="5297">
          <cell r="F5297" t="str">
            <v xml:space="preserve">860001697      </v>
          </cell>
          <cell r="O5297">
            <v>586.9</v>
          </cell>
        </row>
        <row r="5298">
          <cell r="F5298" t="str">
            <v xml:space="preserve">900239671      </v>
          </cell>
          <cell r="O5298">
            <v>36</v>
          </cell>
        </row>
        <row r="5299">
          <cell r="F5299" t="str">
            <v xml:space="preserve">101            </v>
          </cell>
          <cell r="O5299">
            <v>45</v>
          </cell>
        </row>
        <row r="5300">
          <cell r="F5300" t="str">
            <v xml:space="preserve">101            </v>
          </cell>
          <cell r="O5300">
            <v>15</v>
          </cell>
        </row>
        <row r="5301">
          <cell r="F5301" t="str">
            <v xml:space="preserve">101            </v>
          </cell>
          <cell r="O5301">
            <v>36</v>
          </cell>
        </row>
        <row r="5302">
          <cell r="F5302" t="str">
            <v xml:space="preserve">101            </v>
          </cell>
          <cell r="O5302">
            <v>4.5</v>
          </cell>
        </row>
        <row r="5303">
          <cell r="F5303" t="str">
            <v xml:space="preserve">101            </v>
          </cell>
          <cell r="O5303">
            <v>15</v>
          </cell>
        </row>
        <row r="5304">
          <cell r="F5304" t="str">
            <v xml:space="preserve">101            </v>
          </cell>
          <cell r="O5304">
            <v>180</v>
          </cell>
        </row>
        <row r="5305">
          <cell r="F5305" t="str">
            <v xml:space="preserve">805020621      </v>
          </cell>
          <cell r="O5305">
            <v>90</v>
          </cell>
        </row>
        <row r="5306">
          <cell r="F5306" t="str">
            <v xml:space="preserve">800255713      </v>
          </cell>
          <cell r="O5306">
            <v>320</v>
          </cell>
        </row>
        <row r="5307">
          <cell r="F5307" t="str">
            <v xml:space="preserve">102            </v>
          </cell>
          <cell r="O5307">
            <v>18</v>
          </cell>
        </row>
        <row r="5308">
          <cell r="F5308" t="str">
            <v xml:space="preserve">102            </v>
          </cell>
          <cell r="O5308">
            <v>18</v>
          </cell>
        </row>
        <row r="5309">
          <cell r="F5309" t="str">
            <v xml:space="preserve">811014849      </v>
          </cell>
          <cell r="O5309">
            <v>72</v>
          </cell>
        </row>
        <row r="5310">
          <cell r="F5310" t="str">
            <v xml:space="preserve">890800450      </v>
          </cell>
          <cell r="O5310">
            <v>54</v>
          </cell>
        </row>
        <row r="5311">
          <cell r="F5311" t="str">
            <v xml:space="preserve">890800450      </v>
          </cell>
          <cell r="O5311">
            <v>18</v>
          </cell>
        </row>
        <row r="5312">
          <cell r="F5312" t="str">
            <v xml:space="preserve">890903939      </v>
          </cell>
          <cell r="O5312">
            <v>108</v>
          </cell>
        </row>
        <row r="5313">
          <cell r="F5313" t="str">
            <v xml:space="preserve">900543878      </v>
          </cell>
          <cell r="O5313">
            <v>18</v>
          </cell>
        </row>
        <row r="5314">
          <cell r="F5314" t="str">
            <v xml:space="preserve">901555731      </v>
          </cell>
          <cell r="O5314">
            <v>45</v>
          </cell>
        </row>
        <row r="5315">
          <cell r="F5315" t="str">
            <v xml:space="preserve">32772122       </v>
          </cell>
          <cell r="O5315">
            <v>150</v>
          </cell>
        </row>
        <row r="5316">
          <cell r="F5316" t="str">
            <v xml:space="preserve">32772122       </v>
          </cell>
          <cell r="O5316">
            <v>180</v>
          </cell>
        </row>
        <row r="5317">
          <cell r="F5317" t="str">
            <v xml:space="preserve">73186091       </v>
          </cell>
          <cell r="O5317">
            <v>225</v>
          </cell>
        </row>
        <row r="5318">
          <cell r="F5318" t="str">
            <v xml:space="preserve">8795144        </v>
          </cell>
          <cell r="O5318">
            <v>165</v>
          </cell>
        </row>
        <row r="5319">
          <cell r="F5319" t="str">
            <v xml:space="preserve">8795144        </v>
          </cell>
          <cell r="O5319">
            <v>18</v>
          </cell>
        </row>
        <row r="5320">
          <cell r="F5320" t="str">
            <v xml:space="preserve">811014849      </v>
          </cell>
          <cell r="O5320">
            <v>118.3</v>
          </cell>
        </row>
        <row r="5321">
          <cell r="F5321" t="str">
            <v xml:space="preserve">811047008      </v>
          </cell>
          <cell r="O5321">
            <v>36</v>
          </cell>
        </row>
        <row r="5322">
          <cell r="F5322" t="str">
            <v xml:space="preserve">830099238      </v>
          </cell>
          <cell r="O5322">
            <v>0</v>
          </cell>
        </row>
        <row r="5323">
          <cell r="F5323" t="str">
            <v xml:space="preserve">830118404      </v>
          </cell>
          <cell r="O5323">
            <v>18</v>
          </cell>
        </row>
        <row r="5324">
          <cell r="F5324" t="str">
            <v xml:space="preserve">860002536      </v>
          </cell>
          <cell r="O5324">
            <v>15</v>
          </cell>
        </row>
        <row r="5325">
          <cell r="F5325" t="str">
            <v xml:space="preserve">860002536      </v>
          </cell>
          <cell r="O5325">
            <v>30</v>
          </cell>
        </row>
        <row r="5326">
          <cell r="F5326" t="str">
            <v xml:space="preserve">860002536      </v>
          </cell>
          <cell r="O5326">
            <v>45</v>
          </cell>
        </row>
        <row r="5327">
          <cell r="F5327" t="str">
            <v xml:space="preserve">860020058      </v>
          </cell>
          <cell r="O5327">
            <v>20</v>
          </cell>
        </row>
        <row r="5328">
          <cell r="F5328" t="str">
            <v xml:space="preserve">890903475      </v>
          </cell>
          <cell r="O5328">
            <v>40</v>
          </cell>
        </row>
        <row r="5329">
          <cell r="F5329" t="str">
            <v xml:space="preserve">900084822      </v>
          </cell>
          <cell r="O5329">
            <v>40</v>
          </cell>
        </row>
        <row r="5330">
          <cell r="F5330" t="str">
            <v xml:space="preserve">900136553      </v>
          </cell>
          <cell r="O5330">
            <v>72</v>
          </cell>
        </row>
        <row r="5331">
          <cell r="F5331" t="str">
            <v xml:space="preserve">900603554      </v>
          </cell>
          <cell r="O5331">
            <v>180</v>
          </cell>
        </row>
        <row r="5332">
          <cell r="F5332" t="str">
            <v xml:space="preserve">811014849      </v>
          </cell>
          <cell r="O5332">
            <v>281.55</v>
          </cell>
        </row>
        <row r="5333">
          <cell r="F5333" t="str">
            <v xml:space="preserve">899999049      </v>
          </cell>
          <cell r="O5333">
            <v>18</v>
          </cell>
        </row>
        <row r="5334">
          <cell r="F5334" t="str">
            <v xml:space="preserve">899999049      </v>
          </cell>
          <cell r="O5334">
            <v>18</v>
          </cell>
        </row>
        <row r="5335">
          <cell r="F5335" t="str">
            <v xml:space="preserve">70900706       </v>
          </cell>
          <cell r="O5335">
            <v>1035</v>
          </cell>
        </row>
        <row r="5336">
          <cell r="F5336" t="str">
            <v xml:space="preserve">70900706       </v>
          </cell>
          <cell r="O5336">
            <v>180</v>
          </cell>
        </row>
        <row r="5337">
          <cell r="F5337" t="str">
            <v xml:space="preserve">70052771       </v>
          </cell>
          <cell r="O5337">
            <v>144</v>
          </cell>
        </row>
        <row r="5338">
          <cell r="F5338" t="str">
            <v xml:space="preserve">800090890      </v>
          </cell>
          <cell r="O5338">
            <v>19</v>
          </cell>
        </row>
        <row r="5339">
          <cell r="F5339" t="str">
            <v xml:space="preserve">800090890      </v>
          </cell>
          <cell r="O5339">
            <v>38</v>
          </cell>
        </row>
        <row r="5340">
          <cell r="F5340" t="str">
            <v xml:space="preserve">811014849      </v>
          </cell>
          <cell r="O5340">
            <v>108</v>
          </cell>
        </row>
        <row r="5341">
          <cell r="F5341" t="str">
            <v xml:space="preserve">811014849      </v>
          </cell>
          <cell r="O5341">
            <v>234</v>
          </cell>
        </row>
        <row r="5342">
          <cell r="F5342" t="str">
            <v xml:space="preserve">890903939      </v>
          </cell>
          <cell r="O5342">
            <v>1136.6500000000001</v>
          </cell>
        </row>
        <row r="5343">
          <cell r="F5343" t="str">
            <v xml:space="preserve">890903939      </v>
          </cell>
          <cell r="O5343">
            <v>215.84</v>
          </cell>
        </row>
        <row r="5344">
          <cell r="F5344" t="str">
            <v xml:space="preserve">890903939      </v>
          </cell>
          <cell r="O5344">
            <v>137.69999999999999</v>
          </cell>
        </row>
        <row r="5345">
          <cell r="F5345" t="str">
            <v xml:space="preserve">890903939      </v>
          </cell>
          <cell r="O5345">
            <v>99.2</v>
          </cell>
        </row>
        <row r="5346">
          <cell r="F5346" t="str">
            <v xml:space="preserve">211            </v>
          </cell>
          <cell r="O5346">
            <v>90</v>
          </cell>
        </row>
        <row r="5347">
          <cell r="F5347" t="str">
            <v xml:space="preserve">211            </v>
          </cell>
          <cell r="O5347">
            <v>414</v>
          </cell>
        </row>
        <row r="5348">
          <cell r="F5348" t="str">
            <v xml:space="preserve">211            </v>
          </cell>
          <cell r="O5348">
            <v>90</v>
          </cell>
        </row>
        <row r="5349">
          <cell r="F5349" t="str">
            <v xml:space="preserve">890900291      </v>
          </cell>
          <cell r="O5349">
            <v>225</v>
          </cell>
        </row>
        <row r="5350">
          <cell r="F5350" t="str">
            <v xml:space="preserve">401            </v>
          </cell>
          <cell r="O5350">
            <v>9</v>
          </cell>
        </row>
        <row r="5351">
          <cell r="F5351" t="str">
            <v xml:space="preserve">800220041      </v>
          </cell>
          <cell r="O5351">
            <v>75</v>
          </cell>
        </row>
        <row r="5352">
          <cell r="F5352" t="str">
            <v xml:space="preserve">802015827      </v>
          </cell>
          <cell r="O5352">
            <v>105</v>
          </cell>
        </row>
        <row r="5353">
          <cell r="F5353" t="str">
            <v xml:space="preserve">806008873      </v>
          </cell>
          <cell r="O5353">
            <v>315</v>
          </cell>
        </row>
        <row r="5354">
          <cell r="F5354" t="str">
            <v xml:space="preserve">811032699      </v>
          </cell>
          <cell r="O5354">
            <v>18</v>
          </cell>
        </row>
        <row r="5355">
          <cell r="F5355" t="str">
            <v xml:space="preserve">811032699      </v>
          </cell>
          <cell r="O5355">
            <v>72</v>
          </cell>
        </row>
        <row r="5356">
          <cell r="F5356" t="str">
            <v xml:space="preserve">830076368      </v>
          </cell>
          <cell r="O5356">
            <v>60</v>
          </cell>
        </row>
        <row r="5357">
          <cell r="F5357" t="str">
            <v xml:space="preserve">830095213      </v>
          </cell>
          <cell r="O5357">
            <v>216</v>
          </cell>
        </row>
        <row r="5358">
          <cell r="F5358" t="str">
            <v xml:space="preserve">830095213      </v>
          </cell>
          <cell r="O5358">
            <v>90</v>
          </cell>
        </row>
        <row r="5359">
          <cell r="F5359" t="str">
            <v xml:space="preserve">890903939      </v>
          </cell>
          <cell r="O5359">
            <v>322.25</v>
          </cell>
        </row>
        <row r="5360">
          <cell r="F5360" t="str">
            <v xml:space="preserve">900705150      </v>
          </cell>
          <cell r="O5360">
            <v>54</v>
          </cell>
        </row>
        <row r="5361">
          <cell r="F5361" t="str">
            <v xml:space="preserve">900749094      </v>
          </cell>
          <cell r="O5361">
            <v>72</v>
          </cell>
        </row>
        <row r="5362">
          <cell r="F5362" t="str">
            <v xml:space="preserve">900820045      </v>
          </cell>
          <cell r="O5362">
            <v>90</v>
          </cell>
        </row>
        <row r="5363">
          <cell r="F5363" t="str">
            <v xml:space="preserve">900968793      </v>
          </cell>
          <cell r="O5363">
            <v>54</v>
          </cell>
        </row>
        <row r="5364">
          <cell r="F5364" t="str">
            <v xml:space="preserve">901196694      </v>
          </cell>
          <cell r="O5364">
            <v>18</v>
          </cell>
        </row>
        <row r="5365">
          <cell r="F5365" t="str">
            <v xml:space="preserve">830010908      </v>
          </cell>
          <cell r="O5365">
            <v>120</v>
          </cell>
        </row>
        <row r="5366">
          <cell r="F5366" t="str">
            <v xml:space="preserve">830036921      </v>
          </cell>
          <cell r="O5366">
            <v>327.55</v>
          </cell>
        </row>
        <row r="5367">
          <cell r="F5367" t="str">
            <v xml:space="preserve">860001697      </v>
          </cell>
          <cell r="O5367">
            <v>1295</v>
          </cell>
        </row>
        <row r="5368">
          <cell r="F5368" t="str">
            <v xml:space="preserve">860048371      </v>
          </cell>
          <cell r="O5368">
            <v>40</v>
          </cell>
        </row>
        <row r="5369">
          <cell r="F5369" t="str">
            <v xml:space="preserve">860048371      </v>
          </cell>
          <cell r="O5369">
            <v>18</v>
          </cell>
        </row>
        <row r="5370">
          <cell r="F5370" t="str">
            <v xml:space="preserve">1114729720     </v>
          </cell>
          <cell r="O5370">
            <v>119</v>
          </cell>
        </row>
        <row r="5371">
          <cell r="F5371" t="str">
            <v xml:space="preserve">30305213       </v>
          </cell>
          <cell r="O5371">
            <v>36.799999999999997</v>
          </cell>
        </row>
        <row r="5372">
          <cell r="F5372" t="str">
            <v xml:space="preserve">41914810       </v>
          </cell>
          <cell r="O5372">
            <v>191.4</v>
          </cell>
        </row>
        <row r="5373">
          <cell r="F5373" t="str">
            <v xml:space="preserve">42013893       </v>
          </cell>
          <cell r="O5373">
            <v>119</v>
          </cell>
        </row>
        <row r="5374">
          <cell r="F5374" t="str">
            <v xml:space="preserve">65730531       </v>
          </cell>
          <cell r="O5374">
            <v>132</v>
          </cell>
        </row>
        <row r="5375">
          <cell r="F5375" t="str">
            <v xml:space="preserve">75067907       </v>
          </cell>
          <cell r="O5375">
            <v>109.1</v>
          </cell>
        </row>
        <row r="5376">
          <cell r="F5376" t="str">
            <v xml:space="preserve">816006036      </v>
          </cell>
          <cell r="O5376">
            <v>1411.6</v>
          </cell>
        </row>
        <row r="5377">
          <cell r="F5377" t="str">
            <v xml:space="preserve">900211033      </v>
          </cell>
          <cell r="O5377">
            <v>134.4</v>
          </cell>
        </row>
        <row r="5378">
          <cell r="F5378" t="str">
            <v xml:space="preserve">9865767        </v>
          </cell>
          <cell r="O5378">
            <v>25.4</v>
          </cell>
        </row>
        <row r="5379">
          <cell r="F5379" t="str">
            <v xml:space="preserve">19132851       </v>
          </cell>
          <cell r="O5379">
            <v>800.2</v>
          </cell>
        </row>
        <row r="5380">
          <cell r="F5380" t="str">
            <v xml:space="preserve">30206395       </v>
          </cell>
          <cell r="O5380">
            <v>692.4</v>
          </cell>
        </row>
        <row r="5381">
          <cell r="F5381" t="str">
            <v xml:space="preserve">30206395       </v>
          </cell>
          <cell r="O5381">
            <v>722.4</v>
          </cell>
        </row>
        <row r="5382">
          <cell r="F5382" t="str">
            <v xml:space="preserve">33700402       </v>
          </cell>
          <cell r="O5382">
            <v>230.3</v>
          </cell>
        </row>
        <row r="5383">
          <cell r="F5383" t="str">
            <v xml:space="preserve">4173459        </v>
          </cell>
          <cell r="O5383">
            <v>321.39999999999998</v>
          </cell>
        </row>
        <row r="5384">
          <cell r="F5384" t="str">
            <v xml:space="preserve">91013921       </v>
          </cell>
          <cell r="O5384">
            <v>781.7</v>
          </cell>
        </row>
        <row r="5385">
          <cell r="F5385" t="str">
            <v xml:space="preserve">91078570       </v>
          </cell>
          <cell r="O5385">
            <v>55.8</v>
          </cell>
        </row>
        <row r="5386">
          <cell r="F5386" t="str">
            <v xml:space="preserve">39693799       </v>
          </cell>
          <cell r="O5386">
            <v>30.4</v>
          </cell>
        </row>
        <row r="5387">
          <cell r="F5387" t="str">
            <v xml:space="preserve">832001844      </v>
          </cell>
          <cell r="O5387">
            <v>555.6</v>
          </cell>
        </row>
        <row r="5388">
          <cell r="F5388" t="str">
            <v xml:space="preserve">860032450      </v>
          </cell>
          <cell r="O5388">
            <v>5148</v>
          </cell>
        </row>
        <row r="5389">
          <cell r="F5389" t="str">
            <v xml:space="preserve">860032450      </v>
          </cell>
          <cell r="O5389">
            <v>661.9</v>
          </cell>
        </row>
        <row r="5390">
          <cell r="F5390" t="str">
            <v xml:space="preserve">901409625      </v>
          </cell>
          <cell r="O5390">
            <v>0</v>
          </cell>
        </row>
        <row r="5391">
          <cell r="F5391" t="str">
            <v xml:space="preserve">1104405256     </v>
          </cell>
          <cell r="O5391">
            <v>22.5</v>
          </cell>
        </row>
        <row r="5392">
          <cell r="F5392" t="str">
            <v xml:space="preserve">1104405256     </v>
          </cell>
          <cell r="O5392">
            <v>750</v>
          </cell>
        </row>
        <row r="5393">
          <cell r="F5393" t="str">
            <v xml:space="preserve">1104405256     </v>
          </cell>
          <cell r="O5393">
            <v>540</v>
          </cell>
        </row>
        <row r="5394">
          <cell r="F5394" t="str">
            <v xml:space="preserve">1104405256     </v>
          </cell>
          <cell r="O5394">
            <v>180</v>
          </cell>
        </row>
        <row r="5395">
          <cell r="F5395" t="str">
            <v xml:space="preserve">402            </v>
          </cell>
          <cell r="O5395">
            <v>960</v>
          </cell>
        </row>
        <row r="5396">
          <cell r="F5396" t="str">
            <v xml:space="preserve">815003963      </v>
          </cell>
          <cell r="O5396">
            <v>18</v>
          </cell>
        </row>
        <row r="5397">
          <cell r="F5397" t="str">
            <v xml:space="preserve">212            </v>
          </cell>
          <cell r="O5397">
            <v>36</v>
          </cell>
        </row>
        <row r="5398">
          <cell r="F5398" t="str">
            <v xml:space="preserve">212            </v>
          </cell>
          <cell r="O5398">
            <v>30</v>
          </cell>
        </row>
        <row r="5399">
          <cell r="F5399" t="str">
            <v xml:space="preserve">212            </v>
          </cell>
          <cell r="O5399">
            <v>315</v>
          </cell>
        </row>
        <row r="5400">
          <cell r="F5400" t="str">
            <v xml:space="preserve">212            </v>
          </cell>
          <cell r="O5400">
            <v>108</v>
          </cell>
        </row>
        <row r="5401">
          <cell r="F5401" t="str">
            <v xml:space="preserve">900084859      </v>
          </cell>
          <cell r="O5401">
            <v>135</v>
          </cell>
        </row>
        <row r="5402">
          <cell r="F5402" t="str">
            <v xml:space="preserve">900495908      </v>
          </cell>
          <cell r="O5402">
            <v>45</v>
          </cell>
        </row>
        <row r="5403">
          <cell r="F5403" t="str">
            <v xml:space="preserve">900495908      </v>
          </cell>
          <cell r="O5403">
            <v>15</v>
          </cell>
        </row>
        <row r="5404">
          <cell r="F5404" t="str">
            <v xml:space="preserve">213            </v>
          </cell>
          <cell r="O5404">
            <v>450</v>
          </cell>
        </row>
        <row r="5405">
          <cell r="F5405" t="str">
            <v xml:space="preserve">213            </v>
          </cell>
          <cell r="O5405">
            <v>360</v>
          </cell>
        </row>
        <row r="5406">
          <cell r="F5406" t="str">
            <v xml:space="preserve">213            </v>
          </cell>
          <cell r="O5406">
            <v>90</v>
          </cell>
        </row>
        <row r="5407">
          <cell r="F5407" t="str">
            <v xml:space="preserve">70052771       </v>
          </cell>
          <cell r="O5407">
            <v>123</v>
          </cell>
        </row>
        <row r="5408">
          <cell r="F5408" t="str">
            <v xml:space="preserve">811034230      </v>
          </cell>
          <cell r="O5408">
            <v>18</v>
          </cell>
        </row>
        <row r="5409">
          <cell r="F5409" t="str">
            <v xml:space="preserve">811035741      </v>
          </cell>
          <cell r="O5409">
            <v>132</v>
          </cell>
        </row>
        <row r="5410">
          <cell r="F5410" t="str">
            <v xml:space="preserve">860013809      </v>
          </cell>
          <cell r="O5410">
            <v>216</v>
          </cell>
        </row>
        <row r="5411">
          <cell r="F5411" t="str">
            <v xml:space="preserve">890900424      </v>
          </cell>
          <cell r="O5411">
            <v>30</v>
          </cell>
        </row>
        <row r="5412">
          <cell r="F5412" t="str">
            <v xml:space="preserve">890904713      </v>
          </cell>
          <cell r="O5412">
            <v>45</v>
          </cell>
        </row>
        <row r="5413">
          <cell r="F5413" t="str">
            <v xml:space="preserve">890905790      </v>
          </cell>
          <cell r="O5413">
            <v>75</v>
          </cell>
        </row>
        <row r="5414">
          <cell r="F5414" t="str">
            <v xml:space="preserve">890907406      </v>
          </cell>
          <cell r="O5414">
            <v>30</v>
          </cell>
        </row>
        <row r="5415">
          <cell r="F5415" t="str">
            <v xml:space="preserve">890918272      </v>
          </cell>
          <cell r="O5415">
            <v>36</v>
          </cell>
        </row>
        <row r="5416">
          <cell r="F5416" t="str">
            <v xml:space="preserve">899999049      </v>
          </cell>
          <cell r="O5416">
            <v>69</v>
          </cell>
        </row>
        <row r="5417">
          <cell r="F5417" t="str">
            <v xml:space="preserve">900743223      </v>
          </cell>
          <cell r="O5417">
            <v>36</v>
          </cell>
        </row>
        <row r="5418">
          <cell r="F5418" t="str">
            <v xml:space="preserve">901436775      </v>
          </cell>
          <cell r="O5418">
            <v>105</v>
          </cell>
        </row>
        <row r="5419">
          <cell r="F5419" t="str">
            <v xml:space="preserve">210            </v>
          </cell>
          <cell r="O5419">
            <v>1260</v>
          </cell>
        </row>
        <row r="5420">
          <cell r="F5420" t="str">
            <v xml:space="preserve">101            </v>
          </cell>
          <cell r="O5420">
            <v>30</v>
          </cell>
        </row>
        <row r="5421">
          <cell r="F5421" t="str">
            <v xml:space="preserve">101            </v>
          </cell>
          <cell r="O5421">
            <v>54</v>
          </cell>
        </row>
        <row r="5422">
          <cell r="F5422" t="str">
            <v xml:space="preserve">101            </v>
          </cell>
          <cell r="O5422">
            <v>9</v>
          </cell>
        </row>
        <row r="5423">
          <cell r="F5423" t="str">
            <v xml:space="preserve">101            </v>
          </cell>
          <cell r="O5423">
            <v>36</v>
          </cell>
        </row>
        <row r="5424">
          <cell r="F5424" t="str">
            <v xml:space="preserve">811027317      </v>
          </cell>
          <cell r="O5424">
            <v>18</v>
          </cell>
        </row>
        <row r="5425">
          <cell r="F5425" t="str">
            <v xml:space="preserve">210            </v>
          </cell>
          <cell r="O5425">
            <v>15</v>
          </cell>
        </row>
        <row r="5426">
          <cell r="F5426" t="str">
            <v xml:space="preserve">210            </v>
          </cell>
          <cell r="O5426">
            <v>1458</v>
          </cell>
        </row>
        <row r="5427">
          <cell r="F5427" t="str">
            <v xml:space="preserve">900022189      </v>
          </cell>
          <cell r="O5427">
            <v>15</v>
          </cell>
        </row>
        <row r="5428">
          <cell r="F5428" t="str">
            <v xml:space="preserve">900022189      </v>
          </cell>
          <cell r="O5428">
            <v>72</v>
          </cell>
        </row>
        <row r="5429">
          <cell r="F5429" t="str">
            <v xml:space="preserve">860020382      </v>
          </cell>
          <cell r="O5429">
            <v>96</v>
          </cell>
        </row>
        <row r="5430">
          <cell r="F5430" t="str">
            <v xml:space="preserve">890903939      </v>
          </cell>
          <cell r="O5430">
            <v>114</v>
          </cell>
        </row>
        <row r="5431">
          <cell r="F5431" t="str">
            <v xml:space="preserve">860001697      </v>
          </cell>
          <cell r="O5431">
            <v>741.4</v>
          </cell>
        </row>
        <row r="5432">
          <cell r="F5432" t="str">
            <v xml:space="preserve">808001297      </v>
          </cell>
          <cell r="O5432">
            <v>90</v>
          </cell>
        </row>
        <row r="5433">
          <cell r="F5433" t="str">
            <v xml:space="preserve">808001297      </v>
          </cell>
          <cell r="O5433">
            <v>45</v>
          </cell>
        </row>
        <row r="5434">
          <cell r="F5434" t="str">
            <v xml:space="preserve">404            </v>
          </cell>
          <cell r="O5434">
            <v>315</v>
          </cell>
        </row>
        <row r="5435">
          <cell r="F5435" t="str">
            <v xml:space="preserve">404            </v>
          </cell>
          <cell r="O5435">
            <v>18</v>
          </cell>
        </row>
        <row r="5436">
          <cell r="F5436" t="str">
            <v xml:space="preserve">890108961      </v>
          </cell>
          <cell r="O5436">
            <v>270</v>
          </cell>
        </row>
        <row r="5437">
          <cell r="F5437" t="str">
            <v xml:space="preserve">210            </v>
          </cell>
          <cell r="O5437">
            <v>15</v>
          </cell>
        </row>
        <row r="5438">
          <cell r="F5438" t="str">
            <v xml:space="preserve">210            </v>
          </cell>
          <cell r="O5438">
            <v>252</v>
          </cell>
        </row>
        <row r="5439">
          <cell r="F5439" t="str">
            <v xml:space="preserve">800003267      </v>
          </cell>
          <cell r="O5439">
            <v>162</v>
          </cell>
        </row>
        <row r="5440">
          <cell r="F5440" t="str">
            <v xml:space="preserve">800115720      </v>
          </cell>
          <cell r="O5440">
            <v>18</v>
          </cell>
        </row>
        <row r="5441">
          <cell r="F5441" t="str">
            <v xml:space="preserve">805026018      </v>
          </cell>
          <cell r="O5441">
            <v>36</v>
          </cell>
        </row>
        <row r="5442">
          <cell r="F5442" t="str">
            <v xml:space="preserve">890301602      </v>
          </cell>
          <cell r="O5442">
            <v>72</v>
          </cell>
        </row>
        <row r="5443">
          <cell r="F5443" t="str">
            <v xml:space="preserve">890302609      </v>
          </cell>
          <cell r="O5443">
            <v>186</v>
          </cell>
        </row>
        <row r="5444">
          <cell r="F5444" t="str">
            <v xml:space="preserve">890302955      </v>
          </cell>
          <cell r="O5444">
            <v>72</v>
          </cell>
        </row>
        <row r="5445">
          <cell r="F5445" t="str">
            <v xml:space="preserve">890304607      </v>
          </cell>
          <cell r="O5445">
            <v>54</v>
          </cell>
        </row>
        <row r="5446">
          <cell r="F5446" t="str">
            <v xml:space="preserve">890304611      </v>
          </cell>
          <cell r="O5446">
            <v>45</v>
          </cell>
        </row>
        <row r="5447">
          <cell r="F5447" t="str">
            <v xml:space="preserve">890321924      </v>
          </cell>
          <cell r="O5447">
            <v>36</v>
          </cell>
        </row>
        <row r="5448">
          <cell r="F5448" t="str">
            <v xml:space="preserve">890903939      </v>
          </cell>
          <cell r="O5448">
            <v>264</v>
          </cell>
        </row>
        <row r="5449">
          <cell r="F5449" t="str">
            <v xml:space="preserve">890903939      </v>
          </cell>
          <cell r="O5449">
            <v>261</v>
          </cell>
        </row>
        <row r="5450">
          <cell r="F5450" t="str">
            <v xml:space="preserve">891300382      </v>
          </cell>
          <cell r="O5450">
            <v>54</v>
          </cell>
        </row>
        <row r="5451">
          <cell r="F5451" t="str">
            <v xml:space="preserve">891303109      </v>
          </cell>
          <cell r="O5451">
            <v>18</v>
          </cell>
        </row>
        <row r="5452">
          <cell r="F5452" t="str">
            <v xml:space="preserve">900233101      </v>
          </cell>
          <cell r="O5452">
            <v>18</v>
          </cell>
        </row>
        <row r="5453">
          <cell r="F5453" t="str">
            <v xml:space="preserve">900555944      </v>
          </cell>
          <cell r="O5453">
            <v>18</v>
          </cell>
        </row>
        <row r="5454">
          <cell r="F5454" t="str">
            <v xml:space="preserve">900706515      </v>
          </cell>
          <cell r="O5454">
            <v>18</v>
          </cell>
        </row>
        <row r="5455">
          <cell r="F5455" t="str">
            <v xml:space="preserve">901149931      </v>
          </cell>
          <cell r="O5455">
            <v>54</v>
          </cell>
        </row>
        <row r="5456">
          <cell r="F5456" t="str">
            <v xml:space="preserve">901167377      </v>
          </cell>
          <cell r="O5456">
            <v>131</v>
          </cell>
        </row>
        <row r="5457">
          <cell r="F5457" t="str">
            <v xml:space="preserve">1066184116     </v>
          </cell>
          <cell r="O5457">
            <v>36</v>
          </cell>
        </row>
        <row r="5458">
          <cell r="F5458" t="str">
            <v xml:space="preserve">407            </v>
          </cell>
          <cell r="O5458">
            <v>0</v>
          </cell>
        </row>
        <row r="5459">
          <cell r="F5459" t="str">
            <v xml:space="preserve">407            </v>
          </cell>
          <cell r="O5459">
            <v>0</v>
          </cell>
        </row>
        <row r="5460">
          <cell r="F5460" t="str">
            <v xml:space="preserve">811020038      </v>
          </cell>
          <cell r="O5460">
            <v>72</v>
          </cell>
        </row>
        <row r="5461">
          <cell r="F5461" t="str">
            <v xml:space="preserve">860001697      </v>
          </cell>
          <cell r="O5461">
            <v>239.92</v>
          </cell>
        </row>
        <row r="5462">
          <cell r="F5462" t="str">
            <v xml:space="preserve">860001697      </v>
          </cell>
          <cell r="O5462">
            <v>448.59</v>
          </cell>
        </row>
        <row r="5463">
          <cell r="F5463" t="str">
            <v xml:space="preserve">811047008      </v>
          </cell>
          <cell r="O5463">
            <v>72.7</v>
          </cell>
        </row>
        <row r="5464">
          <cell r="F5464" t="str">
            <v xml:space="preserve">830010738      </v>
          </cell>
          <cell r="O5464">
            <v>1590.1</v>
          </cell>
        </row>
        <row r="5465">
          <cell r="F5465" t="str">
            <v xml:space="preserve">860512249      </v>
          </cell>
          <cell r="O5465">
            <v>359.4</v>
          </cell>
        </row>
        <row r="5466">
          <cell r="F5466" t="str">
            <v xml:space="preserve">860512249      </v>
          </cell>
          <cell r="O5466">
            <v>1046.5999999999999</v>
          </cell>
        </row>
        <row r="5467">
          <cell r="F5467" t="str">
            <v xml:space="preserve">41508604       </v>
          </cell>
          <cell r="O5467">
            <v>75.900000000000006</v>
          </cell>
        </row>
        <row r="5468">
          <cell r="F5468" t="str">
            <v xml:space="preserve">900107792      </v>
          </cell>
          <cell r="O5468">
            <v>359.6</v>
          </cell>
        </row>
        <row r="5469">
          <cell r="F5469" t="str">
            <v xml:space="preserve">52790620       </v>
          </cell>
          <cell r="O5469">
            <v>2592</v>
          </cell>
        </row>
        <row r="5470">
          <cell r="F5470" t="str">
            <v xml:space="preserve">18936116       </v>
          </cell>
          <cell r="O5470">
            <v>18</v>
          </cell>
        </row>
        <row r="5471">
          <cell r="F5471" t="str">
            <v xml:space="preserve">860001697      </v>
          </cell>
          <cell r="O5471">
            <v>252.45</v>
          </cell>
        </row>
        <row r="5472">
          <cell r="F5472" t="str">
            <v xml:space="preserve">210            </v>
          </cell>
          <cell r="O5472">
            <v>792</v>
          </cell>
        </row>
        <row r="5473">
          <cell r="F5473" t="str">
            <v xml:space="preserve">210            </v>
          </cell>
          <cell r="O5473">
            <v>540</v>
          </cell>
        </row>
        <row r="5474">
          <cell r="F5474" t="str">
            <v xml:space="preserve">110            </v>
          </cell>
          <cell r="O5474">
            <v>45</v>
          </cell>
        </row>
        <row r="5475">
          <cell r="F5475" t="str">
            <v xml:space="preserve">890903939      </v>
          </cell>
          <cell r="O5475">
            <v>178</v>
          </cell>
        </row>
        <row r="5476">
          <cell r="F5476" t="str">
            <v xml:space="preserve">213            </v>
          </cell>
          <cell r="O5476">
            <v>150</v>
          </cell>
        </row>
        <row r="5477">
          <cell r="F5477" t="str">
            <v xml:space="preserve">213            </v>
          </cell>
          <cell r="O5477">
            <v>576</v>
          </cell>
        </row>
        <row r="5478">
          <cell r="F5478" t="str">
            <v xml:space="preserve">213            </v>
          </cell>
          <cell r="O5478">
            <v>135</v>
          </cell>
        </row>
        <row r="5479">
          <cell r="F5479" t="str">
            <v xml:space="preserve">39620366       </v>
          </cell>
          <cell r="O5479">
            <v>52.2</v>
          </cell>
        </row>
        <row r="5480">
          <cell r="F5480" t="str">
            <v xml:space="preserve">830091965      </v>
          </cell>
          <cell r="O5480">
            <v>240</v>
          </cell>
        </row>
        <row r="5481">
          <cell r="F5481" t="str">
            <v xml:space="preserve">860058831      </v>
          </cell>
          <cell r="O5481">
            <v>391.1</v>
          </cell>
        </row>
        <row r="5482">
          <cell r="F5482" t="str">
            <v xml:space="preserve">860058831      </v>
          </cell>
          <cell r="O5482">
            <v>2432.8000000000002</v>
          </cell>
        </row>
        <row r="5483">
          <cell r="F5483" t="str">
            <v xml:space="preserve">900801855      </v>
          </cell>
          <cell r="O5483">
            <v>301.2</v>
          </cell>
        </row>
        <row r="5484">
          <cell r="F5484" t="str">
            <v xml:space="preserve">42795633       </v>
          </cell>
          <cell r="O5484">
            <v>151</v>
          </cell>
        </row>
        <row r="5485">
          <cell r="F5485" t="str">
            <v xml:space="preserve">811014849      </v>
          </cell>
          <cell r="O5485">
            <v>640.4</v>
          </cell>
        </row>
        <row r="5486">
          <cell r="F5486" t="str">
            <v xml:space="preserve">811014849      </v>
          </cell>
          <cell r="O5486">
            <v>955.8</v>
          </cell>
        </row>
        <row r="5487">
          <cell r="F5487" t="str">
            <v xml:space="preserve">890910131      </v>
          </cell>
          <cell r="O5487">
            <v>200.8</v>
          </cell>
        </row>
        <row r="5488">
          <cell r="F5488" t="str">
            <v xml:space="preserve">890910131      </v>
          </cell>
          <cell r="O5488">
            <v>593.29999999999995</v>
          </cell>
        </row>
        <row r="5489">
          <cell r="F5489" t="str">
            <v xml:space="preserve">900984355      </v>
          </cell>
          <cell r="O5489">
            <v>1502.5</v>
          </cell>
        </row>
        <row r="5490">
          <cell r="F5490" t="str">
            <v xml:space="preserve">901008628      </v>
          </cell>
          <cell r="O5490">
            <v>275.10000000000002</v>
          </cell>
        </row>
        <row r="5491">
          <cell r="F5491" t="str">
            <v xml:space="preserve">212            </v>
          </cell>
          <cell r="O5491">
            <v>15</v>
          </cell>
        </row>
        <row r="5492">
          <cell r="F5492" t="str">
            <v xml:space="preserve">212            </v>
          </cell>
          <cell r="O5492">
            <v>36</v>
          </cell>
        </row>
        <row r="5493">
          <cell r="F5493" t="str">
            <v xml:space="preserve">212            </v>
          </cell>
          <cell r="O5493">
            <v>45</v>
          </cell>
        </row>
        <row r="5494">
          <cell r="F5494" t="str">
            <v xml:space="preserve">811034562      </v>
          </cell>
          <cell r="O5494">
            <v>9</v>
          </cell>
        </row>
        <row r="5495">
          <cell r="F5495" t="str">
            <v xml:space="preserve">811034562      </v>
          </cell>
          <cell r="O5495">
            <v>27</v>
          </cell>
        </row>
        <row r="5496">
          <cell r="F5496" t="str">
            <v xml:space="preserve">811034562      </v>
          </cell>
          <cell r="O5496">
            <v>15</v>
          </cell>
        </row>
        <row r="5497">
          <cell r="F5497" t="str">
            <v xml:space="preserve">830042112      </v>
          </cell>
          <cell r="O5497">
            <v>45</v>
          </cell>
        </row>
        <row r="5498">
          <cell r="F5498" t="str">
            <v xml:space="preserve">212            </v>
          </cell>
          <cell r="O5498">
            <v>30</v>
          </cell>
        </row>
        <row r="5499">
          <cell r="F5499" t="str">
            <v xml:space="preserve">212            </v>
          </cell>
          <cell r="O5499">
            <v>18</v>
          </cell>
        </row>
        <row r="5500">
          <cell r="F5500" t="str">
            <v xml:space="preserve">212            </v>
          </cell>
          <cell r="O5500">
            <v>45</v>
          </cell>
        </row>
        <row r="5501">
          <cell r="F5501" t="str">
            <v xml:space="preserve">811014849      </v>
          </cell>
          <cell r="O5501">
            <v>54</v>
          </cell>
        </row>
        <row r="5502">
          <cell r="F5502" t="str">
            <v xml:space="preserve">811014849      </v>
          </cell>
          <cell r="O5502">
            <v>18</v>
          </cell>
        </row>
        <row r="5503">
          <cell r="F5503" t="str">
            <v xml:space="preserve">811014849      </v>
          </cell>
          <cell r="O5503">
            <v>36</v>
          </cell>
        </row>
        <row r="5504">
          <cell r="F5504" t="str">
            <v xml:space="preserve">830027386      </v>
          </cell>
          <cell r="O5504">
            <v>72</v>
          </cell>
        </row>
        <row r="5505">
          <cell r="F5505" t="str">
            <v xml:space="preserve">890900161      </v>
          </cell>
          <cell r="O5505">
            <v>210</v>
          </cell>
        </row>
        <row r="5506">
          <cell r="F5506" t="str">
            <v xml:space="preserve">890900161      </v>
          </cell>
          <cell r="O5506">
            <v>60</v>
          </cell>
        </row>
        <row r="5507">
          <cell r="F5507" t="str">
            <v xml:space="preserve">890903939      </v>
          </cell>
          <cell r="O5507">
            <v>230.1</v>
          </cell>
        </row>
        <row r="5508">
          <cell r="F5508" t="str">
            <v xml:space="preserve">890985417      </v>
          </cell>
          <cell r="O5508">
            <v>45</v>
          </cell>
        </row>
        <row r="5509">
          <cell r="F5509" t="str">
            <v xml:space="preserve">900105031      </v>
          </cell>
          <cell r="O5509">
            <v>30</v>
          </cell>
        </row>
        <row r="5510">
          <cell r="F5510" t="str">
            <v xml:space="preserve">900157685      </v>
          </cell>
          <cell r="O5510">
            <v>45</v>
          </cell>
        </row>
        <row r="5511">
          <cell r="F5511" t="str">
            <v xml:space="preserve">900603554      </v>
          </cell>
          <cell r="O5511">
            <v>90</v>
          </cell>
        </row>
        <row r="5512">
          <cell r="F5512" t="str">
            <v xml:space="preserve">900631756      </v>
          </cell>
          <cell r="O5512">
            <v>15</v>
          </cell>
        </row>
        <row r="5513">
          <cell r="F5513" t="str">
            <v xml:space="preserve">901172312      </v>
          </cell>
          <cell r="O5513">
            <v>15</v>
          </cell>
        </row>
        <row r="5514">
          <cell r="F5514" t="str">
            <v xml:space="preserve">805012977      </v>
          </cell>
          <cell r="O5514">
            <v>90</v>
          </cell>
        </row>
        <row r="5515">
          <cell r="F5515" t="str">
            <v xml:space="preserve">860020382      </v>
          </cell>
          <cell r="O5515">
            <v>54</v>
          </cell>
        </row>
        <row r="5516">
          <cell r="F5516" t="str">
            <v xml:space="preserve">860020382      </v>
          </cell>
          <cell r="O5516">
            <v>18</v>
          </cell>
        </row>
        <row r="5517">
          <cell r="F5517" t="str">
            <v xml:space="preserve">890307885      </v>
          </cell>
          <cell r="O5517">
            <v>238.5</v>
          </cell>
        </row>
        <row r="5518">
          <cell r="F5518" t="str">
            <v xml:space="preserve">890308085      </v>
          </cell>
          <cell r="O5518">
            <v>36</v>
          </cell>
        </row>
        <row r="5519">
          <cell r="F5519" t="str">
            <v xml:space="preserve">890311251      </v>
          </cell>
          <cell r="O5519">
            <v>54</v>
          </cell>
        </row>
        <row r="5520">
          <cell r="F5520" t="str">
            <v xml:space="preserve">890311251      </v>
          </cell>
          <cell r="O5520">
            <v>54</v>
          </cell>
        </row>
        <row r="5521">
          <cell r="F5521" t="str">
            <v xml:space="preserve">890312630      </v>
          </cell>
          <cell r="O5521">
            <v>30</v>
          </cell>
        </row>
        <row r="5522">
          <cell r="F5522" t="str">
            <v xml:space="preserve">899999049      </v>
          </cell>
          <cell r="O5522">
            <v>90</v>
          </cell>
        </row>
        <row r="5523">
          <cell r="F5523" t="str">
            <v xml:space="preserve">900454593      </v>
          </cell>
          <cell r="O5523">
            <v>18</v>
          </cell>
        </row>
        <row r="5524">
          <cell r="F5524" t="str">
            <v xml:space="preserve">900818921      </v>
          </cell>
          <cell r="O5524">
            <v>407</v>
          </cell>
        </row>
        <row r="5525">
          <cell r="F5525" t="str">
            <v xml:space="preserve">900896300      </v>
          </cell>
          <cell r="O5525">
            <v>159</v>
          </cell>
        </row>
        <row r="5526">
          <cell r="F5526" t="str">
            <v xml:space="preserve">901026262      </v>
          </cell>
          <cell r="O5526">
            <v>54</v>
          </cell>
        </row>
        <row r="5527">
          <cell r="F5527" t="str">
            <v xml:space="preserve">901430325      </v>
          </cell>
          <cell r="O5527">
            <v>18</v>
          </cell>
        </row>
        <row r="5528">
          <cell r="F5528" t="str">
            <v xml:space="preserve">212            </v>
          </cell>
          <cell r="O5528">
            <v>15</v>
          </cell>
        </row>
        <row r="5529">
          <cell r="F5529" t="str">
            <v xml:space="preserve">212            </v>
          </cell>
          <cell r="O5529">
            <v>36</v>
          </cell>
        </row>
        <row r="5530">
          <cell r="F5530" t="str">
            <v xml:space="preserve">212            </v>
          </cell>
          <cell r="O5530">
            <v>165</v>
          </cell>
        </row>
        <row r="5531">
          <cell r="F5531" t="str">
            <v xml:space="preserve">212            </v>
          </cell>
          <cell r="O5531">
            <v>162</v>
          </cell>
        </row>
        <row r="5532">
          <cell r="F5532" t="str">
            <v xml:space="preserve">900495908      </v>
          </cell>
          <cell r="O5532">
            <v>45</v>
          </cell>
        </row>
        <row r="5533">
          <cell r="F5533" t="str">
            <v xml:space="preserve">900495908      </v>
          </cell>
          <cell r="O5533">
            <v>18</v>
          </cell>
        </row>
        <row r="5534">
          <cell r="F5534" t="str">
            <v xml:space="preserve">900495908      </v>
          </cell>
          <cell r="O5534">
            <v>18</v>
          </cell>
        </row>
        <row r="5535">
          <cell r="F5535" t="str">
            <v xml:space="preserve">890304130      </v>
          </cell>
          <cell r="O5535">
            <v>153</v>
          </cell>
        </row>
        <row r="5536">
          <cell r="F5536" t="str">
            <v xml:space="preserve">700174546      </v>
          </cell>
          <cell r="O5536">
            <v>3000.2</v>
          </cell>
        </row>
        <row r="5537">
          <cell r="F5537" t="str">
            <v xml:space="preserve">890332769      </v>
          </cell>
          <cell r="O5537">
            <v>3238.8</v>
          </cell>
        </row>
        <row r="5538">
          <cell r="F5538" t="str">
            <v xml:space="preserve">1090375745     </v>
          </cell>
          <cell r="O5538">
            <v>96.1</v>
          </cell>
        </row>
        <row r="5539">
          <cell r="F5539" t="str">
            <v xml:space="preserve">1093791135     </v>
          </cell>
          <cell r="O5539">
            <v>86</v>
          </cell>
        </row>
        <row r="5540">
          <cell r="F5540" t="str">
            <v xml:space="preserve">1113622521     </v>
          </cell>
          <cell r="O5540">
            <v>40.299999999999997</v>
          </cell>
        </row>
        <row r="5541">
          <cell r="F5541" t="str">
            <v xml:space="preserve">1126706884     </v>
          </cell>
          <cell r="O5541">
            <v>95</v>
          </cell>
        </row>
        <row r="5542">
          <cell r="F5542" t="str">
            <v xml:space="preserve">13479408       </v>
          </cell>
          <cell r="O5542">
            <v>90.1</v>
          </cell>
        </row>
        <row r="5543">
          <cell r="F5543" t="str">
            <v xml:space="preserve">37274379       </v>
          </cell>
          <cell r="O5543">
            <v>68.3</v>
          </cell>
        </row>
        <row r="5544">
          <cell r="F5544" t="str">
            <v xml:space="preserve">60342963       </v>
          </cell>
          <cell r="O5544">
            <v>52.4</v>
          </cell>
        </row>
        <row r="5545">
          <cell r="F5545" t="str">
            <v xml:space="preserve">60378423       </v>
          </cell>
          <cell r="O5545">
            <v>42</v>
          </cell>
        </row>
        <row r="5546">
          <cell r="F5546" t="str">
            <v xml:space="preserve">70433203       </v>
          </cell>
          <cell r="O5546">
            <v>34.9</v>
          </cell>
        </row>
        <row r="5547">
          <cell r="F5547" t="str">
            <v xml:space="preserve">71581450       </v>
          </cell>
          <cell r="O5547">
            <v>37.4</v>
          </cell>
        </row>
        <row r="5548">
          <cell r="F5548" t="str">
            <v xml:space="preserve">800254278      </v>
          </cell>
          <cell r="O5548">
            <v>126.8</v>
          </cell>
        </row>
        <row r="5549">
          <cell r="F5549" t="str">
            <v xml:space="preserve">860001697      </v>
          </cell>
          <cell r="O5549">
            <v>4467.1000000000004</v>
          </cell>
        </row>
        <row r="5550">
          <cell r="F5550" t="str">
            <v xml:space="preserve">88254195       </v>
          </cell>
          <cell r="O5550">
            <v>37.1</v>
          </cell>
        </row>
        <row r="5551">
          <cell r="F5551" t="str">
            <v xml:space="preserve">88309558       </v>
          </cell>
          <cell r="O5551">
            <v>59</v>
          </cell>
        </row>
        <row r="5552">
          <cell r="F5552" t="str">
            <v xml:space="preserve">815004320      </v>
          </cell>
          <cell r="O5552">
            <v>2127.1</v>
          </cell>
        </row>
        <row r="5553">
          <cell r="F5553" t="str">
            <v xml:space="preserve">830512556      </v>
          </cell>
          <cell r="O5553">
            <v>226.4</v>
          </cell>
        </row>
        <row r="5554">
          <cell r="F5554" t="str">
            <v xml:space="preserve">890300431      </v>
          </cell>
          <cell r="O5554">
            <v>823</v>
          </cell>
        </row>
        <row r="5555">
          <cell r="F5555" t="str">
            <v xml:space="preserve">890300534      </v>
          </cell>
          <cell r="O5555">
            <v>310.7</v>
          </cell>
        </row>
        <row r="5556">
          <cell r="F5556" t="str">
            <v xml:space="preserve">890904713      </v>
          </cell>
          <cell r="O5556">
            <v>51.3</v>
          </cell>
        </row>
        <row r="5557">
          <cell r="F5557" t="str">
            <v xml:space="preserve">891301549      </v>
          </cell>
          <cell r="O5557">
            <v>1549.9</v>
          </cell>
        </row>
        <row r="5558">
          <cell r="F5558" t="str">
            <v xml:space="preserve">891301549      </v>
          </cell>
          <cell r="O5558">
            <v>1580.1</v>
          </cell>
        </row>
        <row r="5559">
          <cell r="F5559" t="str">
            <v xml:space="preserve">891301594      </v>
          </cell>
          <cell r="O5559">
            <v>950.4</v>
          </cell>
        </row>
        <row r="5560">
          <cell r="F5560" t="str">
            <v xml:space="preserve">891301594      </v>
          </cell>
          <cell r="O5560">
            <v>609.70000000000005</v>
          </cell>
        </row>
        <row r="5561">
          <cell r="F5561" t="str">
            <v xml:space="preserve">860032450      </v>
          </cell>
          <cell r="O5561">
            <v>6641.8</v>
          </cell>
        </row>
        <row r="5562">
          <cell r="F5562" t="str">
            <v xml:space="preserve">1128448026     </v>
          </cell>
          <cell r="O5562">
            <v>453.3</v>
          </cell>
        </row>
        <row r="5563">
          <cell r="F5563" t="str">
            <v xml:space="preserve">800039849      </v>
          </cell>
          <cell r="O5563">
            <v>2251.1</v>
          </cell>
        </row>
        <row r="5564">
          <cell r="F5564" t="str">
            <v xml:space="preserve">811014849      </v>
          </cell>
          <cell r="O5564">
            <v>949</v>
          </cell>
        </row>
        <row r="5565">
          <cell r="F5565" t="str">
            <v xml:space="preserve">900756147      </v>
          </cell>
          <cell r="O5565">
            <v>2000.4</v>
          </cell>
        </row>
        <row r="5566">
          <cell r="F5566" t="str">
            <v xml:space="preserve">830106563      </v>
          </cell>
          <cell r="O5566">
            <v>1070.2</v>
          </cell>
        </row>
        <row r="5567">
          <cell r="F5567" t="str">
            <v xml:space="preserve">900497538      </v>
          </cell>
          <cell r="O5567">
            <v>2938.1</v>
          </cell>
        </row>
        <row r="5568">
          <cell r="F5568" t="str">
            <v xml:space="preserve">901123983      </v>
          </cell>
          <cell r="O5568">
            <v>1301.7</v>
          </cell>
        </row>
        <row r="5569">
          <cell r="F5569" t="str">
            <v xml:space="preserve">901409625      </v>
          </cell>
          <cell r="O5569">
            <v>797.3</v>
          </cell>
        </row>
        <row r="5570">
          <cell r="F5570" t="str">
            <v xml:space="preserve">52790620       </v>
          </cell>
          <cell r="O5570">
            <v>45</v>
          </cell>
        </row>
        <row r="5571">
          <cell r="F5571" t="str">
            <v xml:space="preserve">52790620       </v>
          </cell>
          <cell r="O5571">
            <v>225</v>
          </cell>
        </row>
        <row r="5572">
          <cell r="F5572" t="str">
            <v xml:space="preserve">811014849      </v>
          </cell>
          <cell r="O5572">
            <v>667.7</v>
          </cell>
        </row>
        <row r="5573">
          <cell r="F5573" t="str">
            <v xml:space="preserve">830026277      </v>
          </cell>
          <cell r="O5573">
            <v>1002</v>
          </cell>
        </row>
        <row r="5574">
          <cell r="F5574" t="str">
            <v xml:space="preserve">860026428      </v>
          </cell>
          <cell r="O5574">
            <v>95.3</v>
          </cell>
        </row>
        <row r="5575">
          <cell r="F5575" t="str">
            <v xml:space="preserve">860518994      </v>
          </cell>
          <cell r="O5575">
            <v>57.9</v>
          </cell>
        </row>
        <row r="5576">
          <cell r="F5576" t="str">
            <v xml:space="preserve">891300382      </v>
          </cell>
          <cell r="O5576">
            <v>80.099999999999994</v>
          </cell>
        </row>
        <row r="5577">
          <cell r="F5577" t="str">
            <v xml:space="preserve">891300382      </v>
          </cell>
          <cell r="O5577">
            <v>80.400000000000006</v>
          </cell>
        </row>
        <row r="5578">
          <cell r="F5578" t="str">
            <v xml:space="preserve">891300382      </v>
          </cell>
          <cell r="O5578">
            <v>82.2</v>
          </cell>
        </row>
        <row r="5579">
          <cell r="F5579" t="str">
            <v xml:space="preserve">800197463      </v>
          </cell>
          <cell r="O5579">
            <v>387.3</v>
          </cell>
        </row>
        <row r="5580">
          <cell r="F5580" t="str">
            <v xml:space="preserve">805017257      </v>
          </cell>
          <cell r="O5580">
            <v>354.4</v>
          </cell>
        </row>
        <row r="5581">
          <cell r="F5581" t="str">
            <v xml:space="preserve">890312630      </v>
          </cell>
          <cell r="O5581">
            <v>5230.6000000000004</v>
          </cell>
        </row>
        <row r="5582">
          <cell r="F5582" t="str">
            <v xml:space="preserve">900260056      </v>
          </cell>
          <cell r="O5582">
            <v>1247.8</v>
          </cell>
        </row>
        <row r="5583">
          <cell r="F5583" t="str">
            <v xml:space="preserve">901578626      </v>
          </cell>
          <cell r="O5583">
            <v>82.7</v>
          </cell>
        </row>
        <row r="5584">
          <cell r="F5584" t="str">
            <v xml:space="preserve">860001697      </v>
          </cell>
          <cell r="O5584">
            <v>141</v>
          </cell>
        </row>
        <row r="5585">
          <cell r="F5585" t="str">
            <v xml:space="preserve">860001697      </v>
          </cell>
          <cell r="O5585">
            <v>140.84</v>
          </cell>
        </row>
        <row r="5586">
          <cell r="F5586" t="str">
            <v xml:space="preserve">900992422      </v>
          </cell>
          <cell r="O5586">
            <v>2004.1</v>
          </cell>
        </row>
        <row r="5587">
          <cell r="F5587" t="str">
            <v xml:space="preserve">19356189       </v>
          </cell>
          <cell r="O5587">
            <v>600.6</v>
          </cell>
        </row>
        <row r="5588">
          <cell r="F5588" t="str">
            <v xml:space="preserve">860403972      </v>
          </cell>
          <cell r="O5588">
            <v>1200</v>
          </cell>
        </row>
        <row r="5589">
          <cell r="F5589" t="str">
            <v xml:space="preserve">805005148      </v>
          </cell>
          <cell r="O5589">
            <v>5742</v>
          </cell>
        </row>
        <row r="5590">
          <cell r="F5590" t="str">
            <v xml:space="preserve">805005148      </v>
          </cell>
          <cell r="O5590">
            <v>9</v>
          </cell>
        </row>
        <row r="5591">
          <cell r="F5591" t="str">
            <v xml:space="preserve">805005148      </v>
          </cell>
          <cell r="O5591">
            <v>954</v>
          </cell>
        </row>
        <row r="5592">
          <cell r="F5592" t="str">
            <v xml:space="preserve">805005148      </v>
          </cell>
          <cell r="O5592">
            <v>135</v>
          </cell>
        </row>
        <row r="5593">
          <cell r="F5593" t="str">
            <v xml:space="preserve">805005148      </v>
          </cell>
          <cell r="O5593">
            <v>9</v>
          </cell>
        </row>
        <row r="5594">
          <cell r="F5594" t="str">
            <v xml:space="preserve">805005148      </v>
          </cell>
          <cell r="O5594">
            <v>45</v>
          </cell>
        </row>
        <row r="5595">
          <cell r="F5595" t="str">
            <v xml:space="preserve">805005148      </v>
          </cell>
          <cell r="O5595">
            <v>1548</v>
          </cell>
        </row>
        <row r="5596">
          <cell r="F5596" t="str">
            <v xml:space="preserve">805005148      </v>
          </cell>
          <cell r="O5596">
            <v>630</v>
          </cell>
        </row>
        <row r="5597">
          <cell r="F5597" t="str">
            <v xml:space="preserve">1130605276     </v>
          </cell>
          <cell r="O5597">
            <v>90</v>
          </cell>
        </row>
        <row r="5598">
          <cell r="F5598" t="str">
            <v xml:space="preserve">1130605276     </v>
          </cell>
          <cell r="O5598">
            <v>1080</v>
          </cell>
        </row>
        <row r="5599">
          <cell r="F5599" t="str">
            <v xml:space="preserve">1130605276     </v>
          </cell>
          <cell r="O5599">
            <v>135</v>
          </cell>
        </row>
        <row r="5600">
          <cell r="F5600" t="str">
            <v xml:space="preserve">1130605276     </v>
          </cell>
          <cell r="O5600">
            <v>4.5</v>
          </cell>
        </row>
        <row r="5601">
          <cell r="F5601" t="str">
            <v xml:space="preserve">1130605276     </v>
          </cell>
          <cell r="O5601">
            <v>9</v>
          </cell>
        </row>
        <row r="5602">
          <cell r="F5602" t="str">
            <v xml:space="preserve">1130605276     </v>
          </cell>
          <cell r="O5602">
            <v>90</v>
          </cell>
        </row>
        <row r="5603">
          <cell r="F5603" t="str">
            <v xml:space="preserve">1130605276     </v>
          </cell>
          <cell r="O5603">
            <v>846</v>
          </cell>
        </row>
        <row r="5604">
          <cell r="F5604" t="str">
            <v xml:space="preserve">1130605276     </v>
          </cell>
          <cell r="O5604">
            <v>45</v>
          </cell>
        </row>
        <row r="5605">
          <cell r="F5605" t="str">
            <v xml:space="preserve">94050412       </v>
          </cell>
          <cell r="O5605">
            <v>360</v>
          </cell>
        </row>
        <row r="5606">
          <cell r="F5606" t="str">
            <v xml:space="preserve">94050412       </v>
          </cell>
          <cell r="O5606">
            <v>45</v>
          </cell>
        </row>
        <row r="5607">
          <cell r="F5607" t="str">
            <v xml:space="preserve">88275315       </v>
          </cell>
          <cell r="O5607">
            <v>1926</v>
          </cell>
        </row>
        <row r="5608">
          <cell r="F5608" t="str">
            <v xml:space="preserve">88275315       </v>
          </cell>
          <cell r="O5608">
            <v>18</v>
          </cell>
        </row>
        <row r="5609">
          <cell r="F5609" t="str">
            <v xml:space="preserve">88275315       </v>
          </cell>
          <cell r="O5609">
            <v>90</v>
          </cell>
        </row>
        <row r="5610">
          <cell r="F5610" t="str">
            <v xml:space="preserve">88275315       </v>
          </cell>
          <cell r="O5610">
            <v>18</v>
          </cell>
        </row>
        <row r="5611">
          <cell r="F5611" t="str">
            <v xml:space="preserve">88275315       </v>
          </cell>
          <cell r="O5611">
            <v>90</v>
          </cell>
        </row>
        <row r="5612">
          <cell r="F5612" t="str">
            <v xml:space="preserve">88275315       </v>
          </cell>
          <cell r="O5612">
            <v>1548</v>
          </cell>
        </row>
        <row r="5613">
          <cell r="F5613" t="str">
            <v xml:space="preserve">88275315       </v>
          </cell>
          <cell r="O5613">
            <v>270</v>
          </cell>
        </row>
        <row r="5614">
          <cell r="F5614" t="str">
            <v xml:space="preserve">88275315       </v>
          </cell>
          <cell r="O5614">
            <v>72</v>
          </cell>
        </row>
        <row r="5615">
          <cell r="F5615" t="str">
            <v xml:space="preserve">88275315       </v>
          </cell>
          <cell r="O5615">
            <v>180</v>
          </cell>
        </row>
        <row r="5616">
          <cell r="F5616" t="str">
            <v xml:space="preserve">901433383      </v>
          </cell>
          <cell r="O5616">
            <v>72</v>
          </cell>
        </row>
        <row r="5617">
          <cell r="F5617" t="str">
            <v xml:space="preserve">94464104       </v>
          </cell>
          <cell r="O5617">
            <v>90</v>
          </cell>
        </row>
        <row r="5618">
          <cell r="F5618" t="str">
            <v xml:space="preserve">94464104       </v>
          </cell>
          <cell r="O5618">
            <v>9</v>
          </cell>
        </row>
        <row r="5619">
          <cell r="F5619" t="str">
            <v xml:space="preserve">94464104       </v>
          </cell>
          <cell r="O5619">
            <v>36</v>
          </cell>
        </row>
        <row r="5620">
          <cell r="F5620" t="str">
            <v xml:space="preserve">94464104       </v>
          </cell>
          <cell r="O5620">
            <v>135</v>
          </cell>
        </row>
        <row r="5621">
          <cell r="F5621" t="str">
            <v xml:space="preserve">94464104       </v>
          </cell>
          <cell r="O5621">
            <v>1692</v>
          </cell>
        </row>
        <row r="5622">
          <cell r="F5622" t="str">
            <v xml:space="preserve">16458005       </v>
          </cell>
          <cell r="O5622">
            <v>15</v>
          </cell>
        </row>
        <row r="5623">
          <cell r="F5623" t="str">
            <v xml:space="preserve">16458005       </v>
          </cell>
          <cell r="O5623">
            <v>162</v>
          </cell>
        </row>
        <row r="5624">
          <cell r="F5624" t="str">
            <v xml:space="preserve">94420019       </v>
          </cell>
          <cell r="O5624">
            <v>198</v>
          </cell>
        </row>
        <row r="5625">
          <cell r="F5625" t="str">
            <v xml:space="preserve">16669313       </v>
          </cell>
          <cell r="O5625">
            <v>15</v>
          </cell>
        </row>
        <row r="5626">
          <cell r="F5626" t="str">
            <v xml:space="preserve">16669313       </v>
          </cell>
          <cell r="O5626">
            <v>225</v>
          </cell>
        </row>
        <row r="5627">
          <cell r="F5627" t="str">
            <v xml:space="preserve">16669313       </v>
          </cell>
          <cell r="O5627">
            <v>684</v>
          </cell>
        </row>
        <row r="5628">
          <cell r="F5628" t="str">
            <v xml:space="preserve">900034686      </v>
          </cell>
          <cell r="O5628">
            <v>45</v>
          </cell>
        </row>
        <row r="5629">
          <cell r="F5629" t="str">
            <v xml:space="preserve">75074760       </v>
          </cell>
          <cell r="O5629">
            <v>27</v>
          </cell>
        </row>
        <row r="5630">
          <cell r="F5630" t="str">
            <v xml:space="preserve">75074760       </v>
          </cell>
          <cell r="O5630">
            <v>165</v>
          </cell>
        </row>
        <row r="5631">
          <cell r="F5631" t="str">
            <v xml:space="preserve">75074760       </v>
          </cell>
          <cell r="O5631">
            <v>36</v>
          </cell>
        </row>
        <row r="5632">
          <cell r="F5632" t="str">
            <v xml:space="preserve">75099432       </v>
          </cell>
          <cell r="O5632">
            <v>90</v>
          </cell>
        </row>
        <row r="5633">
          <cell r="F5633" t="str">
            <v xml:space="preserve">75099432       </v>
          </cell>
          <cell r="O5633">
            <v>540</v>
          </cell>
        </row>
        <row r="5634">
          <cell r="F5634" t="str">
            <v xml:space="preserve">75099432       </v>
          </cell>
          <cell r="O5634">
            <v>135</v>
          </cell>
        </row>
        <row r="5635">
          <cell r="F5635" t="str">
            <v xml:space="preserve">75099432       </v>
          </cell>
          <cell r="O5635">
            <v>1035</v>
          </cell>
        </row>
        <row r="5636">
          <cell r="F5636" t="str">
            <v xml:space="preserve">75099432       </v>
          </cell>
          <cell r="O5636">
            <v>9</v>
          </cell>
        </row>
        <row r="5637">
          <cell r="F5637" t="str">
            <v xml:space="preserve">75099432       </v>
          </cell>
          <cell r="O5637">
            <v>780</v>
          </cell>
        </row>
        <row r="5638">
          <cell r="F5638" t="str">
            <v xml:space="preserve">75099432       </v>
          </cell>
          <cell r="O5638">
            <v>162</v>
          </cell>
        </row>
        <row r="5639">
          <cell r="F5639" t="str">
            <v xml:space="preserve">75099432       </v>
          </cell>
          <cell r="O5639">
            <v>270</v>
          </cell>
        </row>
        <row r="5640">
          <cell r="F5640" t="str">
            <v xml:space="preserve">10237057       </v>
          </cell>
          <cell r="O5640">
            <v>75</v>
          </cell>
        </row>
        <row r="5641">
          <cell r="F5641" t="str">
            <v xml:space="preserve">10237057       </v>
          </cell>
          <cell r="O5641">
            <v>90</v>
          </cell>
        </row>
        <row r="5642">
          <cell r="F5642" t="str">
            <v xml:space="preserve">10237057       </v>
          </cell>
          <cell r="O5642">
            <v>18</v>
          </cell>
        </row>
        <row r="5643">
          <cell r="F5643" t="str">
            <v xml:space="preserve">6157942        </v>
          </cell>
          <cell r="O5643">
            <v>45</v>
          </cell>
        </row>
        <row r="5644">
          <cell r="F5644" t="str">
            <v xml:space="preserve">6157942        </v>
          </cell>
          <cell r="O5644">
            <v>315</v>
          </cell>
        </row>
        <row r="5645">
          <cell r="F5645" t="str">
            <v xml:space="preserve">16456104       </v>
          </cell>
          <cell r="O5645">
            <v>750</v>
          </cell>
        </row>
        <row r="5646">
          <cell r="F5646" t="str">
            <v xml:space="preserve">16456104       </v>
          </cell>
          <cell r="O5646">
            <v>90</v>
          </cell>
        </row>
        <row r="5647">
          <cell r="F5647" t="str">
            <v xml:space="preserve">16479359       </v>
          </cell>
          <cell r="O5647">
            <v>30</v>
          </cell>
        </row>
        <row r="5648">
          <cell r="F5648" t="str">
            <v xml:space="preserve">16479359       </v>
          </cell>
          <cell r="O5648">
            <v>180</v>
          </cell>
        </row>
        <row r="5649">
          <cell r="F5649" t="str">
            <v xml:space="preserve">29233836       </v>
          </cell>
          <cell r="O5649">
            <v>4.5</v>
          </cell>
        </row>
        <row r="5650">
          <cell r="F5650" t="str">
            <v xml:space="preserve">1088256267     </v>
          </cell>
          <cell r="O5650">
            <v>120</v>
          </cell>
        </row>
        <row r="5651">
          <cell r="F5651" t="str">
            <v xml:space="preserve">1088256267     </v>
          </cell>
          <cell r="O5651">
            <v>108</v>
          </cell>
        </row>
        <row r="5652">
          <cell r="F5652" t="str">
            <v xml:space="preserve">1088256267     </v>
          </cell>
          <cell r="O5652">
            <v>90</v>
          </cell>
        </row>
        <row r="5653">
          <cell r="F5653" t="str">
            <v xml:space="preserve">1088256267     </v>
          </cell>
          <cell r="O5653">
            <v>9</v>
          </cell>
        </row>
        <row r="5654">
          <cell r="F5654" t="str">
            <v xml:space="preserve">18531114       </v>
          </cell>
          <cell r="O5654">
            <v>330</v>
          </cell>
        </row>
        <row r="5655">
          <cell r="F5655" t="str">
            <v xml:space="preserve">18531114       </v>
          </cell>
          <cell r="O5655">
            <v>306</v>
          </cell>
        </row>
        <row r="5656">
          <cell r="F5656" t="str">
            <v xml:space="preserve">18531114       </v>
          </cell>
          <cell r="O5656">
            <v>90</v>
          </cell>
        </row>
        <row r="5657">
          <cell r="F5657" t="str">
            <v xml:space="preserve">15896671       </v>
          </cell>
          <cell r="O5657">
            <v>4.5</v>
          </cell>
        </row>
        <row r="5658">
          <cell r="F5658" t="str">
            <v xml:space="preserve">15896671       </v>
          </cell>
          <cell r="O5658">
            <v>9</v>
          </cell>
        </row>
        <row r="5659">
          <cell r="F5659" t="str">
            <v xml:space="preserve">15896671       </v>
          </cell>
          <cell r="O5659">
            <v>300</v>
          </cell>
        </row>
        <row r="5660">
          <cell r="F5660" t="str">
            <v xml:space="preserve">15896671       </v>
          </cell>
          <cell r="O5660">
            <v>180</v>
          </cell>
        </row>
        <row r="5661">
          <cell r="F5661" t="str">
            <v xml:space="preserve">4527357        </v>
          </cell>
          <cell r="O5661">
            <v>45</v>
          </cell>
        </row>
        <row r="5662">
          <cell r="F5662" t="str">
            <v xml:space="preserve">16225682       </v>
          </cell>
          <cell r="O5662">
            <v>390</v>
          </cell>
        </row>
        <row r="5663">
          <cell r="F5663" t="str">
            <v xml:space="preserve">16225682       </v>
          </cell>
          <cell r="O5663">
            <v>72</v>
          </cell>
        </row>
        <row r="5664">
          <cell r="F5664" t="str">
            <v xml:space="preserve">10144092       </v>
          </cell>
          <cell r="O5664">
            <v>315</v>
          </cell>
        </row>
        <row r="5665">
          <cell r="F5665" t="str">
            <v xml:space="preserve">24835836       </v>
          </cell>
          <cell r="O5665">
            <v>270</v>
          </cell>
        </row>
        <row r="5666">
          <cell r="F5666" t="str">
            <v xml:space="preserve">24835836       </v>
          </cell>
          <cell r="O5666">
            <v>36</v>
          </cell>
        </row>
        <row r="5667">
          <cell r="F5667" t="str">
            <v xml:space="preserve">18596221       </v>
          </cell>
          <cell r="O5667">
            <v>9</v>
          </cell>
        </row>
        <row r="5668">
          <cell r="F5668" t="str">
            <v xml:space="preserve">18596221       </v>
          </cell>
          <cell r="O5668">
            <v>135</v>
          </cell>
        </row>
        <row r="5669">
          <cell r="F5669" t="str">
            <v xml:space="preserve">18596221       </v>
          </cell>
          <cell r="O5669">
            <v>18</v>
          </cell>
        </row>
        <row r="5670">
          <cell r="F5670" t="str">
            <v xml:space="preserve">805005148      </v>
          </cell>
          <cell r="O5670">
            <v>720</v>
          </cell>
        </row>
        <row r="5671">
          <cell r="F5671" t="str">
            <v xml:space="preserve">805005148      </v>
          </cell>
          <cell r="O5671">
            <v>450</v>
          </cell>
        </row>
        <row r="5672">
          <cell r="F5672" t="str">
            <v xml:space="preserve">76336108       </v>
          </cell>
          <cell r="O5672">
            <v>45</v>
          </cell>
        </row>
        <row r="5673">
          <cell r="F5673" t="str">
            <v xml:space="preserve">76336108       </v>
          </cell>
          <cell r="O5673">
            <v>414</v>
          </cell>
        </row>
        <row r="5674">
          <cell r="F5674" t="str">
            <v xml:space="preserve">76336108       </v>
          </cell>
          <cell r="O5674">
            <v>45</v>
          </cell>
        </row>
        <row r="5675">
          <cell r="F5675" t="str">
            <v xml:space="preserve">76323227       </v>
          </cell>
          <cell r="O5675">
            <v>15</v>
          </cell>
        </row>
        <row r="5676">
          <cell r="F5676" t="str">
            <v xml:space="preserve">76323227       </v>
          </cell>
          <cell r="O5676">
            <v>4410</v>
          </cell>
        </row>
        <row r="5677">
          <cell r="F5677" t="str">
            <v xml:space="preserve">76323227       </v>
          </cell>
          <cell r="O5677">
            <v>1080</v>
          </cell>
        </row>
        <row r="5678">
          <cell r="F5678" t="str">
            <v xml:space="preserve">76323227       </v>
          </cell>
          <cell r="O5678">
            <v>450</v>
          </cell>
        </row>
        <row r="5679">
          <cell r="F5679" t="str">
            <v xml:space="preserve">10532222       </v>
          </cell>
          <cell r="O5679">
            <v>252</v>
          </cell>
        </row>
        <row r="5680">
          <cell r="F5680" t="str">
            <v xml:space="preserve">10532222       </v>
          </cell>
          <cell r="O5680">
            <v>90</v>
          </cell>
        </row>
        <row r="5681">
          <cell r="F5681" t="str">
            <v xml:space="preserve">12168724       </v>
          </cell>
          <cell r="O5681">
            <v>60</v>
          </cell>
        </row>
        <row r="5682">
          <cell r="F5682" t="str">
            <v xml:space="preserve">12168724       </v>
          </cell>
          <cell r="O5682">
            <v>135</v>
          </cell>
        </row>
        <row r="5683">
          <cell r="F5683" t="str">
            <v xml:space="preserve">12168724       </v>
          </cell>
          <cell r="O5683">
            <v>540</v>
          </cell>
        </row>
        <row r="5684">
          <cell r="F5684" t="str">
            <v xml:space="preserve">10755493       </v>
          </cell>
          <cell r="O5684">
            <v>1080</v>
          </cell>
        </row>
        <row r="5685">
          <cell r="F5685" t="str">
            <v xml:space="preserve">10292388       </v>
          </cell>
          <cell r="O5685">
            <v>342</v>
          </cell>
        </row>
        <row r="5686">
          <cell r="F5686" t="str">
            <v xml:space="preserve">10292388       </v>
          </cell>
          <cell r="O5686">
            <v>180</v>
          </cell>
        </row>
        <row r="5687">
          <cell r="F5687" t="str">
            <v xml:space="preserve">76331539       </v>
          </cell>
          <cell r="O5687">
            <v>180</v>
          </cell>
        </row>
        <row r="5688">
          <cell r="F5688" t="str">
            <v xml:space="preserve">89009557       </v>
          </cell>
          <cell r="O5688">
            <v>30</v>
          </cell>
        </row>
        <row r="5689">
          <cell r="F5689" t="str">
            <v xml:space="preserve">89009557       </v>
          </cell>
          <cell r="O5689">
            <v>90</v>
          </cell>
        </row>
        <row r="5690">
          <cell r="F5690" t="str">
            <v xml:space="preserve">89009557       </v>
          </cell>
          <cell r="O5690">
            <v>135</v>
          </cell>
        </row>
        <row r="5691">
          <cell r="F5691" t="str">
            <v xml:space="preserve">9900047        </v>
          </cell>
          <cell r="O5691">
            <v>15</v>
          </cell>
        </row>
        <row r="5692">
          <cell r="F5692" t="str">
            <v xml:space="preserve">9900047        </v>
          </cell>
          <cell r="O5692">
            <v>180</v>
          </cell>
        </row>
        <row r="5693">
          <cell r="F5693" t="str">
            <v xml:space="preserve">18416624       </v>
          </cell>
          <cell r="O5693">
            <v>9</v>
          </cell>
        </row>
        <row r="5694">
          <cell r="F5694" t="str">
            <v xml:space="preserve">18416624       </v>
          </cell>
          <cell r="O5694">
            <v>90</v>
          </cell>
        </row>
        <row r="5695">
          <cell r="F5695" t="str">
            <v xml:space="preserve">18416624       </v>
          </cell>
          <cell r="O5695">
            <v>72</v>
          </cell>
        </row>
        <row r="5696">
          <cell r="F5696" t="str">
            <v xml:space="preserve">18416624       </v>
          </cell>
          <cell r="O5696">
            <v>90</v>
          </cell>
        </row>
        <row r="5697">
          <cell r="F5697" t="str">
            <v xml:space="preserve">4613715        </v>
          </cell>
          <cell r="O5697">
            <v>9</v>
          </cell>
        </row>
        <row r="5698">
          <cell r="F5698" t="str">
            <v xml:space="preserve">4613715        </v>
          </cell>
          <cell r="O5698">
            <v>540</v>
          </cell>
        </row>
        <row r="5699">
          <cell r="F5699" t="str">
            <v xml:space="preserve">4613715        </v>
          </cell>
          <cell r="O5699">
            <v>450</v>
          </cell>
        </row>
        <row r="5700">
          <cell r="F5700" t="str">
            <v xml:space="preserve">4613715        </v>
          </cell>
          <cell r="O5700">
            <v>135</v>
          </cell>
        </row>
        <row r="5701">
          <cell r="F5701" t="str">
            <v xml:space="preserve">9805400        </v>
          </cell>
          <cell r="O5701">
            <v>105</v>
          </cell>
        </row>
        <row r="5702">
          <cell r="F5702" t="str">
            <v xml:space="preserve">9805400        </v>
          </cell>
          <cell r="O5702">
            <v>108</v>
          </cell>
        </row>
        <row r="5703">
          <cell r="F5703" t="str">
            <v xml:space="preserve">6110295        </v>
          </cell>
          <cell r="O5703">
            <v>4.5</v>
          </cell>
        </row>
        <row r="5704">
          <cell r="F5704" t="str">
            <v xml:space="preserve">6110295        </v>
          </cell>
          <cell r="O5704">
            <v>9</v>
          </cell>
        </row>
        <row r="5705">
          <cell r="F5705" t="str">
            <v xml:space="preserve">6110295        </v>
          </cell>
          <cell r="O5705">
            <v>180</v>
          </cell>
        </row>
        <row r="5706">
          <cell r="F5706" t="str">
            <v xml:space="preserve">6110295        </v>
          </cell>
          <cell r="O5706">
            <v>198</v>
          </cell>
        </row>
        <row r="5707">
          <cell r="F5707" t="str">
            <v xml:space="preserve">6110295        </v>
          </cell>
          <cell r="O5707">
            <v>45</v>
          </cell>
        </row>
        <row r="5708">
          <cell r="F5708" t="str">
            <v xml:space="preserve">805005148      </v>
          </cell>
          <cell r="O5708">
            <v>1026</v>
          </cell>
        </row>
        <row r="5709">
          <cell r="F5709" t="str">
            <v xml:space="preserve">805005148      </v>
          </cell>
          <cell r="O5709">
            <v>1494</v>
          </cell>
        </row>
        <row r="5710">
          <cell r="F5710" t="str">
            <v xml:space="preserve">805005148      </v>
          </cell>
          <cell r="O5710">
            <v>270</v>
          </cell>
        </row>
        <row r="5711">
          <cell r="F5711" t="str">
            <v xml:space="preserve">805005148      </v>
          </cell>
          <cell r="O5711">
            <v>18</v>
          </cell>
        </row>
        <row r="5712">
          <cell r="F5712" t="str">
            <v xml:space="preserve">805005148      </v>
          </cell>
          <cell r="O5712">
            <v>30</v>
          </cell>
        </row>
        <row r="5713">
          <cell r="F5713" t="str">
            <v xml:space="preserve">805005148      </v>
          </cell>
          <cell r="O5713">
            <v>180</v>
          </cell>
        </row>
        <row r="5714">
          <cell r="F5714" t="str">
            <v xml:space="preserve">805005148      </v>
          </cell>
          <cell r="O5714">
            <v>90</v>
          </cell>
        </row>
        <row r="5715">
          <cell r="F5715" t="str">
            <v xml:space="preserve">10488839       </v>
          </cell>
          <cell r="O5715">
            <v>30</v>
          </cell>
        </row>
        <row r="5716">
          <cell r="F5716" t="str">
            <v xml:space="preserve">10488839       </v>
          </cell>
          <cell r="O5716">
            <v>1080</v>
          </cell>
        </row>
        <row r="5717">
          <cell r="F5717" t="str">
            <v xml:space="preserve">10488839       </v>
          </cell>
          <cell r="O5717">
            <v>90</v>
          </cell>
        </row>
        <row r="5718">
          <cell r="F5718" t="str">
            <v xml:space="preserve">16843578       </v>
          </cell>
          <cell r="O5718">
            <v>1422</v>
          </cell>
        </row>
        <row r="5719">
          <cell r="F5719" t="str">
            <v xml:space="preserve">16843578       </v>
          </cell>
          <cell r="O5719">
            <v>702</v>
          </cell>
        </row>
        <row r="5720">
          <cell r="F5720" t="str">
            <v xml:space="preserve">10484782       </v>
          </cell>
          <cell r="O5720">
            <v>2736</v>
          </cell>
        </row>
        <row r="5721">
          <cell r="F5721" t="str">
            <v xml:space="preserve">16849293       </v>
          </cell>
          <cell r="O5721">
            <v>15</v>
          </cell>
        </row>
        <row r="5722">
          <cell r="F5722" t="str">
            <v xml:space="preserve">16849293       </v>
          </cell>
          <cell r="O5722">
            <v>162</v>
          </cell>
        </row>
        <row r="5723">
          <cell r="F5723" t="str">
            <v xml:space="preserve">16849293       </v>
          </cell>
          <cell r="O5723">
            <v>45</v>
          </cell>
        </row>
        <row r="5724">
          <cell r="F5724" t="str">
            <v xml:space="preserve">10555516       </v>
          </cell>
          <cell r="O5724">
            <v>522</v>
          </cell>
        </row>
        <row r="5725">
          <cell r="F5725" t="str">
            <v xml:space="preserve">10555516       </v>
          </cell>
          <cell r="O5725">
            <v>30</v>
          </cell>
        </row>
        <row r="5726">
          <cell r="F5726" t="str">
            <v xml:space="preserve">900444531      </v>
          </cell>
          <cell r="O5726">
            <v>90</v>
          </cell>
        </row>
        <row r="5727">
          <cell r="F5727" t="str">
            <v xml:space="preserve">900893538      </v>
          </cell>
          <cell r="O5727">
            <v>18</v>
          </cell>
        </row>
        <row r="5728">
          <cell r="F5728" t="str">
            <v xml:space="preserve">79263601       </v>
          </cell>
          <cell r="O5728">
            <v>540</v>
          </cell>
        </row>
        <row r="5729">
          <cell r="F5729" t="str">
            <v xml:space="preserve">79263601       </v>
          </cell>
          <cell r="O5729">
            <v>135</v>
          </cell>
        </row>
        <row r="5730">
          <cell r="F5730" t="str">
            <v xml:space="preserve">5969303        </v>
          </cell>
          <cell r="O5730">
            <v>144</v>
          </cell>
        </row>
        <row r="5731">
          <cell r="F5731" t="str">
            <v xml:space="preserve">80397293       </v>
          </cell>
          <cell r="O5731">
            <v>150</v>
          </cell>
        </row>
        <row r="5732">
          <cell r="F5732" t="str">
            <v xml:space="preserve">80397293       </v>
          </cell>
          <cell r="O5732">
            <v>270</v>
          </cell>
        </row>
        <row r="5733">
          <cell r="F5733" t="str">
            <v xml:space="preserve">80397293       </v>
          </cell>
          <cell r="O5733">
            <v>135</v>
          </cell>
        </row>
        <row r="5734">
          <cell r="F5734" t="str">
            <v xml:space="preserve">80397293       </v>
          </cell>
          <cell r="O5734">
            <v>180</v>
          </cell>
        </row>
        <row r="5735">
          <cell r="F5735" t="str">
            <v xml:space="preserve">93152963       </v>
          </cell>
          <cell r="O5735">
            <v>405</v>
          </cell>
        </row>
        <row r="5736">
          <cell r="F5736" t="str">
            <v xml:space="preserve">93152963       </v>
          </cell>
          <cell r="O5736">
            <v>1050</v>
          </cell>
        </row>
        <row r="5737">
          <cell r="F5737" t="str">
            <v xml:space="preserve">93152963       </v>
          </cell>
          <cell r="O5737">
            <v>360</v>
          </cell>
        </row>
        <row r="5738">
          <cell r="F5738" t="str">
            <v xml:space="preserve">82394480       </v>
          </cell>
          <cell r="O5738">
            <v>270</v>
          </cell>
        </row>
        <row r="5739">
          <cell r="F5739" t="str">
            <v xml:space="preserve">82394480       </v>
          </cell>
          <cell r="O5739">
            <v>360</v>
          </cell>
        </row>
        <row r="5740">
          <cell r="F5740" t="str">
            <v xml:space="preserve">82394480       </v>
          </cell>
          <cell r="O5740">
            <v>180</v>
          </cell>
        </row>
        <row r="5741">
          <cell r="F5741" t="str">
            <v xml:space="preserve">82394480       </v>
          </cell>
          <cell r="O5741">
            <v>270</v>
          </cell>
        </row>
        <row r="5742">
          <cell r="F5742" t="str">
            <v xml:space="preserve">79824837       </v>
          </cell>
          <cell r="O5742">
            <v>2160</v>
          </cell>
        </row>
        <row r="5743">
          <cell r="F5743" t="str">
            <v xml:space="preserve">79824837       </v>
          </cell>
          <cell r="O5743">
            <v>360</v>
          </cell>
        </row>
        <row r="5744">
          <cell r="F5744" t="str">
            <v xml:space="preserve">91179385       </v>
          </cell>
          <cell r="O5744">
            <v>30</v>
          </cell>
        </row>
        <row r="5745">
          <cell r="F5745" t="str">
            <v xml:space="preserve">91179385       </v>
          </cell>
          <cell r="O5745">
            <v>450</v>
          </cell>
        </row>
        <row r="5746">
          <cell r="F5746" t="str">
            <v xml:space="preserve">88275004       </v>
          </cell>
          <cell r="O5746">
            <v>405</v>
          </cell>
        </row>
        <row r="5747">
          <cell r="F5747" t="str">
            <v xml:space="preserve">88275004       </v>
          </cell>
          <cell r="O5747">
            <v>1440</v>
          </cell>
        </row>
        <row r="5748">
          <cell r="F5748" t="str">
            <v xml:space="preserve">88275004       </v>
          </cell>
          <cell r="O5748">
            <v>270</v>
          </cell>
        </row>
        <row r="5749">
          <cell r="F5749" t="str">
            <v xml:space="preserve">1117502076     </v>
          </cell>
          <cell r="O5749">
            <v>468</v>
          </cell>
        </row>
        <row r="5750">
          <cell r="F5750" t="str">
            <v xml:space="preserve">1117502076     </v>
          </cell>
          <cell r="O5750">
            <v>18</v>
          </cell>
        </row>
        <row r="5751">
          <cell r="F5751" t="str">
            <v xml:space="preserve">1117502076     </v>
          </cell>
          <cell r="O5751">
            <v>195</v>
          </cell>
        </row>
        <row r="5752">
          <cell r="F5752" t="str">
            <v xml:space="preserve">91451576       </v>
          </cell>
          <cell r="O5752">
            <v>198</v>
          </cell>
        </row>
        <row r="5753">
          <cell r="F5753" t="str">
            <v xml:space="preserve">5689927        </v>
          </cell>
          <cell r="O5753">
            <v>720</v>
          </cell>
        </row>
        <row r="5754">
          <cell r="F5754" t="str">
            <v xml:space="preserve">5689927        </v>
          </cell>
          <cell r="O5754">
            <v>4.5</v>
          </cell>
        </row>
        <row r="5755">
          <cell r="F5755" t="str">
            <v xml:space="preserve">13862691       </v>
          </cell>
          <cell r="O5755">
            <v>1062</v>
          </cell>
        </row>
        <row r="5756">
          <cell r="F5756" t="str">
            <v xml:space="preserve">13862691       </v>
          </cell>
          <cell r="O5756">
            <v>315</v>
          </cell>
        </row>
        <row r="5757">
          <cell r="F5757" t="str">
            <v xml:space="preserve">91266362       </v>
          </cell>
          <cell r="O5757">
            <v>216</v>
          </cell>
        </row>
        <row r="5758">
          <cell r="F5758" t="str">
            <v xml:space="preserve">91179643       </v>
          </cell>
          <cell r="O5758">
            <v>90</v>
          </cell>
        </row>
        <row r="5759">
          <cell r="F5759" t="str">
            <v xml:space="preserve">91178985       </v>
          </cell>
          <cell r="O5759">
            <v>3978</v>
          </cell>
        </row>
        <row r="5760">
          <cell r="F5760" t="str">
            <v xml:space="preserve">13702886       </v>
          </cell>
          <cell r="O5760">
            <v>150</v>
          </cell>
        </row>
        <row r="5761">
          <cell r="F5761" t="str">
            <v xml:space="preserve">13702886       </v>
          </cell>
          <cell r="O5761">
            <v>216</v>
          </cell>
        </row>
        <row r="5762">
          <cell r="F5762" t="str">
            <v xml:space="preserve">13702886       </v>
          </cell>
          <cell r="O5762">
            <v>315</v>
          </cell>
        </row>
        <row r="5763">
          <cell r="F5763" t="str">
            <v xml:space="preserve">13702886       </v>
          </cell>
          <cell r="O5763">
            <v>135</v>
          </cell>
        </row>
        <row r="5764">
          <cell r="F5764" t="str">
            <v xml:space="preserve">91067422       </v>
          </cell>
          <cell r="O5764">
            <v>225</v>
          </cell>
        </row>
        <row r="5765">
          <cell r="F5765" t="str">
            <v xml:space="preserve">91067422       </v>
          </cell>
          <cell r="O5765">
            <v>30</v>
          </cell>
        </row>
        <row r="5766">
          <cell r="F5766" t="str">
            <v xml:space="preserve">91067422       </v>
          </cell>
          <cell r="O5766">
            <v>180</v>
          </cell>
        </row>
        <row r="5767">
          <cell r="F5767" t="str">
            <v xml:space="preserve">91067422       </v>
          </cell>
          <cell r="O5767">
            <v>90</v>
          </cell>
        </row>
        <row r="5768">
          <cell r="F5768" t="str">
            <v xml:space="preserve">91067422       </v>
          </cell>
          <cell r="O5768">
            <v>36</v>
          </cell>
        </row>
        <row r="5769">
          <cell r="F5769" t="str">
            <v xml:space="preserve">91272730       </v>
          </cell>
          <cell r="O5769">
            <v>210</v>
          </cell>
        </row>
        <row r="5770">
          <cell r="F5770" t="str">
            <v xml:space="preserve">91272730       </v>
          </cell>
          <cell r="O5770">
            <v>54</v>
          </cell>
        </row>
        <row r="5771">
          <cell r="F5771" t="str">
            <v xml:space="preserve">91272730       </v>
          </cell>
          <cell r="O5771">
            <v>45</v>
          </cell>
        </row>
        <row r="5772">
          <cell r="F5772" t="str">
            <v xml:space="preserve">92543124       </v>
          </cell>
          <cell r="O5772">
            <v>930</v>
          </cell>
        </row>
        <row r="5773">
          <cell r="F5773" t="str">
            <v xml:space="preserve">26229305       </v>
          </cell>
          <cell r="O5773">
            <v>1650</v>
          </cell>
        </row>
        <row r="5774">
          <cell r="F5774" t="str">
            <v xml:space="preserve">26229305       </v>
          </cell>
          <cell r="O5774">
            <v>72</v>
          </cell>
        </row>
        <row r="5775">
          <cell r="F5775" t="str">
            <v xml:space="preserve">30853980       </v>
          </cell>
          <cell r="O5775">
            <v>75</v>
          </cell>
        </row>
        <row r="5776">
          <cell r="F5776" t="str">
            <v xml:space="preserve">30853980       </v>
          </cell>
          <cell r="O5776">
            <v>576</v>
          </cell>
        </row>
        <row r="5777">
          <cell r="F5777" t="str">
            <v xml:space="preserve">30853980       </v>
          </cell>
          <cell r="O5777">
            <v>45</v>
          </cell>
        </row>
        <row r="5778">
          <cell r="F5778" t="str">
            <v xml:space="preserve">91288772       </v>
          </cell>
          <cell r="O5778">
            <v>660</v>
          </cell>
        </row>
        <row r="5779">
          <cell r="F5779" t="str">
            <v xml:space="preserve">91288772       </v>
          </cell>
          <cell r="O5779">
            <v>54</v>
          </cell>
        </row>
        <row r="5780">
          <cell r="F5780" t="str">
            <v xml:space="preserve">91177584       </v>
          </cell>
          <cell r="O5780">
            <v>2535</v>
          </cell>
        </row>
        <row r="5781">
          <cell r="F5781" t="str">
            <v xml:space="preserve">91177584       </v>
          </cell>
          <cell r="O5781">
            <v>108</v>
          </cell>
        </row>
        <row r="5782">
          <cell r="F5782" t="str">
            <v xml:space="preserve">91177584       </v>
          </cell>
          <cell r="O5782">
            <v>450</v>
          </cell>
        </row>
        <row r="5783">
          <cell r="F5783" t="str">
            <v xml:space="preserve">72196317       </v>
          </cell>
          <cell r="O5783">
            <v>645</v>
          </cell>
        </row>
        <row r="5784">
          <cell r="F5784" t="str">
            <v xml:space="preserve">72196317       </v>
          </cell>
          <cell r="O5784">
            <v>90</v>
          </cell>
        </row>
        <row r="5785">
          <cell r="F5785" t="str">
            <v xml:space="preserve">72196317       </v>
          </cell>
          <cell r="O5785">
            <v>36</v>
          </cell>
        </row>
        <row r="5786">
          <cell r="F5786" t="str">
            <v xml:space="preserve">72196317       </v>
          </cell>
          <cell r="O5786">
            <v>15</v>
          </cell>
        </row>
        <row r="5787">
          <cell r="F5787" t="str">
            <v xml:space="preserve">72196317       </v>
          </cell>
          <cell r="O5787">
            <v>72</v>
          </cell>
        </row>
        <row r="5788">
          <cell r="F5788" t="str">
            <v xml:space="preserve">72196317       </v>
          </cell>
          <cell r="O5788">
            <v>360</v>
          </cell>
        </row>
        <row r="5789">
          <cell r="F5789" t="str">
            <v xml:space="preserve">72196317       </v>
          </cell>
          <cell r="O5789">
            <v>36</v>
          </cell>
        </row>
        <row r="5790">
          <cell r="F5790" t="str">
            <v xml:space="preserve">72196317       </v>
          </cell>
          <cell r="O5790">
            <v>45</v>
          </cell>
        </row>
        <row r="5791">
          <cell r="F5791" t="str">
            <v xml:space="preserve">1047231108     </v>
          </cell>
          <cell r="O5791">
            <v>315</v>
          </cell>
        </row>
        <row r="5792">
          <cell r="F5792" t="str">
            <v xml:space="preserve">1047231108     </v>
          </cell>
          <cell r="O5792">
            <v>135</v>
          </cell>
        </row>
        <row r="5793">
          <cell r="F5793" t="str">
            <v xml:space="preserve">18531333       </v>
          </cell>
          <cell r="O5793">
            <v>2940</v>
          </cell>
        </row>
        <row r="5794">
          <cell r="F5794" t="str">
            <v xml:space="preserve">18531333       </v>
          </cell>
          <cell r="O5794">
            <v>72</v>
          </cell>
        </row>
        <row r="5795">
          <cell r="F5795" t="str">
            <v xml:space="preserve">18531333       </v>
          </cell>
          <cell r="O5795">
            <v>180</v>
          </cell>
        </row>
        <row r="5796">
          <cell r="F5796" t="str">
            <v xml:space="preserve">71172414       </v>
          </cell>
          <cell r="O5796">
            <v>1185</v>
          </cell>
        </row>
        <row r="5797">
          <cell r="F5797" t="str">
            <v xml:space="preserve">71172414       </v>
          </cell>
          <cell r="O5797">
            <v>270</v>
          </cell>
        </row>
        <row r="5798">
          <cell r="F5798" t="str">
            <v xml:space="preserve">71172414       </v>
          </cell>
          <cell r="O5798">
            <v>135</v>
          </cell>
        </row>
        <row r="5799">
          <cell r="F5799" t="str">
            <v xml:space="preserve">94479814       </v>
          </cell>
          <cell r="O5799">
            <v>18</v>
          </cell>
        </row>
        <row r="5800">
          <cell r="F5800" t="str">
            <v xml:space="preserve">94479814       </v>
          </cell>
          <cell r="O5800">
            <v>522</v>
          </cell>
        </row>
        <row r="5801">
          <cell r="F5801" t="str">
            <v xml:space="preserve">1020712348     </v>
          </cell>
          <cell r="O5801">
            <v>15</v>
          </cell>
        </row>
        <row r="5802">
          <cell r="F5802" t="str">
            <v xml:space="preserve">1020712348     </v>
          </cell>
          <cell r="O5802">
            <v>918</v>
          </cell>
        </row>
        <row r="5803">
          <cell r="F5803" t="str">
            <v xml:space="preserve">1020712348     </v>
          </cell>
          <cell r="O5803">
            <v>90</v>
          </cell>
        </row>
        <row r="5804">
          <cell r="F5804" t="str">
            <v xml:space="preserve">1020712348     </v>
          </cell>
          <cell r="O5804">
            <v>180</v>
          </cell>
        </row>
        <row r="5805">
          <cell r="F5805" t="str">
            <v xml:space="preserve">79827688       </v>
          </cell>
          <cell r="O5805">
            <v>105</v>
          </cell>
        </row>
        <row r="5806">
          <cell r="F5806" t="str">
            <v xml:space="preserve">79827688       </v>
          </cell>
          <cell r="O5806">
            <v>270</v>
          </cell>
        </row>
        <row r="5807">
          <cell r="F5807" t="str">
            <v xml:space="preserve">79827688       </v>
          </cell>
          <cell r="O5807">
            <v>90</v>
          </cell>
        </row>
        <row r="5808">
          <cell r="F5808" t="str">
            <v xml:space="preserve">79827688       </v>
          </cell>
          <cell r="O5808">
            <v>15</v>
          </cell>
        </row>
        <row r="5809">
          <cell r="F5809" t="str">
            <v xml:space="preserve">79827688       </v>
          </cell>
          <cell r="O5809">
            <v>18</v>
          </cell>
        </row>
        <row r="5810">
          <cell r="F5810" t="str">
            <v xml:space="preserve">900732129      </v>
          </cell>
          <cell r="O5810">
            <v>1545</v>
          </cell>
        </row>
        <row r="5811">
          <cell r="F5811" t="str">
            <v xml:space="preserve">80266206       </v>
          </cell>
          <cell r="O5811">
            <v>81</v>
          </cell>
        </row>
        <row r="5812">
          <cell r="F5812" t="str">
            <v xml:space="preserve">80266206       </v>
          </cell>
          <cell r="O5812">
            <v>45</v>
          </cell>
        </row>
        <row r="5813">
          <cell r="F5813" t="str">
            <v xml:space="preserve">80266206       </v>
          </cell>
          <cell r="O5813">
            <v>252</v>
          </cell>
        </row>
        <row r="5814">
          <cell r="F5814" t="str">
            <v xml:space="preserve">80266206       </v>
          </cell>
          <cell r="O5814">
            <v>180</v>
          </cell>
        </row>
        <row r="5815">
          <cell r="F5815" t="str">
            <v xml:space="preserve">79119755       </v>
          </cell>
          <cell r="O5815">
            <v>9</v>
          </cell>
        </row>
        <row r="5816">
          <cell r="F5816" t="str">
            <v xml:space="preserve">79119755       </v>
          </cell>
          <cell r="O5816">
            <v>30</v>
          </cell>
        </row>
        <row r="5817">
          <cell r="F5817" t="str">
            <v xml:space="preserve">79119755       </v>
          </cell>
          <cell r="O5817">
            <v>234</v>
          </cell>
        </row>
        <row r="5818">
          <cell r="F5818" t="str">
            <v xml:space="preserve">79119755       </v>
          </cell>
          <cell r="O5818">
            <v>9</v>
          </cell>
        </row>
        <row r="5819">
          <cell r="F5819" t="str">
            <v xml:space="preserve">79119755       </v>
          </cell>
          <cell r="O5819">
            <v>306</v>
          </cell>
        </row>
        <row r="5820">
          <cell r="F5820" t="str">
            <v xml:space="preserve">1111739602     </v>
          </cell>
          <cell r="O5820">
            <v>300</v>
          </cell>
        </row>
        <row r="5821">
          <cell r="F5821" t="str">
            <v xml:space="preserve">88168843       </v>
          </cell>
          <cell r="O5821">
            <v>15</v>
          </cell>
        </row>
        <row r="5822">
          <cell r="F5822" t="str">
            <v xml:space="preserve">88168843       </v>
          </cell>
          <cell r="O5822">
            <v>126</v>
          </cell>
        </row>
        <row r="5823">
          <cell r="F5823" t="str">
            <v xml:space="preserve">88168843       </v>
          </cell>
          <cell r="O5823">
            <v>27</v>
          </cell>
        </row>
        <row r="5824">
          <cell r="F5824" t="str">
            <v xml:space="preserve">88168843       </v>
          </cell>
          <cell r="O5824">
            <v>75</v>
          </cell>
        </row>
        <row r="5825">
          <cell r="F5825" t="str">
            <v xml:space="preserve">88168843       </v>
          </cell>
          <cell r="O5825">
            <v>630</v>
          </cell>
        </row>
        <row r="5826">
          <cell r="F5826" t="str">
            <v xml:space="preserve">88168843       </v>
          </cell>
          <cell r="O5826">
            <v>90</v>
          </cell>
        </row>
        <row r="5827">
          <cell r="F5827" t="str">
            <v xml:space="preserve">88168843       </v>
          </cell>
          <cell r="O5827">
            <v>360</v>
          </cell>
        </row>
        <row r="5828">
          <cell r="F5828" t="str">
            <v xml:space="preserve">88168843       </v>
          </cell>
          <cell r="O5828">
            <v>90</v>
          </cell>
        </row>
        <row r="5829">
          <cell r="F5829" t="str">
            <v xml:space="preserve">79221604       </v>
          </cell>
          <cell r="O5829">
            <v>9</v>
          </cell>
        </row>
        <row r="5830">
          <cell r="F5830" t="str">
            <v xml:space="preserve">79221604       </v>
          </cell>
          <cell r="O5830">
            <v>270</v>
          </cell>
        </row>
        <row r="5831">
          <cell r="F5831" t="str">
            <v xml:space="preserve">79221604       </v>
          </cell>
          <cell r="O5831">
            <v>45</v>
          </cell>
        </row>
        <row r="5832">
          <cell r="F5832" t="str">
            <v xml:space="preserve">79221604       </v>
          </cell>
          <cell r="O5832">
            <v>18</v>
          </cell>
        </row>
        <row r="5833">
          <cell r="F5833" t="str">
            <v xml:space="preserve">79221604       </v>
          </cell>
          <cell r="O5833">
            <v>810</v>
          </cell>
        </row>
        <row r="5834">
          <cell r="F5834" t="str">
            <v xml:space="preserve">79221604       </v>
          </cell>
          <cell r="O5834">
            <v>90</v>
          </cell>
        </row>
        <row r="5835">
          <cell r="F5835" t="str">
            <v xml:space="preserve">800251407      </v>
          </cell>
          <cell r="O5835">
            <v>45</v>
          </cell>
        </row>
        <row r="5836">
          <cell r="F5836" t="str">
            <v xml:space="preserve">9867640        </v>
          </cell>
          <cell r="O5836">
            <v>150</v>
          </cell>
        </row>
        <row r="5837">
          <cell r="F5837" t="str">
            <v xml:space="preserve">9867640        </v>
          </cell>
          <cell r="O5837">
            <v>90</v>
          </cell>
        </row>
        <row r="5838">
          <cell r="F5838" t="str">
            <v xml:space="preserve">10315862       </v>
          </cell>
          <cell r="O5838">
            <v>270</v>
          </cell>
        </row>
        <row r="5839">
          <cell r="F5839" t="str">
            <v xml:space="preserve">10315862       </v>
          </cell>
          <cell r="O5839">
            <v>90</v>
          </cell>
        </row>
        <row r="5840">
          <cell r="F5840" t="str">
            <v xml:space="preserve">73507193       </v>
          </cell>
          <cell r="O5840">
            <v>135</v>
          </cell>
        </row>
        <row r="5841">
          <cell r="F5841" t="str">
            <v xml:space="preserve">73507193       </v>
          </cell>
          <cell r="O5841">
            <v>270</v>
          </cell>
        </row>
        <row r="5842">
          <cell r="F5842" t="str">
            <v xml:space="preserve">806013381      </v>
          </cell>
          <cell r="O5842">
            <v>180</v>
          </cell>
        </row>
        <row r="5843">
          <cell r="F5843" t="str">
            <v xml:space="preserve">806013381      </v>
          </cell>
          <cell r="O5843">
            <v>585</v>
          </cell>
        </row>
        <row r="5844">
          <cell r="F5844" t="str">
            <v xml:space="preserve">80021718       </v>
          </cell>
          <cell r="O5844">
            <v>1080</v>
          </cell>
        </row>
        <row r="5845">
          <cell r="F5845" t="str">
            <v xml:space="preserve">91540489       </v>
          </cell>
          <cell r="O5845">
            <v>9</v>
          </cell>
        </row>
        <row r="5846">
          <cell r="F5846" t="str">
            <v xml:space="preserve">91540489       </v>
          </cell>
          <cell r="O5846">
            <v>1500</v>
          </cell>
        </row>
        <row r="5847">
          <cell r="F5847" t="str">
            <v xml:space="preserve">91540489       </v>
          </cell>
          <cell r="O5847">
            <v>108</v>
          </cell>
        </row>
        <row r="5848">
          <cell r="F5848" t="str">
            <v xml:space="preserve">91540489       </v>
          </cell>
          <cell r="O5848">
            <v>45</v>
          </cell>
        </row>
        <row r="5849">
          <cell r="F5849" t="str">
            <v xml:space="preserve">7301411        </v>
          </cell>
          <cell r="O5849">
            <v>180</v>
          </cell>
        </row>
        <row r="5850">
          <cell r="F5850" t="str">
            <v xml:space="preserve">79734086       </v>
          </cell>
          <cell r="O5850">
            <v>90</v>
          </cell>
        </row>
        <row r="5851">
          <cell r="F5851" t="str">
            <v xml:space="preserve">17783299       </v>
          </cell>
          <cell r="O5851">
            <v>750</v>
          </cell>
        </row>
        <row r="5852">
          <cell r="F5852" t="str">
            <v xml:space="preserve">17783299       </v>
          </cell>
          <cell r="O5852">
            <v>405</v>
          </cell>
        </row>
        <row r="5853">
          <cell r="F5853" t="str">
            <v xml:space="preserve">17655129       </v>
          </cell>
          <cell r="O5853">
            <v>300</v>
          </cell>
        </row>
        <row r="5854">
          <cell r="F5854" t="str">
            <v xml:space="preserve">17655129       </v>
          </cell>
          <cell r="O5854">
            <v>90</v>
          </cell>
        </row>
        <row r="5855">
          <cell r="F5855" t="str">
            <v xml:space="preserve">1083686504     </v>
          </cell>
          <cell r="O5855">
            <v>135</v>
          </cell>
        </row>
        <row r="5856">
          <cell r="F5856" t="str">
            <v xml:space="preserve">1083686504     </v>
          </cell>
          <cell r="O5856">
            <v>150</v>
          </cell>
        </row>
        <row r="5857">
          <cell r="F5857" t="str">
            <v xml:space="preserve">12256895       </v>
          </cell>
          <cell r="O5857">
            <v>1680</v>
          </cell>
        </row>
        <row r="5858">
          <cell r="F5858" t="str">
            <v xml:space="preserve">12256895       </v>
          </cell>
          <cell r="O5858">
            <v>90</v>
          </cell>
        </row>
        <row r="5859">
          <cell r="F5859" t="str">
            <v xml:space="preserve">19389409       </v>
          </cell>
          <cell r="O5859">
            <v>72</v>
          </cell>
        </row>
        <row r="5860">
          <cell r="F5860" t="str">
            <v xml:space="preserve">19389409       </v>
          </cell>
          <cell r="O5860">
            <v>90</v>
          </cell>
        </row>
        <row r="5861">
          <cell r="F5861" t="str">
            <v xml:space="preserve">83226520       </v>
          </cell>
          <cell r="O5861">
            <v>150</v>
          </cell>
        </row>
        <row r="5862">
          <cell r="F5862" t="str">
            <v xml:space="preserve">83226520       </v>
          </cell>
          <cell r="O5862">
            <v>450</v>
          </cell>
        </row>
        <row r="5863">
          <cell r="F5863" t="str">
            <v xml:space="preserve">83226520       </v>
          </cell>
          <cell r="O5863">
            <v>1800</v>
          </cell>
        </row>
        <row r="5864">
          <cell r="F5864" t="str">
            <v xml:space="preserve">12266504       </v>
          </cell>
          <cell r="O5864">
            <v>60</v>
          </cell>
        </row>
        <row r="5865">
          <cell r="F5865" t="str">
            <v xml:space="preserve">12266504       </v>
          </cell>
          <cell r="O5865">
            <v>135</v>
          </cell>
        </row>
        <row r="5866">
          <cell r="F5866" t="str">
            <v xml:space="preserve">12231586       </v>
          </cell>
          <cell r="O5866">
            <v>150</v>
          </cell>
        </row>
        <row r="5867">
          <cell r="F5867" t="str">
            <v xml:space="preserve">12231586       </v>
          </cell>
          <cell r="O5867">
            <v>36</v>
          </cell>
        </row>
        <row r="5868">
          <cell r="F5868" t="str">
            <v xml:space="preserve">12231586       </v>
          </cell>
          <cell r="O5868">
            <v>225</v>
          </cell>
        </row>
        <row r="5869">
          <cell r="F5869" t="str">
            <v xml:space="preserve">83042067       </v>
          </cell>
          <cell r="O5869">
            <v>240</v>
          </cell>
        </row>
        <row r="5870">
          <cell r="F5870" t="str">
            <v xml:space="preserve">83042067       </v>
          </cell>
          <cell r="O5870">
            <v>405</v>
          </cell>
        </row>
        <row r="5871">
          <cell r="F5871" t="str">
            <v xml:space="preserve">83042067       </v>
          </cell>
          <cell r="O5871">
            <v>30</v>
          </cell>
        </row>
        <row r="5872">
          <cell r="F5872" t="str">
            <v xml:space="preserve">83042067       </v>
          </cell>
          <cell r="O5872">
            <v>18</v>
          </cell>
        </row>
        <row r="5873">
          <cell r="F5873" t="str">
            <v xml:space="preserve">83042067       </v>
          </cell>
          <cell r="O5873">
            <v>180</v>
          </cell>
        </row>
        <row r="5874">
          <cell r="F5874" t="str">
            <v xml:space="preserve">11445090       </v>
          </cell>
          <cell r="O5874">
            <v>144</v>
          </cell>
        </row>
        <row r="5875">
          <cell r="F5875" t="str">
            <v xml:space="preserve">11445090       </v>
          </cell>
          <cell r="O5875">
            <v>30</v>
          </cell>
        </row>
        <row r="5876">
          <cell r="F5876" t="str">
            <v xml:space="preserve">11445090       </v>
          </cell>
          <cell r="O5876">
            <v>594</v>
          </cell>
        </row>
        <row r="5877">
          <cell r="F5877" t="str">
            <v xml:space="preserve">11445090       </v>
          </cell>
          <cell r="O5877">
            <v>90</v>
          </cell>
        </row>
        <row r="5878">
          <cell r="F5878" t="str">
            <v xml:space="preserve">11445090       </v>
          </cell>
          <cell r="O5878">
            <v>405</v>
          </cell>
        </row>
        <row r="5879">
          <cell r="F5879" t="str">
            <v xml:space="preserve">11445090       </v>
          </cell>
          <cell r="O5879">
            <v>45</v>
          </cell>
        </row>
        <row r="5880">
          <cell r="F5880" t="str">
            <v xml:space="preserve">11445090       </v>
          </cell>
          <cell r="O5880">
            <v>30</v>
          </cell>
        </row>
        <row r="5881">
          <cell r="F5881" t="str">
            <v xml:space="preserve">11445090       </v>
          </cell>
          <cell r="O5881">
            <v>1026</v>
          </cell>
        </row>
        <row r="5882">
          <cell r="F5882" t="str">
            <v xml:space="preserve">11445090       </v>
          </cell>
          <cell r="O5882">
            <v>756</v>
          </cell>
        </row>
        <row r="5883">
          <cell r="F5883" t="str">
            <v xml:space="preserve">11445090       </v>
          </cell>
          <cell r="O5883">
            <v>135</v>
          </cell>
        </row>
        <row r="5884">
          <cell r="F5884" t="str">
            <v xml:space="preserve">11445090       </v>
          </cell>
          <cell r="O5884">
            <v>30</v>
          </cell>
        </row>
        <row r="5885">
          <cell r="F5885" t="str">
            <v xml:space="preserve">11445090       </v>
          </cell>
          <cell r="O5885">
            <v>90</v>
          </cell>
        </row>
        <row r="5886">
          <cell r="F5886" t="str">
            <v xml:space="preserve">11445090       </v>
          </cell>
          <cell r="O5886">
            <v>45</v>
          </cell>
        </row>
        <row r="5887">
          <cell r="F5887" t="str">
            <v xml:space="preserve">11445090       </v>
          </cell>
          <cell r="O5887">
            <v>105</v>
          </cell>
        </row>
        <row r="5888">
          <cell r="F5888" t="str">
            <v xml:space="preserve">11445090       </v>
          </cell>
          <cell r="O5888">
            <v>252</v>
          </cell>
        </row>
        <row r="5889">
          <cell r="F5889" t="str">
            <v xml:space="preserve">11445090       </v>
          </cell>
          <cell r="O5889">
            <v>225</v>
          </cell>
        </row>
        <row r="5890">
          <cell r="F5890" t="str">
            <v xml:space="preserve">830133323      </v>
          </cell>
          <cell r="O5890">
            <v>90</v>
          </cell>
        </row>
        <row r="5891">
          <cell r="F5891" t="str">
            <v xml:space="preserve">3158780        </v>
          </cell>
          <cell r="O5891">
            <v>9</v>
          </cell>
        </row>
        <row r="5892">
          <cell r="F5892" t="str">
            <v xml:space="preserve">3158780        </v>
          </cell>
          <cell r="O5892">
            <v>15</v>
          </cell>
        </row>
        <row r="5893">
          <cell r="F5893" t="str">
            <v xml:space="preserve">1010164223     </v>
          </cell>
          <cell r="O5893">
            <v>144</v>
          </cell>
        </row>
        <row r="5894">
          <cell r="F5894" t="str">
            <v xml:space="preserve">1010164223     </v>
          </cell>
          <cell r="O5894">
            <v>45</v>
          </cell>
        </row>
        <row r="5895">
          <cell r="F5895" t="str">
            <v xml:space="preserve">1010164223     </v>
          </cell>
          <cell r="O5895">
            <v>9</v>
          </cell>
        </row>
        <row r="5896">
          <cell r="F5896" t="str">
            <v xml:space="preserve">1010164223     </v>
          </cell>
          <cell r="O5896">
            <v>306</v>
          </cell>
        </row>
        <row r="5897">
          <cell r="F5897" t="str">
            <v xml:space="preserve">1015995477     </v>
          </cell>
          <cell r="O5897">
            <v>90</v>
          </cell>
        </row>
        <row r="5898">
          <cell r="F5898" t="str">
            <v xml:space="preserve">1015995477     </v>
          </cell>
          <cell r="O5898">
            <v>60</v>
          </cell>
        </row>
        <row r="5899">
          <cell r="F5899" t="str">
            <v xml:space="preserve">3159567        </v>
          </cell>
          <cell r="O5899">
            <v>45</v>
          </cell>
        </row>
        <row r="5900">
          <cell r="F5900" t="str">
            <v xml:space="preserve">3159567        </v>
          </cell>
          <cell r="O5900">
            <v>15</v>
          </cell>
        </row>
        <row r="5901">
          <cell r="F5901" t="str">
            <v xml:space="preserve">3159567        </v>
          </cell>
          <cell r="O5901">
            <v>360</v>
          </cell>
        </row>
        <row r="5902">
          <cell r="F5902" t="str">
            <v xml:space="preserve">3159567        </v>
          </cell>
          <cell r="O5902">
            <v>1836</v>
          </cell>
        </row>
        <row r="5903">
          <cell r="F5903" t="str">
            <v xml:space="preserve">830133323      </v>
          </cell>
          <cell r="O5903">
            <v>18</v>
          </cell>
        </row>
        <row r="5904">
          <cell r="F5904" t="str">
            <v xml:space="preserve">80351964       </v>
          </cell>
          <cell r="O5904">
            <v>81</v>
          </cell>
        </row>
        <row r="5905">
          <cell r="F5905" t="str">
            <v xml:space="preserve">80351964       </v>
          </cell>
          <cell r="O5905">
            <v>30</v>
          </cell>
        </row>
        <row r="5906">
          <cell r="F5906" t="str">
            <v xml:space="preserve">80351964       </v>
          </cell>
          <cell r="O5906">
            <v>216</v>
          </cell>
        </row>
        <row r="5907">
          <cell r="F5907" t="str">
            <v xml:space="preserve">80351964       </v>
          </cell>
          <cell r="O5907">
            <v>45</v>
          </cell>
        </row>
        <row r="5908">
          <cell r="F5908" t="str">
            <v xml:space="preserve">74282624       </v>
          </cell>
          <cell r="O5908">
            <v>396</v>
          </cell>
        </row>
        <row r="5909">
          <cell r="F5909" t="str">
            <v xml:space="preserve">3085945        </v>
          </cell>
          <cell r="O5909">
            <v>9</v>
          </cell>
        </row>
        <row r="5910">
          <cell r="F5910" t="str">
            <v xml:space="preserve">3085945        </v>
          </cell>
          <cell r="O5910">
            <v>900</v>
          </cell>
        </row>
        <row r="5911">
          <cell r="F5911" t="str">
            <v xml:space="preserve">3085945        </v>
          </cell>
          <cell r="O5911">
            <v>180</v>
          </cell>
        </row>
        <row r="5912">
          <cell r="F5912" t="str">
            <v xml:space="preserve">830098375      </v>
          </cell>
          <cell r="O5912">
            <v>270</v>
          </cell>
        </row>
        <row r="5913">
          <cell r="F5913" t="str">
            <v xml:space="preserve">860040407      </v>
          </cell>
          <cell r="O5913">
            <v>90</v>
          </cell>
        </row>
        <row r="5914">
          <cell r="F5914" t="str">
            <v xml:space="preserve">80283261       </v>
          </cell>
          <cell r="O5914">
            <v>9</v>
          </cell>
        </row>
        <row r="5915">
          <cell r="F5915" t="str">
            <v xml:space="preserve">80283261       </v>
          </cell>
          <cell r="O5915">
            <v>15</v>
          </cell>
        </row>
        <row r="5916">
          <cell r="F5916" t="str">
            <v xml:space="preserve">80283261       </v>
          </cell>
          <cell r="O5916">
            <v>585</v>
          </cell>
        </row>
        <row r="5917">
          <cell r="F5917" t="str">
            <v xml:space="preserve">830133323      </v>
          </cell>
          <cell r="O5917">
            <v>18</v>
          </cell>
        </row>
        <row r="5918">
          <cell r="F5918" t="str">
            <v xml:space="preserve">79210220       </v>
          </cell>
          <cell r="O5918">
            <v>9</v>
          </cell>
        </row>
        <row r="5919">
          <cell r="F5919" t="str">
            <v xml:space="preserve">79210220       </v>
          </cell>
          <cell r="O5919">
            <v>15</v>
          </cell>
        </row>
        <row r="5920">
          <cell r="F5920" t="str">
            <v xml:space="preserve">79210220       </v>
          </cell>
          <cell r="O5920">
            <v>360</v>
          </cell>
        </row>
        <row r="5921">
          <cell r="F5921" t="str">
            <v xml:space="preserve">79589699       </v>
          </cell>
          <cell r="O5921">
            <v>72</v>
          </cell>
        </row>
        <row r="5922">
          <cell r="F5922" t="str">
            <v xml:space="preserve">79589699       </v>
          </cell>
          <cell r="O5922">
            <v>450</v>
          </cell>
        </row>
        <row r="5923">
          <cell r="F5923" t="str">
            <v xml:space="preserve">79589699       </v>
          </cell>
          <cell r="O5923">
            <v>225</v>
          </cell>
        </row>
        <row r="5924">
          <cell r="F5924" t="str">
            <v xml:space="preserve">80024551       </v>
          </cell>
          <cell r="O5924">
            <v>27</v>
          </cell>
        </row>
        <row r="5925">
          <cell r="F5925" t="str">
            <v xml:space="preserve">80024551       </v>
          </cell>
          <cell r="O5925">
            <v>18</v>
          </cell>
        </row>
        <row r="5926">
          <cell r="F5926" t="str">
            <v xml:space="preserve">11379585       </v>
          </cell>
          <cell r="O5926">
            <v>30</v>
          </cell>
        </row>
        <row r="5927">
          <cell r="F5927" t="str">
            <v xml:space="preserve">11379585       </v>
          </cell>
          <cell r="O5927">
            <v>738</v>
          </cell>
        </row>
        <row r="5928">
          <cell r="F5928" t="str">
            <v xml:space="preserve">11379585       </v>
          </cell>
          <cell r="O5928">
            <v>720</v>
          </cell>
        </row>
        <row r="5929">
          <cell r="F5929" t="str">
            <v xml:space="preserve">83218584       </v>
          </cell>
          <cell r="O5929">
            <v>45</v>
          </cell>
        </row>
        <row r="5930">
          <cell r="F5930" t="str">
            <v xml:space="preserve">83218584       </v>
          </cell>
          <cell r="O5930">
            <v>435</v>
          </cell>
        </row>
        <row r="5931">
          <cell r="F5931" t="str">
            <v xml:space="preserve">83218584       </v>
          </cell>
          <cell r="O5931">
            <v>90</v>
          </cell>
        </row>
        <row r="5932">
          <cell r="F5932" t="str">
            <v xml:space="preserve">7305728        </v>
          </cell>
          <cell r="O5932">
            <v>390</v>
          </cell>
        </row>
        <row r="5933">
          <cell r="F5933" t="str">
            <v xml:space="preserve">7305728        </v>
          </cell>
          <cell r="O5933">
            <v>198</v>
          </cell>
        </row>
        <row r="5934">
          <cell r="F5934" t="str">
            <v xml:space="preserve">7305728        </v>
          </cell>
          <cell r="O5934">
            <v>45</v>
          </cell>
        </row>
        <row r="5935">
          <cell r="F5935" t="str">
            <v xml:space="preserve">94392704       </v>
          </cell>
          <cell r="O5935">
            <v>1650</v>
          </cell>
        </row>
        <row r="5936">
          <cell r="F5936" t="str">
            <v xml:space="preserve">94392704       </v>
          </cell>
          <cell r="O5936">
            <v>450</v>
          </cell>
        </row>
        <row r="5937">
          <cell r="F5937" t="str">
            <v xml:space="preserve">94392704       </v>
          </cell>
          <cell r="O5937">
            <v>600</v>
          </cell>
        </row>
        <row r="5938">
          <cell r="F5938" t="str">
            <v xml:space="preserve">63316163       </v>
          </cell>
          <cell r="O5938">
            <v>18</v>
          </cell>
        </row>
        <row r="5939">
          <cell r="F5939" t="str">
            <v xml:space="preserve">63316163       </v>
          </cell>
          <cell r="O5939">
            <v>1260</v>
          </cell>
        </row>
        <row r="5940">
          <cell r="F5940" t="str">
            <v xml:space="preserve">63316163       </v>
          </cell>
          <cell r="O5940">
            <v>450</v>
          </cell>
        </row>
        <row r="5941">
          <cell r="F5941" t="str">
            <v xml:space="preserve">63316163       </v>
          </cell>
          <cell r="O5941">
            <v>135</v>
          </cell>
        </row>
        <row r="5942">
          <cell r="F5942" t="str">
            <v xml:space="preserve">1114887745     </v>
          </cell>
          <cell r="O5942">
            <v>972</v>
          </cell>
        </row>
        <row r="5943">
          <cell r="F5943" t="str">
            <v xml:space="preserve">1114887745     </v>
          </cell>
          <cell r="O5943">
            <v>45</v>
          </cell>
        </row>
        <row r="5944">
          <cell r="F5944" t="str">
            <v xml:space="preserve">1093217151     </v>
          </cell>
          <cell r="O5944">
            <v>120</v>
          </cell>
        </row>
        <row r="5945">
          <cell r="F5945" t="str">
            <v xml:space="preserve">1097404034     </v>
          </cell>
          <cell r="O5945">
            <v>90</v>
          </cell>
        </row>
        <row r="5946">
          <cell r="F5946" t="str">
            <v xml:space="preserve">1097404034     </v>
          </cell>
          <cell r="O5946">
            <v>1350</v>
          </cell>
        </row>
        <row r="5947">
          <cell r="F5947" t="str">
            <v xml:space="preserve">1097404034     </v>
          </cell>
          <cell r="O5947">
            <v>378</v>
          </cell>
        </row>
        <row r="5948">
          <cell r="F5948" t="str">
            <v xml:space="preserve">1097404034     </v>
          </cell>
          <cell r="O5948">
            <v>45</v>
          </cell>
        </row>
        <row r="5949">
          <cell r="F5949" t="str">
            <v xml:space="preserve">94071517       </v>
          </cell>
          <cell r="O5949">
            <v>300</v>
          </cell>
        </row>
        <row r="5950">
          <cell r="F5950" t="str">
            <v xml:space="preserve">94071517       </v>
          </cell>
          <cell r="O5950">
            <v>36</v>
          </cell>
        </row>
        <row r="5951">
          <cell r="F5951" t="str">
            <v xml:space="preserve">8458310        </v>
          </cell>
          <cell r="O5951">
            <v>90</v>
          </cell>
        </row>
        <row r="5952">
          <cell r="F5952" t="str">
            <v xml:space="preserve">8458310        </v>
          </cell>
          <cell r="O5952">
            <v>225</v>
          </cell>
        </row>
        <row r="5953">
          <cell r="F5953" t="str">
            <v xml:space="preserve">1039696881     </v>
          </cell>
          <cell r="O5953">
            <v>9</v>
          </cell>
        </row>
        <row r="5954">
          <cell r="F5954" t="str">
            <v xml:space="preserve">1039696881     </v>
          </cell>
          <cell r="O5954">
            <v>1458</v>
          </cell>
        </row>
        <row r="5955">
          <cell r="F5955" t="str">
            <v xml:space="preserve">16186973       </v>
          </cell>
          <cell r="O5955">
            <v>27</v>
          </cell>
        </row>
        <row r="5956">
          <cell r="F5956" t="str">
            <v xml:space="preserve">16186973       </v>
          </cell>
          <cell r="O5956">
            <v>414</v>
          </cell>
        </row>
        <row r="5957">
          <cell r="F5957" t="str">
            <v xml:space="preserve">16186973       </v>
          </cell>
          <cell r="O5957">
            <v>9</v>
          </cell>
        </row>
        <row r="5958">
          <cell r="F5958" t="str">
            <v xml:space="preserve">16186973       </v>
          </cell>
          <cell r="O5958">
            <v>126</v>
          </cell>
        </row>
        <row r="5959">
          <cell r="F5959" t="str">
            <v xml:space="preserve">16186973       </v>
          </cell>
          <cell r="O5959">
            <v>180</v>
          </cell>
        </row>
        <row r="5960">
          <cell r="F5960" t="str">
            <v xml:space="preserve">1092154547     </v>
          </cell>
          <cell r="O5960">
            <v>576</v>
          </cell>
        </row>
        <row r="5961">
          <cell r="F5961" t="str">
            <v xml:space="preserve">1092154547     </v>
          </cell>
          <cell r="O5961">
            <v>54</v>
          </cell>
        </row>
        <row r="5962">
          <cell r="F5962" t="str">
            <v xml:space="preserve">1092154547     </v>
          </cell>
          <cell r="O5962">
            <v>9</v>
          </cell>
        </row>
        <row r="5963">
          <cell r="F5963" t="str">
            <v xml:space="preserve">1092154547     </v>
          </cell>
          <cell r="O5963">
            <v>75</v>
          </cell>
        </row>
        <row r="5964">
          <cell r="F5964" t="str">
            <v xml:space="preserve">1092154547     </v>
          </cell>
          <cell r="O5964">
            <v>540</v>
          </cell>
        </row>
        <row r="5965">
          <cell r="F5965" t="str">
            <v xml:space="preserve">15381508       </v>
          </cell>
          <cell r="O5965">
            <v>9</v>
          </cell>
        </row>
        <row r="5966">
          <cell r="F5966" t="str">
            <v xml:space="preserve">15381508       </v>
          </cell>
          <cell r="O5966">
            <v>210</v>
          </cell>
        </row>
        <row r="5967">
          <cell r="F5967" t="str">
            <v xml:space="preserve">15381508       </v>
          </cell>
          <cell r="O5967">
            <v>72</v>
          </cell>
        </row>
        <row r="5968">
          <cell r="F5968" t="str">
            <v xml:space="preserve">15381508       </v>
          </cell>
          <cell r="O5968">
            <v>90</v>
          </cell>
        </row>
        <row r="5969">
          <cell r="F5969" t="str">
            <v xml:space="preserve">6802563        </v>
          </cell>
          <cell r="O5969">
            <v>90</v>
          </cell>
        </row>
        <row r="5970">
          <cell r="F5970" t="str">
            <v xml:space="preserve">6802563        </v>
          </cell>
          <cell r="O5970">
            <v>90</v>
          </cell>
        </row>
        <row r="5971">
          <cell r="F5971" t="str">
            <v xml:space="preserve">6802563        </v>
          </cell>
          <cell r="O5971">
            <v>135</v>
          </cell>
        </row>
        <row r="5972">
          <cell r="F5972" t="str">
            <v xml:space="preserve">1105671149     </v>
          </cell>
          <cell r="O5972">
            <v>126</v>
          </cell>
        </row>
        <row r="5973">
          <cell r="F5973" t="str">
            <v xml:space="preserve">1105671149     </v>
          </cell>
          <cell r="O5973">
            <v>135</v>
          </cell>
        </row>
        <row r="5974">
          <cell r="F5974" t="str">
            <v xml:space="preserve">1105671149     </v>
          </cell>
          <cell r="O5974">
            <v>1422</v>
          </cell>
        </row>
        <row r="5975">
          <cell r="F5975" t="str">
            <v xml:space="preserve">1105671149     </v>
          </cell>
          <cell r="O5975">
            <v>135</v>
          </cell>
        </row>
        <row r="5976">
          <cell r="F5976" t="str">
            <v xml:space="preserve">88273778       </v>
          </cell>
          <cell r="O5976">
            <v>375</v>
          </cell>
        </row>
        <row r="5977">
          <cell r="F5977" t="str">
            <v xml:space="preserve">88273778       </v>
          </cell>
          <cell r="O5977">
            <v>36</v>
          </cell>
        </row>
        <row r="5978">
          <cell r="F5978" t="str">
            <v xml:space="preserve">7250220        </v>
          </cell>
          <cell r="O5978">
            <v>30</v>
          </cell>
        </row>
        <row r="5979">
          <cell r="F5979" t="str">
            <v xml:space="preserve">7250220        </v>
          </cell>
          <cell r="O5979">
            <v>108</v>
          </cell>
        </row>
        <row r="5980">
          <cell r="F5980" t="str">
            <v xml:space="preserve">7250220        </v>
          </cell>
          <cell r="O5980">
            <v>36</v>
          </cell>
        </row>
        <row r="5981">
          <cell r="F5981" t="str">
            <v xml:space="preserve">7250220        </v>
          </cell>
          <cell r="O5981">
            <v>45</v>
          </cell>
        </row>
        <row r="5982">
          <cell r="F5982" t="str">
            <v xml:space="preserve">7250220        </v>
          </cell>
          <cell r="O5982">
            <v>216</v>
          </cell>
        </row>
        <row r="5983">
          <cell r="F5983" t="str">
            <v xml:space="preserve">13476066       </v>
          </cell>
          <cell r="O5983">
            <v>135</v>
          </cell>
        </row>
        <row r="5984">
          <cell r="F5984" t="str">
            <v xml:space="preserve">13476066       </v>
          </cell>
          <cell r="O5984">
            <v>45</v>
          </cell>
        </row>
        <row r="5985">
          <cell r="F5985" t="str">
            <v xml:space="preserve">13476066       </v>
          </cell>
          <cell r="O5985">
            <v>45</v>
          </cell>
        </row>
        <row r="5986">
          <cell r="F5986" t="str">
            <v xml:space="preserve">13476066       </v>
          </cell>
          <cell r="O5986">
            <v>15</v>
          </cell>
        </row>
        <row r="5987">
          <cell r="F5987" t="str">
            <v xml:space="preserve">98763233       </v>
          </cell>
          <cell r="O5987">
            <v>13.5</v>
          </cell>
        </row>
        <row r="5988">
          <cell r="F5988" t="str">
            <v xml:space="preserve">98763233       </v>
          </cell>
          <cell r="O5988">
            <v>18</v>
          </cell>
        </row>
        <row r="5989">
          <cell r="F5989" t="str">
            <v xml:space="preserve">98763233       </v>
          </cell>
          <cell r="O5989">
            <v>1188</v>
          </cell>
        </row>
        <row r="5990">
          <cell r="F5990" t="str">
            <v xml:space="preserve">94265425       </v>
          </cell>
          <cell r="O5990">
            <v>45</v>
          </cell>
        </row>
        <row r="5991">
          <cell r="F5991" t="str">
            <v xml:space="preserve">94265425       </v>
          </cell>
          <cell r="O5991">
            <v>180</v>
          </cell>
        </row>
        <row r="5992">
          <cell r="F5992" t="str">
            <v xml:space="preserve">94265425       </v>
          </cell>
          <cell r="O5992">
            <v>180</v>
          </cell>
        </row>
        <row r="5993">
          <cell r="F5993" t="str">
            <v xml:space="preserve">1036942800     </v>
          </cell>
          <cell r="O5993">
            <v>270</v>
          </cell>
        </row>
        <row r="5994">
          <cell r="F5994" t="str">
            <v xml:space="preserve">1036942800     </v>
          </cell>
          <cell r="O5994">
            <v>90</v>
          </cell>
        </row>
        <row r="5995">
          <cell r="F5995" t="str">
            <v xml:space="preserve">1036942800     </v>
          </cell>
          <cell r="O5995">
            <v>315</v>
          </cell>
        </row>
        <row r="5996">
          <cell r="F5996" t="str">
            <v xml:space="preserve">28686722       </v>
          </cell>
          <cell r="O5996">
            <v>1335</v>
          </cell>
        </row>
        <row r="5997">
          <cell r="F5997" t="str">
            <v xml:space="preserve">28686722       </v>
          </cell>
          <cell r="O5997">
            <v>405</v>
          </cell>
        </row>
        <row r="5998">
          <cell r="F5998" t="str">
            <v xml:space="preserve">28686722       </v>
          </cell>
          <cell r="O5998">
            <v>45</v>
          </cell>
        </row>
        <row r="5999">
          <cell r="F5999" t="str">
            <v xml:space="preserve">1090397527     </v>
          </cell>
          <cell r="O5999">
            <v>360</v>
          </cell>
        </row>
        <row r="6000">
          <cell r="F6000" t="str">
            <v xml:space="preserve">1090397527     </v>
          </cell>
          <cell r="O6000">
            <v>720</v>
          </cell>
        </row>
        <row r="6001">
          <cell r="F6001" t="str">
            <v xml:space="preserve">1090397527     </v>
          </cell>
          <cell r="O6001">
            <v>165</v>
          </cell>
        </row>
        <row r="6002">
          <cell r="F6002" t="str">
            <v xml:space="preserve">1090397527     </v>
          </cell>
          <cell r="O6002">
            <v>135</v>
          </cell>
        </row>
        <row r="6003">
          <cell r="F6003" t="str">
            <v xml:space="preserve">1090397527     </v>
          </cell>
          <cell r="O6003">
            <v>675</v>
          </cell>
        </row>
        <row r="6004">
          <cell r="F6004" t="str">
            <v xml:space="preserve">1090397527     </v>
          </cell>
          <cell r="O6004">
            <v>705</v>
          </cell>
        </row>
        <row r="6005">
          <cell r="F6005" t="str">
            <v xml:space="preserve">1090397527     </v>
          </cell>
          <cell r="O6005">
            <v>1080</v>
          </cell>
        </row>
        <row r="6006">
          <cell r="F6006" t="str">
            <v xml:space="preserve">1053331458     </v>
          </cell>
          <cell r="O6006">
            <v>225</v>
          </cell>
        </row>
        <row r="6007">
          <cell r="F6007" t="str">
            <v xml:space="preserve">1053331458     </v>
          </cell>
          <cell r="O6007">
            <v>720</v>
          </cell>
        </row>
        <row r="6008">
          <cell r="F6008" t="str">
            <v xml:space="preserve">1053331458     </v>
          </cell>
          <cell r="O6008">
            <v>270</v>
          </cell>
        </row>
        <row r="6009">
          <cell r="F6009" t="str">
            <v xml:space="preserve">73126502       </v>
          </cell>
          <cell r="O6009">
            <v>285</v>
          </cell>
        </row>
        <row r="6010">
          <cell r="F6010" t="str">
            <v xml:space="preserve">73126502       </v>
          </cell>
          <cell r="O6010">
            <v>126</v>
          </cell>
        </row>
        <row r="6011">
          <cell r="F6011" t="str">
            <v xml:space="preserve">1054554487     </v>
          </cell>
          <cell r="O6011">
            <v>216</v>
          </cell>
        </row>
        <row r="6012">
          <cell r="F6012" t="str">
            <v xml:space="preserve">71142360       </v>
          </cell>
          <cell r="O6012">
            <v>378</v>
          </cell>
        </row>
        <row r="6013">
          <cell r="F6013" t="str">
            <v xml:space="preserve">71142360       </v>
          </cell>
          <cell r="O6013">
            <v>90</v>
          </cell>
        </row>
        <row r="6014">
          <cell r="F6014" t="str">
            <v xml:space="preserve">71142360       </v>
          </cell>
          <cell r="O6014">
            <v>75</v>
          </cell>
        </row>
        <row r="6015">
          <cell r="F6015" t="str">
            <v xml:space="preserve">24341063       </v>
          </cell>
          <cell r="O6015">
            <v>300</v>
          </cell>
        </row>
        <row r="6016">
          <cell r="F6016" t="str">
            <v xml:space="preserve">24341063       </v>
          </cell>
          <cell r="O6016">
            <v>36</v>
          </cell>
        </row>
        <row r="6017">
          <cell r="F6017" t="str">
            <v xml:space="preserve">24341063       </v>
          </cell>
          <cell r="O6017">
            <v>90</v>
          </cell>
        </row>
        <row r="6018">
          <cell r="F6018" t="str">
            <v xml:space="preserve">901178932      </v>
          </cell>
          <cell r="O6018">
            <v>126</v>
          </cell>
        </row>
        <row r="6019">
          <cell r="F6019" t="str">
            <v xml:space="preserve">43656575       </v>
          </cell>
          <cell r="O6019">
            <v>13.5</v>
          </cell>
        </row>
        <row r="6020">
          <cell r="F6020" t="str">
            <v xml:space="preserve">43656575       </v>
          </cell>
          <cell r="O6020">
            <v>9</v>
          </cell>
        </row>
        <row r="6021">
          <cell r="F6021" t="str">
            <v xml:space="preserve">43656575       </v>
          </cell>
          <cell r="O6021">
            <v>30</v>
          </cell>
        </row>
        <row r="6022">
          <cell r="F6022" t="str">
            <v xml:space="preserve">43656575       </v>
          </cell>
          <cell r="O6022">
            <v>936</v>
          </cell>
        </row>
        <row r="6023">
          <cell r="F6023" t="str">
            <v xml:space="preserve">43656575       </v>
          </cell>
          <cell r="O6023">
            <v>45</v>
          </cell>
        </row>
        <row r="6024">
          <cell r="F6024" t="str">
            <v xml:space="preserve">43656575       </v>
          </cell>
          <cell r="O6024">
            <v>2682</v>
          </cell>
        </row>
        <row r="6025">
          <cell r="F6025" t="str">
            <v xml:space="preserve">43656575       </v>
          </cell>
          <cell r="O6025">
            <v>90</v>
          </cell>
        </row>
        <row r="6026">
          <cell r="F6026" t="str">
            <v xml:space="preserve">91180797       </v>
          </cell>
          <cell r="O6026">
            <v>285</v>
          </cell>
        </row>
        <row r="6027">
          <cell r="F6027" t="str">
            <v xml:space="preserve">91180797       </v>
          </cell>
          <cell r="O6027">
            <v>180</v>
          </cell>
        </row>
        <row r="6028">
          <cell r="F6028" t="str">
            <v xml:space="preserve">91180797       </v>
          </cell>
          <cell r="O6028">
            <v>90</v>
          </cell>
        </row>
        <row r="6029">
          <cell r="F6029" t="str">
            <v xml:space="preserve">17421056       </v>
          </cell>
          <cell r="O6029">
            <v>75</v>
          </cell>
        </row>
        <row r="6030">
          <cell r="F6030" t="str">
            <v xml:space="preserve">17421056       </v>
          </cell>
          <cell r="O6030">
            <v>15</v>
          </cell>
        </row>
        <row r="6031">
          <cell r="F6031" t="str">
            <v xml:space="preserve">73559455       </v>
          </cell>
          <cell r="O6031">
            <v>30</v>
          </cell>
        </row>
        <row r="6032">
          <cell r="F6032" t="str">
            <v xml:space="preserve">73559455       </v>
          </cell>
          <cell r="O6032">
            <v>144</v>
          </cell>
        </row>
        <row r="6033">
          <cell r="F6033" t="str">
            <v xml:space="preserve">73559455       </v>
          </cell>
          <cell r="O6033">
            <v>90</v>
          </cell>
        </row>
        <row r="6034">
          <cell r="F6034" t="str">
            <v xml:space="preserve">890403493      </v>
          </cell>
          <cell r="O6034">
            <v>36</v>
          </cell>
        </row>
        <row r="6035">
          <cell r="F6035" t="str">
            <v xml:space="preserve">94262420       </v>
          </cell>
          <cell r="O6035">
            <v>270</v>
          </cell>
        </row>
        <row r="6036">
          <cell r="F6036" t="str">
            <v xml:space="preserve">94262420       </v>
          </cell>
          <cell r="O6036">
            <v>936</v>
          </cell>
        </row>
        <row r="6037">
          <cell r="F6037" t="str">
            <v xml:space="preserve">94262420       </v>
          </cell>
          <cell r="O6037">
            <v>54</v>
          </cell>
        </row>
        <row r="6038">
          <cell r="F6038" t="str">
            <v xml:space="preserve">94262420       </v>
          </cell>
          <cell r="O6038">
            <v>9</v>
          </cell>
        </row>
        <row r="6039">
          <cell r="F6039" t="str">
            <v xml:space="preserve">94262420       </v>
          </cell>
          <cell r="O6039">
            <v>54</v>
          </cell>
        </row>
        <row r="6040">
          <cell r="F6040" t="str">
            <v xml:space="preserve">94262420       </v>
          </cell>
          <cell r="O6040">
            <v>405</v>
          </cell>
        </row>
        <row r="6041">
          <cell r="F6041" t="str">
            <v xml:space="preserve">94262420       </v>
          </cell>
          <cell r="O6041">
            <v>54</v>
          </cell>
        </row>
        <row r="6042">
          <cell r="F6042" t="str">
            <v xml:space="preserve">94262420       </v>
          </cell>
          <cell r="O6042">
            <v>81</v>
          </cell>
        </row>
        <row r="6043">
          <cell r="F6043" t="str">
            <v xml:space="preserve">94262420       </v>
          </cell>
          <cell r="O6043">
            <v>180</v>
          </cell>
        </row>
        <row r="6044">
          <cell r="F6044" t="str">
            <v xml:space="preserve">94262420       </v>
          </cell>
          <cell r="O6044">
            <v>270</v>
          </cell>
        </row>
        <row r="6045">
          <cell r="F6045" t="str">
            <v xml:space="preserve">94262420       </v>
          </cell>
          <cell r="O6045">
            <v>54</v>
          </cell>
        </row>
        <row r="6046">
          <cell r="F6046" t="str">
            <v xml:space="preserve">1214745372     </v>
          </cell>
          <cell r="O6046">
            <v>90</v>
          </cell>
        </row>
        <row r="6047">
          <cell r="F6047" t="str">
            <v xml:space="preserve">860005265      </v>
          </cell>
          <cell r="O6047">
            <v>682.49</v>
          </cell>
        </row>
        <row r="6048">
          <cell r="F6048" t="str">
            <v xml:space="preserve">860005265      </v>
          </cell>
          <cell r="O6048">
            <v>851</v>
          </cell>
        </row>
        <row r="6049">
          <cell r="F6049" t="str">
            <v xml:space="preserve">14229053       </v>
          </cell>
          <cell r="O6049">
            <v>150</v>
          </cell>
        </row>
        <row r="6050">
          <cell r="F6050" t="str">
            <v xml:space="preserve">5874334        </v>
          </cell>
          <cell r="O6050">
            <v>540</v>
          </cell>
        </row>
        <row r="6051">
          <cell r="F6051" t="str">
            <v xml:space="preserve">5874334        </v>
          </cell>
          <cell r="O6051">
            <v>135</v>
          </cell>
        </row>
        <row r="6052">
          <cell r="F6052" t="str">
            <v xml:space="preserve">203            </v>
          </cell>
          <cell r="O6052">
            <v>36</v>
          </cell>
        </row>
        <row r="6053">
          <cell r="F6053" t="str">
            <v xml:space="preserve">203            </v>
          </cell>
          <cell r="O6053">
            <v>72</v>
          </cell>
        </row>
        <row r="6054">
          <cell r="F6054" t="str">
            <v xml:space="preserve">203            </v>
          </cell>
          <cell r="O6054">
            <v>225</v>
          </cell>
        </row>
        <row r="6055">
          <cell r="F6055" t="str">
            <v xml:space="preserve">811020078      </v>
          </cell>
          <cell r="O6055">
            <v>18</v>
          </cell>
        </row>
        <row r="6056">
          <cell r="F6056" t="str">
            <v xml:space="preserve">890936071      </v>
          </cell>
          <cell r="O6056">
            <v>108</v>
          </cell>
        </row>
        <row r="6057">
          <cell r="F6057" t="str">
            <v xml:space="preserve">900084859      </v>
          </cell>
          <cell r="O6057">
            <v>45</v>
          </cell>
        </row>
        <row r="6058">
          <cell r="F6058" t="str">
            <v xml:space="preserve">900084859      </v>
          </cell>
          <cell r="O6058">
            <v>45</v>
          </cell>
        </row>
        <row r="6059">
          <cell r="F6059" t="str">
            <v xml:space="preserve">900084859      </v>
          </cell>
          <cell r="O6059">
            <v>45</v>
          </cell>
        </row>
        <row r="6060">
          <cell r="F6060" t="str">
            <v xml:space="preserve">900084859      </v>
          </cell>
          <cell r="O6060">
            <v>45</v>
          </cell>
        </row>
        <row r="6061">
          <cell r="F6061" t="str">
            <v xml:space="preserve">900084859      </v>
          </cell>
          <cell r="O6061">
            <v>45</v>
          </cell>
        </row>
        <row r="6062">
          <cell r="F6062" t="str">
            <v xml:space="preserve">901485271      </v>
          </cell>
          <cell r="O6062">
            <v>18</v>
          </cell>
        </row>
        <row r="6063">
          <cell r="F6063" t="str">
            <v xml:space="preserve">901485271      </v>
          </cell>
          <cell r="O6063">
            <v>45</v>
          </cell>
        </row>
        <row r="6064">
          <cell r="F6064" t="str">
            <v xml:space="preserve">901485271      </v>
          </cell>
          <cell r="O6064">
            <v>18</v>
          </cell>
        </row>
        <row r="6065">
          <cell r="F6065" t="str">
            <v xml:space="preserve">800052377      </v>
          </cell>
          <cell r="O6065">
            <v>108</v>
          </cell>
        </row>
        <row r="6066">
          <cell r="F6066" t="str">
            <v xml:space="preserve">800197463      </v>
          </cell>
          <cell r="O6066">
            <v>72</v>
          </cell>
        </row>
        <row r="6067">
          <cell r="F6067" t="str">
            <v xml:space="preserve">805018495      </v>
          </cell>
          <cell r="O6067">
            <v>72</v>
          </cell>
        </row>
        <row r="6068">
          <cell r="F6068" t="str">
            <v xml:space="preserve">890903939      </v>
          </cell>
          <cell r="O6068">
            <v>95</v>
          </cell>
        </row>
        <row r="6069">
          <cell r="F6069" t="str">
            <v xml:space="preserve">860001697      </v>
          </cell>
          <cell r="O6069">
            <v>418.2</v>
          </cell>
        </row>
        <row r="6070">
          <cell r="F6070" t="str">
            <v xml:space="preserve">860072172      </v>
          </cell>
          <cell r="O6070">
            <v>120</v>
          </cell>
        </row>
        <row r="6071">
          <cell r="F6071" t="str">
            <v xml:space="preserve">860502509      </v>
          </cell>
          <cell r="O6071">
            <v>250</v>
          </cell>
        </row>
        <row r="6072">
          <cell r="F6072" t="str">
            <v xml:space="preserve">900239671      </v>
          </cell>
          <cell r="O6072">
            <v>54</v>
          </cell>
        </row>
        <row r="6073">
          <cell r="F6073" t="str">
            <v xml:space="preserve">901079460      </v>
          </cell>
          <cell r="O6073">
            <v>292.5</v>
          </cell>
        </row>
        <row r="6074">
          <cell r="F6074" t="str">
            <v xml:space="preserve">101            </v>
          </cell>
          <cell r="O6074">
            <v>18</v>
          </cell>
        </row>
        <row r="6075">
          <cell r="F6075" t="str">
            <v xml:space="preserve">101            </v>
          </cell>
          <cell r="O6075">
            <v>45</v>
          </cell>
        </row>
        <row r="6076">
          <cell r="F6076" t="str">
            <v xml:space="preserve">101            </v>
          </cell>
          <cell r="O6076">
            <v>18</v>
          </cell>
        </row>
        <row r="6077">
          <cell r="F6077" t="str">
            <v xml:space="preserve">101            </v>
          </cell>
          <cell r="O6077">
            <v>72</v>
          </cell>
        </row>
        <row r="6078">
          <cell r="F6078" t="str">
            <v xml:space="preserve">102            </v>
          </cell>
          <cell r="O6078">
            <v>18</v>
          </cell>
        </row>
        <row r="6079">
          <cell r="F6079" t="str">
            <v xml:space="preserve">102            </v>
          </cell>
          <cell r="O6079">
            <v>45</v>
          </cell>
        </row>
        <row r="6080">
          <cell r="F6080" t="str">
            <v xml:space="preserve">102            </v>
          </cell>
          <cell r="O6080">
            <v>180</v>
          </cell>
        </row>
        <row r="6081">
          <cell r="F6081" t="str">
            <v xml:space="preserve">102            </v>
          </cell>
          <cell r="O6081">
            <v>342</v>
          </cell>
        </row>
        <row r="6082">
          <cell r="F6082" t="str">
            <v xml:space="preserve">102            </v>
          </cell>
          <cell r="O6082">
            <v>45</v>
          </cell>
        </row>
        <row r="6083">
          <cell r="F6083" t="str">
            <v xml:space="preserve">800042175      </v>
          </cell>
          <cell r="O6083">
            <v>36</v>
          </cell>
        </row>
        <row r="6084">
          <cell r="F6084" t="str">
            <v xml:space="preserve">800090890      </v>
          </cell>
          <cell r="O6084">
            <v>72</v>
          </cell>
        </row>
        <row r="6085">
          <cell r="F6085" t="str">
            <v xml:space="preserve">404            </v>
          </cell>
          <cell r="O6085">
            <v>252</v>
          </cell>
        </row>
        <row r="6086">
          <cell r="F6086" t="str">
            <v xml:space="preserve">404            </v>
          </cell>
          <cell r="O6086">
            <v>135</v>
          </cell>
        </row>
        <row r="6087">
          <cell r="F6087" t="str">
            <v xml:space="preserve">8795144        </v>
          </cell>
          <cell r="O6087">
            <v>150</v>
          </cell>
        </row>
        <row r="6088">
          <cell r="F6088" t="str">
            <v xml:space="preserve">212            </v>
          </cell>
          <cell r="O6088">
            <v>135</v>
          </cell>
        </row>
        <row r="6089">
          <cell r="F6089" t="str">
            <v xml:space="preserve">212            </v>
          </cell>
          <cell r="O6089">
            <v>918</v>
          </cell>
        </row>
        <row r="6090">
          <cell r="F6090" t="str">
            <v xml:space="preserve">890985417      </v>
          </cell>
          <cell r="O6090">
            <v>45</v>
          </cell>
        </row>
        <row r="6091">
          <cell r="F6091" t="str">
            <v xml:space="preserve">890985417      </v>
          </cell>
          <cell r="O6091">
            <v>45</v>
          </cell>
        </row>
        <row r="6092">
          <cell r="F6092" t="str">
            <v xml:space="preserve">890985417      </v>
          </cell>
          <cell r="O6092">
            <v>45</v>
          </cell>
        </row>
        <row r="6093">
          <cell r="F6093" t="str">
            <v xml:space="preserve">890985417      </v>
          </cell>
          <cell r="O6093">
            <v>45</v>
          </cell>
        </row>
        <row r="6094">
          <cell r="F6094" t="str">
            <v xml:space="preserve">901158664      </v>
          </cell>
          <cell r="O6094">
            <v>54</v>
          </cell>
        </row>
        <row r="6095">
          <cell r="F6095" t="str">
            <v xml:space="preserve">800226901      </v>
          </cell>
          <cell r="O6095">
            <v>45</v>
          </cell>
        </row>
        <row r="6096">
          <cell r="F6096" t="str">
            <v xml:space="preserve">800230447      </v>
          </cell>
          <cell r="O6096">
            <v>80</v>
          </cell>
        </row>
        <row r="6097">
          <cell r="F6097" t="str">
            <v xml:space="preserve">830006735      </v>
          </cell>
          <cell r="O6097">
            <v>420.15</v>
          </cell>
        </row>
        <row r="6098">
          <cell r="F6098" t="str">
            <v xml:space="preserve">860001697      </v>
          </cell>
          <cell r="O6098">
            <v>380</v>
          </cell>
        </row>
        <row r="6099">
          <cell r="F6099" t="str">
            <v xml:space="preserve">890205142      </v>
          </cell>
          <cell r="O6099">
            <v>2880</v>
          </cell>
        </row>
        <row r="6100">
          <cell r="F6100" t="str">
            <v xml:space="preserve">890205142      </v>
          </cell>
          <cell r="O6100">
            <v>90</v>
          </cell>
        </row>
        <row r="6101">
          <cell r="F6101" t="str">
            <v xml:space="preserve">800090890      </v>
          </cell>
          <cell r="O6101">
            <v>92</v>
          </cell>
        </row>
        <row r="6102">
          <cell r="F6102" t="str">
            <v xml:space="preserve">800090890      </v>
          </cell>
          <cell r="O6102">
            <v>19</v>
          </cell>
        </row>
        <row r="6103">
          <cell r="F6103" t="str">
            <v xml:space="preserve">811014849      </v>
          </cell>
          <cell r="O6103">
            <v>216</v>
          </cell>
        </row>
        <row r="6104">
          <cell r="F6104" t="str">
            <v xml:space="preserve">811014849      </v>
          </cell>
          <cell r="O6104">
            <v>108</v>
          </cell>
        </row>
        <row r="6105">
          <cell r="F6105" t="str">
            <v xml:space="preserve">890903939      </v>
          </cell>
          <cell r="O6105">
            <v>1108.7</v>
          </cell>
        </row>
        <row r="6106">
          <cell r="F6106" t="str">
            <v xml:space="preserve">890903939      </v>
          </cell>
          <cell r="O6106">
            <v>240.38</v>
          </cell>
        </row>
        <row r="6107">
          <cell r="F6107" t="str">
            <v xml:space="preserve">890903939      </v>
          </cell>
          <cell r="O6107">
            <v>181.1</v>
          </cell>
        </row>
        <row r="6108">
          <cell r="F6108" t="str">
            <v xml:space="preserve">211            </v>
          </cell>
          <cell r="O6108">
            <v>135</v>
          </cell>
        </row>
        <row r="6109">
          <cell r="F6109" t="str">
            <v xml:space="preserve">211            </v>
          </cell>
          <cell r="O6109">
            <v>15</v>
          </cell>
        </row>
        <row r="6110">
          <cell r="F6110" t="str">
            <v xml:space="preserve">211            </v>
          </cell>
          <cell r="O6110">
            <v>1332</v>
          </cell>
        </row>
        <row r="6111">
          <cell r="F6111" t="str">
            <v xml:space="preserve">811032699      </v>
          </cell>
          <cell r="O6111">
            <v>54</v>
          </cell>
        </row>
        <row r="6112">
          <cell r="F6112" t="str">
            <v xml:space="preserve">830094679      </v>
          </cell>
          <cell r="O6112">
            <v>150</v>
          </cell>
        </row>
        <row r="6113">
          <cell r="F6113" t="str">
            <v xml:space="preserve">830095213      </v>
          </cell>
          <cell r="O6113">
            <v>180</v>
          </cell>
        </row>
        <row r="6114">
          <cell r="F6114" t="str">
            <v xml:space="preserve">860013771      </v>
          </cell>
          <cell r="O6114">
            <v>45</v>
          </cell>
        </row>
        <row r="6115">
          <cell r="F6115" t="str">
            <v xml:space="preserve">860013771      </v>
          </cell>
          <cell r="O6115">
            <v>90</v>
          </cell>
        </row>
        <row r="6116">
          <cell r="F6116" t="str">
            <v xml:space="preserve">890903939      </v>
          </cell>
          <cell r="O6116">
            <v>398.09</v>
          </cell>
        </row>
        <row r="6117">
          <cell r="F6117" t="str">
            <v xml:space="preserve">900468599      </v>
          </cell>
          <cell r="O6117">
            <v>54</v>
          </cell>
        </row>
        <row r="6118">
          <cell r="F6118" t="str">
            <v xml:space="preserve">900820045      </v>
          </cell>
          <cell r="O6118">
            <v>162</v>
          </cell>
        </row>
        <row r="6119">
          <cell r="F6119" t="str">
            <v xml:space="preserve">900820045      </v>
          </cell>
          <cell r="O6119">
            <v>36</v>
          </cell>
        </row>
        <row r="6120">
          <cell r="F6120" t="str">
            <v xml:space="preserve">900894823      </v>
          </cell>
          <cell r="O6120">
            <v>135</v>
          </cell>
        </row>
        <row r="6121">
          <cell r="F6121" t="str">
            <v xml:space="preserve">901000237      </v>
          </cell>
          <cell r="O6121">
            <v>90</v>
          </cell>
        </row>
        <row r="6122">
          <cell r="F6122" t="str">
            <v xml:space="preserve">860001697      </v>
          </cell>
          <cell r="O6122">
            <v>764.85</v>
          </cell>
        </row>
        <row r="6123">
          <cell r="F6123" t="str">
            <v xml:space="preserve">800229035      </v>
          </cell>
          <cell r="O6123">
            <v>45</v>
          </cell>
        </row>
        <row r="6124">
          <cell r="F6124" t="str">
            <v xml:space="preserve">800229035      </v>
          </cell>
          <cell r="O6124">
            <v>105</v>
          </cell>
        </row>
        <row r="6125">
          <cell r="F6125" t="str">
            <v xml:space="preserve">800229035      </v>
          </cell>
          <cell r="O6125">
            <v>105</v>
          </cell>
        </row>
        <row r="6126">
          <cell r="F6126" t="str">
            <v xml:space="preserve">811016729      </v>
          </cell>
          <cell r="O6126">
            <v>30</v>
          </cell>
        </row>
        <row r="6127">
          <cell r="F6127" t="str">
            <v xml:space="preserve">811016729      </v>
          </cell>
          <cell r="O6127">
            <v>18</v>
          </cell>
        </row>
        <row r="6128">
          <cell r="F6128" t="str">
            <v xml:space="preserve">890903939      </v>
          </cell>
          <cell r="O6128">
            <v>525.9</v>
          </cell>
        </row>
        <row r="6129">
          <cell r="F6129" t="str">
            <v xml:space="preserve">900477325      </v>
          </cell>
          <cell r="O6129">
            <v>45</v>
          </cell>
        </row>
        <row r="6130">
          <cell r="F6130" t="str">
            <v xml:space="preserve">901017528      </v>
          </cell>
          <cell r="O6130">
            <v>360</v>
          </cell>
        </row>
        <row r="6131">
          <cell r="F6131" t="str">
            <v xml:space="preserve">901046830      </v>
          </cell>
          <cell r="O6131">
            <v>270</v>
          </cell>
        </row>
        <row r="6132">
          <cell r="F6132" t="str">
            <v xml:space="preserve">800183430      </v>
          </cell>
          <cell r="O6132">
            <v>322.7</v>
          </cell>
        </row>
        <row r="6133">
          <cell r="F6133" t="str">
            <v xml:space="preserve">800183430      </v>
          </cell>
          <cell r="O6133">
            <v>200</v>
          </cell>
        </row>
        <row r="6134">
          <cell r="F6134" t="str">
            <v xml:space="preserve">24626777       </v>
          </cell>
          <cell r="O6134">
            <v>100.4</v>
          </cell>
        </row>
        <row r="6135">
          <cell r="F6135" t="str">
            <v xml:space="preserve">53070701       </v>
          </cell>
          <cell r="O6135">
            <v>170.2</v>
          </cell>
        </row>
        <row r="6136">
          <cell r="F6136" t="str">
            <v xml:space="preserve">810004836      </v>
          </cell>
          <cell r="O6136">
            <v>718.3</v>
          </cell>
        </row>
        <row r="6137">
          <cell r="F6137" t="str">
            <v xml:space="preserve">810006197      </v>
          </cell>
          <cell r="O6137">
            <v>1714.2</v>
          </cell>
        </row>
        <row r="6138">
          <cell r="F6138" t="str">
            <v xml:space="preserve">810006204      </v>
          </cell>
          <cell r="O6138">
            <v>160.1</v>
          </cell>
        </row>
        <row r="6139">
          <cell r="F6139" t="str">
            <v xml:space="preserve">1115188970     </v>
          </cell>
          <cell r="O6139">
            <v>299</v>
          </cell>
        </row>
        <row r="6140">
          <cell r="F6140" t="str">
            <v xml:space="preserve">1115188970     </v>
          </cell>
          <cell r="O6140">
            <v>298.2</v>
          </cell>
        </row>
        <row r="6141">
          <cell r="F6141" t="str">
            <v xml:space="preserve">860058831      </v>
          </cell>
          <cell r="O6141">
            <v>973.1</v>
          </cell>
        </row>
        <row r="6142">
          <cell r="F6142" t="str">
            <v xml:space="preserve">900314134      </v>
          </cell>
          <cell r="O6142">
            <v>1543.2</v>
          </cell>
        </row>
        <row r="6143">
          <cell r="F6143" t="str">
            <v xml:space="preserve">900481679      </v>
          </cell>
          <cell r="O6143">
            <v>112</v>
          </cell>
        </row>
        <row r="6144">
          <cell r="F6144" t="str">
            <v xml:space="preserve">900582322      </v>
          </cell>
          <cell r="O6144">
            <v>736.7</v>
          </cell>
        </row>
        <row r="6145">
          <cell r="F6145" t="str">
            <v xml:space="preserve">901516022      </v>
          </cell>
          <cell r="O6145">
            <v>477</v>
          </cell>
        </row>
        <row r="6146">
          <cell r="F6146" t="str">
            <v xml:space="preserve">94257106       </v>
          </cell>
          <cell r="O6146">
            <v>137.4</v>
          </cell>
        </row>
        <row r="6147">
          <cell r="F6147" t="str">
            <v xml:space="preserve">800231596      </v>
          </cell>
          <cell r="O6147">
            <v>1866.4</v>
          </cell>
        </row>
        <row r="6148">
          <cell r="F6148" t="str">
            <v xml:space="preserve">800231596      </v>
          </cell>
          <cell r="O6148">
            <v>750.7</v>
          </cell>
        </row>
        <row r="6149">
          <cell r="F6149" t="str">
            <v xml:space="preserve">832006599      </v>
          </cell>
          <cell r="O6149">
            <v>5837.1</v>
          </cell>
        </row>
        <row r="6150">
          <cell r="F6150" t="str">
            <v xml:space="preserve">212            </v>
          </cell>
          <cell r="O6150">
            <v>45</v>
          </cell>
        </row>
        <row r="6151">
          <cell r="F6151" t="str">
            <v xml:space="preserve">212            </v>
          </cell>
          <cell r="O6151">
            <v>36</v>
          </cell>
        </row>
        <row r="6152">
          <cell r="F6152" t="str">
            <v xml:space="preserve">212            </v>
          </cell>
          <cell r="O6152">
            <v>45</v>
          </cell>
        </row>
        <row r="6153">
          <cell r="F6153" t="str">
            <v xml:space="preserve">212            </v>
          </cell>
          <cell r="O6153">
            <v>9</v>
          </cell>
        </row>
        <row r="6154">
          <cell r="F6154" t="str">
            <v xml:space="preserve">212            </v>
          </cell>
          <cell r="O6154">
            <v>45</v>
          </cell>
        </row>
        <row r="6155">
          <cell r="F6155" t="str">
            <v xml:space="preserve">212            </v>
          </cell>
          <cell r="O6155">
            <v>162</v>
          </cell>
        </row>
        <row r="6156">
          <cell r="F6156" t="str">
            <v xml:space="preserve">212            </v>
          </cell>
          <cell r="O6156">
            <v>180</v>
          </cell>
        </row>
        <row r="6157">
          <cell r="F6157" t="str">
            <v xml:space="preserve">900084859      </v>
          </cell>
          <cell r="O6157">
            <v>18</v>
          </cell>
        </row>
        <row r="6158">
          <cell r="F6158" t="str">
            <v xml:space="preserve">900084859      </v>
          </cell>
          <cell r="O6158">
            <v>45</v>
          </cell>
        </row>
        <row r="6159">
          <cell r="F6159" t="str">
            <v xml:space="preserve">203            </v>
          </cell>
          <cell r="O6159">
            <v>18</v>
          </cell>
        </row>
        <row r="6160">
          <cell r="F6160" t="str">
            <v xml:space="preserve">203            </v>
          </cell>
          <cell r="O6160">
            <v>54</v>
          </cell>
        </row>
        <row r="6161">
          <cell r="F6161" t="str">
            <v xml:space="preserve">203            </v>
          </cell>
          <cell r="O6161">
            <v>18</v>
          </cell>
        </row>
        <row r="6162">
          <cell r="F6162" t="str">
            <v xml:space="preserve">203            </v>
          </cell>
          <cell r="O6162">
            <v>45</v>
          </cell>
        </row>
        <row r="6163">
          <cell r="F6163" t="str">
            <v xml:space="preserve">21650387       </v>
          </cell>
          <cell r="O6163">
            <v>90</v>
          </cell>
        </row>
        <row r="6164">
          <cell r="F6164" t="str">
            <v xml:space="preserve">900199056      </v>
          </cell>
          <cell r="O6164">
            <v>90</v>
          </cell>
        </row>
        <row r="6165">
          <cell r="F6165" t="str">
            <v xml:space="preserve">900199056      </v>
          </cell>
          <cell r="O6165">
            <v>90</v>
          </cell>
        </row>
        <row r="6166">
          <cell r="F6166" t="str">
            <v xml:space="preserve">900445736      </v>
          </cell>
          <cell r="O6166">
            <v>45</v>
          </cell>
        </row>
        <row r="6167">
          <cell r="F6167" t="str">
            <v xml:space="preserve">900445736      </v>
          </cell>
          <cell r="O6167">
            <v>45</v>
          </cell>
        </row>
        <row r="6168">
          <cell r="F6168" t="str">
            <v xml:space="preserve">900445736      </v>
          </cell>
          <cell r="O6168">
            <v>45</v>
          </cell>
        </row>
        <row r="6169">
          <cell r="F6169" t="str">
            <v xml:space="preserve">890903939      </v>
          </cell>
          <cell r="O6169">
            <v>294.92</v>
          </cell>
        </row>
        <row r="6170">
          <cell r="F6170" t="str">
            <v xml:space="preserve">811014849      </v>
          </cell>
          <cell r="O6170">
            <v>54</v>
          </cell>
        </row>
        <row r="6171">
          <cell r="F6171" t="str">
            <v xml:space="preserve">811022351      </v>
          </cell>
          <cell r="O6171">
            <v>126</v>
          </cell>
        </row>
        <row r="6172">
          <cell r="F6172" t="str">
            <v xml:space="preserve">860013809      </v>
          </cell>
          <cell r="O6172">
            <v>144</v>
          </cell>
        </row>
        <row r="6173">
          <cell r="F6173" t="str">
            <v xml:space="preserve">890900161      </v>
          </cell>
          <cell r="O6173">
            <v>15</v>
          </cell>
        </row>
        <row r="6174">
          <cell r="F6174" t="str">
            <v xml:space="preserve">890900161      </v>
          </cell>
          <cell r="O6174">
            <v>75</v>
          </cell>
        </row>
        <row r="6175">
          <cell r="F6175" t="str">
            <v xml:space="preserve">900313945      </v>
          </cell>
          <cell r="O6175">
            <v>105</v>
          </cell>
        </row>
        <row r="6176">
          <cell r="F6176" t="str">
            <v xml:space="preserve">900599145      </v>
          </cell>
          <cell r="O6176">
            <v>72</v>
          </cell>
        </row>
        <row r="6177">
          <cell r="F6177" t="str">
            <v xml:space="preserve">210            </v>
          </cell>
          <cell r="O6177">
            <v>360</v>
          </cell>
        </row>
        <row r="6178">
          <cell r="F6178" t="str">
            <v xml:space="preserve">101            </v>
          </cell>
          <cell r="O6178">
            <v>4.5</v>
          </cell>
        </row>
        <row r="6179">
          <cell r="F6179" t="str">
            <v xml:space="preserve">101            </v>
          </cell>
          <cell r="O6179">
            <v>234</v>
          </cell>
        </row>
        <row r="6180">
          <cell r="F6180" t="str">
            <v xml:space="preserve">101            </v>
          </cell>
          <cell r="O6180">
            <v>198</v>
          </cell>
        </row>
        <row r="6181">
          <cell r="F6181" t="str">
            <v xml:space="preserve">101            </v>
          </cell>
          <cell r="O6181">
            <v>18</v>
          </cell>
        </row>
        <row r="6182">
          <cell r="F6182" t="str">
            <v xml:space="preserve">101            </v>
          </cell>
          <cell r="O6182">
            <v>36</v>
          </cell>
        </row>
        <row r="6183">
          <cell r="F6183" t="str">
            <v xml:space="preserve">900342435      </v>
          </cell>
          <cell r="O6183">
            <v>4.5</v>
          </cell>
        </row>
        <row r="6184">
          <cell r="F6184" t="str">
            <v xml:space="preserve">404            </v>
          </cell>
          <cell r="O6184">
            <v>315</v>
          </cell>
        </row>
        <row r="6185">
          <cell r="F6185" t="str">
            <v xml:space="preserve">404            </v>
          </cell>
          <cell r="O6185">
            <v>36</v>
          </cell>
        </row>
        <row r="6186">
          <cell r="F6186" t="str">
            <v xml:space="preserve">404            </v>
          </cell>
          <cell r="O6186">
            <v>90</v>
          </cell>
        </row>
        <row r="6187">
          <cell r="F6187" t="str">
            <v xml:space="preserve">210            </v>
          </cell>
          <cell r="O6187">
            <v>15</v>
          </cell>
        </row>
        <row r="6188">
          <cell r="F6188" t="str">
            <v xml:space="preserve">210            </v>
          </cell>
          <cell r="O6188">
            <v>144</v>
          </cell>
        </row>
        <row r="6189">
          <cell r="F6189" t="str">
            <v xml:space="preserve">6621568        </v>
          </cell>
          <cell r="O6189">
            <v>36</v>
          </cell>
        </row>
        <row r="6190">
          <cell r="F6190" t="str">
            <v xml:space="preserve">805026018      </v>
          </cell>
          <cell r="O6190">
            <v>18</v>
          </cell>
        </row>
        <row r="6191">
          <cell r="F6191" t="str">
            <v xml:space="preserve">811020038      </v>
          </cell>
          <cell r="O6191">
            <v>18</v>
          </cell>
        </row>
        <row r="6192">
          <cell r="F6192" t="str">
            <v xml:space="preserve">830057186      </v>
          </cell>
          <cell r="O6192">
            <v>18</v>
          </cell>
        </row>
        <row r="6193">
          <cell r="F6193" t="str">
            <v xml:space="preserve">890302609      </v>
          </cell>
          <cell r="O6193">
            <v>231</v>
          </cell>
        </row>
        <row r="6194">
          <cell r="F6194" t="str">
            <v xml:space="preserve">890302609      </v>
          </cell>
          <cell r="O6194">
            <v>126</v>
          </cell>
        </row>
        <row r="6195">
          <cell r="F6195" t="str">
            <v xml:space="preserve">890304611      </v>
          </cell>
          <cell r="O6195">
            <v>15</v>
          </cell>
        </row>
        <row r="6196">
          <cell r="F6196" t="str">
            <v xml:space="preserve">890903939      </v>
          </cell>
          <cell r="O6196">
            <v>270</v>
          </cell>
        </row>
        <row r="6197">
          <cell r="F6197" t="str">
            <v xml:space="preserve">890903939      </v>
          </cell>
          <cell r="O6197">
            <v>318</v>
          </cell>
        </row>
        <row r="6198">
          <cell r="F6198" t="str">
            <v xml:space="preserve">900233101      </v>
          </cell>
          <cell r="O6198">
            <v>36</v>
          </cell>
        </row>
        <row r="6199">
          <cell r="F6199" t="str">
            <v xml:space="preserve">901255672      </v>
          </cell>
          <cell r="O6199">
            <v>36</v>
          </cell>
        </row>
        <row r="6200">
          <cell r="F6200" t="str">
            <v xml:space="preserve">860522164      </v>
          </cell>
          <cell r="O6200">
            <v>900</v>
          </cell>
        </row>
        <row r="6201">
          <cell r="F6201" t="str">
            <v xml:space="preserve">18936116       </v>
          </cell>
          <cell r="O6201">
            <v>162</v>
          </cell>
        </row>
        <row r="6202">
          <cell r="F6202" t="str">
            <v xml:space="preserve">18936116       </v>
          </cell>
          <cell r="O6202">
            <v>45</v>
          </cell>
        </row>
        <row r="6203">
          <cell r="F6203" t="str">
            <v xml:space="preserve">110            </v>
          </cell>
          <cell r="O6203">
            <v>792</v>
          </cell>
        </row>
        <row r="6204">
          <cell r="F6204" t="str">
            <v xml:space="preserve">71312536       </v>
          </cell>
          <cell r="O6204">
            <v>540</v>
          </cell>
        </row>
        <row r="6205">
          <cell r="F6205" t="str">
            <v xml:space="preserve">800141632      </v>
          </cell>
          <cell r="O6205">
            <v>80.099999999999994</v>
          </cell>
        </row>
        <row r="6206">
          <cell r="F6206" t="str">
            <v xml:space="preserve">800141632      </v>
          </cell>
          <cell r="O6206">
            <v>88.7</v>
          </cell>
        </row>
        <row r="6207">
          <cell r="F6207" t="str">
            <v xml:space="preserve">808001297      </v>
          </cell>
          <cell r="O6207">
            <v>582.29999999999995</v>
          </cell>
        </row>
        <row r="6208">
          <cell r="F6208" t="str">
            <v xml:space="preserve">900217771      </v>
          </cell>
          <cell r="O6208">
            <v>151.19999999999999</v>
          </cell>
        </row>
        <row r="6209">
          <cell r="F6209" t="str">
            <v xml:space="preserve">900217771      </v>
          </cell>
          <cell r="O6209">
            <v>273</v>
          </cell>
        </row>
        <row r="6210">
          <cell r="F6210" t="str">
            <v xml:space="preserve">900217771      </v>
          </cell>
          <cell r="O6210">
            <v>1364.2</v>
          </cell>
        </row>
        <row r="6211">
          <cell r="F6211" t="str">
            <v xml:space="preserve">212            </v>
          </cell>
          <cell r="O6211">
            <v>9</v>
          </cell>
        </row>
        <row r="6212">
          <cell r="F6212" t="str">
            <v xml:space="preserve">212            </v>
          </cell>
          <cell r="O6212">
            <v>15</v>
          </cell>
        </row>
        <row r="6213">
          <cell r="F6213" t="str">
            <v xml:space="preserve">900569044      </v>
          </cell>
          <cell r="O6213">
            <v>18</v>
          </cell>
        </row>
        <row r="6214">
          <cell r="F6214" t="str">
            <v xml:space="preserve">900569044      </v>
          </cell>
          <cell r="O6214">
            <v>18</v>
          </cell>
        </row>
        <row r="6215">
          <cell r="F6215" t="str">
            <v xml:space="preserve">805011264      </v>
          </cell>
          <cell r="O6215">
            <v>36</v>
          </cell>
        </row>
        <row r="6216">
          <cell r="F6216" t="str">
            <v xml:space="preserve">805012977      </v>
          </cell>
          <cell r="O6216">
            <v>54</v>
          </cell>
        </row>
        <row r="6217">
          <cell r="F6217" t="str">
            <v xml:space="preserve">860020382      </v>
          </cell>
          <cell r="O6217">
            <v>36</v>
          </cell>
        </row>
        <row r="6218">
          <cell r="F6218" t="str">
            <v xml:space="preserve">860020382      </v>
          </cell>
          <cell r="O6218">
            <v>72</v>
          </cell>
        </row>
        <row r="6219">
          <cell r="F6219" t="str">
            <v xml:space="preserve">890311251      </v>
          </cell>
          <cell r="O6219">
            <v>18</v>
          </cell>
        </row>
        <row r="6220">
          <cell r="F6220" t="str">
            <v xml:space="preserve">890322007      </v>
          </cell>
          <cell r="O6220">
            <v>234</v>
          </cell>
        </row>
        <row r="6221">
          <cell r="F6221" t="str">
            <v xml:space="preserve">900818921      </v>
          </cell>
          <cell r="O6221">
            <v>425</v>
          </cell>
        </row>
        <row r="6222">
          <cell r="F6222" t="str">
            <v xml:space="preserve">900818921      </v>
          </cell>
          <cell r="O6222">
            <v>430</v>
          </cell>
        </row>
        <row r="6223">
          <cell r="F6223" t="str">
            <v xml:space="preserve">900896300      </v>
          </cell>
          <cell r="O6223">
            <v>141</v>
          </cell>
        </row>
        <row r="6224">
          <cell r="F6224" t="str">
            <v xml:space="preserve">901026262      </v>
          </cell>
          <cell r="O6224">
            <v>36</v>
          </cell>
        </row>
        <row r="6225">
          <cell r="F6225" t="str">
            <v xml:space="preserve">212            </v>
          </cell>
          <cell r="O6225">
            <v>108</v>
          </cell>
        </row>
        <row r="6226">
          <cell r="F6226" t="str">
            <v xml:space="preserve">212            </v>
          </cell>
          <cell r="O6226">
            <v>18</v>
          </cell>
        </row>
        <row r="6227">
          <cell r="F6227" t="str">
            <v xml:space="preserve">212            </v>
          </cell>
          <cell r="O6227">
            <v>18</v>
          </cell>
        </row>
        <row r="6228">
          <cell r="F6228" t="str">
            <v xml:space="preserve">71110713       </v>
          </cell>
          <cell r="O6228">
            <v>30</v>
          </cell>
        </row>
        <row r="6229">
          <cell r="F6229" t="str">
            <v xml:space="preserve">71110713       </v>
          </cell>
          <cell r="O6229">
            <v>45</v>
          </cell>
        </row>
        <row r="6230">
          <cell r="F6230" t="str">
            <v xml:space="preserve">900495908      </v>
          </cell>
          <cell r="O6230">
            <v>45</v>
          </cell>
        </row>
        <row r="6231">
          <cell r="F6231" t="str">
            <v xml:space="preserve">1040743532     </v>
          </cell>
          <cell r="O6231">
            <v>108</v>
          </cell>
        </row>
        <row r="6232">
          <cell r="F6232" t="str">
            <v xml:space="preserve">203            </v>
          </cell>
          <cell r="O6232">
            <v>108</v>
          </cell>
        </row>
        <row r="6233">
          <cell r="F6233" t="str">
            <v xml:space="preserve">203            </v>
          </cell>
          <cell r="O6233">
            <v>13.5</v>
          </cell>
        </row>
        <row r="6234">
          <cell r="F6234" t="str">
            <v xml:space="preserve">203            </v>
          </cell>
          <cell r="O6234">
            <v>15</v>
          </cell>
        </row>
        <row r="6235">
          <cell r="F6235" t="str">
            <v xml:space="preserve">203            </v>
          </cell>
          <cell r="O6235">
            <v>180</v>
          </cell>
        </row>
        <row r="6236">
          <cell r="F6236" t="str">
            <v xml:space="preserve">890985417      </v>
          </cell>
          <cell r="O6236">
            <v>135</v>
          </cell>
        </row>
        <row r="6237">
          <cell r="F6237" t="str">
            <v xml:space="preserve">900445736      </v>
          </cell>
          <cell r="O6237">
            <v>45</v>
          </cell>
        </row>
        <row r="6238">
          <cell r="F6238" t="str">
            <v xml:space="preserve">900762346      </v>
          </cell>
          <cell r="O6238">
            <v>18</v>
          </cell>
        </row>
        <row r="6239">
          <cell r="F6239" t="str">
            <v xml:space="preserve">900762346      </v>
          </cell>
          <cell r="O6239">
            <v>45</v>
          </cell>
        </row>
        <row r="6240">
          <cell r="F6240" t="str">
            <v xml:space="preserve">860403972      </v>
          </cell>
          <cell r="O6240">
            <v>2508.8000000000002</v>
          </cell>
        </row>
        <row r="6241">
          <cell r="F6241" t="str">
            <v xml:space="preserve">1151937546     </v>
          </cell>
          <cell r="O6241">
            <v>1220.5999999999999</v>
          </cell>
        </row>
        <row r="6242">
          <cell r="F6242" t="str">
            <v xml:space="preserve">27174286       </v>
          </cell>
          <cell r="O6242">
            <v>129.5</v>
          </cell>
        </row>
        <row r="6243">
          <cell r="F6243" t="str">
            <v xml:space="preserve">890200474      </v>
          </cell>
          <cell r="O6243">
            <v>2497.8000000000002</v>
          </cell>
        </row>
        <row r="6244">
          <cell r="F6244" t="str">
            <v xml:space="preserve">890321755      </v>
          </cell>
          <cell r="O6244">
            <v>879.8</v>
          </cell>
        </row>
        <row r="6245">
          <cell r="F6245" t="str">
            <v xml:space="preserve">900030756      </v>
          </cell>
          <cell r="O6245">
            <v>2647.1</v>
          </cell>
        </row>
        <row r="6246">
          <cell r="F6246" t="str">
            <v xml:space="preserve">900030756      </v>
          </cell>
          <cell r="O6246">
            <v>950.5</v>
          </cell>
        </row>
        <row r="6247">
          <cell r="F6247" t="str">
            <v xml:space="preserve">900193996      </v>
          </cell>
          <cell r="O6247">
            <v>1317.4</v>
          </cell>
        </row>
        <row r="6248">
          <cell r="F6248" t="str">
            <v xml:space="preserve">900590431      </v>
          </cell>
          <cell r="O6248">
            <v>52</v>
          </cell>
        </row>
        <row r="6249">
          <cell r="F6249" t="str">
            <v xml:space="preserve">901000821      </v>
          </cell>
          <cell r="O6249">
            <v>39.4</v>
          </cell>
        </row>
        <row r="6250">
          <cell r="F6250" t="str">
            <v xml:space="preserve">901201864      </v>
          </cell>
          <cell r="O6250">
            <v>436.4</v>
          </cell>
        </row>
        <row r="6251">
          <cell r="F6251" t="str">
            <v xml:space="preserve">901452546      </v>
          </cell>
          <cell r="O6251">
            <v>180.3</v>
          </cell>
        </row>
        <row r="6252">
          <cell r="F6252" t="str">
            <v xml:space="preserve">40766657       </v>
          </cell>
          <cell r="O6252">
            <v>296.3</v>
          </cell>
        </row>
        <row r="6253">
          <cell r="F6253" t="str">
            <v xml:space="preserve">890903939      </v>
          </cell>
          <cell r="O6253">
            <v>288</v>
          </cell>
        </row>
        <row r="6254">
          <cell r="F6254" t="str">
            <v xml:space="preserve">39813103       </v>
          </cell>
          <cell r="O6254">
            <v>223</v>
          </cell>
        </row>
        <row r="6255">
          <cell r="F6255" t="str">
            <v xml:space="preserve">808001297      </v>
          </cell>
          <cell r="O6255">
            <v>534.79999999999995</v>
          </cell>
        </row>
        <row r="6256">
          <cell r="F6256" t="str">
            <v xml:space="preserve">860058831      </v>
          </cell>
          <cell r="O6256">
            <v>301.2</v>
          </cell>
        </row>
        <row r="6257">
          <cell r="F6257" t="str">
            <v xml:space="preserve">860403972      </v>
          </cell>
          <cell r="O6257">
            <v>1872.6</v>
          </cell>
        </row>
        <row r="6258">
          <cell r="F6258" t="str">
            <v xml:space="preserve">800134497      </v>
          </cell>
          <cell r="O6258">
            <v>53.5</v>
          </cell>
        </row>
        <row r="6259">
          <cell r="F6259" t="str">
            <v xml:space="preserve">830013883      </v>
          </cell>
          <cell r="O6259">
            <v>815.2</v>
          </cell>
        </row>
        <row r="6260">
          <cell r="F6260" t="str">
            <v xml:space="preserve">890903939      </v>
          </cell>
          <cell r="O6260">
            <v>108</v>
          </cell>
        </row>
        <row r="6261">
          <cell r="F6261" t="str">
            <v xml:space="preserve">890903939      </v>
          </cell>
          <cell r="O6261">
            <v>234</v>
          </cell>
        </row>
        <row r="6262">
          <cell r="F6262" t="str">
            <v xml:space="preserve">890903939      </v>
          </cell>
          <cell r="O6262">
            <v>108</v>
          </cell>
        </row>
        <row r="6263">
          <cell r="F6263" t="str">
            <v xml:space="preserve">890903939      </v>
          </cell>
          <cell r="O6263">
            <v>270</v>
          </cell>
        </row>
        <row r="6264">
          <cell r="F6264" t="str">
            <v xml:space="preserve">890903939      </v>
          </cell>
          <cell r="O6264">
            <v>342</v>
          </cell>
        </row>
        <row r="6265">
          <cell r="F6265" t="str">
            <v xml:space="preserve">890903939      </v>
          </cell>
          <cell r="O6265">
            <v>234</v>
          </cell>
        </row>
        <row r="6266">
          <cell r="F6266" t="str">
            <v xml:space="preserve">890903939      </v>
          </cell>
          <cell r="O6266">
            <v>144</v>
          </cell>
        </row>
        <row r="6267">
          <cell r="F6267" t="str">
            <v xml:space="preserve">890903939      </v>
          </cell>
          <cell r="O6267">
            <v>324</v>
          </cell>
        </row>
        <row r="6268">
          <cell r="F6268" t="str">
            <v xml:space="preserve">890903939      </v>
          </cell>
          <cell r="O6268">
            <v>216</v>
          </cell>
        </row>
        <row r="6269">
          <cell r="F6269" t="str">
            <v xml:space="preserve">890903939      </v>
          </cell>
          <cell r="O6269">
            <v>72</v>
          </cell>
        </row>
        <row r="6270">
          <cell r="F6270" t="str">
            <v xml:space="preserve">890903939      </v>
          </cell>
          <cell r="O6270">
            <v>216</v>
          </cell>
        </row>
        <row r="6271">
          <cell r="F6271" t="str">
            <v xml:space="preserve">890903939      </v>
          </cell>
          <cell r="O6271">
            <v>144</v>
          </cell>
        </row>
        <row r="6272">
          <cell r="F6272" t="str">
            <v xml:space="preserve">900565867      </v>
          </cell>
          <cell r="O6272">
            <v>72</v>
          </cell>
        </row>
        <row r="6273">
          <cell r="F6273" t="str">
            <v xml:space="preserve">19236581       </v>
          </cell>
          <cell r="O6273">
            <v>2238.6999999999998</v>
          </cell>
        </row>
        <row r="6274">
          <cell r="F6274" t="str">
            <v xml:space="preserve">830107617      </v>
          </cell>
          <cell r="O6274">
            <v>2990</v>
          </cell>
        </row>
        <row r="6275">
          <cell r="F6275" t="str">
            <v xml:space="preserve">900133796      </v>
          </cell>
          <cell r="O6275">
            <v>443.4</v>
          </cell>
        </row>
        <row r="6276">
          <cell r="F6276" t="str">
            <v xml:space="preserve">900133796      </v>
          </cell>
          <cell r="O6276">
            <v>539.20000000000005</v>
          </cell>
        </row>
        <row r="6277">
          <cell r="F6277" t="str">
            <v xml:space="preserve">900133796      </v>
          </cell>
          <cell r="O6277">
            <v>577.5</v>
          </cell>
        </row>
        <row r="6278">
          <cell r="F6278" t="str">
            <v xml:space="preserve">900133796      </v>
          </cell>
          <cell r="O6278">
            <v>707.6</v>
          </cell>
        </row>
        <row r="6279">
          <cell r="F6279" t="str">
            <v xml:space="preserve">900384449      </v>
          </cell>
          <cell r="O6279">
            <v>134.1</v>
          </cell>
        </row>
        <row r="6280">
          <cell r="F6280" t="str">
            <v xml:space="preserve">900490692      </v>
          </cell>
          <cell r="O6280">
            <v>1400</v>
          </cell>
        </row>
        <row r="6281">
          <cell r="F6281" t="str">
            <v xml:space="preserve">900870666      </v>
          </cell>
          <cell r="O6281">
            <v>948.4</v>
          </cell>
        </row>
        <row r="6282">
          <cell r="F6282" t="str">
            <v xml:space="preserve">900959486      </v>
          </cell>
          <cell r="O6282">
            <v>1638.6</v>
          </cell>
        </row>
        <row r="6283">
          <cell r="F6283" t="str">
            <v xml:space="preserve">901239833      </v>
          </cell>
          <cell r="O6283">
            <v>1001.3</v>
          </cell>
        </row>
        <row r="6284">
          <cell r="F6284" t="str">
            <v xml:space="preserve">901247983      </v>
          </cell>
          <cell r="O6284">
            <v>5040</v>
          </cell>
        </row>
        <row r="6285">
          <cell r="F6285" t="str">
            <v xml:space="preserve">900504060      </v>
          </cell>
          <cell r="O6285">
            <v>25570</v>
          </cell>
        </row>
        <row r="6286">
          <cell r="F6286" t="str">
            <v xml:space="preserve">901019138      </v>
          </cell>
          <cell r="O6286">
            <v>27870</v>
          </cell>
        </row>
        <row r="6287">
          <cell r="F6287" t="str">
            <v xml:space="preserve">860001697      </v>
          </cell>
          <cell r="O6287">
            <v>147.5</v>
          </cell>
        </row>
        <row r="6288">
          <cell r="F6288" t="str">
            <v xml:space="preserve">860001697      </v>
          </cell>
          <cell r="O6288">
            <v>484.24</v>
          </cell>
        </row>
        <row r="6289">
          <cell r="F6289" t="str">
            <v xml:space="preserve">804002801      </v>
          </cell>
          <cell r="O6289">
            <v>6200</v>
          </cell>
        </row>
        <row r="6290">
          <cell r="F6290" t="str">
            <v xml:space="preserve">830118416      </v>
          </cell>
          <cell r="O6290">
            <v>6970</v>
          </cell>
        </row>
        <row r="6291">
          <cell r="F6291" t="str">
            <v xml:space="preserve">900197640      </v>
          </cell>
          <cell r="O6291">
            <v>1329.5</v>
          </cell>
        </row>
        <row r="6292">
          <cell r="F6292" t="str">
            <v xml:space="preserve">900197640      </v>
          </cell>
          <cell r="O6292">
            <v>1315.6</v>
          </cell>
        </row>
        <row r="6293">
          <cell r="F6293" t="str">
            <v xml:space="preserve">900197640      </v>
          </cell>
          <cell r="O6293">
            <v>1160.3</v>
          </cell>
        </row>
        <row r="6294">
          <cell r="F6294" t="str">
            <v xml:space="preserve">900197640      </v>
          </cell>
          <cell r="O6294">
            <v>1155.5999999999999</v>
          </cell>
        </row>
        <row r="6295">
          <cell r="F6295" t="str">
            <v xml:space="preserve">51793568       </v>
          </cell>
          <cell r="O6295">
            <v>75.5</v>
          </cell>
        </row>
        <row r="6296">
          <cell r="F6296" t="str">
            <v xml:space="preserve">79434442       </v>
          </cell>
          <cell r="O6296">
            <v>217.95</v>
          </cell>
        </row>
        <row r="6297">
          <cell r="F6297" t="str">
            <v xml:space="preserve">79686344       </v>
          </cell>
          <cell r="O6297">
            <v>32.799999999999997</v>
          </cell>
        </row>
        <row r="6298">
          <cell r="F6298" t="str">
            <v xml:space="preserve">811014849      </v>
          </cell>
          <cell r="O6298">
            <v>630.4</v>
          </cell>
        </row>
        <row r="6299">
          <cell r="F6299" t="str">
            <v xml:space="preserve">830008804      </v>
          </cell>
          <cell r="O6299">
            <v>236.09</v>
          </cell>
        </row>
        <row r="6300">
          <cell r="F6300" t="str">
            <v xml:space="preserve">891300382      </v>
          </cell>
          <cell r="O6300">
            <v>30.09</v>
          </cell>
        </row>
        <row r="6301">
          <cell r="F6301" t="str">
            <v xml:space="preserve">891300382      </v>
          </cell>
          <cell r="O6301">
            <v>30.37</v>
          </cell>
        </row>
        <row r="6302">
          <cell r="F6302" t="str">
            <v xml:space="preserve">891300382      </v>
          </cell>
          <cell r="O6302">
            <v>30.7</v>
          </cell>
        </row>
        <row r="6303">
          <cell r="F6303" t="str">
            <v xml:space="preserve">901350283      </v>
          </cell>
          <cell r="O6303">
            <v>159.53</v>
          </cell>
        </row>
        <row r="6304">
          <cell r="F6304" t="str">
            <v xml:space="preserve">860032450      </v>
          </cell>
          <cell r="O6304">
            <v>7285.4</v>
          </cell>
        </row>
        <row r="6305">
          <cell r="F6305" t="str">
            <v xml:space="preserve">800178813      </v>
          </cell>
          <cell r="O6305">
            <v>369.6</v>
          </cell>
        </row>
        <row r="6306">
          <cell r="F6306" t="str">
            <v xml:space="preserve">860032450      </v>
          </cell>
          <cell r="O6306">
            <v>866.1</v>
          </cell>
        </row>
        <row r="6307">
          <cell r="F6307" t="str">
            <v xml:space="preserve">805005148      </v>
          </cell>
          <cell r="O6307">
            <v>18</v>
          </cell>
        </row>
        <row r="6308">
          <cell r="F6308" t="str">
            <v xml:space="preserve">805005148      </v>
          </cell>
          <cell r="O6308">
            <v>936</v>
          </cell>
        </row>
        <row r="6309">
          <cell r="F6309" t="str">
            <v xml:space="preserve">805005148      </v>
          </cell>
          <cell r="O6309">
            <v>180</v>
          </cell>
        </row>
        <row r="6310">
          <cell r="F6310" t="str">
            <v xml:space="preserve">805005148      </v>
          </cell>
          <cell r="O6310">
            <v>4.5</v>
          </cell>
        </row>
        <row r="6311">
          <cell r="F6311" t="str">
            <v xml:space="preserve">805005148      </v>
          </cell>
          <cell r="O6311">
            <v>1044</v>
          </cell>
        </row>
        <row r="6312">
          <cell r="F6312" t="str">
            <v xml:space="preserve">805005148      </v>
          </cell>
          <cell r="O6312">
            <v>180</v>
          </cell>
        </row>
        <row r="6313">
          <cell r="F6313" t="str">
            <v xml:space="preserve">805005148      </v>
          </cell>
          <cell r="O6313">
            <v>9</v>
          </cell>
        </row>
        <row r="6314">
          <cell r="F6314" t="str">
            <v xml:space="preserve">805005148      </v>
          </cell>
          <cell r="O6314">
            <v>189</v>
          </cell>
        </row>
        <row r="6315">
          <cell r="F6315" t="str">
            <v xml:space="preserve">805005148      </v>
          </cell>
          <cell r="O6315">
            <v>285</v>
          </cell>
        </row>
        <row r="6316">
          <cell r="F6316" t="str">
            <v xml:space="preserve">805005148      </v>
          </cell>
          <cell r="O6316">
            <v>972</v>
          </cell>
        </row>
        <row r="6317">
          <cell r="F6317" t="str">
            <v xml:space="preserve">805005148      </v>
          </cell>
          <cell r="O6317">
            <v>270</v>
          </cell>
        </row>
        <row r="6318">
          <cell r="F6318" t="str">
            <v xml:space="preserve">805005148      </v>
          </cell>
          <cell r="O6318">
            <v>30</v>
          </cell>
        </row>
        <row r="6319">
          <cell r="F6319" t="str">
            <v xml:space="preserve">805005148      </v>
          </cell>
          <cell r="O6319">
            <v>72</v>
          </cell>
        </row>
        <row r="6320">
          <cell r="F6320" t="str">
            <v xml:space="preserve">860033740      </v>
          </cell>
          <cell r="O6320">
            <v>135</v>
          </cell>
        </row>
        <row r="6321">
          <cell r="F6321" t="str">
            <v xml:space="preserve">901132114      </v>
          </cell>
          <cell r="O6321">
            <v>15</v>
          </cell>
        </row>
        <row r="6322">
          <cell r="F6322" t="str">
            <v xml:space="preserve">901132114      </v>
          </cell>
          <cell r="O6322">
            <v>36</v>
          </cell>
        </row>
        <row r="6323">
          <cell r="F6323" t="str">
            <v xml:space="preserve">1130605276     </v>
          </cell>
          <cell r="O6323">
            <v>4.5</v>
          </cell>
        </row>
        <row r="6324">
          <cell r="F6324" t="str">
            <v xml:space="preserve">1130605276     </v>
          </cell>
          <cell r="O6324">
            <v>165</v>
          </cell>
        </row>
        <row r="6325">
          <cell r="F6325" t="str">
            <v xml:space="preserve">1130605276     </v>
          </cell>
          <cell r="O6325">
            <v>1152</v>
          </cell>
        </row>
        <row r="6326">
          <cell r="F6326" t="str">
            <v xml:space="preserve">1130605276     </v>
          </cell>
          <cell r="O6326">
            <v>180</v>
          </cell>
        </row>
        <row r="6327">
          <cell r="F6327" t="str">
            <v xml:space="preserve">94050412       </v>
          </cell>
          <cell r="O6327">
            <v>45</v>
          </cell>
        </row>
        <row r="6328">
          <cell r="F6328" t="str">
            <v xml:space="preserve">94050412       </v>
          </cell>
          <cell r="O6328">
            <v>540</v>
          </cell>
        </row>
        <row r="6329">
          <cell r="F6329" t="str">
            <v xml:space="preserve">94050412       </v>
          </cell>
          <cell r="O6329">
            <v>45</v>
          </cell>
        </row>
        <row r="6330">
          <cell r="F6330" t="str">
            <v xml:space="preserve">88275315       </v>
          </cell>
          <cell r="O6330">
            <v>45</v>
          </cell>
        </row>
        <row r="6331">
          <cell r="F6331" t="str">
            <v xml:space="preserve">88275315       </v>
          </cell>
          <cell r="O6331">
            <v>120</v>
          </cell>
        </row>
        <row r="6332">
          <cell r="F6332" t="str">
            <v xml:space="preserve">88275315       </v>
          </cell>
          <cell r="O6332">
            <v>1818</v>
          </cell>
        </row>
        <row r="6333">
          <cell r="F6333" t="str">
            <v xml:space="preserve">88275315       </v>
          </cell>
          <cell r="O6333">
            <v>270</v>
          </cell>
        </row>
        <row r="6334">
          <cell r="F6334" t="str">
            <v xml:space="preserve">900446063      </v>
          </cell>
          <cell r="O6334">
            <v>18</v>
          </cell>
        </row>
        <row r="6335">
          <cell r="F6335" t="str">
            <v xml:space="preserve">94464104       </v>
          </cell>
          <cell r="O6335">
            <v>120</v>
          </cell>
        </row>
        <row r="6336">
          <cell r="F6336" t="str">
            <v xml:space="preserve">94464104       </v>
          </cell>
          <cell r="O6336">
            <v>540</v>
          </cell>
        </row>
        <row r="6337">
          <cell r="F6337" t="str">
            <v xml:space="preserve">94464104       </v>
          </cell>
          <cell r="O6337">
            <v>4.5</v>
          </cell>
        </row>
        <row r="6338">
          <cell r="F6338" t="str">
            <v xml:space="preserve">94464104       </v>
          </cell>
          <cell r="O6338">
            <v>9</v>
          </cell>
        </row>
        <row r="6339">
          <cell r="F6339" t="str">
            <v xml:space="preserve">94464104       </v>
          </cell>
          <cell r="O6339">
            <v>15</v>
          </cell>
        </row>
        <row r="6340">
          <cell r="F6340" t="str">
            <v xml:space="preserve">94464104       </v>
          </cell>
          <cell r="O6340">
            <v>342</v>
          </cell>
        </row>
        <row r="6341">
          <cell r="F6341" t="str">
            <v xml:space="preserve">94420019       </v>
          </cell>
          <cell r="O6341">
            <v>270</v>
          </cell>
        </row>
        <row r="6342">
          <cell r="F6342" t="str">
            <v xml:space="preserve">94420019       </v>
          </cell>
          <cell r="O6342">
            <v>135</v>
          </cell>
        </row>
        <row r="6343">
          <cell r="F6343" t="str">
            <v xml:space="preserve">16669313       </v>
          </cell>
          <cell r="O6343">
            <v>18</v>
          </cell>
        </row>
        <row r="6344">
          <cell r="F6344" t="str">
            <v xml:space="preserve">16669313       </v>
          </cell>
          <cell r="O6344">
            <v>30</v>
          </cell>
        </row>
        <row r="6345">
          <cell r="F6345" t="str">
            <v xml:space="preserve">16669313       </v>
          </cell>
          <cell r="O6345">
            <v>1224</v>
          </cell>
        </row>
        <row r="6346">
          <cell r="F6346" t="str">
            <v xml:space="preserve">16669313       </v>
          </cell>
          <cell r="O6346">
            <v>90</v>
          </cell>
        </row>
        <row r="6347">
          <cell r="F6347" t="str">
            <v xml:space="preserve">900034686      </v>
          </cell>
          <cell r="O6347">
            <v>54</v>
          </cell>
        </row>
        <row r="6348">
          <cell r="F6348" t="str">
            <v xml:space="preserve">900034686      </v>
          </cell>
          <cell r="O6348">
            <v>90</v>
          </cell>
        </row>
        <row r="6349">
          <cell r="F6349" t="str">
            <v xml:space="preserve">900034686      </v>
          </cell>
          <cell r="O6349">
            <v>72</v>
          </cell>
        </row>
        <row r="6350">
          <cell r="F6350" t="str">
            <v xml:space="preserve">900034686      </v>
          </cell>
          <cell r="O6350">
            <v>135</v>
          </cell>
        </row>
        <row r="6351">
          <cell r="F6351" t="str">
            <v xml:space="preserve">16460421       </v>
          </cell>
          <cell r="O6351">
            <v>9</v>
          </cell>
        </row>
        <row r="6352">
          <cell r="F6352" t="str">
            <v xml:space="preserve">16460421       </v>
          </cell>
          <cell r="O6352">
            <v>18</v>
          </cell>
        </row>
        <row r="6353">
          <cell r="F6353" t="str">
            <v xml:space="preserve">16460421       </v>
          </cell>
          <cell r="O6353">
            <v>60</v>
          </cell>
        </row>
        <row r="6354">
          <cell r="F6354" t="str">
            <v xml:space="preserve">16460421       </v>
          </cell>
          <cell r="O6354">
            <v>1044</v>
          </cell>
        </row>
        <row r="6355">
          <cell r="F6355" t="str">
            <v xml:space="preserve">16460421       </v>
          </cell>
          <cell r="O6355">
            <v>135</v>
          </cell>
        </row>
        <row r="6356">
          <cell r="F6356" t="str">
            <v xml:space="preserve">901382327      </v>
          </cell>
          <cell r="O6356">
            <v>18</v>
          </cell>
        </row>
        <row r="6357">
          <cell r="F6357" t="str">
            <v xml:space="preserve">75099432       </v>
          </cell>
          <cell r="O6357">
            <v>18</v>
          </cell>
        </row>
        <row r="6358">
          <cell r="F6358" t="str">
            <v xml:space="preserve">75099432       </v>
          </cell>
          <cell r="O6358">
            <v>690</v>
          </cell>
        </row>
        <row r="6359">
          <cell r="F6359" t="str">
            <v xml:space="preserve">75099432       </v>
          </cell>
          <cell r="O6359">
            <v>144</v>
          </cell>
        </row>
        <row r="6360">
          <cell r="F6360" t="str">
            <v xml:space="preserve">75099432       </v>
          </cell>
          <cell r="O6360">
            <v>270</v>
          </cell>
        </row>
        <row r="6361">
          <cell r="F6361" t="str">
            <v xml:space="preserve">890802833      </v>
          </cell>
          <cell r="O6361">
            <v>90</v>
          </cell>
        </row>
        <row r="6362">
          <cell r="F6362" t="str">
            <v xml:space="preserve">10237057       </v>
          </cell>
          <cell r="O6362">
            <v>18</v>
          </cell>
        </row>
        <row r="6363">
          <cell r="F6363" t="str">
            <v xml:space="preserve">10237057       </v>
          </cell>
          <cell r="O6363">
            <v>150</v>
          </cell>
        </row>
        <row r="6364">
          <cell r="F6364" t="str">
            <v xml:space="preserve">6157942        </v>
          </cell>
          <cell r="O6364">
            <v>735</v>
          </cell>
        </row>
        <row r="6365">
          <cell r="F6365" t="str">
            <v xml:space="preserve">1111745154     </v>
          </cell>
          <cell r="O6365">
            <v>72</v>
          </cell>
        </row>
        <row r="6366">
          <cell r="F6366" t="str">
            <v xml:space="preserve">1111745154     </v>
          </cell>
          <cell r="O6366">
            <v>270</v>
          </cell>
        </row>
        <row r="6367">
          <cell r="F6367" t="str">
            <v xml:space="preserve">16456104       </v>
          </cell>
          <cell r="O6367">
            <v>555</v>
          </cell>
        </row>
        <row r="6368">
          <cell r="F6368" t="str">
            <v xml:space="preserve">16456104       </v>
          </cell>
          <cell r="O6368">
            <v>45</v>
          </cell>
        </row>
        <row r="6369">
          <cell r="F6369" t="str">
            <v xml:space="preserve">71734502       </v>
          </cell>
          <cell r="O6369">
            <v>90</v>
          </cell>
        </row>
        <row r="6370">
          <cell r="F6370" t="str">
            <v xml:space="preserve">14471042       </v>
          </cell>
          <cell r="O6370">
            <v>195</v>
          </cell>
        </row>
        <row r="6371">
          <cell r="F6371" t="str">
            <v xml:space="preserve">16479359       </v>
          </cell>
          <cell r="O6371">
            <v>225</v>
          </cell>
        </row>
        <row r="6372">
          <cell r="F6372" t="str">
            <v xml:space="preserve">16479359       </v>
          </cell>
          <cell r="O6372">
            <v>135</v>
          </cell>
        </row>
        <row r="6373">
          <cell r="F6373" t="str">
            <v xml:space="preserve">16214926       </v>
          </cell>
          <cell r="O6373">
            <v>4.5</v>
          </cell>
        </row>
        <row r="6374">
          <cell r="F6374" t="str">
            <v xml:space="preserve">16214926       </v>
          </cell>
          <cell r="O6374">
            <v>15</v>
          </cell>
        </row>
        <row r="6375">
          <cell r="F6375" t="str">
            <v xml:space="preserve">16214926       </v>
          </cell>
          <cell r="O6375">
            <v>225</v>
          </cell>
        </row>
        <row r="6376">
          <cell r="F6376" t="str">
            <v xml:space="preserve">29233836       </v>
          </cell>
          <cell r="O6376">
            <v>9</v>
          </cell>
        </row>
        <row r="6377">
          <cell r="F6377" t="str">
            <v xml:space="preserve">29233836       </v>
          </cell>
          <cell r="O6377">
            <v>330</v>
          </cell>
        </row>
        <row r="6378">
          <cell r="F6378" t="str">
            <v xml:space="preserve">10007888       </v>
          </cell>
          <cell r="O6378">
            <v>150</v>
          </cell>
        </row>
        <row r="6379">
          <cell r="F6379" t="str">
            <v xml:space="preserve">10007888       </v>
          </cell>
          <cell r="O6379">
            <v>18</v>
          </cell>
        </row>
        <row r="6380">
          <cell r="F6380" t="str">
            <v xml:space="preserve">1088256267     </v>
          </cell>
          <cell r="O6380">
            <v>9</v>
          </cell>
        </row>
        <row r="6381">
          <cell r="F6381" t="str">
            <v xml:space="preserve">1088256267     </v>
          </cell>
          <cell r="O6381">
            <v>195</v>
          </cell>
        </row>
        <row r="6382">
          <cell r="F6382" t="str">
            <v xml:space="preserve">1088256267     </v>
          </cell>
          <cell r="O6382">
            <v>90</v>
          </cell>
        </row>
        <row r="6383">
          <cell r="F6383" t="str">
            <v xml:space="preserve">1088256267     </v>
          </cell>
          <cell r="O6383">
            <v>90</v>
          </cell>
        </row>
        <row r="6384">
          <cell r="F6384" t="str">
            <v xml:space="preserve">66676270       </v>
          </cell>
          <cell r="O6384">
            <v>180</v>
          </cell>
        </row>
        <row r="6385">
          <cell r="F6385" t="str">
            <v xml:space="preserve">94228120       </v>
          </cell>
          <cell r="O6385">
            <v>4.5</v>
          </cell>
        </row>
        <row r="6386">
          <cell r="F6386" t="str">
            <v xml:space="preserve">94228120       </v>
          </cell>
          <cell r="O6386">
            <v>108</v>
          </cell>
        </row>
        <row r="6387">
          <cell r="F6387" t="str">
            <v xml:space="preserve">94228120       </v>
          </cell>
          <cell r="O6387">
            <v>105</v>
          </cell>
        </row>
        <row r="6388">
          <cell r="F6388" t="str">
            <v xml:space="preserve">94228120       </v>
          </cell>
          <cell r="O6388">
            <v>432</v>
          </cell>
        </row>
        <row r="6389">
          <cell r="F6389" t="str">
            <v xml:space="preserve">94228120       </v>
          </cell>
          <cell r="O6389">
            <v>225</v>
          </cell>
        </row>
        <row r="6390">
          <cell r="F6390" t="str">
            <v xml:space="preserve">94228120       </v>
          </cell>
          <cell r="O6390">
            <v>30</v>
          </cell>
        </row>
        <row r="6391">
          <cell r="F6391" t="str">
            <v xml:space="preserve">94228120       </v>
          </cell>
          <cell r="O6391">
            <v>18</v>
          </cell>
        </row>
        <row r="6392">
          <cell r="F6392" t="str">
            <v xml:space="preserve">15896671       </v>
          </cell>
          <cell r="O6392">
            <v>450</v>
          </cell>
        </row>
        <row r="6393">
          <cell r="F6393" t="str">
            <v xml:space="preserve">66679645       </v>
          </cell>
          <cell r="O6393">
            <v>45</v>
          </cell>
        </row>
        <row r="6394">
          <cell r="F6394" t="str">
            <v xml:space="preserve">66679645       </v>
          </cell>
          <cell r="O6394">
            <v>75</v>
          </cell>
        </row>
        <row r="6395">
          <cell r="F6395" t="str">
            <v xml:space="preserve">66679645       </v>
          </cell>
          <cell r="O6395">
            <v>90</v>
          </cell>
        </row>
        <row r="6396">
          <cell r="F6396" t="str">
            <v xml:space="preserve">66679645       </v>
          </cell>
          <cell r="O6396">
            <v>45</v>
          </cell>
        </row>
        <row r="6397">
          <cell r="F6397" t="str">
            <v xml:space="preserve">66679645       </v>
          </cell>
          <cell r="O6397">
            <v>45</v>
          </cell>
        </row>
        <row r="6398">
          <cell r="F6398" t="str">
            <v xml:space="preserve">66679645       </v>
          </cell>
          <cell r="O6398">
            <v>90</v>
          </cell>
        </row>
        <row r="6399">
          <cell r="F6399" t="str">
            <v xml:space="preserve">66679645       </v>
          </cell>
          <cell r="O6399">
            <v>45</v>
          </cell>
        </row>
        <row r="6400">
          <cell r="F6400" t="str">
            <v xml:space="preserve">16225682       </v>
          </cell>
          <cell r="O6400">
            <v>450</v>
          </cell>
        </row>
        <row r="6401">
          <cell r="F6401" t="str">
            <v xml:space="preserve">16225682       </v>
          </cell>
          <cell r="O6401">
            <v>72</v>
          </cell>
        </row>
        <row r="6402">
          <cell r="F6402" t="str">
            <v xml:space="preserve">16225682       </v>
          </cell>
          <cell r="O6402">
            <v>45</v>
          </cell>
        </row>
        <row r="6403">
          <cell r="F6403" t="str">
            <v xml:space="preserve">10144092       </v>
          </cell>
          <cell r="O6403">
            <v>225</v>
          </cell>
        </row>
        <row r="6404">
          <cell r="F6404" t="str">
            <v xml:space="preserve">24835836       </v>
          </cell>
          <cell r="O6404">
            <v>270</v>
          </cell>
        </row>
        <row r="6405">
          <cell r="F6405" t="str">
            <v xml:space="preserve">24835836       </v>
          </cell>
          <cell r="O6405">
            <v>54</v>
          </cell>
        </row>
        <row r="6406">
          <cell r="F6406" t="str">
            <v xml:space="preserve">16225675       </v>
          </cell>
          <cell r="O6406">
            <v>18</v>
          </cell>
        </row>
        <row r="6407">
          <cell r="F6407" t="str">
            <v xml:space="preserve">16225675       </v>
          </cell>
          <cell r="O6407">
            <v>450</v>
          </cell>
        </row>
        <row r="6408">
          <cell r="F6408" t="str">
            <v xml:space="preserve">16225675       </v>
          </cell>
          <cell r="O6408">
            <v>45</v>
          </cell>
        </row>
        <row r="6409">
          <cell r="F6409" t="str">
            <v xml:space="preserve">16225675       </v>
          </cell>
          <cell r="O6409">
            <v>72</v>
          </cell>
        </row>
        <row r="6410">
          <cell r="F6410" t="str">
            <v xml:space="preserve">76336108       </v>
          </cell>
          <cell r="O6410">
            <v>30</v>
          </cell>
        </row>
        <row r="6411">
          <cell r="F6411" t="str">
            <v xml:space="preserve">76336108       </v>
          </cell>
          <cell r="O6411">
            <v>252</v>
          </cell>
        </row>
        <row r="6412">
          <cell r="F6412" t="str">
            <v xml:space="preserve">76323227       </v>
          </cell>
          <cell r="O6412">
            <v>1350</v>
          </cell>
        </row>
        <row r="6413">
          <cell r="F6413" t="str">
            <v xml:space="preserve">10532222       </v>
          </cell>
          <cell r="O6413">
            <v>30</v>
          </cell>
        </row>
        <row r="6414">
          <cell r="F6414" t="str">
            <v xml:space="preserve">10532222       </v>
          </cell>
          <cell r="O6414">
            <v>306</v>
          </cell>
        </row>
        <row r="6415">
          <cell r="F6415" t="str">
            <v xml:space="preserve">12168724       </v>
          </cell>
          <cell r="O6415">
            <v>720</v>
          </cell>
        </row>
        <row r="6416">
          <cell r="F6416" t="str">
            <v xml:space="preserve">12168724       </v>
          </cell>
          <cell r="O6416">
            <v>45</v>
          </cell>
        </row>
        <row r="6417">
          <cell r="F6417" t="str">
            <v xml:space="preserve">10755493       </v>
          </cell>
          <cell r="O6417">
            <v>576</v>
          </cell>
        </row>
        <row r="6418">
          <cell r="F6418" t="str">
            <v xml:space="preserve">10755493       </v>
          </cell>
          <cell r="O6418">
            <v>504</v>
          </cell>
        </row>
        <row r="6419">
          <cell r="F6419" t="str">
            <v xml:space="preserve">10292388       </v>
          </cell>
          <cell r="O6419">
            <v>324</v>
          </cell>
        </row>
        <row r="6420">
          <cell r="F6420" t="str">
            <v xml:space="preserve">10292388       </v>
          </cell>
          <cell r="O6420">
            <v>135</v>
          </cell>
        </row>
        <row r="6421">
          <cell r="F6421" t="str">
            <v xml:space="preserve">76331539       </v>
          </cell>
          <cell r="O6421">
            <v>15</v>
          </cell>
        </row>
        <row r="6422">
          <cell r="F6422" t="str">
            <v xml:space="preserve">76331539       </v>
          </cell>
          <cell r="O6422">
            <v>882</v>
          </cell>
        </row>
        <row r="6423">
          <cell r="F6423" t="str">
            <v xml:space="preserve">76331539       </v>
          </cell>
          <cell r="O6423">
            <v>45</v>
          </cell>
        </row>
        <row r="6424">
          <cell r="F6424" t="str">
            <v xml:space="preserve">76331539       </v>
          </cell>
          <cell r="O6424">
            <v>30</v>
          </cell>
        </row>
        <row r="6425">
          <cell r="F6425" t="str">
            <v xml:space="preserve">76331539       </v>
          </cell>
          <cell r="O6425">
            <v>630</v>
          </cell>
        </row>
        <row r="6426">
          <cell r="F6426" t="str">
            <v xml:space="preserve">76331539       </v>
          </cell>
          <cell r="O6426">
            <v>90</v>
          </cell>
        </row>
        <row r="6427">
          <cell r="F6427" t="str">
            <v xml:space="preserve">9900047        </v>
          </cell>
          <cell r="O6427">
            <v>60</v>
          </cell>
        </row>
        <row r="6428">
          <cell r="F6428" t="str">
            <v xml:space="preserve">9900047        </v>
          </cell>
          <cell r="O6428">
            <v>126</v>
          </cell>
        </row>
        <row r="6429">
          <cell r="F6429" t="str">
            <v xml:space="preserve">18389245       </v>
          </cell>
          <cell r="O6429">
            <v>135</v>
          </cell>
        </row>
        <row r="6430">
          <cell r="F6430" t="str">
            <v xml:space="preserve">18389245       </v>
          </cell>
          <cell r="O6430">
            <v>45</v>
          </cell>
        </row>
        <row r="6431">
          <cell r="F6431" t="str">
            <v xml:space="preserve">18416624       </v>
          </cell>
          <cell r="O6431">
            <v>90</v>
          </cell>
        </row>
        <row r="6432">
          <cell r="F6432" t="str">
            <v xml:space="preserve">18416624       </v>
          </cell>
          <cell r="O6432">
            <v>252</v>
          </cell>
        </row>
        <row r="6433">
          <cell r="F6433" t="str">
            <v xml:space="preserve">18416624       </v>
          </cell>
          <cell r="O6433">
            <v>45</v>
          </cell>
        </row>
        <row r="6434">
          <cell r="F6434" t="str">
            <v xml:space="preserve">4613715        </v>
          </cell>
          <cell r="O6434">
            <v>360</v>
          </cell>
        </row>
        <row r="6435">
          <cell r="F6435" t="str">
            <v xml:space="preserve">4613715        </v>
          </cell>
          <cell r="O6435">
            <v>576</v>
          </cell>
        </row>
        <row r="6436">
          <cell r="F6436" t="str">
            <v xml:space="preserve">4613715        </v>
          </cell>
          <cell r="O6436">
            <v>135</v>
          </cell>
        </row>
        <row r="6437">
          <cell r="F6437" t="str">
            <v xml:space="preserve">9805400        </v>
          </cell>
          <cell r="O6437">
            <v>72</v>
          </cell>
        </row>
        <row r="6438">
          <cell r="F6438" t="str">
            <v xml:space="preserve">9805400        </v>
          </cell>
          <cell r="O6438">
            <v>90</v>
          </cell>
        </row>
        <row r="6439">
          <cell r="F6439" t="str">
            <v xml:space="preserve">805005148      </v>
          </cell>
          <cell r="O6439">
            <v>9</v>
          </cell>
        </row>
        <row r="6440">
          <cell r="F6440" t="str">
            <v xml:space="preserve">805005148      </v>
          </cell>
          <cell r="O6440">
            <v>75</v>
          </cell>
        </row>
        <row r="6441">
          <cell r="F6441" t="str">
            <v xml:space="preserve">805005148      </v>
          </cell>
          <cell r="O6441">
            <v>198</v>
          </cell>
        </row>
        <row r="6442">
          <cell r="F6442" t="str">
            <v xml:space="preserve">805005148      </v>
          </cell>
          <cell r="O6442">
            <v>2520</v>
          </cell>
        </row>
        <row r="6443">
          <cell r="F6443" t="str">
            <v xml:space="preserve">805005148      </v>
          </cell>
          <cell r="O6443">
            <v>270</v>
          </cell>
        </row>
        <row r="6444">
          <cell r="F6444" t="str">
            <v xml:space="preserve">10488839       </v>
          </cell>
          <cell r="O6444">
            <v>4.5</v>
          </cell>
        </row>
        <row r="6445">
          <cell r="F6445" t="str">
            <v xml:space="preserve">10488839       </v>
          </cell>
          <cell r="O6445">
            <v>1188</v>
          </cell>
        </row>
        <row r="6446">
          <cell r="F6446" t="str">
            <v xml:space="preserve">10488839       </v>
          </cell>
          <cell r="O6446">
            <v>90</v>
          </cell>
        </row>
        <row r="6447">
          <cell r="F6447" t="str">
            <v xml:space="preserve">16843578       </v>
          </cell>
          <cell r="O6447">
            <v>1800</v>
          </cell>
        </row>
        <row r="6448">
          <cell r="F6448" t="str">
            <v xml:space="preserve">900034686      </v>
          </cell>
          <cell r="O6448">
            <v>90</v>
          </cell>
        </row>
        <row r="6449">
          <cell r="F6449" t="str">
            <v xml:space="preserve">16849293       </v>
          </cell>
          <cell r="O6449">
            <v>90</v>
          </cell>
        </row>
        <row r="6450">
          <cell r="F6450" t="str">
            <v xml:space="preserve">16849293       </v>
          </cell>
          <cell r="O6450">
            <v>90</v>
          </cell>
        </row>
        <row r="6451">
          <cell r="F6451" t="str">
            <v xml:space="preserve">14229215       </v>
          </cell>
          <cell r="O6451">
            <v>225</v>
          </cell>
        </row>
        <row r="6452">
          <cell r="F6452" t="str">
            <v xml:space="preserve">14229215       </v>
          </cell>
          <cell r="O6452">
            <v>270</v>
          </cell>
        </row>
        <row r="6453">
          <cell r="F6453" t="str">
            <v xml:space="preserve">14229215       </v>
          </cell>
          <cell r="O6453">
            <v>90</v>
          </cell>
        </row>
        <row r="6454">
          <cell r="F6454" t="str">
            <v xml:space="preserve">79448203       </v>
          </cell>
          <cell r="O6454">
            <v>900</v>
          </cell>
        </row>
        <row r="6455">
          <cell r="F6455" t="str">
            <v xml:space="preserve">79448203       </v>
          </cell>
          <cell r="O6455">
            <v>1314</v>
          </cell>
        </row>
        <row r="6456">
          <cell r="F6456" t="str">
            <v xml:space="preserve">79448203       </v>
          </cell>
          <cell r="O6456">
            <v>270</v>
          </cell>
        </row>
        <row r="6457">
          <cell r="F6457" t="str">
            <v xml:space="preserve">26050336       </v>
          </cell>
          <cell r="O6457">
            <v>18</v>
          </cell>
        </row>
        <row r="6458">
          <cell r="F6458" t="str">
            <v xml:space="preserve">26050336       </v>
          </cell>
          <cell r="O6458">
            <v>30</v>
          </cell>
        </row>
        <row r="6459">
          <cell r="F6459" t="str">
            <v xml:space="preserve">26050336       </v>
          </cell>
          <cell r="O6459">
            <v>135</v>
          </cell>
        </row>
        <row r="6460">
          <cell r="F6460" t="str">
            <v xml:space="preserve">7163709        </v>
          </cell>
          <cell r="O6460">
            <v>150</v>
          </cell>
        </row>
        <row r="6461">
          <cell r="F6461" t="str">
            <v xml:space="preserve">7163709        </v>
          </cell>
          <cell r="O6461">
            <v>270</v>
          </cell>
        </row>
        <row r="6462">
          <cell r="F6462" t="str">
            <v xml:space="preserve">7163709        </v>
          </cell>
          <cell r="O6462">
            <v>1440</v>
          </cell>
        </row>
        <row r="6463">
          <cell r="F6463" t="str">
            <v xml:space="preserve">91360601       </v>
          </cell>
          <cell r="O6463">
            <v>9</v>
          </cell>
        </row>
        <row r="6464">
          <cell r="F6464" t="str">
            <v xml:space="preserve">91360601       </v>
          </cell>
          <cell r="O6464">
            <v>225</v>
          </cell>
        </row>
        <row r="6465">
          <cell r="F6465" t="str">
            <v xml:space="preserve">91360601       </v>
          </cell>
          <cell r="O6465">
            <v>1800</v>
          </cell>
        </row>
        <row r="6466">
          <cell r="F6466" t="str">
            <v xml:space="preserve">91360601       </v>
          </cell>
          <cell r="O6466">
            <v>540</v>
          </cell>
        </row>
        <row r="6467">
          <cell r="F6467" t="str">
            <v xml:space="preserve">79824837       </v>
          </cell>
          <cell r="O6467">
            <v>360</v>
          </cell>
        </row>
        <row r="6468">
          <cell r="F6468" t="str">
            <v xml:space="preserve">3273085        </v>
          </cell>
          <cell r="O6468">
            <v>900</v>
          </cell>
        </row>
        <row r="6469">
          <cell r="F6469" t="str">
            <v xml:space="preserve">3273085        </v>
          </cell>
          <cell r="O6469">
            <v>120</v>
          </cell>
        </row>
        <row r="6470">
          <cell r="F6470" t="str">
            <v xml:space="preserve">3273085        </v>
          </cell>
          <cell r="O6470">
            <v>360</v>
          </cell>
        </row>
        <row r="6471">
          <cell r="F6471" t="str">
            <v xml:space="preserve">71747063       </v>
          </cell>
          <cell r="O6471">
            <v>9</v>
          </cell>
        </row>
        <row r="6472">
          <cell r="F6472" t="str">
            <v xml:space="preserve">71747063       </v>
          </cell>
          <cell r="O6472">
            <v>1494</v>
          </cell>
        </row>
        <row r="6473">
          <cell r="F6473" t="str">
            <v xml:space="preserve">71747063       </v>
          </cell>
          <cell r="O6473">
            <v>1350</v>
          </cell>
        </row>
        <row r="6474">
          <cell r="F6474" t="str">
            <v xml:space="preserve">71312536       </v>
          </cell>
          <cell r="O6474">
            <v>450</v>
          </cell>
        </row>
        <row r="6475">
          <cell r="F6475" t="str">
            <v xml:space="preserve">71215358       </v>
          </cell>
          <cell r="O6475">
            <v>270</v>
          </cell>
        </row>
        <row r="6476">
          <cell r="F6476" t="str">
            <v xml:space="preserve">71215358       </v>
          </cell>
          <cell r="O6476">
            <v>45</v>
          </cell>
        </row>
        <row r="6477">
          <cell r="F6477" t="str">
            <v xml:space="preserve">71215358       </v>
          </cell>
          <cell r="O6477">
            <v>4.5</v>
          </cell>
        </row>
        <row r="6478">
          <cell r="F6478" t="str">
            <v xml:space="preserve">71215358       </v>
          </cell>
          <cell r="O6478">
            <v>27</v>
          </cell>
        </row>
        <row r="6479">
          <cell r="F6479" t="str">
            <v xml:space="preserve">71215358       </v>
          </cell>
          <cell r="O6479">
            <v>30</v>
          </cell>
        </row>
        <row r="6480">
          <cell r="F6480" t="str">
            <v xml:space="preserve">71215358       </v>
          </cell>
          <cell r="O6480">
            <v>504</v>
          </cell>
        </row>
        <row r="6481">
          <cell r="F6481" t="str">
            <v xml:space="preserve">71215358       </v>
          </cell>
          <cell r="O6481">
            <v>270</v>
          </cell>
        </row>
        <row r="6482">
          <cell r="F6482" t="str">
            <v xml:space="preserve">71053866       </v>
          </cell>
          <cell r="O6482">
            <v>300</v>
          </cell>
        </row>
        <row r="6483">
          <cell r="F6483" t="str">
            <v xml:space="preserve">71053866       </v>
          </cell>
          <cell r="O6483">
            <v>1080</v>
          </cell>
        </row>
        <row r="6484">
          <cell r="F6484" t="str">
            <v xml:space="preserve">71053866       </v>
          </cell>
          <cell r="O6484">
            <v>720</v>
          </cell>
        </row>
        <row r="6485">
          <cell r="F6485" t="str">
            <v xml:space="preserve">91179385       </v>
          </cell>
          <cell r="O6485">
            <v>9</v>
          </cell>
        </row>
        <row r="6486">
          <cell r="F6486" t="str">
            <v xml:space="preserve">91179385       </v>
          </cell>
          <cell r="O6486">
            <v>30</v>
          </cell>
        </row>
        <row r="6487">
          <cell r="F6487" t="str">
            <v xml:space="preserve">91179385       </v>
          </cell>
          <cell r="O6487">
            <v>396</v>
          </cell>
        </row>
        <row r="6488">
          <cell r="F6488" t="str">
            <v xml:space="preserve">91179385       </v>
          </cell>
          <cell r="O6488">
            <v>648</v>
          </cell>
        </row>
        <row r="6489">
          <cell r="F6489" t="str">
            <v xml:space="preserve">91179385       </v>
          </cell>
          <cell r="O6489">
            <v>180</v>
          </cell>
        </row>
        <row r="6490">
          <cell r="F6490" t="str">
            <v xml:space="preserve">91179385       </v>
          </cell>
          <cell r="O6490">
            <v>15</v>
          </cell>
        </row>
        <row r="6491">
          <cell r="F6491" t="str">
            <v xml:space="preserve">91179385       </v>
          </cell>
          <cell r="O6491">
            <v>270</v>
          </cell>
        </row>
        <row r="6492">
          <cell r="F6492" t="str">
            <v xml:space="preserve">91179385       </v>
          </cell>
          <cell r="O6492">
            <v>180</v>
          </cell>
        </row>
        <row r="6493">
          <cell r="F6493" t="str">
            <v xml:space="preserve">88275004       </v>
          </cell>
          <cell r="O6493">
            <v>1830</v>
          </cell>
        </row>
        <row r="6494">
          <cell r="F6494" t="str">
            <v xml:space="preserve">88275004       </v>
          </cell>
          <cell r="O6494">
            <v>360</v>
          </cell>
        </row>
        <row r="6495">
          <cell r="F6495" t="str">
            <v xml:space="preserve">88275004       </v>
          </cell>
          <cell r="O6495">
            <v>225</v>
          </cell>
        </row>
        <row r="6496">
          <cell r="F6496" t="str">
            <v xml:space="preserve">88158577       </v>
          </cell>
          <cell r="O6496">
            <v>450</v>
          </cell>
        </row>
        <row r="6497">
          <cell r="F6497" t="str">
            <v xml:space="preserve">88158577       </v>
          </cell>
          <cell r="O6497">
            <v>522</v>
          </cell>
        </row>
        <row r="6498">
          <cell r="F6498" t="str">
            <v xml:space="preserve">88158577       </v>
          </cell>
          <cell r="O6498">
            <v>900</v>
          </cell>
        </row>
        <row r="6499">
          <cell r="F6499" t="str">
            <v xml:space="preserve">79384689       </v>
          </cell>
          <cell r="O6499">
            <v>120</v>
          </cell>
        </row>
        <row r="6500">
          <cell r="F6500" t="str">
            <v xml:space="preserve">79384689       </v>
          </cell>
          <cell r="O6500">
            <v>150</v>
          </cell>
        </row>
        <row r="6501">
          <cell r="F6501" t="str">
            <v xml:space="preserve">88288258       </v>
          </cell>
          <cell r="O6501">
            <v>120</v>
          </cell>
        </row>
        <row r="6502">
          <cell r="F6502" t="str">
            <v xml:space="preserve">13494934       </v>
          </cell>
          <cell r="O6502">
            <v>420</v>
          </cell>
        </row>
        <row r="6503">
          <cell r="F6503" t="str">
            <v xml:space="preserve">13494934       </v>
          </cell>
          <cell r="O6503">
            <v>90</v>
          </cell>
        </row>
        <row r="6504">
          <cell r="F6504" t="str">
            <v xml:space="preserve">13494934       </v>
          </cell>
          <cell r="O6504">
            <v>540</v>
          </cell>
        </row>
        <row r="6505">
          <cell r="F6505" t="str">
            <v xml:space="preserve">13494934       </v>
          </cell>
          <cell r="O6505">
            <v>72</v>
          </cell>
        </row>
        <row r="6506">
          <cell r="F6506" t="str">
            <v xml:space="preserve">13494934       </v>
          </cell>
          <cell r="O6506">
            <v>180</v>
          </cell>
        </row>
        <row r="6507">
          <cell r="F6507" t="str">
            <v xml:space="preserve">13494934       </v>
          </cell>
          <cell r="O6507">
            <v>225</v>
          </cell>
        </row>
        <row r="6508">
          <cell r="F6508" t="str">
            <v xml:space="preserve">13494934       </v>
          </cell>
          <cell r="O6508">
            <v>18</v>
          </cell>
        </row>
        <row r="6509">
          <cell r="F6509" t="str">
            <v xml:space="preserve">13494934       </v>
          </cell>
          <cell r="O6509">
            <v>135</v>
          </cell>
        </row>
        <row r="6510">
          <cell r="F6510" t="str">
            <v xml:space="preserve">13494934       </v>
          </cell>
          <cell r="O6510">
            <v>360</v>
          </cell>
        </row>
        <row r="6511">
          <cell r="F6511" t="str">
            <v xml:space="preserve">13494934       </v>
          </cell>
          <cell r="O6511">
            <v>72</v>
          </cell>
        </row>
        <row r="6512">
          <cell r="F6512" t="str">
            <v xml:space="preserve">13494934       </v>
          </cell>
          <cell r="O6512">
            <v>180</v>
          </cell>
        </row>
        <row r="6513">
          <cell r="F6513" t="str">
            <v xml:space="preserve">13494934       </v>
          </cell>
          <cell r="O6513">
            <v>75</v>
          </cell>
        </row>
        <row r="6514">
          <cell r="F6514" t="str">
            <v xml:space="preserve">13494934       </v>
          </cell>
          <cell r="O6514">
            <v>36</v>
          </cell>
        </row>
        <row r="6515">
          <cell r="F6515" t="str">
            <v xml:space="preserve">13494934       </v>
          </cell>
          <cell r="O6515">
            <v>90</v>
          </cell>
        </row>
        <row r="6516">
          <cell r="F6516" t="str">
            <v xml:space="preserve">88188644       </v>
          </cell>
          <cell r="O6516">
            <v>660</v>
          </cell>
        </row>
        <row r="6517">
          <cell r="F6517" t="str">
            <v xml:space="preserve">88188644       </v>
          </cell>
          <cell r="O6517">
            <v>315</v>
          </cell>
        </row>
        <row r="6518">
          <cell r="F6518" t="str">
            <v xml:space="preserve">88188644       </v>
          </cell>
          <cell r="O6518">
            <v>15</v>
          </cell>
        </row>
        <row r="6519">
          <cell r="F6519" t="str">
            <v xml:space="preserve">88188644       </v>
          </cell>
          <cell r="O6519">
            <v>360</v>
          </cell>
        </row>
        <row r="6520">
          <cell r="F6520" t="str">
            <v xml:space="preserve">88188644       </v>
          </cell>
          <cell r="O6520">
            <v>315</v>
          </cell>
        </row>
        <row r="6521">
          <cell r="F6521" t="str">
            <v xml:space="preserve">1117502076     </v>
          </cell>
          <cell r="O6521">
            <v>90</v>
          </cell>
        </row>
        <row r="6522">
          <cell r="F6522" t="str">
            <v xml:space="preserve">91451576       </v>
          </cell>
          <cell r="O6522">
            <v>306</v>
          </cell>
        </row>
        <row r="6523">
          <cell r="F6523" t="str">
            <v xml:space="preserve">91451576       </v>
          </cell>
          <cell r="O6523">
            <v>270</v>
          </cell>
        </row>
        <row r="6524">
          <cell r="F6524" t="str">
            <v xml:space="preserve">13537217       </v>
          </cell>
          <cell r="O6524">
            <v>30</v>
          </cell>
        </row>
        <row r="6525">
          <cell r="F6525" t="str">
            <v xml:space="preserve">13537217       </v>
          </cell>
          <cell r="O6525">
            <v>450</v>
          </cell>
        </row>
        <row r="6526">
          <cell r="F6526" t="str">
            <v xml:space="preserve">13537217       </v>
          </cell>
          <cell r="O6526">
            <v>45</v>
          </cell>
        </row>
        <row r="6527">
          <cell r="F6527" t="str">
            <v xml:space="preserve">13537217       </v>
          </cell>
          <cell r="O6527">
            <v>90</v>
          </cell>
        </row>
        <row r="6528">
          <cell r="F6528" t="str">
            <v xml:space="preserve">91179643       </v>
          </cell>
          <cell r="O6528">
            <v>90</v>
          </cell>
        </row>
        <row r="6529">
          <cell r="F6529" t="str">
            <v xml:space="preserve">91179643       </v>
          </cell>
          <cell r="O6529">
            <v>45</v>
          </cell>
        </row>
        <row r="6530">
          <cell r="F6530" t="str">
            <v xml:space="preserve">890503966      </v>
          </cell>
          <cell r="O6530">
            <v>2310</v>
          </cell>
        </row>
        <row r="6531">
          <cell r="F6531" t="str">
            <v xml:space="preserve">890503966      </v>
          </cell>
          <cell r="O6531">
            <v>846</v>
          </cell>
        </row>
        <row r="6532">
          <cell r="F6532" t="str">
            <v xml:space="preserve">890503966      </v>
          </cell>
          <cell r="O6532">
            <v>1845</v>
          </cell>
        </row>
        <row r="6533">
          <cell r="F6533" t="str">
            <v xml:space="preserve">890503966      </v>
          </cell>
          <cell r="O6533">
            <v>90</v>
          </cell>
        </row>
        <row r="6534">
          <cell r="F6534" t="str">
            <v xml:space="preserve">91222539       </v>
          </cell>
          <cell r="O6534">
            <v>900</v>
          </cell>
        </row>
        <row r="6535">
          <cell r="F6535" t="str">
            <v xml:space="preserve">91222539       </v>
          </cell>
          <cell r="O6535">
            <v>180</v>
          </cell>
        </row>
        <row r="6536">
          <cell r="F6536" t="str">
            <v xml:space="preserve">91222539       </v>
          </cell>
          <cell r="O6536">
            <v>450</v>
          </cell>
        </row>
        <row r="6537">
          <cell r="F6537" t="str">
            <v xml:space="preserve">13702886       </v>
          </cell>
          <cell r="O6537">
            <v>15</v>
          </cell>
        </row>
        <row r="6538">
          <cell r="F6538" t="str">
            <v xml:space="preserve">13702886       </v>
          </cell>
          <cell r="O6538">
            <v>90</v>
          </cell>
        </row>
        <row r="6539">
          <cell r="F6539" t="str">
            <v xml:space="preserve">91067422       </v>
          </cell>
          <cell r="O6539">
            <v>90</v>
          </cell>
        </row>
        <row r="6540">
          <cell r="F6540" t="str">
            <v xml:space="preserve">91067422       </v>
          </cell>
          <cell r="O6540">
            <v>150</v>
          </cell>
        </row>
        <row r="6541">
          <cell r="F6541" t="str">
            <v xml:space="preserve">91067422       </v>
          </cell>
          <cell r="O6541">
            <v>36</v>
          </cell>
        </row>
        <row r="6542">
          <cell r="F6542" t="str">
            <v xml:space="preserve">91067422       </v>
          </cell>
          <cell r="O6542">
            <v>180</v>
          </cell>
        </row>
        <row r="6543">
          <cell r="F6543" t="str">
            <v xml:space="preserve">91272730       </v>
          </cell>
          <cell r="O6543">
            <v>90</v>
          </cell>
        </row>
        <row r="6544">
          <cell r="F6544" t="str">
            <v xml:space="preserve">91272730       </v>
          </cell>
          <cell r="O6544">
            <v>36</v>
          </cell>
        </row>
        <row r="6545">
          <cell r="F6545" t="str">
            <v xml:space="preserve">91272730       </v>
          </cell>
          <cell r="O6545">
            <v>45</v>
          </cell>
        </row>
        <row r="6546">
          <cell r="F6546" t="str">
            <v xml:space="preserve">92543124       </v>
          </cell>
          <cell r="O6546">
            <v>1050</v>
          </cell>
        </row>
        <row r="6547">
          <cell r="F6547" t="str">
            <v xml:space="preserve">92543124       </v>
          </cell>
          <cell r="O6547">
            <v>36</v>
          </cell>
        </row>
        <row r="6548">
          <cell r="F6548" t="str">
            <v xml:space="preserve">78033625       </v>
          </cell>
          <cell r="O6548">
            <v>105</v>
          </cell>
        </row>
        <row r="6549">
          <cell r="F6549" t="str">
            <v xml:space="preserve">78033625       </v>
          </cell>
          <cell r="O6549">
            <v>2466</v>
          </cell>
        </row>
        <row r="6550">
          <cell r="F6550" t="str">
            <v xml:space="preserve">901096204      </v>
          </cell>
          <cell r="O6550">
            <v>2088</v>
          </cell>
        </row>
        <row r="6551">
          <cell r="F6551" t="str">
            <v xml:space="preserve">901096204      </v>
          </cell>
          <cell r="O6551">
            <v>45</v>
          </cell>
        </row>
        <row r="6552">
          <cell r="F6552" t="str">
            <v xml:space="preserve">73134768       </v>
          </cell>
          <cell r="O6552">
            <v>435</v>
          </cell>
        </row>
        <row r="6553">
          <cell r="F6553" t="str">
            <v xml:space="preserve">73134768       </v>
          </cell>
          <cell r="O6553">
            <v>234</v>
          </cell>
        </row>
        <row r="6554">
          <cell r="F6554" t="str">
            <v xml:space="preserve">73134768       </v>
          </cell>
          <cell r="O6554">
            <v>45</v>
          </cell>
        </row>
        <row r="6555">
          <cell r="F6555" t="str">
            <v xml:space="preserve">73134768       </v>
          </cell>
          <cell r="O6555">
            <v>375</v>
          </cell>
        </row>
        <row r="6556">
          <cell r="F6556" t="str">
            <v xml:space="preserve">73134768       </v>
          </cell>
          <cell r="O6556">
            <v>414</v>
          </cell>
        </row>
        <row r="6557">
          <cell r="F6557" t="str">
            <v xml:space="preserve">72137594       </v>
          </cell>
          <cell r="O6557">
            <v>405</v>
          </cell>
        </row>
        <row r="6558">
          <cell r="F6558" t="str">
            <v xml:space="preserve">72137594       </v>
          </cell>
          <cell r="O6558">
            <v>360</v>
          </cell>
        </row>
        <row r="6559">
          <cell r="F6559" t="str">
            <v xml:space="preserve">800141645      </v>
          </cell>
          <cell r="O6559">
            <v>180</v>
          </cell>
        </row>
        <row r="6560">
          <cell r="F6560" t="str">
            <v xml:space="preserve">91288772       </v>
          </cell>
          <cell r="O6560">
            <v>825</v>
          </cell>
        </row>
        <row r="6561">
          <cell r="F6561" t="str">
            <v xml:space="preserve">91288772       </v>
          </cell>
          <cell r="O6561">
            <v>540</v>
          </cell>
        </row>
        <row r="6562">
          <cell r="F6562" t="str">
            <v xml:space="preserve">91288772       </v>
          </cell>
          <cell r="O6562">
            <v>450</v>
          </cell>
        </row>
        <row r="6563">
          <cell r="F6563" t="str">
            <v xml:space="preserve">77191750       </v>
          </cell>
          <cell r="O6563">
            <v>1530</v>
          </cell>
        </row>
        <row r="6564">
          <cell r="F6564" t="str">
            <v xml:space="preserve">91213004       </v>
          </cell>
          <cell r="O6564">
            <v>540</v>
          </cell>
        </row>
        <row r="6565">
          <cell r="F6565" t="str">
            <v xml:space="preserve">9262987        </v>
          </cell>
          <cell r="O6565">
            <v>126</v>
          </cell>
        </row>
        <row r="6566">
          <cell r="F6566" t="str">
            <v xml:space="preserve">72196317       </v>
          </cell>
          <cell r="O6566">
            <v>1035</v>
          </cell>
        </row>
        <row r="6567">
          <cell r="F6567" t="str">
            <v xml:space="preserve">72196317       </v>
          </cell>
          <cell r="O6567">
            <v>144</v>
          </cell>
        </row>
        <row r="6568">
          <cell r="F6568" t="str">
            <v xml:space="preserve">72196317       </v>
          </cell>
          <cell r="O6568">
            <v>135</v>
          </cell>
        </row>
        <row r="6569">
          <cell r="F6569" t="str">
            <v xml:space="preserve">72196317       </v>
          </cell>
          <cell r="O6569">
            <v>225</v>
          </cell>
        </row>
        <row r="6570">
          <cell r="F6570" t="str">
            <v xml:space="preserve">72196317       </v>
          </cell>
          <cell r="O6570">
            <v>36</v>
          </cell>
        </row>
        <row r="6571">
          <cell r="F6571" t="str">
            <v xml:space="preserve">72196317       </v>
          </cell>
          <cell r="O6571">
            <v>240</v>
          </cell>
        </row>
        <row r="6572">
          <cell r="F6572" t="str">
            <v xml:space="preserve">72196317       </v>
          </cell>
          <cell r="O6572">
            <v>54</v>
          </cell>
        </row>
        <row r="6573">
          <cell r="F6573" t="str">
            <v xml:space="preserve">72196317       </v>
          </cell>
          <cell r="O6573">
            <v>45</v>
          </cell>
        </row>
        <row r="6574">
          <cell r="F6574" t="str">
            <v xml:space="preserve">1047231108     </v>
          </cell>
          <cell r="O6574">
            <v>210</v>
          </cell>
        </row>
        <row r="6575">
          <cell r="F6575" t="str">
            <v xml:space="preserve">1047231108     </v>
          </cell>
          <cell r="O6575">
            <v>225</v>
          </cell>
        </row>
        <row r="6576">
          <cell r="F6576" t="str">
            <v xml:space="preserve">1047349327     </v>
          </cell>
          <cell r="O6576">
            <v>150</v>
          </cell>
        </row>
        <row r="6577">
          <cell r="F6577" t="str">
            <v xml:space="preserve">1047349327     </v>
          </cell>
          <cell r="O6577">
            <v>180</v>
          </cell>
        </row>
        <row r="6578">
          <cell r="F6578" t="str">
            <v xml:space="preserve">73079740       </v>
          </cell>
          <cell r="O6578">
            <v>4.5</v>
          </cell>
        </row>
        <row r="6579">
          <cell r="F6579" t="str">
            <v xml:space="preserve">73079740       </v>
          </cell>
          <cell r="O6579">
            <v>540</v>
          </cell>
        </row>
        <row r="6580">
          <cell r="F6580" t="str">
            <v xml:space="preserve">73079740       </v>
          </cell>
          <cell r="O6580">
            <v>504</v>
          </cell>
        </row>
        <row r="6581">
          <cell r="F6581" t="str">
            <v xml:space="preserve">73079740       </v>
          </cell>
          <cell r="O6581">
            <v>135</v>
          </cell>
        </row>
        <row r="6582">
          <cell r="F6582" t="str">
            <v xml:space="preserve">15047548       </v>
          </cell>
          <cell r="O6582">
            <v>60</v>
          </cell>
        </row>
        <row r="6583">
          <cell r="F6583" t="str">
            <v xml:space="preserve">15047548       </v>
          </cell>
          <cell r="O6583">
            <v>90</v>
          </cell>
        </row>
        <row r="6584">
          <cell r="F6584" t="str">
            <v xml:space="preserve">18531333       </v>
          </cell>
          <cell r="O6584">
            <v>2685</v>
          </cell>
        </row>
        <row r="6585">
          <cell r="F6585" t="str">
            <v xml:space="preserve">18531333       </v>
          </cell>
          <cell r="O6585">
            <v>144</v>
          </cell>
        </row>
        <row r="6586">
          <cell r="F6586" t="str">
            <v xml:space="preserve">18531333       </v>
          </cell>
          <cell r="O6586">
            <v>90</v>
          </cell>
        </row>
        <row r="6587">
          <cell r="F6587" t="str">
            <v xml:space="preserve">79827688       </v>
          </cell>
          <cell r="O6587">
            <v>105</v>
          </cell>
        </row>
        <row r="6588">
          <cell r="F6588" t="str">
            <v xml:space="preserve">79827688       </v>
          </cell>
          <cell r="O6588">
            <v>45</v>
          </cell>
        </row>
        <row r="6589">
          <cell r="F6589" t="str">
            <v xml:space="preserve">92520690       </v>
          </cell>
          <cell r="O6589">
            <v>900</v>
          </cell>
        </row>
        <row r="6590">
          <cell r="F6590" t="str">
            <v xml:space="preserve">70752579       </v>
          </cell>
          <cell r="O6590">
            <v>120</v>
          </cell>
        </row>
        <row r="6591">
          <cell r="F6591" t="str">
            <v xml:space="preserve">70752579       </v>
          </cell>
          <cell r="O6591">
            <v>288</v>
          </cell>
        </row>
        <row r="6592">
          <cell r="F6592" t="str">
            <v xml:space="preserve">70752579       </v>
          </cell>
          <cell r="O6592">
            <v>180</v>
          </cell>
        </row>
        <row r="6593">
          <cell r="F6593" t="str">
            <v xml:space="preserve">80266206       </v>
          </cell>
          <cell r="O6593">
            <v>45</v>
          </cell>
        </row>
        <row r="6594">
          <cell r="F6594" t="str">
            <v xml:space="preserve">80266206       </v>
          </cell>
          <cell r="O6594">
            <v>45</v>
          </cell>
        </row>
        <row r="6595">
          <cell r="F6595" t="str">
            <v xml:space="preserve">80266206       </v>
          </cell>
          <cell r="O6595">
            <v>216</v>
          </cell>
        </row>
        <row r="6596">
          <cell r="F6596" t="str">
            <v xml:space="preserve">1111739602     </v>
          </cell>
          <cell r="O6596">
            <v>1020</v>
          </cell>
        </row>
        <row r="6597">
          <cell r="F6597" t="str">
            <v xml:space="preserve">1111739602     </v>
          </cell>
          <cell r="O6597">
            <v>18</v>
          </cell>
        </row>
        <row r="6598">
          <cell r="F6598" t="str">
            <v xml:space="preserve">1111739602     </v>
          </cell>
          <cell r="O6598">
            <v>825</v>
          </cell>
        </row>
        <row r="6599">
          <cell r="F6599" t="str">
            <v xml:space="preserve">1111739602     </v>
          </cell>
          <cell r="O6599">
            <v>90</v>
          </cell>
        </row>
        <row r="6600">
          <cell r="F6600" t="str">
            <v xml:space="preserve">1111739602     </v>
          </cell>
          <cell r="O6600">
            <v>465</v>
          </cell>
        </row>
        <row r="6601">
          <cell r="F6601" t="str">
            <v xml:space="preserve">1111739602     </v>
          </cell>
          <cell r="O6601">
            <v>225</v>
          </cell>
        </row>
        <row r="6602">
          <cell r="F6602" t="str">
            <v xml:space="preserve">1101204909     </v>
          </cell>
          <cell r="O6602">
            <v>15</v>
          </cell>
        </row>
        <row r="6603">
          <cell r="F6603" t="str">
            <v xml:space="preserve">1101204909     </v>
          </cell>
          <cell r="O6603">
            <v>108</v>
          </cell>
        </row>
        <row r="6604">
          <cell r="F6604" t="str">
            <v xml:space="preserve">1101204909     </v>
          </cell>
          <cell r="O6604">
            <v>315</v>
          </cell>
        </row>
        <row r="6605">
          <cell r="F6605" t="str">
            <v xml:space="preserve">1101204909     </v>
          </cell>
          <cell r="O6605">
            <v>360</v>
          </cell>
        </row>
        <row r="6606">
          <cell r="F6606" t="str">
            <v xml:space="preserve">79266522       </v>
          </cell>
          <cell r="O6606">
            <v>180</v>
          </cell>
        </row>
        <row r="6607">
          <cell r="F6607" t="str">
            <v xml:space="preserve">79221604       </v>
          </cell>
          <cell r="O6607">
            <v>18</v>
          </cell>
        </row>
        <row r="6608">
          <cell r="F6608" t="str">
            <v xml:space="preserve">79221604       </v>
          </cell>
          <cell r="O6608">
            <v>360</v>
          </cell>
        </row>
        <row r="6609">
          <cell r="F6609" t="str">
            <v xml:space="preserve">79221604       </v>
          </cell>
          <cell r="O6609">
            <v>90</v>
          </cell>
        </row>
        <row r="6610">
          <cell r="F6610" t="str">
            <v xml:space="preserve">79221604       </v>
          </cell>
          <cell r="O6610">
            <v>9</v>
          </cell>
        </row>
        <row r="6611">
          <cell r="F6611" t="str">
            <v xml:space="preserve">79221604       </v>
          </cell>
          <cell r="O6611">
            <v>180</v>
          </cell>
        </row>
        <row r="6612">
          <cell r="F6612" t="str">
            <v xml:space="preserve">79221604       </v>
          </cell>
          <cell r="O6612">
            <v>90</v>
          </cell>
        </row>
        <row r="6613">
          <cell r="F6613" t="str">
            <v xml:space="preserve">9867640        </v>
          </cell>
          <cell r="O6613">
            <v>9</v>
          </cell>
        </row>
        <row r="6614">
          <cell r="F6614" t="str">
            <v xml:space="preserve">9867640        </v>
          </cell>
          <cell r="O6614">
            <v>225</v>
          </cell>
        </row>
        <row r="6615">
          <cell r="F6615" t="str">
            <v xml:space="preserve">10315862       </v>
          </cell>
          <cell r="O6615">
            <v>15</v>
          </cell>
        </row>
        <row r="6616">
          <cell r="F6616" t="str">
            <v xml:space="preserve">10315862       </v>
          </cell>
          <cell r="O6616">
            <v>306</v>
          </cell>
        </row>
        <row r="6617">
          <cell r="F6617" t="str">
            <v xml:space="preserve">10315862       </v>
          </cell>
          <cell r="O6617">
            <v>90</v>
          </cell>
        </row>
        <row r="6618">
          <cell r="F6618" t="str">
            <v xml:space="preserve">1103101503     </v>
          </cell>
          <cell r="O6618">
            <v>270</v>
          </cell>
        </row>
        <row r="6619">
          <cell r="F6619" t="str">
            <v xml:space="preserve">1103101503     </v>
          </cell>
          <cell r="O6619">
            <v>4.5</v>
          </cell>
        </row>
        <row r="6620">
          <cell r="F6620" t="str">
            <v xml:space="preserve">1103101503     </v>
          </cell>
          <cell r="O6620">
            <v>45</v>
          </cell>
        </row>
        <row r="6621">
          <cell r="F6621" t="str">
            <v xml:space="preserve">1103101503     </v>
          </cell>
          <cell r="O6621">
            <v>540</v>
          </cell>
        </row>
        <row r="6622">
          <cell r="F6622" t="str">
            <v xml:space="preserve">1103101503     </v>
          </cell>
          <cell r="O6622">
            <v>9</v>
          </cell>
        </row>
        <row r="6623">
          <cell r="F6623" t="str">
            <v xml:space="preserve">1103101503     </v>
          </cell>
          <cell r="O6623">
            <v>60</v>
          </cell>
        </row>
        <row r="6624">
          <cell r="F6624" t="str">
            <v xml:space="preserve">1103101503     </v>
          </cell>
          <cell r="O6624">
            <v>378</v>
          </cell>
        </row>
        <row r="6625">
          <cell r="F6625" t="str">
            <v xml:space="preserve">1103101503     </v>
          </cell>
          <cell r="O6625">
            <v>270</v>
          </cell>
        </row>
        <row r="6626">
          <cell r="F6626" t="str">
            <v xml:space="preserve">92260572       </v>
          </cell>
          <cell r="O6626">
            <v>450</v>
          </cell>
        </row>
        <row r="6627">
          <cell r="F6627" t="str">
            <v xml:space="preserve">73166349       </v>
          </cell>
          <cell r="O6627">
            <v>135</v>
          </cell>
        </row>
        <row r="6628">
          <cell r="F6628" t="str">
            <v xml:space="preserve">73166349       </v>
          </cell>
          <cell r="O6628">
            <v>198</v>
          </cell>
        </row>
        <row r="6629">
          <cell r="F6629" t="str">
            <v xml:space="preserve">74170036       </v>
          </cell>
          <cell r="O6629">
            <v>45</v>
          </cell>
        </row>
        <row r="6630">
          <cell r="F6630" t="str">
            <v xml:space="preserve">74170036       </v>
          </cell>
          <cell r="O6630">
            <v>1566</v>
          </cell>
        </row>
        <row r="6631">
          <cell r="F6631" t="str">
            <v xml:space="preserve">74170036       </v>
          </cell>
          <cell r="O6631">
            <v>450</v>
          </cell>
        </row>
        <row r="6632">
          <cell r="F6632" t="str">
            <v xml:space="preserve">7305518        </v>
          </cell>
          <cell r="O6632">
            <v>2070</v>
          </cell>
        </row>
        <row r="6633">
          <cell r="F6633" t="str">
            <v xml:space="preserve">7305518        </v>
          </cell>
          <cell r="O6633">
            <v>540</v>
          </cell>
        </row>
        <row r="6634">
          <cell r="F6634" t="str">
            <v xml:space="preserve">7223456        </v>
          </cell>
          <cell r="O6634">
            <v>90</v>
          </cell>
        </row>
        <row r="6635">
          <cell r="F6635" t="str">
            <v xml:space="preserve">7223456        </v>
          </cell>
          <cell r="O6635">
            <v>225</v>
          </cell>
        </row>
        <row r="6636">
          <cell r="F6636" t="str">
            <v xml:space="preserve">7305425        </v>
          </cell>
          <cell r="O6636">
            <v>15</v>
          </cell>
        </row>
        <row r="6637">
          <cell r="F6637" t="str">
            <v xml:space="preserve">7305425        </v>
          </cell>
          <cell r="O6637">
            <v>630</v>
          </cell>
        </row>
        <row r="6638">
          <cell r="F6638" t="str">
            <v xml:space="preserve">7305425        </v>
          </cell>
          <cell r="O6638">
            <v>45</v>
          </cell>
        </row>
        <row r="6639">
          <cell r="F6639" t="str">
            <v xml:space="preserve">7301411        </v>
          </cell>
          <cell r="O6639">
            <v>504</v>
          </cell>
        </row>
        <row r="6640">
          <cell r="F6640" t="str">
            <v xml:space="preserve">7301411        </v>
          </cell>
          <cell r="O6640">
            <v>270</v>
          </cell>
        </row>
        <row r="6641">
          <cell r="F6641" t="str">
            <v xml:space="preserve">80730783       </v>
          </cell>
          <cell r="O6641">
            <v>918</v>
          </cell>
        </row>
        <row r="6642">
          <cell r="F6642" t="str">
            <v xml:space="preserve">80730783       </v>
          </cell>
          <cell r="O6642">
            <v>45</v>
          </cell>
        </row>
        <row r="6643">
          <cell r="F6643" t="str">
            <v xml:space="preserve">79734086       </v>
          </cell>
          <cell r="O6643">
            <v>270</v>
          </cell>
        </row>
        <row r="6644">
          <cell r="F6644" t="str">
            <v xml:space="preserve">79734086       </v>
          </cell>
          <cell r="O6644">
            <v>180</v>
          </cell>
        </row>
        <row r="6645">
          <cell r="F6645" t="str">
            <v xml:space="preserve">17783299       </v>
          </cell>
          <cell r="O6645">
            <v>1245</v>
          </cell>
        </row>
        <row r="6646">
          <cell r="F6646" t="str">
            <v xml:space="preserve">17783299       </v>
          </cell>
          <cell r="O6646">
            <v>135</v>
          </cell>
        </row>
        <row r="6647">
          <cell r="F6647" t="str">
            <v xml:space="preserve">17655129       </v>
          </cell>
          <cell r="O6647">
            <v>450</v>
          </cell>
        </row>
        <row r="6648">
          <cell r="F6648" t="str">
            <v xml:space="preserve">17655129       </v>
          </cell>
          <cell r="O6648">
            <v>70</v>
          </cell>
        </row>
        <row r="6649">
          <cell r="F6649" t="str">
            <v xml:space="preserve">17655129       </v>
          </cell>
          <cell r="O6649">
            <v>360</v>
          </cell>
        </row>
        <row r="6650">
          <cell r="F6650" t="str">
            <v xml:space="preserve">1083686504     </v>
          </cell>
          <cell r="O6650">
            <v>225</v>
          </cell>
        </row>
        <row r="6651">
          <cell r="F6651" t="str">
            <v xml:space="preserve">1083686504     </v>
          </cell>
          <cell r="O6651">
            <v>90</v>
          </cell>
        </row>
        <row r="6652">
          <cell r="F6652" t="str">
            <v xml:space="preserve">12256895       </v>
          </cell>
          <cell r="O6652">
            <v>1500</v>
          </cell>
        </row>
        <row r="6653">
          <cell r="F6653" t="str">
            <v xml:space="preserve">12256895       </v>
          </cell>
          <cell r="O6653">
            <v>180</v>
          </cell>
        </row>
        <row r="6654">
          <cell r="F6654" t="str">
            <v xml:space="preserve">16191524       </v>
          </cell>
          <cell r="O6654">
            <v>285</v>
          </cell>
        </row>
        <row r="6655">
          <cell r="F6655" t="str">
            <v xml:space="preserve">16191524       </v>
          </cell>
          <cell r="O6655">
            <v>35</v>
          </cell>
        </row>
        <row r="6656">
          <cell r="F6656" t="str">
            <v xml:space="preserve">16191524       </v>
          </cell>
          <cell r="O6656">
            <v>90</v>
          </cell>
        </row>
        <row r="6657">
          <cell r="F6657" t="str">
            <v xml:space="preserve">3024873        </v>
          </cell>
          <cell r="O6657">
            <v>270</v>
          </cell>
        </row>
        <row r="6658">
          <cell r="F6658" t="str">
            <v xml:space="preserve">3024873        </v>
          </cell>
          <cell r="O6658">
            <v>225</v>
          </cell>
        </row>
        <row r="6659">
          <cell r="F6659" t="str">
            <v xml:space="preserve">35250577       </v>
          </cell>
          <cell r="O6659">
            <v>45</v>
          </cell>
        </row>
        <row r="6660">
          <cell r="F6660" t="str">
            <v xml:space="preserve">35250577       </v>
          </cell>
          <cell r="O6660">
            <v>15</v>
          </cell>
        </row>
        <row r="6661">
          <cell r="F6661" t="str">
            <v xml:space="preserve">35250577       </v>
          </cell>
          <cell r="O6661">
            <v>180</v>
          </cell>
        </row>
        <row r="6662">
          <cell r="F6662" t="str">
            <v xml:space="preserve">800130632      </v>
          </cell>
          <cell r="O6662">
            <v>45</v>
          </cell>
        </row>
        <row r="6663">
          <cell r="F6663" t="str">
            <v xml:space="preserve">19389409       </v>
          </cell>
          <cell r="O6663">
            <v>216</v>
          </cell>
        </row>
        <row r="6664">
          <cell r="F6664" t="str">
            <v xml:space="preserve">19389409       </v>
          </cell>
          <cell r="O6664">
            <v>45</v>
          </cell>
        </row>
        <row r="6665">
          <cell r="F6665" t="str">
            <v xml:space="preserve">19389409       </v>
          </cell>
          <cell r="O6665">
            <v>45</v>
          </cell>
        </row>
        <row r="6666">
          <cell r="F6666" t="str">
            <v xml:space="preserve">93131041       </v>
          </cell>
          <cell r="O6666">
            <v>540</v>
          </cell>
        </row>
        <row r="6667">
          <cell r="F6667" t="str">
            <v xml:space="preserve">93131041       </v>
          </cell>
          <cell r="O6667">
            <v>45</v>
          </cell>
        </row>
        <row r="6668">
          <cell r="F6668" t="str">
            <v xml:space="preserve">18185538       </v>
          </cell>
          <cell r="O6668">
            <v>540</v>
          </cell>
        </row>
        <row r="6669">
          <cell r="F6669" t="str">
            <v xml:space="preserve">18185538       </v>
          </cell>
          <cell r="O6669">
            <v>522</v>
          </cell>
        </row>
        <row r="6670">
          <cell r="F6670" t="str">
            <v xml:space="preserve">18185538       </v>
          </cell>
          <cell r="O6670">
            <v>90</v>
          </cell>
        </row>
        <row r="6671">
          <cell r="F6671" t="str">
            <v xml:space="preserve">12266504       </v>
          </cell>
          <cell r="O6671">
            <v>330</v>
          </cell>
        </row>
        <row r="6672">
          <cell r="F6672" t="str">
            <v xml:space="preserve">12266504       </v>
          </cell>
          <cell r="O6672">
            <v>18</v>
          </cell>
        </row>
        <row r="6673">
          <cell r="F6673" t="str">
            <v xml:space="preserve">12266504       </v>
          </cell>
          <cell r="O6673">
            <v>45</v>
          </cell>
        </row>
        <row r="6674">
          <cell r="F6674" t="str">
            <v xml:space="preserve">12266504       </v>
          </cell>
          <cell r="O6674">
            <v>405</v>
          </cell>
        </row>
        <row r="6675">
          <cell r="F6675" t="str">
            <v xml:space="preserve">12266504       </v>
          </cell>
          <cell r="O6675">
            <v>45</v>
          </cell>
        </row>
        <row r="6676">
          <cell r="F6676" t="str">
            <v xml:space="preserve">12266504       </v>
          </cell>
          <cell r="O6676">
            <v>225</v>
          </cell>
        </row>
        <row r="6677">
          <cell r="F6677" t="str">
            <v xml:space="preserve">12266504       </v>
          </cell>
          <cell r="O6677">
            <v>18</v>
          </cell>
        </row>
        <row r="6678">
          <cell r="F6678" t="str">
            <v xml:space="preserve">12231586       </v>
          </cell>
          <cell r="O6678">
            <v>225</v>
          </cell>
        </row>
        <row r="6679">
          <cell r="F6679" t="str">
            <v xml:space="preserve">12231586       </v>
          </cell>
          <cell r="O6679">
            <v>36</v>
          </cell>
        </row>
        <row r="6680">
          <cell r="F6680" t="str">
            <v xml:space="preserve">12231586       </v>
          </cell>
          <cell r="O6680">
            <v>45</v>
          </cell>
        </row>
        <row r="6681">
          <cell r="F6681" t="str">
            <v xml:space="preserve">83042067       </v>
          </cell>
          <cell r="O6681">
            <v>120</v>
          </cell>
        </row>
        <row r="6682">
          <cell r="F6682" t="str">
            <v xml:space="preserve">83042067       </v>
          </cell>
          <cell r="O6682">
            <v>72</v>
          </cell>
        </row>
        <row r="6683">
          <cell r="F6683" t="str">
            <v xml:space="preserve">83042067       </v>
          </cell>
          <cell r="O6683">
            <v>360</v>
          </cell>
        </row>
        <row r="6684">
          <cell r="F6684" t="str">
            <v xml:space="preserve">18144684       </v>
          </cell>
          <cell r="O6684">
            <v>645</v>
          </cell>
        </row>
        <row r="6685">
          <cell r="F6685" t="str">
            <v xml:space="preserve">18144684       </v>
          </cell>
          <cell r="O6685">
            <v>54</v>
          </cell>
        </row>
        <row r="6686">
          <cell r="F6686" t="str">
            <v xml:space="preserve">18144684       </v>
          </cell>
          <cell r="O6686">
            <v>330</v>
          </cell>
        </row>
        <row r="6687">
          <cell r="F6687" t="str">
            <v xml:space="preserve">18144684       </v>
          </cell>
          <cell r="O6687">
            <v>90</v>
          </cell>
        </row>
        <row r="6688">
          <cell r="F6688" t="str">
            <v xml:space="preserve">16864143       </v>
          </cell>
          <cell r="O6688">
            <v>1230</v>
          </cell>
        </row>
        <row r="6689">
          <cell r="F6689" t="str">
            <v xml:space="preserve">16864143       </v>
          </cell>
          <cell r="O6689">
            <v>126</v>
          </cell>
        </row>
        <row r="6690">
          <cell r="F6690" t="str">
            <v xml:space="preserve">16864143       </v>
          </cell>
          <cell r="O6690">
            <v>180</v>
          </cell>
        </row>
        <row r="6691">
          <cell r="F6691" t="str">
            <v xml:space="preserve">1062292334     </v>
          </cell>
          <cell r="O6691">
            <v>270</v>
          </cell>
        </row>
        <row r="6692">
          <cell r="F6692" t="str">
            <v xml:space="preserve">1062292334     </v>
          </cell>
          <cell r="O6692">
            <v>1710</v>
          </cell>
        </row>
        <row r="6693">
          <cell r="F6693" t="str">
            <v xml:space="preserve">1062292334     </v>
          </cell>
          <cell r="O6693">
            <v>495</v>
          </cell>
        </row>
        <row r="6694">
          <cell r="F6694" t="str">
            <v xml:space="preserve">1062292334     </v>
          </cell>
          <cell r="O6694">
            <v>330</v>
          </cell>
        </row>
        <row r="6695">
          <cell r="F6695" t="str">
            <v xml:space="preserve">1062292334     </v>
          </cell>
          <cell r="O6695">
            <v>360</v>
          </cell>
        </row>
        <row r="6696">
          <cell r="F6696" t="str">
            <v xml:space="preserve">1062292334     </v>
          </cell>
          <cell r="O6696">
            <v>45</v>
          </cell>
        </row>
        <row r="6697">
          <cell r="F6697" t="str">
            <v xml:space="preserve">93287188       </v>
          </cell>
          <cell r="O6697">
            <v>30</v>
          </cell>
        </row>
        <row r="6698">
          <cell r="F6698" t="str">
            <v xml:space="preserve">93287188       </v>
          </cell>
          <cell r="O6698">
            <v>45</v>
          </cell>
        </row>
        <row r="6699">
          <cell r="F6699" t="str">
            <v xml:space="preserve">93287188       </v>
          </cell>
          <cell r="O6699">
            <v>936</v>
          </cell>
        </row>
        <row r="6700">
          <cell r="F6700" t="str">
            <v xml:space="preserve">11445090       </v>
          </cell>
          <cell r="O6700">
            <v>360</v>
          </cell>
        </row>
        <row r="6701">
          <cell r="F6701" t="str">
            <v xml:space="preserve">11445090       </v>
          </cell>
          <cell r="O6701">
            <v>81</v>
          </cell>
        </row>
        <row r="6702">
          <cell r="F6702" t="str">
            <v xml:space="preserve">11445090       </v>
          </cell>
          <cell r="O6702">
            <v>120</v>
          </cell>
        </row>
        <row r="6703">
          <cell r="F6703" t="str">
            <v xml:space="preserve">11445090       </v>
          </cell>
          <cell r="O6703">
            <v>90</v>
          </cell>
        </row>
        <row r="6704">
          <cell r="F6704" t="str">
            <v xml:space="preserve">11445090       </v>
          </cell>
          <cell r="O6704">
            <v>108</v>
          </cell>
        </row>
        <row r="6705">
          <cell r="F6705" t="str">
            <v xml:space="preserve">11445090       </v>
          </cell>
          <cell r="O6705">
            <v>45</v>
          </cell>
        </row>
        <row r="6706">
          <cell r="F6706" t="str">
            <v xml:space="preserve">11445090       </v>
          </cell>
          <cell r="O6706">
            <v>576</v>
          </cell>
        </row>
        <row r="6707">
          <cell r="F6707" t="str">
            <v xml:space="preserve">11445090       </v>
          </cell>
          <cell r="O6707">
            <v>405</v>
          </cell>
        </row>
        <row r="6708">
          <cell r="F6708" t="str">
            <v xml:space="preserve">1010164223     </v>
          </cell>
          <cell r="O6708">
            <v>396</v>
          </cell>
        </row>
        <row r="6709">
          <cell r="F6709" t="str">
            <v xml:space="preserve">1015995477     </v>
          </cell>
          <cell r="O6709">
            <v>81</v>
          </cell>
        </row>
        <row r="6710">
          <cell r="F6710" t="str">
            <v xml:space="preserve">1015995477     </v>
          </cell>
          <cell r="O6710">
            <v>30</v>
          </cell>
        </row>
        <row r="6711">
          <cell r="F6711" t="str">
            <v xml:space="preserve">3159567        </v>
          </cell>
          <cell r="O6711">
            <v>9</v>
          </cell>
        </row>
        <row r="6712">
          <cell r="F6712" t="str">
            <v xml:space="preserve">3159567        </v>
          </cell>
          <cell r="O6712">
            <v>378</v>
          </cell>
        </row>
        <row r="6713">
          <cell r="F6713" t="str">
            <v xml:space="preserve">80351964       </v>
          </cell>
          <cell r="O6713">
            <v>54</v>
          </cell>
        </row>
        <row r="6714">
          <cell r="F6714" t="str">
            <v xml:space="preserve">80351964       </v>
          </cell>
          <cell r="O6714">
            <v>9</v>
          </cell>
        </row>
        <row r="6715">
          <cell r="F6715" t="str">
            <v xml:space="preserve">80351964       </v>
          </cell>
          <cell r="O6715">
            <v>216</v>
          </cell>
        </row>
        <row r="6716">
          <cell r="F6716" t="str">
            <v xml:space="preserve">80351964       </v>
          </cell>
          <cell r="O6716">
            <v>45</v>
          </cell>
        </row>
        <row r="6717">
          <cell r="F6717" t="str">
            <v xml:space="preserve">80283261       </v>
          </cell>
          <cell r="O6717">
            <v>15</v>
          </cell>
        </row>
        <row r="6718">
          <cell r="F6718" t="str">
            <v xml:space="preserve">80283261       </v>
          </cell>
          <cell r="O6718">
            <v>576</v>
          </cell>
        </row>
        <row r="6719">
          <cell r="F6719" t="str">
            <v xml:space="preserve">80283261       </v>
          </cell>
          <cell r="O6719">
            <v>450</v>
          </cell>
        </row>
        <row r="6720">
          <cell r="F6720" t="str">
            <v xml:space="preserve">4090572        </v>
          </cell>
          <cell r="O6720">
            <v>72</v>
          </cell>
        </row>
        <row r="6721">
          <cell r="F6721" t="str">
            <v xml:space="preserve">4090572        </v>
          </cell>
          <cell r="O6721">
            <v>15</v>
          </cell>
        </row>
        <row r="6722">
          <cell r="F6722" t="str">
            <v xml:space="preserve">4090572        </v>
          </cell>
          <cell r="O6722">
            <v>720</v>
          </cell>
        </row>
        <row r="6723">
          <cell r="F6723" t="str">
            <v xml:space="preserve">79589699       </v>
          </cell>
          <cell r="O6723">
            <v>180</v>
          </cell>
        </row>
        <row r="6724">
          <cell r="F6724" t="str">
            <v xml:space="preserve">80024551       </v>
          </cell>
          <cell r="O6724">
            <v>63</v>
          </cell>
        </row>
        <row r="6725">
          <cell r="F6725" t="str">
            <v xml:space="preserve">80024551       </v>
          </cell>
          <cell r="O6725">
            <v>60</v>
          </cell>
        </row>
        <row r="6726">
          <cell r="F6726" t="str">
            <v xml:space="preserve">80024551       </v>
          </cell>
          <cell r="O6726">
            <v>1332</v>
          </cell>
        </row>
        <row r="6727">
          <cell r="F6727" t="str">
            <v xml:space="preserve">4198272        </v>
          </cell>
          <cell r="O6727">
            <v>108</v>
          </cell>
        </row>
        <row r="6728">
          <cell r="F6728" t="str">
            <v xml:space="preserve">4198272        </v>
          </cell>
          <cell r="O6728">
            <v>75</v>
          </cell>
        </row>
        <row r="6729">
          <cell r="F6729" t="str">
            <v xml:space="preserve">4198272        </v>
          </cell>
          <cell r="O6729">
            <v>360</v>
          </cell>
        </row>
        <row r="6730">
          <cell r="F6730" t="str">
            <v xml:space="preserve">4090806        </v>
          </cell>
          <cell r="O6730">
            <v>216</v>
          </cell>
        </row>
        <row r="6731">
          <cell r="F6731" t="str">
            <v xml:space="preserve">4090806        </v>
          </cell>
          <cell r="O6731">
            <v>120</v>
          </cell>
        </row>
        <row r="6732">
          <cell r="F6732" t="str">
            <v xml:space="preserve">4090806        </v>
          </cell>
          <cell r="O6732">
            <v>918</v>
          </cell>
        </row>
        <row r="6733">
          <cell r="F6733" t="str">
            <v xml:space="preserve">4090806        </v>
          </cell>
          <cell r="O6733">
            <v>90</v>
          </cell>
        </row>
        <row r="6734">
          <cell r="F6734" t="str">
            <v xml:space="preserve">98330118       </v>
          </cell>
          <cell r="O6734">
            <v>390</v>
          </cell>
        </row>
        <row r="6735">
          <cell r="F6735" t="str">
            <v xml:space="preserve">1126452165     </v>
          </cell>
          <cell r="O6735">
            <v>420</v>
          </cell>
        </row>
        <row r="6736">
          <cell r="F6736" t="str">
            <v xml:space="preserve">1126452165     </v>
          </cell>
          <cell r="O6736">
            <v>90</v>
          </cell>
        </row>
        <row r="6737">
          <cell r="F6737" t="str">
            <v xml:space="preserve">79339314       </v>
          </cell>
          <cell r="O6737">
            <v>120</v>
          </cell>
        </row>
        <row r="6738">
          <cell r="F6738" t="str">
            <v xml:space="preserve">79339314       </v>
          </cell>
          <cell r="O6738">
            <v>108</v>
          </cell>
        </row>
        <row r="6739">
          <cell r="F6739" t="str">
            <v xml:space="preserve">79339314       </v>
          </cell>
          <cell r="O6739">
            <v>90</v>
          </cell>
        </row>
        <row r="6740">
          <cell r="F6740" t="str">
            <v xml:space="preserve">3171403        </v>
          </cell>
          <cell r="O6740">
            <v>180</v>
          </cell>
        </row>
        <row r="6741">
          <cell r="F6741" t="str">
            <v xml:space="preserve">3171403        </v>
          </cell>
          <cell r="O6741">
            <v>270</v>
          </cell>
        </row>
        <row r="6742">
          <cell r="F6742" t="str">
            <v xml:space="preserve">83218584       </v>
          </cell>
          <cell r="O6742">
            <v>240</v>
          </cell>
        </row>
        <row r="6743">
          <cell r="F6743" t="str">
            <v xml:space="preserve">83218584       </v>
          </cell>
          <cell r="O6743">
            <v>90</v>
          </cell>
        </row>
        <row r="6744">
          <cell r="F6744" t="str">
            <v xml:space="preserve">83218584       </v>
          </cell>
          <cell r="O6744">
            <v>45</v>
          </cell>
        </row>
        <row r="6745">
          <cell r="F6745" t="str">
            <v xml:space="preserve">83218584       </v>
          </cell>
          <cell r="O6745">
            <v>435</v>
          </cell>
        </row>
        <row r="6746">
          <cell r="F6746" t="str">
            <v xml:space="preserve">83218584       </v>
          </cell>
          <cell r="O6746">
            <v>108</v>
          </cell>
        </row>
        <row r="6747">
          <cell r="F6747" t="str">
            <v xml:space="preserve">83218584       </v>
          </cell>
          <cell r="O6747">
            <v>225</v>
          </cell>
        </row>
        <row r="6748">
          <cell r="F6748" t="str">
            <v xml:space="preserve">83218584       </v>
          </cell>
          <cell r="O6748">
            <v>90</v>
          </cell>
        </row>
        <row r="6749">
          <cell r="F6749" t="str">
            <v xml:space="preserve">7305728        </v>
          </cell>
          <cell r="O6749">
            <v>105</v>
          </cell>
        </row>
        <row r="6750">
          <cell r="F6750" t="str">
            <v xml:space="preserve">7305728        </v>
          </cell>
          <cell r="O6750">
            <v>396</v>
          </cell>
        </row>
        <row r="6751">
          <cell r="F6751" t="str">
            <v xml:space="preserve">7305728        </v>
          </cell>
          <cell r="O6751">
            <v>270</v>
          </cell>
        </row>
        <row r="6752">
          <cell r="F6752" t="str">
            <v xml:space="preserve">51856228       </v>
          </cell>
          <cell r="O6752">
            <v>117</v>
          </cell>
        </row>
        <row r="6753">
          <cell r="F6753" t="str">
            <v xml:space="preserve">51856228       </v>
          </cell>
          <cell r="O6753">
            <v>1908</v>
          </cell>
        </row>
        <row r="6754">
          <cell r="F6754" t="str">
            <v xml:space="preserve">51856228       </v>
          </cell>
          <cell r="O6754">
            <v>360</v>
          </cell>
        </row>
        <row r="6755">
          <cell r="F6755" t="str">
            <v xml:space="preserve">1112626290     </v>
          </cell>
          <cell r="O6755">
            <v>198</v>
          </cell>
        </row>
        <row r="6756">
          <cell r="F6756" t="str">
            <v xml:space="preserve">1112626290     </v>
          </cell>
          <cell r="O6756">
            <v>255</v>
          </cell>
        </row>
        <row r="6757">
          <cell r="F6757" t="str">
            <v xml:space="preserve">1112626290     </v>
          </cell>
          <cell r="O6757">
            <v>360</v>
          </cell>
        </row>
        <row r="6758">
          <cell r="F6758" t="str">
            <v xml:space="preserve">1093217151     </v>
          </cell>
          <cell r="O6758">
            <v>225</v>
          </cell>
        </row>
        <row r="6759">
          <cell r="F6759" t="str">
            <v xml:space="preserve">1093217151     </v>
          </cell>
          <cell r="O6759">
            <v>345</v>
          </cell>
        </row>
        <row r="6760">
          <cell r="F6760" t="str">
            <v xml:space="preserve">8435389        </v>
          </cell>
          <cell r="O6760">
            <v>594</v>
          </cell>
        </row>
        <row r="6761">
          <cell r="F6761" t="str">
            <v xml:space="preserve">8435389        </v>
          </cell>
          <cell r="O6761">
            <v>90</v>
          </cell>
        </row>
        <row r="6762">
          <cell r="F6762" t="str">
            <v xml:space="preserve">8435389        </v>
          </cell>
          <cell r="O6762">
            <v>510</v>
          </cell>
        </row>
        <row r="6763">
          <cell r="F6763" t="str">
            <v xml:space="preserve">8435389        </v>
          </cell>
          <cell r="O6763">
            <v>600</v>
          </cell>
        </row>
        <row r="6764">
          <cell r="F6764" t="str">
            <v xml:space="preserve">8435389        </v>
          </cell>
          <cell r="O6764">
            <v>720</v>
          </cell>
        </row>
        <row r="6765">
          <cell r="F6765" t="str">
            <v xml:space="preserve">71174894       </v>
          </cell>
          <cell r="O6765">
            <v>840</v>
          </cell>
        </row>
        <row r="6766">
          <cell r="F6766" t="str">
            <v xml:space="preserve">71174894       </v>
          </cell>
          <cell r="O6766">
            <v>180</v>
          </cell>
        </row>
        <row r="6767">
          <cell r="F6767" t="str">
            <v xml:space="preserve">1023722736     </v>
          </cell>
          <cell r="O6767">
            <v>675</v>
          </cell>
        </row>
        <row r="6768">
          <cell r="F6768" t="str">
            <v xml:space="preserve">1023722736     </v>
          </cell>
          <cell r="O6768">
            <v>144</v>
          </cell>
        </row>
        <row r="6769">
          <cell r="F6769" t="str">
            <v xml:space="preserve">1039696881     </v>
          </cell>
          <cell r="O6769">
            <v>13.5</v>
          </cell>
        </row>
        <row r="6770">
          <cell r="F6770" t="str">
            <v xml:space="preserve">1039696881     </v>
          </cell>
          <cell r="O6770">
            <v>9</v>
          </cell>
        </row>
        <row r="6771">
          <cell r="F6771" t="str">
            <v xml:space="preserve">1039696881     </v>
          </cell>
          <cell r="O6771">
            <v>1440</v>
          </cell>
        </row>
        <row r="6772">
          <cell r="F6772" t="str">
            <v xml:space="preserve">1039696881     </v>
          </cell>
          <cell r="O6772">
            <v>45</v>
          </cell>
        </row>
        <row r="6773">
          <cell r="F6773" t="str">
            <v xml:space="preserve">1039696881     </v>
          </cell>
          <cell r="O6773">
            <v>1620</v>
          </cell>
        </row>
        <row r="6774">
          <cell r="F6774" t="str">
            <v xml:space="preserve">1039696881     </v>
          </cell>
          <cell r="O6774">
            <v>9</v>
          </cell>
        </row>
        <row r="6775">
          <cell r="F6775" t="str">
            <v xml:space="preserve">1039696881     </v>
          </cell>
          <cell r="O6775">
            <v>15</v>
          </cell>
        </row>
        <row r="6776">
          <cell r="F6776" t="str">
            <v xml:space="preserve">1039696881     </v>
          </cell>
          <cell r="O6776">
            <v>1458</v>
          </cell>
        </row>
        <row r="6777">
          <cell r="F6777" t="str">
            <v xml:space="preserve">16186973       </v>
          </cell>
          <cell r="O6777">
            <v>36</v>
          </cell>
        </row>
        <row r="6778">
          <cell r="F6778" t="str">
            <v xml:space="preserve">16186973       </v>
          </cell>
          <cell r="O6778">
            <v>30</v>
          </cell>
        </row>
        <row r="6779">
          <cell r="F6779" t="str">
            <v xml:space="preserve">16186973       </v>
          </cell>
          <cell r="O6779">
            <v>540</v>
          </cell>
        </row>
        <row r="6780">
          <cell r="F6780" t="str">
            <v xml:space="preserve">16186973       </v>
          </cell>
          <cell r="O6780">
            <v>45</v>
          </cell>
        </row>
        <row r="6781">
          <cell r="F6781" t="str">
            <v xml:space="preserve">16553709       </v>
          </cell>
          <cell r="O6781">
            <v>135</v>
          </cell>
        </row>
        <row r="6782">
          <cell r="F6782" t="str">
            <v xml:space="preserve">16553709       </v>
          </cell>
          <cell r="O6782">
            <v>75</v>
          </cell>
        </row>
        <row r="6783">
          <cell r="F6783" t="str">
            <v xml:space="preserve">16553709       </v>
          </cell>
          <cell r="O6783">
            <v>180</v>
          </cell>
        </row>
        <row r="6784">
          <cell r="F6784" t="str">
            <v xml:space="preserve">804000752      </v>
          </cell>
          <cell r="O6784">
            <v>54</v>
          </cell>
        </row>
        <row r="6785">
          <cell r="F6785" t="str">
            <v xml:space="preserve">91352291       </v>
          </cell>
          <cell r="O6785">
            <v>15</v>
          </cell>
        </row>
        <row r="6786">
          <cell r="F6786" t="str">
            <v xml:space="preserve">91352291       </v>
          </cell>
          <cell r="O6786">
            <v>36</v>
          </cell>
        </row>
        <row r="6787">
          <cell r="F6787" t="str">
            <v xml:space="preserve">91352291       </v>
          </cell>
          <cell r="O6787">
            <v>315</v>
          </cell>
        </row>
        <row r="6788">
          <cell r="F6788" t="str">
            <v xml:space="preserve">91352291       </v>
          </cell>
          <cell r="O6788">
            <v>165</v>
          </cell>
        </row>
        <row r="6789">
          <cell r="F6789" t="str">
            <v xml:space="preserve">91352291       </v>
          </cell>
          <cell r="O6789">
            <v>144</v>
          </cell>
        </row>
        <row r="6790">
          <cell r="F6790" t="str">
            <v xml:space="preserve">91352291       </v>
          </cell>
          <cell r="O6790">
            <v>45</v>
          </cell>
        </row>
        <row r="6791">
          <cell r="F6791" t="str">
            <v xml:space="preserve">91352291       </v>
          </cell>
          <cell r="O6791">
            <v>165</v>
          </cell>
        </row>
        <row r="6792">
          <cell r="F6792" t="str">
            <v xml:space="preserve">91352291       </v>
          </cell>
          <cell r="O6792">
            <v>180</v>
          </cell>
        </row>
        <row r="6793">
          <cell r="F6793" t="str">
            <v xml:space="preserve">91352291       </v>
          </cell>
          <cell r="O6793">
            <v>45</v>
          </cell>
        </row>
        <row r="6794">
          <cell r="F6794" t="str">
            <v xml:space="preserve">15381508       </v>
          </cell>
          <cell r="O6794">
            <v>135</v>
          </cell>
        </row>
        <row r="6795">
          <cell r="F6795" t="str">
            <v xml:space="preserve">15381508       </v>
          </cell>
          <cell r="O6795">
            <v>234</v>
          </cell>
        </row>
        <row r="6796">
          <cell r="F6796" t="str">
            <v xml:space="preserve">15381508       </v>
          </cell>
          <cell r="O6796">
            <v>135</v>
          </cell>
        </row>
        <row r="6797">
          <cell r="F6797" t="str">
            <v xml:space="preserve">15381508       </v>
          </cell>
          <cell r="O6797">
            <v>210</v>
          </cell>
        </row>
        <row r="6798">
          <cell r="F6798" t="str">
            <v xml:space="preserve">15381508       </v>
          </cell>
          <cell r="O6798">
            <v>198</v>
          </cell>
        </row>
        <row r="6799">
          <cell r="F6799" t="str">
            <v xml:space="preserve">15381508       </v>
          </cell>
          <cell r="O6799">
            <v>90</v>
          </cell>
        </row>
        <row r="6800">
          <cell r="F6800" t="str">
            <v xml:space="preserve">88273778       </v>
          </cell>
          <cell r="O6800">
            <v>405</v>
          </cell>
        </row>
        <row r="6801">
          <cell r="F6801" t="str">
            <v xml:space="preserve">10174892       </v>
          </cell>
          <cell r="O6801">
            <v>360</v>
          </cell>
        </row>
        <row r="6802">
          <cell r="F6802" t="str">
            <v xml:space="preserve">98763233       </v>
          </cell>
          <cell r="O6802">
            <v>9</v>
          </cell>
        </row>
        <row r="6803">
          <cell r="F6803" t="str">
            <v xml:space="preserve">98763233       </v>
          </cell>
          <cell r="O6803">
            <v>936</v>
          </cell>
        </row>
        <row r="6804">
          <cell r="F6804" t="str">
            <v xml:space="preserve">98711342       </v>
          </cell>
          <cell r="O6804">
            <v>9</v>
          </cell>
        </row>
        <row r="6805">
          <cell r="F6805" t="str">
            <v xml:space="preserve">98711342       </v>
          </cell>
          <cell r="O6805">
            <v>30</v>
          </cell>
        </row>
        <row r="6806">
          <cell r="F6806" t="str">
            <v xml:space="preserve">98711342       </v>
          </cell>
          <cell r="O6806">
            <v>900</v>
          </cell>
        </row>
        <row r="6807">
          <cell r="F6807" t="str">
            <v xml:space="preserve">37726719       </v>
          </cell>
          <cell r="O6807">
            <v>225</v>
          </cell>
        </row>
        <row r="6808">
          <cell r="F6808" t="str">
            <v xml:space="preserve">37726719       </v>
          </cell>
          <cell r="O6808">
            <v>810</v>
          </cell>
        </row>
        <row r="6809">
          <cell r="F6809" t="str">
            <v xml:space="preserve">901113951      </v>
          </cell>
          <cell r="O6809">
            <v>90</v>
          </cell>
        </row>
        <row r="6810">
          <cell r="F6810" t="str">
            <v xml:space="preserve">890700148      </v>
          </cell>
          <cell r="O6810">
            <v>315</v>
          </cell>
        </row>
        <row r="6811">
          <cell r="F6811" t="str">
            <v xml:space="preserve">94420654       </v>
          </cell>
          <cell r="O6811">
            <v>45</v>
          </cell>
        </row>
        <row r="6812">
          <cell r="F6812" t="str">
            <v xml:space="preserve">94420654       </v>
          </cell>
          <cell r="O6812">
            <v>180</v>
          </cell>
        </row>
        <row r="6813">
          <cell r="F6813" t="str">
            <v xml:space="preserve">1090397527     </v>
          </cell>
          <cell r="O6813">
            <v>195</v>
          </cell>
        </row>
        <row r="6814">
          <cell r="F6814" t="str">
            <v xml:space="preserve">1090397527     </v>
          </cell>
          <cell r="O6814">
            <v>585</v>
          </cell>
        </row>
        <row r="6815">
          <cell r="F6815" t="str">
            <v xml:space="preserve">1090397527     </v>
          </cell>
          <cell r="O6815">
            <v>615</v>
          </cell>
        </row>
        <row r="6816">
          <cell r="F6816" t="str">
            <v xml:space="preserve">1090397527     </v>
          </cell>
          <cell r="O6816">
            <v>90</v>
          </cell>
        </row>
        <row r="6817">
          <cell r="F6817" t="str">
            <v xml:space="preserve">1090397527     </v>
          </cell>
          <cell r="O6817">
            <v>585</v>
          </cell>
        </row>
        <row r="6818">
          <cell r="F6818" t="str">
            <v xml:space="preserve">1090397527     </v>
          </cell>
          <cell r="O6818">
            <v>45</v>
          </cell>
        </row>
        <row r="6819">
          <cell r="F6819" t="str">
            <v xml:space="preserve">1090397527     </v>
          </cell>
          <cell r="O6819">
            <v>345</v>
          </cell>
        </row>
        <row r="6820">
          <cell r="F6820" t="str">
            <v xml:space="preserve">1090397527     </v>
          </cell>
          <cell r="O6820">
            <v>315</v>
          </cell>
        </row>
        <row r="6821">
          <cell r="F6821" t="str">
            <v xml:space="preserve">1090397527     </v>
          </cell>
          <cell r="O6821">
            <v>765</v>
          </cell>
        </row>
        <row r="6822">
          <cell r="F6822" t="str">
            <v xml:space="preserve">1039694009     </v>
          </cell>
          <cell r="O6822">
            <v>1140</v>
          </cell>
        </row>
        <row r="6823">
          <cell r="F6823" t="str">
            <v xml:space="preserve">1039694009     </v>
          </cell>
          <cell r="O6823">
            <v>54</v>
          </cell>
        </row>
        <row r="6824">
          <cell r="F6824" t="str">
            <v xml:space="preserve">1039694009     </v>
          </cell>
          <cell r="O6824">
            <v>90</v>
          </cell>
        </row>
        <row r="6825">
          <cell r="F6825" t="str">
            <v xml:space="preserve">860001697      </v>
          </cell>
          <cell r="O6825">
            <v>189.34</v>
          </cell>
        </row>
        <row r="6826">
          <cell r="F6826" t="str">
            <v xml:space="preserve">1100623000     </v>
          </cell>
          <cell r="O6826">
            <v>15</v>
          </cell>
        </row>
        <row r="6827">
          <cell r="F6827" t="str">
            <v xml:space="preserve">1100623000     </v>
          </cell>
          <cell r="O6827">
            <v>828</v>
          </cell>
        </row>
        <row r="6828">
          <cell r="F6828" t="str">
            <v xml:space="preserve">1100623000     </v>
          </cell>
          <cell r="O6828">
            <v>90</v>
          </cell>
        </row>
        <row r="6829">
          <cell r="F6829" t="str">
            <v xml:space="preserve">1100623000     </v>
          </cell>
          <cell r="O6829">
            <v>396</v>
          </cell>
        </row>
        <row r="6830">
          <cell r="F6830" t="str">
            <v xml:space="preserve">73126502       </v>
          </cell>
          <cell r="O6830">
            <v>270</v>
          </cell>
        </row>
        <row r="6831">
          <cell r="F6831" t="str">
            <v xml:space="preserve">73126502       </v>
          </cell>
          <cell r="O6831">
            <v>90</v>
          </cell>
        </row>
        <row r="6832">
          <cell r="F6832" t="str">
            <v xml:space="preserve">73126502       </v>
          </cell>
          <cell r="O6832">
            <v>45</v>
          </cell>
        </row>
        <row r="6833">
          <cell r="F6833" t="str">
            <v xml:space="preserve">83221998       </v>
          </cell>
          <cell r="O6833">
            <v>210</v>
          </cell>
        </row>
        <row r="6834">
          <cell r="F6834" t="str">
            <v xml:space="preserve">83221998       </v>
          </cell>
          <cell r="O6834">
            <v>252</v>
          </cell>
        </row>
        <row r="6835">
          <cell r="F6835" t="str">
            <v xml:space="preserve">83221998       </v>
          </cell>
          <cell r="O6835">
            <v>90</v>
          </cell>
        </row>
        <row r="6836">
          <cell r="F6836" t="str">
            <v xml:space="preserve">71142360       </v>
          </cell>
          <cell r="O6836">
            <v>825</v>
          </cell>
        </row>
        <row r="6837">
          <cell r="F6837" t="str">
            <v xml:space="preserve">71142360       </v>
          </cell>
          <cell r="O6837">
            <v>342</v>
          </cell>
        </row>
        <row r="6838">
          <cell r="F6838" t="str">
            <v xml:space="preserve">71142360       </v>
          </cell>
          <cell r="O6838">
            <v>180</v>
          </cell>
        </row>
        <row r="6839">
          <cell r="F6839" t="str">
            <v xml:space="preserve">71142360       </v>
          </cell>
          <cell r="O6839">
            <v>420</v>
          </cell>
        </row>
        <row r="6840">
          <cell r="F6840" t="str">
            <v xml:space="preserve">71142360       </v>
          </cell>
          <cell r="O6840">
            <v>54</v>
          </cell>
        </row>
        <row r="6841">
          <cell r="F6841" t="str">
            <v xml:space="preserve">71142360       </v>
          </cell>
          <cell r="O6841">
            <v>9</v>
          </cell>
        </row>
        <row r="6842">
          <cell r="F6842" t="str">
            <v xml:space="preserve">71142360       </v>
          </cell>
          <cell r="O6842">
            <v>60</v>
          </cell>
        </row>
        <row r="6843">
          <cell r="F6843" t="str">
            <v xml:space="preserve">71142360       </v>
          </cell>
          <cell r="O6843">
            <v>738</v>
          </cell>
        </row>
        <row r="6844">
          <cell r="F6844" t="str">
            <v xml:space="preserve">71142360       </v>
          </cell>
          <cell r="O6844">
            <v>135</v>
          </cell>
        </row>
        <row r="6845">
          <cell r="F6845" t="str">
            <v xml:space="preserve">24341063       </v>
          </cell>
          <cell r="O6845">
            <v>9</v>
          </cell>
        </row>
        <row r="6846">
          <cell r="F6846" t="str">
            <v xml:space="preserve">24341063       </v>
          </cell>
          <cell r="O6846">
            <v>675</v>
          </cell>
        </row>
        <row r="6847">
          <cell r="F6847" t="str">
            <v xml:space="preserve">24341063       </v>
          </cell>
          <cell r="O6847">
            <v>108</v>
          </cell>
        </row>
        <row r="6848">
          <cell r="F6848" t="str">
            <v xml:space="preserve">24341063       </v>
          </cell>
          <cell r="O6848">
            <v>90</v>
          </cell>
        </row>
        <row r="6849">
          <cell r="F6849" t="str">
            <v xml:space="preserve">43656575       </v>
          </cell>
          <cell r="O6849">
            <v>22.5</v>
          </cell>
        </row>
        <row r="6850">
          <cell r="F6850" t="str">
            <v xml:space="preserve">43656575       </v>
          </cell>
          <cell r="O6850">
            <v>405</v>
          </cell>
        </row>
        <row r="6851">
          <cell r="F6851" t="str">
            <v xml:space="preserve">43656575       </v>
          </cell>
          <cell r="O6851">
            <v>1008</v>
          </cell>
        </row>
        <row r="6852">
          <cell r="F6852" t="str">
            <v xml:space="preserve">43656575       </v>
          </cell>
          <cell r="O6852">
            <v>90</v>
          </cell>
        </row>
        <row r="6853">
          <cell r="F6853" t="str">
            <v xml:space="preserve">17421056       </v>
          </cell>
          <cell r="O6853">
            <v>30</v>
          </cell>
        </row>
        <row r="6854">
          <cell r="F6854" t="str">
            <v xml:space="preserve">17421056       </v>
          </cell>
          <cell r="O6854">
            <v>15</v>
          </cell>
        </row>
        <row r="6855">
          <cell r="F6855" t="str">
            <v xml:space="preserve">73559455       </v>
          </cell>
          <cell r="O6855">
            <v>60</v>
          </cell>
        </row>
        <row r="6856">
          <cell r="F6856" t="str">
            <v xml:space="preserve">73559455       </v>
          </cell>
          <cell r="O6856">
            <v>198</v>
          </cell>
        </row>
        <row r="6857">
          <cell r="F6857" t="str">
            <v xml:space="preserve">73559455       </v>
          </cell>
          <cell r="O6857">
            <v>18</v>
          </cell>
        </row>
        <row r="6858">
          <cell r="F6858" t="str">
            <v xml:space="preserve">890936354      </v>
          </cell>
          <cell r="O6858">
            <v>180</v>
          </cell>
        </row>
        <row r="6859">
          <cell r="F6859" t="str">
            <v xml:space="preserve">860001697      </v>
          </cell>
          <cell r="O6859">
            <v>522.94000000000005</v>
          </cell>
        </row>
        <row r="6860">
          <cell r="F6860" t="str">
            <v xml:space="preserve">860001697      </v>
          </cell>
          <cell r="O6860">
            <v>495.66</v>
          </cell>
        </row>
        <row r="6861">
          <cell r="F6861" t="str">
            <v xml:space="preserve">1214745372     </v>
          </cell>
          <cell r="O6861">
            <v>31.5</v>
          </cell>
        </row>
        <row r="6862">
          <cell r="F6862" t="str">
            <v xml:space="preserve">1214745372     </v>
          </cell>
          <cell r="O6862">
            <v>30</v>
          </cell>
        </row>
        <row r="6863">
          <cell r="F6863" t="str">
            <v xml:space="preserve">1214745372     </v>
          </cell>
          <cell r="O6863">
            <v>630</v>
          </cell>
        </row>
        <row r="6864">
          <cell r="F6864" t="str">
            <v xml:space="preserve">1214745372     </v>
          </cell>
          <cell r="O6864">
            <v>90</v>
          </cell>
        </row>
        <row r="6865">
          <cell r="F6865" t="str">
            <v xml:space="preserve">93419128       </v>
          </cell>
          <cell r="O6865">
            <v>30</v>
          </cell>
        </row>
        <row r="6866">
          <cell r="F6866" t="str">
            <v xml:space="preserve">93419128       </v>
          </cell>
          <cell r="O6866">
            <v>450</v>
          </cell>
        </row>
        <row r="6867">
          <cell r="F6867" t="str">
            <v xml:space="preserve">93419128       </v>
          </cell>
          <cell r="O6867">
            <v>90</v>
          </cell>
        </row>
        <row r="6868">
          <cell r="F6868" t="str">
            <v xml:space="preserve">860005265      </v>
          </cell>
          <cell r="O6868">
            <v>1069</v>
          </cell>
        </row>
        <row r="6869">
          <cell r="F6869" t="str">
            <v xml:space="preserve">860005265      </v>
          </cell>
          <cell r="O6869">
            <v>743.2</v>
          </cell>
        </row>
        <row r="6870">
          <cell r="F6870" t="str">
            <v xml:space="preserve">007            </v>
          </cell>
          <cell r="O6870">
            <v>180</v>
          </cell>
        </row>
        <row r="6871">
          <cell r="F6871" t="str">
            <v xml:space="preserve">007            </v>
          </cell>
          <cell r="O6871">
            <v>45</v>
          </cell>
        </row>
        <row r="6872">
          <cell r="F6872" t="str">
            <v xml:space="preserve">860001697      </v>
          </cell>
          <cell r="O6872">
            <v>354.2</v>
          </cell>
        </row>
        <row r="6873">
          <cell r="F6873" t="str">
            <v xml:space="preserve">860001697      </v>
          </cell>
          <cell r="O6873">
            <v>173</v>
          </cell>
        </row>
        <row r="6874">
          <cell r="F6874" t="str">
            <v xml:space="preserve">203            </v>
          </cell>
          <cell r="O6874">
            <v>15</v>
          </cell>
        </row>
        <row r="6875">
          <cell r="F6875" t="str">
            <v xml:space="preserve">203            </v>
          </cell>
          <cell r="O6875">
            <v>18</v>
          </cell>
        </row>
        <row r="6876">
          <cell r="F6876" t="str">
            <v xml:space="preserve">811046191      </v>
          </cell>
          <cell r="O6876">
            <v>4.5</v>
          </cell>
        </row>
        <row r="6877">
          <cell r="F6877" t="str">
            <v xml:space="preserve">811046191      </v>
          </cell>
          <cell r="O6877">
            <v>27</v>
          </cell>
        </row>
        <row r="6878">
          <cell r="F6878" t="str">
            <v xml:space="preserve">811046191      </v>
          </cell>
          <cell r="O6878">
            <v>36</v>
          </cell>
        </row>
        <row r="6879">
          <cell r="F6879" t="str">
            <v xml:space="preserve">890904078      </v>
          </cell>
          <cell r="O6879">
            <v>15</v>
          </cell>
        </row>
        <row r="6880">
          <cell r="F6880" t="str">
            <v xml:space="preserve">32772122       </v>
          </cell>
          <cell r="O6880">
            <v>600</v>
          </cell>
        </row>
        <row r="6881">
          <cell r="F6881" t="str">
            <v xml:space="preserve">32772122       </v>
          </cell>
          <cell r="O6881">
            <v>162</v>
          </cell>
        </row>
        <row r="6882">
          <cell r="F6882" t="str">
            <v xml:space="preserve">32772122       </v>
          </cell>
          <cell r="O6882">
            <v>225</v>
          </cell>
        </row>
        <row r="6883">
          <cell r="F6883" t="str">
            <v xml:space="preserve">73186091       </v>
          </cell>
          <cell r="O6883">
            <v>450</v>
          </cell>
        </row>
        <row r="6884">
          <cell r="F6884" t="str">
            <v xml:space="preserve">212            </v>
          </cell>
          <cell r="O6884">
            <v>30</v>
          </cell>
        </row>
        <row r="6885">
          <cell r="F6885" t="str">
            <v xml:space="preserve">212            </v>
          </cell>
          <cell r="O6885">
            <v>648</v>
          </cell>
        </row>
        <row r="6886">
          <cell r="F6886" t="str">
            <v xml:space="preserve">212            </v>
          </cell>
          <cell r="O6886">
            <v>135</v>
          </cell>
        </row>
        <row r="6887">
          <cell r="F6887" t="str">
            <v xml:space="preserve">212            </v>
          </cell>
          <cell r="O6887">
            <v>144</v>
          </cell>
        </row>
        <row r="6888">
          <cell r="F6888" t="str">
            <v xml:space="preserve">212            </v>
          </cell>
          <cell r="O6888">
            <v>90</v>
          </cell>
        </row>
        <row r="6889">
          <cell r="F6889" t="str">
            <v xml:space="preserve">212            </v>
          </cell>
          <cell r="O6889">
            <v>1050</v>
          </cell>
        </row>
        <row r="6890">
          <cell r="F6890" t="str">
            <v xml:space="preserve">800032071      </v>
          </cell>
          <cell r="O6890">
            <v>80</v>
          </cell>
        </row>
        <row r="6891">
          <cell r="F6891" t="str">
            <v xml:space="preserve">800032071      </v>
          </cell>
          <cell r="O6891">
            <v>100</v>
          </cell>
        </row>
        <row r="6892">
          <cell r="F6892" t="str">
            <v xml:space="preserve">800226901      </v>
          </cell>
          <cell r="O6892">
            <v>180</v>
          </cell>
        </row>
        <row r="6893">
          <cell r="F6893" t="str">
            <v xml:space="preserve">811047008      </v>
          </cell>
          <cell r="O6893">
            <v>54</v>
          </cell>
        </row>
        <row r="6894">
          <cell r="F6894" t="str">
            <v xml:space="preserve">899999049      </v>
          </cell>
          <cell r="O6894">
            <v>54</v>
          </cell>
        </row>
        <row r="6895">
          <cell r="F6895" t="str">
            <v xml:space="preserve">900049818      </v>
          </cell>
          <cell r="O6895">
            <v>48</v>
          </cell>
        </row>
        <row r="6896">
          <cell r="F6896" t="str">
            <v xml:space="preserve">900163286      </v>
          </cell>
          <cell r="O6896">
            <v>54</v>
          </cell>
        </row>
        <row r="6897">
          <cell r="F6897" t="str">
            <v xml:space="preserve">900603554      </v>
          </cell>
          <cell r="O6897">
            <v>180</v>
          </cell>
        </row>
        <row r="6898">
          <cell r="F6898" t="str">
            <v xml:space="preserve">900805585      </v>
          </cell>
          <cell r="O6898">
            <v>36</v>
          </cell>
        </row>
        <row r="6899">
          <cell r="F6899" t="str">
            <v xml:space="preserve">811014849      </v>
          </cell>
          <cell r="O6899">
            <v>273.05</v>
          </cell>
        </row>
        <row r="6900">
          <cell r="F6900" t="str">
            <v xml:space="preserve">830016868      </v>
          </cell>
          <cell r="O6900">
            <v>1350</v>
          </cell>
        </row>
        <row r="6901">
          <cell r="F6901" t="str">
            <v xml:space="preserve">800090890      </v>
          </cell>
          <cell r="O6901">
            <v>73</v>
          </cell>
        </row>
        <row r="6902">
          <cell r="F6902" t="str">
            <v xml:space="preserve">800090890      </v>
          </cell>
          <cell r="O6902">
            <v>35</v>
          </cell>
        </row>
        <row r="6903">
          <cell r="F6903" t="str">
            <v xml:space="preserve">811014849      </v>
          </cell>
          <cell r="O6903">
            <v>90</v>
          </cell>
        </row>
        <row r="6904">
          <cell r="F6904" t="str">
            <v xml:space="preserve">811014849      </v>
          </cell>
          <cell r="O6904">
            <v>54</v>
          </cell>
        </row>
        <row r="6905">
          <cell r="F6905" t="str">
            <v xml:space="preserve">890903939      </v>
          </cell>
          <cell r="O6905">
            <v>694.65</v>
          </cell>
        </row>
        <row r="6906">
          <cell r="F6906" t="str">
            <v xml:space="preserve">890903939      </v>
          </cell>
          <cell r="O6906">
            <v>58.45</v>
          </cell>
        </row>
        <row r="6907">
          <cell r="F6907" t="str">
            <v xml:space="preserve">890903939      </v>
          </cell>
          <cell r="O6907">
            <v>591.95000000000005</v>
          </cell>
        </row>
        <row r="6908">
          <cell r="F6908" t="str">
            <v xml:space="preserve">890903939      </v>
          </cell>
          <cell r="O6908">
            <v>273.5</v>
          </cell>
        </row>
        <row r="6909">
          <cell r="F6909" t="str">
            <v xml:space="preserve">890903939      </v>
          </cell>
          <cell r="O6909">
            <v>82.4</v>
          </cell>
        </row>
        <row r="6910">
          <cell r="F6910" t="str">
            <v xml:space="preserve">211            </v>
          </cell>
          <cell r="O6910">
            <v>225</v>
          </cell>
        </row>
        <row r="6911">
          <cell r="F6911" t="str">
            <v xml:space="preserve">211            </v>
          </cell>
          <cell r="O6911">
            <v>486</v>
          </cell>
        </row>
        <row r="6912">
          <cell r="F6912" t="str">
            <v xml:space="preserve">211            </v>
          </cell>
          <cell r="O6912">
            <v>60</v>
          </cell>
        </row>
        <row r="6913">
          <cell r="F6913" t="str">
            <v xml:space="preserve">211            </v>
          </cell>
          <cell r="O6913">
            <v>1350</v>
          </cell>
        </row>
        <row r="6914">
          <cell r="F6914" t="str">
            <v xml:space="preserve">211            </v>
          </cell>
          <cell r="O6914">
            <v>90</v>
          </cell>
        </row>
        <row r="6915">
          <cell r="F6915" t="str">
            <v xml:space="preserve">811014849      </v>
          </cell>
          <cell r="O6915">
            <v>280.14</v>
          </cell>
        </row>
        <row r="6916">
          <cell r="F6916" t="str">
            <v xml:space="preserve">899999049      </v>
          </cell>
          <cell r="O6916">
            <v>108</v>
          </cell>
        </row>
        <row r="6917">
          <cell r="F6917" t="str">
            <v xml:space="preserve">811032699      </v>
          </cell>
          <cell r="O6917">
            <v>36</v>
          </cell>
        </row>
        <row r="6918">
          <cell r="F6918" t="str">
            <v xml:space="preserve">830095213      </v>
          </cell>
          <cell r="O6918">
            <v>90</v>
          </cell>
        </row>
        <row r="6919">
          <cell r="F6919" t="str">
            <v xml:space="preserve">830095213      </v>
          </cell>
          <cell r="O6919">
            <v>180</v>
          </cell>
        </row>
        <row r="6920">
          <cell r="F6920" t="str">
            <v xml:space="preserve">830095213      </v>
          </cell>
          <cell r="O6920">
            <v>90</v>
          </cell>
        </row>
        <row r="6921">
          <cell r="F6921" t="str">
            <v xml:space="preserve">890903939      </v>
          </cell>
          <cell r="O6921">
            <v>359.95</v>
          </cell>
        </row>
        <row r="6922">
          <cell r="F6922" t="str">
            <v xml:space="preserve">900093075      </v>
          </cell>
          <cell r="O6922">
            <v>36</v>
          </cell>
        </row>
        <row r="6923">
          <cell r="F6923" t="str">
            <v xml:space="preserve">900820045      </v>
          </cell>
          <cell r="O6923">
            <v>18</v>
          </cell>
        </row>
        <row r="6924">
          <cell r="F6924" t="str">
            <v xml:space="preserve">830036921      </v>
          </cell>
          <cell r="O6924">
            <v>443.7</v>
          </cell>
        </row>
        <row r="6925">
          <cell r="F6925" t="str">
            <v xml:space="preserve">860001697      </v>
          </cell>
          <cell r="O6925">
            <v>1455.75</v>
          </cell>
        </row>
        <row r="6926">
          <cell r="F6926" t="str">
            <v xml:space="preserve">2090579        </v>
          </cell>
          <cell r="O6926">
            <v>36</v>
          </cell>
        </row>
        <row r="6927">
          <cell r="F6927" t="str">
            <v xml:space="preserve">800119692      </v>
          </cell>
          <cell r="O6927">
            <v>90</v>
          </cell>
        </row>
        <row r="6928">
          <cell r="F6928" t="str">
            <v xml:space="preserve">800229035      </v>
          </cell>
          <cell r="O6928">
            <v>60</v>
          </cell>
        </row>
        <row r="6929">
          <cell r="F6929" t="str">
            <v xml:space="preserve">800229035      </v>
          </cell>
          <cell r="O6929">
            <v>90</v>
          </cell>
        </row>
        <row r="6930">
          <cell r="F6930" t="str">
            <v xml:space="preserve">800229035      </v>
          </cell>
          <cell r="O6930">
            <v>135</v>
          </cell>
        </row>
        <row r="6931">
          <cell r="F6931" t="str">
            <v xml:space="preserve">800229035      </v>
          </cell>
          <cell r="O6931">
            <v>75</v>
          </cell>
        </row>
        <row r="6932">
          <cell r="F6932" t="str">
            <v xml:space="preserve">800229035      </v>
          </cell>
          <cell r="O6932">
            <v>90</v>
          </cell>
        </row>
        <row r="6933">
          <cell r="F6933" t="str">
            <v xml:space="preserve">800229035      </v>
          </cell>
          <cell r="O6933">
            <v>75</v>
          </cell>
        </row>
        <row r="6934">
          <cell r="F6934" t="str">
            <v xml:space="preserve">830106563      </v>
          </cell>
          <cell r="O6934">
            <v>922.8</v>
          </cell>
        </row>
        <row r="6935">
          <cell r="F6935" t="str">
            <v xml:space="preserve">860020382      </v>
          </cell>
          <cell r="O6935">
            <v>135</v>
          </cell>
        </row>
        <row r="6936">
          <cell r="F6936" t="str">
            <v xml:space="preserve">860020382      </v>
          </cell>
          <cell r="O6936">
            <v>60</v>
          </cell>
        </row>
        <row r="6937">
          <cell r="F6937" t="str">
            <v xml:space="preserve">860020382      </v>
          </cell>
          <cell r="O6937">
            <v>-135</v>
          </cell>
        </row>
        <row r="6938">
          <cell r="F6938" t="str">
            <v xml:space="preserve">860020382      </v>
          </cell>
          <cell r="O6938">
            <v>-60</v>
          </cell>
        </row>
        <row r="6939">
          <cell r="F6939" t="str">
            <v xml:space="preserve">860020382      </v>
          </cell>
          <cell r="O6939">
            <v>120</v>
          </cell>
        </row>
        <row r="6940">
          <cell r="F6940" t="str">
            <v xml:space="preserve">890903939      </v>
          </cell>
          <cell r="O6940">
            <v>701.25</v>
          </cell>
        </row>
        <row r="6941">
          <cell r="F6941" t="str">
            <v xml:space="preserve">901008538      </v>
          </cell>
          <cell r="O6941">
            <v>1199.2</v>
          </cell>
        </row>
        <row r="6942">
          <cell r="F6942" t="str">
            <v xml:space="preserve">901046830      </v>
          </cell>
          <cell r="O6942">
            <v>315</v>
          </cell>
        </row>
        <row r="6943">
          <cell r="F6943" t="str">
            <v xml:space="preserve">1038409699     </v>
          </cell>
          <cell r="O6943">
            <v>100.1</v>
          </cell>
        </row>
        <row r="6944">
          <cell r="F6944" t="str">
            <v xml:space="preserve">1075232460     </v>
          </cell>
          <cell r="O6944">
            <v>32.299999999999997</v>
          </cell>
        </row>
        <row r="6945">
          <cell r="F6945" t="str">
            <v xml:space="preserve">1075266988     </v>
          </cell>
          <cell r="O6945">
            <v>44.2</v>
          </cell>
        </row>
        <row r="6946">
          <cell r="F6946" t="str">
            <v xml:space="preserve">1075270672     </v>
          </cell>
          <cell r="O6946">
            <v>117.2</v>
          </cell>
        </row>
        <row r="6947">
          <cell r="F6947" t="str">
            <v xml:space="preserve">1078246535     </v>
          </cell>
          <cell r="O6947">
            <v>81.099999999999994</v>
          </cell>
        </row>
        <row r="6948">
          <cell r="F6948" t="str">
            <v xml:space="preserve">1080362316     </v>
          </cell>
          <cell r="O6948">
            <v>103.5</v>
          </cell>
        </row>
        <row r="6949">
          <cell r="F6949" t="str">
            <v xml:space="preserve">1083872378     </v>
          </cell>
          <cell r="O6949">
            <v>44.4</v>
          </cell>
        </row>
        <row r="6950">
          <cell r="F6950" t="str">
            <v xml:space="preserve">1083912237     </v>
          </cell>
          <cell r="O6950">
            <v>648.5</v>
          </cell>
        </row>
        <row r="6951">
          <cell r="F6951" t="str">
            <v xml:space="preserve">1083921993     </v>
          </cell>
          <cell r="O6951">
            <v>179.5</v>
          </cell>
        </row>
        <row r="6952">
          <cell r="F6952" t="str">
            <v xml:space="preserve">12102897       </v>
          </cell>
          <cell r="O6952">
            <v>60.9</v>
          </cell>
        </row>
        <row r="6953">
          <cell r="F6953" t="str">
            <v xml:space="preserve">12142379       </v>
          </cell>
          <cell r="O6953">
            <v>54.3</v>
          </cell>
        </row>
        <row r="6954">
          <cell r="F6954" t="str">
            <v xml:space="preserve">12264547       </v>
          </cell>
          <cell r="O6954">
            <v>254.8</v>
          </cell>
        </row>
        <row r="6955">
          <cell r="F6955" t="str">
            <v xml:space="preserve">26430314       </v>
          </cell>
          <cell r="O6955">
            <v>56.1</v>
          </cell>
        </row>
        <row r="6956">
          <cell r="F6956" t="str">
            <v xml:space="preserve">26550220       </v>
          </cell>
          <cell r="O6956">
            <v>97.3</v>
          </cell>
        </row>
        <row r="6957">
          <cell r="F6957" t="str">
            <v xml:space="preserve">30505859       </v>
          </cell>
          <cell r="O6957">
            <v>133.1</v>
          </cell>
        </row>
        <row r="6958">
          <cell r="F6958" t="str">
            <v xml:space="preserve">30521799       </v>
          </cell>
          <cell r="O6958">
            <v>163.6</v>
          </cell>
        </row>
        <row r="6959">
          <cell r="F6959" t="str">
            <v xml:space="preserve">36147801       </v>
          </cell>
          <cell r="O6959">
            <v>36.4</v>
          </cell>
        </row>
        <row r="6960">
          <cell r="F6960" t="str">
            <v xml:space="preserve">36152861       </v>
          </cell>
          <cell r="O6960">
            <v>158.4</v>
          </cell>
        </row>
        <row r="6961">
          <cell r="F6961" t="str">
            <v xml:space="preserve">36156828       </v>
          </cell>
          <cell r="O6961">
            <v>180.1</v>
          </cell>
        </row>
        <row r="6962">
          <cell r="F6962" t="str">
            <v xml:space="preserve">36156828       </v>
          </cell>
          <cell r="O6962">
            <v>264.8</v>
          </cell>
        </row>
        <row r="6963">
          <cell r="F6963" t="str">
            <v xml:space="preserve">36304110       </v>
          </cell>
          <cell r="O6963">
            <v>45.5</v>
          </cell>
        </row>
        <row r="6964">
          <cell r="F6964" t="str">
            <v xml:space="preserve">36313794       </v>
          </cell>
          <cell r="O6964">
            <v>110.7</v>
          </cell>
        </row>
        <row r="6965">
          <cell r="F6965" t="str">
            <v xml:space="preserve">40331214       </v>
          </cell>
          <cell r="O6965">
            <v>87</v>
          </cell>
        </row>
        <row r="6966">
          <cell r="F6966" t="str">
            <v xml:space="preserve">4888325        </v>
          </cell>
          <cell r="O6966">
            <v>31.6</v>
          </cell>
        </row>
        <row r="6967">
          <cell r="F6967" t="str">
            <v xml:space="preserve">4888325        </v>
          </cell>
          <cell r="O6967">
            <v>21.4</v>
          </cell>
        </row>
        <row r="6968">
          <cell r="F6968" t="str">
            <v xml:space="preserve">55057791       </v>
          </cell>
          <cell r="O6968">
            <v>80.599999999999994</v>
          </cell>
        </row>
        <row r="6969">
          <cell r="F6969" t="str">
            <v xml:space="preserve">55067676       </v>
          </cell>
          <cell r="O6969">
            <v>390.7</v>
          </cell>
        </row>
        <row r="6970">
          <cell r="F6970" t="str">
            <v xml:space="preserve">55112429       </v>
          </cell>
          <cell r="O6970">
            <v>41.6</v>
          </cell>
        </row>
        <row r="6971">
          <cell r="F6971" t="str">
            <v xml:space="preserve">55207082		     </v>
          </cell>
          <cell r="O6971">
            <v>88.9</v>
          </cell>
        </row>
        <row r="6972">
          <cell r="F6972" t="str">
            <v xml:space="preserve">55207082		     </v>
          </cell>
          <cell r="O6972">
            <v>286.8</v>
          </cell>
        </row>
        <row r="6973">
          <cell r="F6973" t="str">
            <v xml:space="preserve">811020688      </v>
          </cell>
          <cell r="O6973">
            <v>344.4</v>
          </cell>
        </row>
        <row r="6974">
          <cell r="F6974" t="str">
            <v xml:space="preserve">83057870       </v>
          </cell>
          <cell r="O6974">
            <v>133.5</v>
          </cell>
        </row>
        <row r="6975">
          <cell r="F6975" t="str">
            <v xml:space="preserve">83229489       </v>
          </cell>
          <cell r="O6975">
            <v>85.8</v>
          </cell>
        </row>
        <row r="6976">
          <cell r="F6976" t="str">
            <v xml:space="preserve">83231907       </v>
          </cell>
          <cell r="O6976">
            <v>54.5</v>
          </cell>
        </row>
        <row r="6977">
          <cell r="F6977" t="str">
            <v xml:space="preserve">900197494      </v>
          </cell>
          <cell r="O6977">
            <v>270.39999999999998</v>
          </cell>
        </row>
        <row r="6978">
          <cell r="F6978" t="str">
            <v xml:space="preserve">900235922      </v>
          </cell>
          <cell r="O6978">
            <v>132.19999999999999</v>
          </cell>
        </row>
        <row r="6979">
          <cell r="F6979" t="str">
            <v xml:space="preserve">900383516      </v>
          </cell>
          <cell r="O6979">
            <v>508</v>
          </cell>
        </row>
        <row r="6980">
          <cell r="F6980" t="str">
            <v xml:space="preserve">901127896      </v>
          </cell>
          <cell r="O6980">
            <v>101.5</v>
          </cell>
        </row>
        <row r="6981">
          <cell r="F6981" t="str">
            <v xml:space="preserve">901127896      </v>
          </cell>
          <cell r="O6981">
            <v>282.10000000000002</v>
          </cell>
        </row>
        <row r="6982">
          <cell r="F6982" t="str">
            <v xml:space="preserve">901127896      </v>
          </cell>
          <cell r="O6982">
            <v>253.8</v>
          </cell>
        </row>
        <row r="6983">
          <cell r="F6983" t="str">
            <v xml:space="preserve">901127896      </v>
          </cell>
          <cell r="O6983">
            <v>242.7</v>
          </cell>
        </row>
        <row r="6984">
          <cell r="F6984" t="str">
            <v xml:space="preserve">901324791      </v>
          </cell>
          <cell r="O6984">
            <v>175.9</v>
          </cell>
        </row>
        <row r="6985">
          <cell r="F6985" t="str">
            <v xml:space="preserve">901363398      </v>
          </cell>
          <cell r="O6985">
            <v>227.9</v>
          </cell>
        </row>
        <row r="6986">
          <cell r="F6986" t="str">
            <v xml:space="preserve">901468908      </v>
          </cell>
          <cell r="O6986">
            <v>70</v>
          </cell>
        </row>
        <row r="6987">
          <cell r="F6987" t="str">
            <v xml:space="preserve">29623619       </v>
          </cell>
          <cell r="O6987">
            <v>214.8</v>
          </cell>
        </row>
        <row r="6988">
          <cell r="F6988" t="str">
            <v xml:space="preserve">901455213      </v>
          </cell>
          <cell r="O6988">
            <v>54.3</v>
          </cell>
        </row>
        <row r="6989">
          <cell r="F6989" t="str">
            <v xml:space="preserve">80029777       </v>
          </cell>
          <cell r="O6989">
            <v>260.3</v>
          </cell>
        </row>
        <row r="6990">
          <cell r="F6990" t="str">
            <v xml:space="preserve">860032450      </v>
          </cell>
          <cell r="O6990">
            <v>6102.1</v>
          </cell>
        </row>
        <row r="6991">
          <cell r="F6991" t="str">
            <v xml:space="preserve">860001697      </v>
          </cell>
          <cell r="O6991">
            <v>432.58</v>
          </cell>
        </row>
        <row r="6992">
          <cell r="F6992" t="str">
            <v xml:space="preserve">212            </v>
          </cell>
          <cell r="O6992">
            <v>60</v>
          </cell>
        </row>
        <row r="6993">
          <cell r="F6993" t="str">
            <v xml:space="preserve">212            </v>
          </cell>
          <cell r="O6993">
            <v>270</v>
          </cell>
        </row>
        <row r="6994">
          <cell r="F6994" t="str">
            <v xml:space="preserve">212            </v>
          </cell>
          <cell r="O6994">
            <v>360</v>
          </cell>
        </row>
        <row r="6995">
          <cell r="F6995" t="str">
            <v xml:space="preserve">212            </v>
          </cell>
          <cell r="O6995">
            <v>315</v>
          </cell>
        </row>
        <row r="6996">
          <cell r="F6996" t="str">
            <v xml:space="preserve">811006706      </v>
          </cell>
          <cell r="O6996">
            <v>135</v>
          </cell>
        </row>
        <row r="6997">
          <cell r="F6997" t="str">
            <v xml:space="preserve">830042112      </v>
          </cell>
          <cell r="O6997">
            <v>90</v>
          </cell>
        </row>
        <row r="6998">
          <cell r="F6998" t="str">
            <v xml:space="preserve">203            </v>
          </cell>
          <cell r="O6998">
            <v>36</v>
          </cell>
        </row>
        <row r="6999">
          <cell r="F6999" t="str">
            <v xml:space="preserve">70052771       </v>
          </cell>
          <cell r="O6999">
            <v>396</v>
          </cell>
        </row>
        <row r="7000">
          <cell r="F7000" t="str">
            <v xml:space="preserve">98699317       </v>
          </cell>
          <cell r="O7000">
            <v>18</v>
          </cell>
        </row>
        <row r="7001">
          <cell r="F7001" t="str">
            <v xml:space="preserve">213            </v>
          </cell>
          <cell r="O7001">
            <v>315</v>
          </cell>
        </row>
        <row r="7002">
          <cell r="F7002" t="str">
            <v xml:space="preserve">213            </v>
          </cell>
          <cell r="O7002">
            <v>162</v>
          </cell>
        </row>
        <row r="7003">
          <cell r="F7003" t="str">
            <v xml:space="preserve">213            </v>
          </cell>
          <cell r="O7003">
            <v>90</v>
          </cell>
        </row>
        <row r="7004">
          <cell r="F7004" t="str">
            <v xml:space="preserve">70052771       </v>
          </cell>
          <cell r="O7004">
            <v>15</v>
          </cell>
        </row>
        <row r="7005">
          <cell r="F7005" t="str">
            <v xml:space="preserve">800160280      </v>
          </cell>
          <cell r="O7005">
            <v>15</v>
          </cell>
        </row>
        <row r="7006">
          <cell r="F7006" t="str">
            <v xml:space="preserve">811014849      </v>
          </cell>
          <cell r="O7006">
            <v>126</v>
          </cell>
        </row>
        <row r="7007">
          <cell r="F7007" t="str">
            <v xml:space="preserve">811014849      </v>
          </cell>
          <cell r="O7007">
            <v>162</v>
          </cell>
        </row>
        <row r="7008">
          <cell r="F7008" t="str">
            <v xml:space="preserve">811014849      </v>
          </cell>
          <cell r="O7008">
            <v>72</v>
          </cell>
        </row>
        <row r="7009">
          <cell r="F7009" t="str">
            <v xml:space="preserve">811020038      </v>
          </cell>
          <cell r="O7009">
            <v>18</v>
          </cell>
        </row>
        <row r="7010">
          <cell r="F7010" t="str">
            <v xml:space="preserve">811022351      </v>
          </cell>
          <cell r="O7010">
            <v>54</v>
          </cell>
        </row>
        <row r="7011">
          <cell r="F7011" t="str">
            <v xml:space="preserve">811024452      </v>
          </cell>
          <cell r="O7011">
            <v>36</v>
          </cell>
        </row>
        <row r="7012">
          <cell r="F7012" t="str">
            <v xml:space="preserve">811035741      </v>
          </cell>
          <cell r="O7012">
            <v>105</v>
          </cell>
        </row>
        <row r="7013">
          <cell r="F7013" t="str">
            <v xml:space="preserve">860013809      </v>
          </cell>
          <cell r="O7013">
            <v>180</v>
          </cell>
        </row>
        <row r="7014">
          <cell r="F7014" t="str">
            <v xml:space="preserve">890900424      </v>
          </cell>
          <cell r="O7014">
            <v>45</v>
          </cell>
        </row>
        <row r="7015">
          <cell r="F7015" t="str">
            <v xml:space="preserve">890904713      </v>
          </cell>
          <cell r="O7015">
            <v>30</v>
          </cell>
        </row>
        <row r="7016">
          <cell r="F7016" t="str">
            <v xml:space="preserve">890905790      </v>
          </cell>
          <cell r="O7016">
            <v>60</v>
          </cell>
        </row>
        <row r="7017">
          <cell r="F7017" t="str">
            <v xml:space="preserve">890907406      </v>
          </cell>
          <cell r="O7017">
            <v>60</v>
          </cell>
        </row>
        <row r="7018">
          <cell r="F7018" t="str">
            <v xml:space="preserve">899999049      </v>
          </cell>
          <cell r="O7018">
            <v>84</v>
          </cell>
        </row>
        <row r="7019">
          <cell r="F7019" t="str">
            <v xml:space="preserve">900049818      </v>
          </cell>
          <cell r="O7019">
            <v>15</v>
          </cell>
        </row>
        <row r="7020">
          <cell r="F7020" t="str">
            <v xml:space="preserve">900302490      </v>
          </cell>
          <cell r="O7020">
            <v>15</v>
          </cell>
        </row>
        <row r="7021">
          <cell r="F7021" t="str">
            <v xml:space="preserve">900671066      </v>
          </cell>
          <cell r="O7021">
            <v>18</v>
          </cell>
        </row>
        <row r="7022">
          <cell r="F7022" t="str">
            <v xml:space="preserve">900743223      </v>
          </cell>
          <cell r="O7022">
            <v>48</v>
          </cell>
        </row>
        <row r="7023">
          <cell r="F7023" t="str">
            <v xml:space="preserve">901436775      </v>
          </cell>
          <cell r="O7023">
            <v>180</v>
          </cell>
        </row>
        <row r="7024">
          <cell r="F7024" t="str">
            <v xml:space="preserve">901436775      </v>
          </cell>
          <cell r="O7024">
            <v>0</v>
          </cell>
        </row>
        <row r="7025">
          <cell r="F7025" t="str">
            <v xml:space="preserve">210            </v>
          </cell>
          <cell r="O7025">
            <v>864</v>
          </cell>
        </row>
        <row r="7026">
          <cell r="F7026" t="str">
            <v xml:space="preserve">210            </v>
          </cell>
          <cell r="O7026">
            <v>135</v>
          </cell>
        </row>
        <row r="7027">
          <cell r="F7027" t="str">
            <v xml:space="preserve">860020382      </v>
          </cell>
          <cell r="O7027">
            <v>90</v>
          </cell>
        </row>
        <row r="7028">
          <cell r="F7028" t="str">
            <v xml:space="preserve">890903939      </v>
          </cell>
          <cell r="O7028">
            <v>37</v>
          </cell>
        </row>
        <row r="7029">
          <cell r="F7029" t="str">
            <v xml:space="preserve">860001697      </v>
          </cell>
          <cell r="O7029">
            <v>328.1</v>
          </cell>
        </row>
        <row r="7030">
          <cell r="F7030" t="str">
            <v xml:space="preserve">210            </v>
          </cell>
          <cell r="O7030">
            <v>9</v>
          </cell>
        </row>
        <row r="7031">
          <cell r="F7031" t="str">
            <v xml:space="preserve">210            </v>
          </cell>
          <cell r="O7031">
            <v>15</v>
          </cell>
        </row>
        <row r="7032">
          <cell r="F7032" t="str">
            <v xml:space="preserve">210            </v>
          </cell>
          <cell r="O7032">
            <v>378</v>
          </cell>
        </row>
        <row r="7033">
          <cell r="F7033" t="str">
            <v xml:space="preserve">210            </v>
          </cell>
          <cell r="O7033">
            <v>45</v>
          </cell>
        </row>
        <row r="7034">
          <cell r="F7034" t="str">
            <v xml:space="preserve">800003267      </v>
          </cell>
          <cell r="O7034">
            <v>108</v>
          </cell>
        </row>
        <row r="7035">
          <cell r="F7035" t="str">
            <v xml:space="preserve">800068285      </v>
          </cell>
          <cell r="O7035">
            <v>18</v>
          </cell>
        </row>
        <row r="7036">
          <cell r="F7036" t="str">
            <v xml:space="preserve">811027317      </v>
          </cell>
          <cell r="O7036">
            <v>54</v>
          </cell>
        </row>
        <row r="7037">
          <cell r="F7037" t="str">
            <v xml:space="preserve">890301602      </v>
          </cell>
          <cell r="O7037">
            <v>234</v>
          </cell>
        </row>
        <row r="7038">
          <cell r="F7038" t="str">
            <v xml:space="preserve">890302609      </v>
          </cell>
          <cell r="O7038">
            <v>243</v>
          </cell>
        </row>
        <row r="7039">
          <cell r="F7039" t="str">
            <v xml:space="preserve">890304607      </v>
          </cell>
          <cell r="O7039">
            <v>54</v>
          </cell>
        </row>
        <row r="7040">
          <cell r="F7040" t="str">
            <v xml:space="preserve">890304611      </v>
          </cell>
          <cell r="O7040">
            <v>30</v>
          </cell>
        </row>
        <row r="7041">
          <cell r="F7041" t="str">
            <v xml:space="preserve">890321924      </v>
          </cell>
          <cell r="O7041">
            <v>36</v>
          </cell>
        </row>
        <row r="7042">
          <cell r="F7042" t="str">
            <v xml:space="preserve">890332891      </v>
          </cell>
          <cell r="O7042">
            <v>18</v>
          </cell>
        </row>
        <row r="7043">
          <cell r="F7043" t="str">
            <v xml:space="preserve">890903939      </v>
          </cell>
          <cell r="O7043">
            <v>167</v>
          </cell>
        </row>
        <row r="7044">
          <cell r="F7044" t="str">
            <v xml:space="preserve">890932389      </v>
          </cell>
          <cell r="O7044">
            <v>135</v>
          </cell>
        </row>
        <row r="7045">
          <cell r="F7045" t="str">
            <v xml:space="preserve">891300382      </v>
          </cell>
          <cell r="O7045">
            <v>36</v>
          </cell>
        </row>
        <row r="7046">
          <cell r="F7046" t="str">
            <v xml:space="preserve">900233101      </v>
          </cell>
          <cell r="O7046">
            <v>72</v>
          </cell>
        </row>
        <row r="7047">
          <cell r="F7047" t="str">
            <v xml:space="preserve">900767174      </v>
          </cell>
          <cell r="O7047">
            <v>36</v>
          </cell>
        </row>
        <row r="7048">
          <cell r="F7048" t="str">
            <v xml:space="preserve">901167377      </v>
          </cell>
          <cell r="O7048">
            <v>66.5</v>
          </cell>
        </row>
        <row r="7049">
          <cell r="F7049" t="str">
            <v xml:space="preserve">1066184116     </v>
          </cell>
          <cell r="O7049">
            <v>54</v>
          </cell>
        </row>
        <row r="7050">
          <cell r="F7050" t="str">
            <v xml:space="preserve">407            </v>
          </cell>
          <cell r="O7050">
            <v>0</v>
          </cell>
        </row>
        <row r="7051">
          <cell r="F7051" t="str">
            <v xml:space="preserve">901144707      </v>
          </cell>
          <cell r="O7051">
            <v>120</v>
          </cell>
        </row>
        <row r="7052">
          <cell r="F7052" t="str">
            <v xml:space="preserve">901144707      </v>
          </cell>
          <cell r="O7052">
            <v>306</v>
          </cell>
        </row>
        <row r="7053">
          <cell r="F7053" t="str">
            <v xml:space="preserve">901216370      </v>
          </cell>
          <cell r="O7053">
            <v>690</v>
          </cell>
        </row>
        <row r="7054">
          <cell r="F7054" t="str">
            <v xml:space="preserve">860029445      </v>
          </cell>
          <cell r="O7054">
            <v>4000.5</v>
          </cell>
        </row>
        <row r="7055">
          <cell r="F7055" t="str">
            <v xml:space="preserve">860058176      </v>
          </cell>
          <cell r="O7055">
            <v>75.3</v>
          </cell>
        </row>
        <row r="7056">
          <cell r="F7056" t="str">
            <v xml:space="preserve">900251105      </v>
          </cell>
          <cell r="O7056">
            <v>301.5</v>
          </cell>
        </row>
        <row r="7057">
          <cell r="F7057" t="str">
            <v xml:space="preserve">41786266       </v>
          </cell>
          <cell r="O7057">
            <v>-36.5</v>
          </cell>
        </row>
        <row r="7058">
          <cell r="F7058" t="str">
            <v xml:space="preserve">52316829       </v>
          </cell>
          <cell r="O7058">
            <v>65.400000000000006</v>
          </cell>
        </row>
        <row r="7059">
          <cell r="F7059" t="str">
            <v xml:space="preserve">860065656      </v>
          </cell>
          <cell r="O7059">
            <v>804.6</v>
          </cell>
        </row>
        <row r="7060">
          <cell r="F7060" t="str">
            <v xml:space="preserve">860065656      </v>
          </cell>
          <cell r="O7060">
            <v>1316.1</v>
          </cell>
        </row>
        <row r="7061">
          <cell r="F7061" t="str">
            <v xml:space="preserve">860522164      </v>
          </cell>
          <cell r="O7061">
            <v>375.8</v>
          </cell>
        </row>
        <row r="7062">
          <cell r="F7062" t="str">
            <v xml:space="preserve">860522164      </v>
          </cell>
          <cell r="O7062">
            <v>375.1</v>
          </cell>
        </row>
        <row r="7063">
          <cell r="F7063" t="str">
            <v xml:space="preserve">52790620       </v>
          </cell>
          <cell r="O7063">
            <v>2592</v>
          </cell>
        </row>
        <row r="7064">
          <cell r="F7064" t="str">
            <v xml:space="preserve">210            </v>
          </cell>
          <cell r="O7064">
            <v>288</v>
          </cell>
        </row>
        <row r="7065">
          <cell r="F7065" t="str">
            <v xml:space="preserve">210            </v>
          </cell>
          <cell r="O7065">
            <v>450</v>
          </cell>
        </row>
        <row r="7066">
          <cell r="F7066" t="str">
            <v xml:space="preserve">860058831      </v>
          </cell>
          <cell r="O7066">
            <v>1003</v>
          </cell>
        </row>
        <row r="7067">
          <cell r="F7067" t="str">
            <v xml:space="preserve">860058831      </v>
          </cell>
          <cell r="O7067">
            <v>580.1</v>
          </cell>
        </row>
        <row r="7068">
          <cell r="F7068" t="str">
            <v xml:space="preserve">860058831      </v>
          </cell>
          <cell r="O7068">
            <v>650.1</v>
          </cell>
        </row>
        <row r="7069">
          <cell r="F7069" t="str">
            <v xml:space="preserve">900343005      </v>
          </cell>
          <cell r="O7069">
            <v>905.2</v>
          </cell>
        </row>
        <row r="7070">
          <cell r="F7070" t="str">
            <v xml:space="preserve">900343005      </v>
          </cell>
          <cell r="O7070">
            <v>1285.7</v>
          </cell>
        </row>
        <row r="7071">
          <cell r="F7071" t="str">
            <v xml:space="preserve">900354571      </v>
          </cell>
          <cell r="O7071">
            <v>601</v>
          </cell>
        </row>
        <row r="7072">
          <cell r="F7072" t="str">
            <v xml:space="preserve">71335218       </v>
          </cell>
          <cell r="O7072">
            <v>174</v>
          </cell>
        </row>
        <row r="7073">
          <cell r="F7073" t="str">
            <v xml:space="preserve">890900161      </v>
          </cell>
          <cell r="O7073">
            <v>210</v>
          </cell>
        </row>
        <row r="7074">
          <cell r="F7074" t="str">
            <v xml:space="preserve">890903939      </v>
          </cell>
          <cell r="O7074">
            <v>147.5</v>
          </cell>
        </row>
        <row r="7075">
          <cell r="F7075" t="str">
            <v xml:space="preserve">802004090      </v>
          </cell>
          <cell r="O7075">
            <v>108</v>
          </cell>
        </row>
        <row r="7076">
          <cell r="F7076" t="str">
            <v xml:space="preserve">860020382      </v>
          </cell>
          <cell r="O7076">
            <v>36</v>
          </cell>
        </row>
        <row r="7077">
          <cell r="F7077" t="str">
            <v xml:space="preserve">890300431      </v>
          </cell>
          <cell r="O7077">
            <v>102</v>
          </cell>
        </row>
        <row r="7078">
          <cell r="F7078" t="str">
            <v xml:space="preserve">890308085      </v>
          </cell>
          <cell r="O7078">
            <v>18</v>
          </cell>
        </row>
        <row r="7079">
          <cell r="F7079" t="str">
            <v xml:space="preserve">890311251      </v>
          </cell>
          <cell r="O7079">
            <v>90</v>
          </cell>
        </row>
        <row r="7080">
          <cell r="F7080" t="str">
            <v xml:space="preserve">890316957      </v>
          </cell>
          <cell r="O7080">
            <v>60</v>
          </cell>
        </row>
        <row r="7081">
          <cell r="F7081" t="str">
            <v xml:space="preserve">890904713      </v>
          </cell>
          <cell r="O7081">
            <v>54</v>
          </cell>
        </row>
        <row r="7082">
          <cell r="F7082" t="str">
            <v xml:space="preserve">899999049      </v>
          </cell>
          <cell r="O7082">
            <v>54</v>
          </cell>
        </row>
        <row r="7083">
          <cell r="F7083" t="str">
            <v xml:space="preserve">900818921      </v>
          </cell>
          <cell r="O7083">
            <v>512</v>
          </cell>
        </row>
        <row r="7084">
          <cell r="F7084" t="str">
            <v xml:space="preserve">900896300      </v>
          </cell>
          <cell r="O7084">
            <v>198</v>
          </cell>
        </row>
        <row r="7085">
          <cell r="F7085" t="str">
            <v xml:space="preserve">901026262      </v>
          </cell>
          <cell r="O7085">
            <v>18</v>
          </cell>
        </row>
        <row r="7086">
          <cell r="F7086" t="str">
            <v xml:space="preserve">212            </v>
          </cell>
          <cell r="O7086">
            <v>18</v>
          </cell>
        </row>
        <row r="7087">
          <cell r="F7087" t="str">
            <v xml:space="preserve">212            </v>
          </cell>
          <cell r="O7087">
            <v>45</v>
          </cell>
        </row>
        <row r="7088">
          <cell r="F7088" t="str">
            <v xml:space="preserve">212            </v>
          </cell>
          <cell r="O7088">
            <v>18</v>
          </cell>
        </row>
        <row r="7089">
          <cell r="F7089" t="str">
            <v xml:space="preserve">71110713       </v>
          </cell>
          <cell r="O7089">
            <v>36</v>
          </cell>
        </row>
        <row r="7090">
          <cell r="F7090" t="str">
            <v xml:space="preserve">71110713       </v>
          </cell>
          <cell r="O7090">
            <v>90</v>
          </cell>
        </row>
        <row r="7091">
          <cell r="F7091" t="str">
            <v xml:space="preserve">41241333       </v>
          </cell>
          <cell r="O7091">
            <v>250</v>
          </cell>
        </row>
        <row r="7092">
          <cell r="F7092" t="str">
            <v xml:space="preserve">1090462268     </v>
          </cell>
          <cell r="O7092">
            <v>185</v>
          </cell>
        </row>
        <row r="7093">
          <cell r="F7093" t="str">
            <v xml:space="preserve">60410423       </v>
          </cell>
          <cell r="O7093">
            <v>35.200000000000003</v>
          </cell>
        </row>
        <row r="7094">
          <cell r="F7094" t="str">
            <v xml:space="preserve">804013578      </v>
          </cell>
          <cell r="O7094">
            <v>6244.5</v>
          </cell>
        </row>
        <row r="7095">
          <cell r="F7095" t="str">
            <v xml:space="preserve">900237201      </v>
          </cell>
          <cell r="O7095">
            <v>50.8</v>
          </cell>
        </row>
        <row r="7096">
          <cell r="F7096" t="str">
            <v xml:space="preserve">891301549      </v>
          </cell>
          <cell r="O7096">
            <v>803.2</v>
          </cell>
        </row>
        <row r="7097">
          <cell r="F7097" t="str">
            <v xml:space="preserve">891301549      </v>
          </cell>
          <cell r="O7097">
            <v>945.6</v>
          </cell>
        </row>
        <row r="7098">
          <cell r="F7098" t="str">
            <v xml:space="preserve">891301594      </v>
          </cell>
          <cell r="O7098">
            <v>747.4</v>
          </cell>
        </row>
        <row r="7099">
          <cell r="F7099" t="str">
            <v xml:space="preserve">891301594      </v>
          </cell>
          <cell r="O7099">
            <v>549</v>
          </cell>
        </row>
        <row r="7100">
          <cell r="F7100" t="str">
            <v xml:space="preserve">900233101      </v>
          </cell>
          <cell r="O7100">
            <v>1218</v>
          </cell>
        </row>
        <row r="7101">
          <cell r="F7101" t="str">
            <v xml:space="preserve">900233101      </v>
          </cell>
          <cell r="O7101">
            <v>1077.5999999999999</v>
          </cell>
        </row>
        <row r="7102">
          <cell r="F7102" t="str">
            <v xml:space="preserve">28403891       </v>
          </cell>
          <cell r="O7102">
            <v>38.6</v>
          </cell>
        </row>
        <row r="7103">
          <cell r="F7103" t="str">
            <v xml:space="preserve">890201881      </v>
          </cell>
          <cell r="O7103">
            <v>500</v>
          </cell>
        </row>
        <row r="7104">
          <cell r="F7104" t="str">
            <v xml:space="preserve">890201881      </v>
          </cell>
          <cell r="O7104">
            <v>1365</v>
          </cell>
        </row>
        <row r="7105">
          <cell r="F7105" t="str">
            <v xml:space="preserve">890205142      </v>
          </cell>
          <cell r="O7105">
            <v>203.8</v>
          </cell>
        </row>
        <row r="7106">
          <cell r="F7106" t="str">
            <v xml:space="preserve">900172069      </v>
          </cell>
          <cell r="O7106">
            <v>440.1</v>
          </cell>
        </row>
        <row r="7107">
          <cell r="F7107" t="str">
            <v xml:space="preserve">900197640      </v>
          </cell>
          <cell r="O7107">
            <v>1735.2</v>
          </cell>
        </row>
        <row r="7108">
          <cell r="F7108" t="str">
            <v xml:space="preserve">900197640      </v>
          </cell>
          <cell r="O7108">
            <v>477.4</v>
          </cell>
        </row>
        <row r="7109">
          <cell r="F7109" t="str">
            <v xml:space="preserve">900197640      </v>
          </cell>
          <cell r="O7109">
            <v>1137.0999999999999</v>
          </cell>
        </row>
        <row r="7110">
          <cell r="F7110" t="str">
            <v xml:space="preserve">900272513      </v>
          </cell>
          <cell r="O7110">
            <v>1250</v>
          </cell>
        </row>
        <row r="7111">
          <cell r="F7111" t="str">
            <v xml:space="preserve">900834440      </v>
          </cell>
          <cell r="O7111">
            <v>574</v>
          </cell>
        </row>
        <row r="7112">
          <cell r="F7112" t="str">
            <v xml:space="preserve">900834440      </v>
          </cell>
          <cell r="O7112">
            <v>4146.3999999999996</v>
          </cell>
        </row>
        <row r="7113">
          <cell r="F7113" t="str">
            <v xml:space="preserve">800134497      </v>
          </cell>
          <cell r="O7113">
            <v>2020.5</v>
          </cell>
        </row>
        <row r="7114">
          <cell r="F7114" t="str">
            <v xml:space="preserve">830010738      </v>
          </cell>
          <cell r="O7114">
            <v>3001.8</v>
          </cell>
        </row>
        <row r="7115">
          <cell r="F7115" t="str">
            <v xml:space="preserve">900585118      </v>
          </cell>
          <cell r="O7115">
            <v>1500.1</v>
          </cell>
        </row>
        <row r="7116">
          <cell r="F7116" t="str">
            <v xml:space="preserve">811014849      </v>
          </cell>
          <cell r="O7116">
            <v>953.5</v>
          </cell>
        </row>
        <row r="7117">
          <cell r="F7117" t="str">
            <v xml:space="preserve">811014849      </v>
          </cell>
          <cell r="O7117">
            <v>548.79999999999995</v>
          </cell>
        </row>
        <row r="7118">
          <cell r="F7118" t="str">
            <v xml:space="preserve">811022543      </v>
          </cell>
          <cell r="O7118">
            <v>252.8</v>
          </cell>
        </row>
        <row r="7119">
          <cell r="F7119" t="str">
            <v xml:space="preserve">890910131      </v>
          </cell>
          <cell r="O7119">
            <v>1071.8</v>
          </cell>
        </row>
        <row r="7120">
          <cell r="F7120" t="str">
            <v xml:space="preserve">890910131      </v>
          </cell>
          <cell r="O7120">
            <v>434.4</v>
          </cell>
        </row>
        <row r="7121">
          <cell r="F7121" t="str">
            <v xml:space="preserve">890910131      </v>
          </cell>
          <cell r="O7121">
            <v>251</v>
          </cell>
        </row>
        <row r="7122">
          <cell r="F7122" t="str">
            <v xml:space="preserve">800154428      </v>
          </cell>
          <cell r="O7122">
            <v>107.6</v>
          </cell>
        </row>
        <row r="7123">
          <cell r="F7123" t="str">
            <v xml:space="preserve">830091965      </v>
          </cell>
          <cell r="O7123">
            <v>880</v>
          </cell>
        </row>
        <row r="7124">
          <cell r="F7124" t="str">
            <v xml:space="preserve">860032450      </v>
          </cell>
          <cell r="O7124">
            <v>834</v>
          </cell>
        </row>
        <row r="7125">
          <cell r="F7125" t="str">
            <v xml:space="preserve">890301054      </v>
          </cell>
          <cell r="O7125">
            <v>2860</v>
          </cell>
        </row>
        <row r="7126">
          <cell r="F7126" t="str">
            <v xml:space="preserve">900474647      </v>
          </cell>
          <cell r="O7126">
            <v>861.9</v>
          </cell>
        </row>
        <row r="7127">
          <cell r="F7127" t="str">
            <v xml:space="preserve">1105788514     </v>
          </cell>
          <cell r="O7127">
            <v>28.6</v>
          </cell>
        </row>
        <row r="7128">
          <cell r="F7128" t="str">
            <v xml:space="preserve">39813103       </v>
          </cell>
          <cell r="O7128">
            <v>155.80000000000001</v>
          </cell>
        </row>
        <row r="7129">
          <cell r="F7129" t="str">
            <v xml:space="preserve">860058831      </v>
          </cell>
          <cell r="O7129">
            <v>402.5</v>
          </cell>
        </row>
        <row r="7130">
          <cell r="F7130" t="str">
            <v xml:space="preserve">860403972      </v>
          </cell>
          <cell r="O7130">
            <v>3201.7</v>
          </cell>
        </row>
        <row r="7131">
          <cell r="F7131" t="str">
            <v xml:space="preserve">901392009      </v>
          </cell>
          <cell r="O7131">
            <v>4924.8</v>
          </cell>
        </row>
        <row r="7132">
          <cell r="F7132" t="str">
            <v xml:space="preserve">900411999      </v>
          </cell>
          <cell r="O7132">
            <v>72</v>
          </cell>
        </row>
        <row r="7133">
          <cell r="F7133" t="str">
            <v xml:space="preserve">52790620       </v>
          </cell>
          <cell r="O7133">
            <v>2400</v>
          </cell>
        </row>
        <row r="7134">
          <cell r="F7134" t="str">
            <v xml:space="preserve">52790620       </v>
          </cell>
          <cell r="O7134">
            <v>1755</v>
          </cell>
        </row>
        <row r="7135">
          <cell r="F7135" t="str">
            <v xml:space="preserve">52790620       </v>
          </cell>
          <cell r="O7135">
            <v>720</v>
          </cell>
        </row>
        <row r="7136">
          <cell r="F7136" t="str">
            <v xml:space="preserve">52790620       </v>
          </cell>
          <cell r="O7136">
            <v>45</v>
          </cell>
        </row>
        <row r="7137">
          <cell r="F7137" t="str">
            <v xml:space="preserve">52790620       </v>
          </cell>
          <cell r="O7137">
            <v>225</v>
          </cell>
        </row>
        <row r="7138">
          <cell r="F7138" t="str">
            <v xml:space="preserve">213            </v>
          </cell>
          <cell r="O7138">
            <v>60</v>
          </cell>
        </row>
        <row r="7139">
          <cell r="F7139" t="str">
            <v xml:space="preserve">213            </v>
          </cell>
          <cell r="O7139">
            <v>72</v>
          </cell>
        </row>
        <row r="7140">
          <cell r="F7140" t="str">
            <v xml:space="preserve">800134497      </v>
          </cell>
          <cell r="O7140">
            <v>959.1</v>
          </cell>
        </row>
        <row r="7141">
          <cell r="F7141" t="str">
            <v xml:space="preserve">800134497      </v>
          </cell>
          <cell r="O7141">
            <v>950.5</v>
          </cell>
        </row>
        <row r="7142">
          <cell r="F7142" t="str">
            <v xml:space="preserve">860040407      </v>
          </cell>
          <cell r="O7142">
            <v>75.2</v>
          </cell>
        </row>
        <row r="7143">
          <cell r="F7143" t="str">
            <v xml:space="preserve">860040407      </v>
          </cell>
          <cell r="O7143">
            <v>106.5</v>
          </cell>
        </row>
        <row r="7144">
          <cell r="F7144" t="str">
            <v xml:space="preserve">811047008      </v>
          </cell>
          <cell r="O7144">
            <v>36</v>
          </cell>
        </row>
        <row r="7145">
          <cell r="F7145" t="str">
            <v xml:space="preserve">815000863      </v>
          </cell>
          <cell r="O7145">
            <v>270</v>
          </cell>
        </row>
        <row r="7146">
          <cell r="F7146" t="str">
            <v xml:space="preserve">890903939      </v>
          </cell>
          <cell r="O7146">
            <v>270</v>
          </cell>
        </row>
        <row r="7147">
          <cell r="F7147" t="str">
            <v xml:space="preserve">890903939      </v>
          </cell>
          <cell r="O7147">
            <v>162</v>
          </cell>
        </row>
        <row r="7148">
          <cell r="F7148" t="str">
            <v xml:space="preserve">890903939      </v>
          </cell>
          <cell r="O7148">
            <v>162</v>
          </cell>
        </row>
        <row r="7149">
          <cell r="F7149" t="str">
            <v xml:space="preserve">890903939      </v>
          </cell>
          <cell r="O7149">
            <v>234</v>
          </cell>
        </row>
        <row r="7150">
          <cell r="F7150" t="str">
            <v xml:space="preserve">830107617      </v>
          </cell>
          <cell r="O7150">
            <v>1700</v>
          </cell>
        </row>
        <row r="7151">
          <cell r="F7151" t="str">
            <v xml:space="preserve">890300431      </v>
          </cell>
          <cell r="O7151">
            <v>886.7</v>
          </cell>
        </row>
        <row r="7152">
          <cell r="F7152" t="str">
            <v xml:space="preserve">900530093      </v>
          </cell>
          <cell r="O7152">
            <v>121.5</v>
          </cell>
        </row>
        <row r="7153">
          <cell r="F7153" t="str">
            <v xml:space="preserve">94457135       </v>
          </cell>
          <cell r="O7153">
            <v>115</v>
          </cell>
        </row>
        <row r="7154">
          <cell r="F7154" t="str">
            <v xml:space="preserve">860001697      </v>
          </cell>
          <cell r="O7154">
            <v>70.8</v>
          </cell>
        </row>
        <row r="7155">
          <cell r="F7155" t="str">
            <v xml:space="preserve">860001697      </v>
          </cell>
          <cell r="O7155">
            <v>269.94</v>
          </cell>
        </row>
        <row r="7156">
          <cell r="F7156" t="str">
            <v xml:space="preserve">832003882      </v>
          </cell>
          <cell r="O7156">
            <v>5565</v>
          </cell>
        </row>
        <row r="7157">
          <cell r="F7157" t="str">
            <v xml:space="preserve">900067125      </v>
          </cell>
          <cell r="O7157">
            <v>6295</v>
          </cell>
        </row>
        <row r="7158">
          <cell r="F7158" t="str">
            <v xml:space="preserve">900067125      </v>
          </cell>
          <cell r="O7158">
            <v>12804</v>
          </cell>
        </row>
        <row r="7159">
          <cell r="F7159" t="str">
            <v xml:space="preserve">804002801      </v>
          </cell>
          <cell r="O7159">
            <v>5930</v>
          </cell>
        </row>
        <row r="7160">
          <cell r="F7160" t="str">
            <v xml:space="preserve">901175206      </v>
          </cell>
          <cell r="O7160">
            <v>3112</v>
          </cell>
        </row>
        <row r="7161">
          <cell r="F7161" t="str">
            <v xml:space="preserve">901175206      </v>
          </cell>
          <cell r="O7161">
            <v>1306.5</v>
          </cell>
        </row>
        <row r="7162">
          <cell r="F7162" t="str">
            <v xml:space="preserve">901175206      </v>
          </cell>
          <cell r="O7162">
            <v>1242.3</v>
          </cell>
        </row>
        <row r="7163">
          <cell r="F7163" t="str">
            <v xml:space="preserve">901175206      </v>
          </cell>
          <cell r="O7163">
            <v>1424</v>
          </cell>
        </row>
        <row r="7164">
          <cell r="F7164" t="str">
            <v xml:space="preserve">900716459      </v>
          </cell>
          <cell r="O7164">
            <v>5625.05</v>
          </cell>
        </row>
        <row r="7165">
          <cell r="F7165" t="str">
            <v xml:space="preserve">800072725      </v>
          </cell>
          <cell r="O7165">
            <v>120.82</v>
          </cell>
        </row>
        <row r="7166">
          <cell r="F7166" t="str">
            <v xml:space="preserve">830011670      </v>
          </cell>
          <cell r="O7166">
            <v>158.31</v>
          </cell>
        </row>
        <row r="7167">
          <cell r="F7167" t="str">
            <v xml:space="preserve">830026277      </v>
          </cell>
          <cell r="O7167">
            <v>1101.31</v>
          </cell>
        </row>
        <row r="7168">
          <cell r="F7168" t="str">
            <v xml:space="preserve">830096395      </v>
          </cell>
          <cell r="O7168">
            <v>363.32</v>
          </cell>
        </row>
        <row r="7169">
          <cell r="F7169" t="str">
            <v xml:space="preserve">860031786      </v>
          </cell>
          <cell r="O7169">
            <v>114.4</v>
          </cell>
        </row>
        <row r="7170">
          <cell r="F7170" t="str">
            <v xml:space="preserve">860040576      </v>
          </cell>
          <cell r="O7170">
            <v>122.4</v>
          </cell>
        </row>
        <row r="7171">
          <cell r="F7171" t="str">
            <v xml:space="preserve">860069182      </v>
          </cell>
          <cell r="O7171">
            <v>323.41000000000003</v>
          </cell>
        </row>
        <row r="7172">
          <cell r="F7172" t="str">
            <v xml:space="preserve">860513077      </v>
          </cell>
          <cell r="O7172">
            <v>30.27</v>
          </cell>
        </row>
        <row r="7173">
          <cell r="F7173" t="str">
            <v xml:space="preserve">860518994      </v>
          </cell>
          <cell r="O7173">
            <v>40.54</v>
          </cell>
        </row>
        <row r="7174">
          <cell r="F7174" t="str">
            <v xml:space="preserve">860032450      </v>
          </cell>
          <cell r="O7174">
            <v>900.1</v>
          </cell>
        </row>
        <row r="7175">
          <cell r="F7175" t="str">
            <v xml:space="preserve">860032450      </v>
          </cell>
          <cell r="O7175">
            <v>3393</v>
          </cell>
        </row>
        <row r="7176">
          <cell r="F7176" t="str">
            <v xml:space="preserve">901108750      </v>
          </cell>
          <cell r="O7176">
            <v>6100.1</v>
          </cell>
        </row>
        <row r="7177">
          <cell r="F7177" t="str">
            <v xml:space="preserve">901123983      </v>
          </cell>
          <cell r="O7177">
            <v>2000.7</v>
          </cell>
        </row>
        <row r="7178">
          <cell r="F7178" t="str">
            <v xml:space="preserve">901409625      </v>
          </cell>
          <cell r="O7178">
            <v>1002</v>
          </cell>
        </row>
        <row r="7179">
          <cell r="F7179" t="str">
            <v xml:space="preserve">19176471       </v>
          </cell>
          <cell r="O7179">
            <v>37.299999999999997</v>
          </cell>
        </row>
        <row r="7180">
          <cell r="F7180" t="str">
            <v xml:space="preserve">860002536      </v>
          </cell>
          <cell r="O7180">
            <v>450.2</v>
          </cell>
        </row>
        <row r="7181">
          <cell r="F7181" t="str">
            <v xml:space="preserve">860002536      </v>
          </cell>
          <cell r="O7181">
            <v>1227.7</v>
          </cell>
        </row>
        <row r="7182">
          <cell r="F7182" t="str">
            <v xml:space="preserve">860058831      </v>
          </cell>
          <cell r="O7182">
            <v>2002</v>
          </cell>
        </row>
        <row r="7183">
          <cell r="F7183" t="str">
            <v xml:space="preserve">900589003      </v>
          </cell>
          <cell r="O7183">
            <v>1322.2</v>
          </cell>
        </row>
        <row r="7184">
          <cell r="F7184" t="str">
            <v xml:space="preserve">860033419      </v>
          </cell>
          <cell r="O7184">
            <v>124</v>
          </cell>
        </row>
        <row r="7185">
          <cell r="F7185" t="str">
            <v xml:space="preserve">900474647      </v>
          </cell>
          <cell r="O7185">
            <v>1101.5</v>
          </cell>
        </row>
        <row r="7186">
          <cell r="F7186" t="str">
            <v xml:space="preserve">823001882      </v>
          </cell>
          <cell r="O7186">
            <v>72</v>
          </cell>
        </row>
        <row r="7187">
          <cell r="F7187" t="str">
            <v xml:space="preserve">823001882      </v>
          </cell>
          <cell r="O7187">
            <v>225</v>
          </cell>
        </row>
        <row r="7188">
          <cell r="F7188" t="str">
            <v xml:space="preserve">800209179      </v>
          </cell>
          <cell r="O7188">
            <v>45</v>
          </cell>
        </row>
        <row r="7189">
          <cell r="F7189" t="str">
            <v xml:space="preserve">805005148      </v>
          </cell>
          <cell r="O7189">
            <v>90</v>
          </cell>
        </row>
        <row r="7190">
          <cell r="F7190" t="str">
            <v xml:space="preserve">805005148      </v>
          </cell>
          <cell r="O7190">
            <v>75</v>
          </cell>
        </row>
        <row r="7191">
          <cell r="F7191" t="str">
            <v xml:space="preserve">805005148      </v>
          </cell>
          <cell r="O7191">
            <v>108</v>
          </cell>
        </row>
        <row r="7192">
          <cell r="F7192" t="str">
            <v xml:space="preserve">891409156      </v>
          </cell>
          <cell r="O7192">
            <v>18</v>
          </cell>
        </row>
        <row r="7193">
          <cell r="F7193" t="str">
            <v xml:space="preserve">1130605276     </v>
          </cell>
          <cell r="O7193">
            <v>60</v>
          </cell>
        </row>
        <row r="7194">
          <cell r="F7194" t="str">
            <v xml:space="preserve">1130605276     </v>
          </cell>
          <cell r="O7194">
            <v>468</v>
          </cell>
        </row>
        <row r="7195">
          <cell r="F7195" t="str">
            <v xml:space="preserve">1130605276     </v>
          </cell>
          <cell r="O7195">
            <v>270</v>
          </cell>
        </row>
        <row r="7196">
          <cell r="F7196" t="str">
            <v xml:space="preserve">94050412       </v>
          </cell>
          <cell r="O7196">
            <v>270</v>
          </cell>
        </row>
        <row r="7197">
          <cell r="F7197" t="str">
            <v xml:space="preserve">94050412       </v>
          </cell>
          <cell r="O7197">
            <v>90</v>
          </cell>
        </row>
        <row r="7198">
          <cell r="F7198" t="str">
            <v xml:space="preserve">88275315       </v>
          </cell>
          <cell r="O7198">
            <v>9</v>
          </cell>
        </row>
        <row r="7199">
          <cell r="F7199" t="str">
            <v xml:space="preserve">88275315       </v>
          </cell>
          <cell r="O7199">
            <v>27</v>
          </cell>
        </row>
        <row r="7200">
          <cell r="F7200" t="str">
            <v xml:space="preserve">88275315       </v>
          </cell>
          <cell r="O7200">
            <v>180</v>
          </cell>
        </row>
        <row r="7201">
          <cell r="F7201" t="str">
            <v xml:space="preserve">88275315       </v>
          </cell>
          <cell r="O7201">
            <v>2034</v>
          </cell>
        </row>
        <row r="7202">
          <cell r="F7202" t="str">
            <v xml:space="preserve">94464104       </v>
          </cell>
          <cell r="O7202">
            <v>90</v>
          </cell>
        </row>
        <row r="7203">
          <cell r="F7203" t="str">
            <v xml:space="preserve">94464104       </v>
          </cell>
          <cell r="O7203">
            <v>162</v>
          </cell>
        </row>
        <row r="7204">
          <cell r="F7204" t="str">
            <v xml:space="preserve">94464104       </v>
          </cell>
          <cell r="O7204">
            <v>45</v>
          </cell>
        </row>
        <row r="7205">
          <cell r="F7205" t="str">
            <v xml:space="preserve">94464104       </v>
          </cell>
          <cell r="O7205">
            <v>270</v>
          </cell>
        </row>
        <row r="7206">
          <cell r="F7206" t="str">
            <v xml:space="preserve">16458005       </v>
          </cell>
          <cell r="O7206">
            <v>18</v>
          </cell>
        </row>
        <row r="7207">
          <cell r="F7207" t="str">
            <v xml:space="preserve">16458005       </v>
          </cell>
          <cell r="O7207">
            <v>432</v>
          </cell>
        </row>
        <row r="7208">
          <cell r="F7208" t="str">
            <v xml:space="preserve">16458005       </v>
          </cell>
          <cell r="O7208">
            <v>90</v>
          </cell>
        </row>
        <row r="7209">
          <cell r="F7209" t="str">
            <v xml:space="preserve">94419930       </v>
          </cell>
          <cell r="O7209">
            <v>360</v>
          </cell>
        </row>
        <row r="7210">
          <cell r="F7210" t="str">
            <v xml:space="preserve">94419930       </v>
          </cell>
          <cell r="O7210">
            <v>180</v>
          </cell>
        </row>
        <row r="7211">
          <cell r="F7211" t="str">
            <v xml:space="preserve">16669313       </v>
          </cell>
          <cell r="O7211">
            <v>4.5</v>
          </cell>
        </row>
        <row r="7212">
          <cell r="F7212" t="str">
            <v xml:space="preserve">16669313       </v>
          </cell>
          <cell r="O7212">
            <v>18</v>
          </cell>
        </row>
        <row r="7213">
          <cell r="F7213" t="str">
            <v xml:space="preserve">16669313       </v>
          </cell>
          <cell r="O7213">
            <v>30</v>
          </cell>
        </row>
        <row r="7214">
          <cell r="F7214" t="str">
            <v xml:space="preserve">16669313       </v>
          </cell>
          <cell r="O7214">
            <v>378</v>
          </cell>
        </row>
        <row r="7215">
          <cell r="F7215" t="str">
            <v xml:space="preserve">890306231      </v>
          </cell>
          <cell r="O7215">
            <v>90</v>
          </cell>
        </row>
        <row r="7216">
          <cell r="F7216" t="str">
            <v xml:space="preserve">900034686      </v>
          </cell>
          <cell r="O7216">
            <v>18</v>
          </cell>
        </row>
        <row r="7217">
          <cell r="F7217" t="str">
            <v xml:space="preserve">900034686      </v>
          </cell>
          <cell r="O7217">
            <v>90</v>
          </cell>
        </row>
        <row r="7218">
          <cell r="F7218" t="str">
            <v xml:space="preserve">900034686      </v>
          </cell>
          <cell r="O7218">
            <v>36</v>
          </cell>
        </row>
        <row r="7219">
          <cell r="F7219" t="str">
            <v xml:space="preserve">900034686      </v>
          </cell>
          <cell r="O7219">
            <v>135</v>
          </cell>
        </row>
        <row r="7220">
          <cell r="F7220" t="str">
            <v xml:space="preserve">901551934      </v>
          </cell>
          <cell r="O7220">
            <v>108</v>
          </cell>
        </row>
        <row r="7221">
          <cell r="F7221" t="str">
            <v xml:space="preserve">901551934      </v>
          </cell>
          <cell r="O7221">
            <v>135</v>
          </cell>
        </row>
        <row r="7222">
          <cell r="F7222" t="str">
            <v xml:space="preserve">16460421       </v>
          </cell>
          <cell r="O7222">
            <v>9</v>
          </cell>
        </row>
        <row r="7223">
          <cell r="F7223" t="str">
            <v xml:space="preserve">16460421       </v>
          </cell>
          <cell r="O7223">
            <v>9</v>
          </cell>
        </row>
        <row r="7224">
          <cell r="F7224" t="str">
            <v xml:space="preserve">16460421       </v>
          </cell>
          <cell r="O7224">
            <v>45</v>
          </cell>
        </row>
        <row r="7225">
          <cell r="F7225" t="str">
            <v xml:space="preserve">16460421       </v>
          </cell>
          <cell r="O7225">
            <v>630</v>
          </cell>
        </row>
        <row r="7226">
          <cell r="F7226" t="str">
            <v xml:space="preserve">16460421       </v>
          </cell>
          <cell r="O7226">
            <v>135</v>
          </cell>
        </row>
        <row r="7227">
          <cell r="F7227" t="str">
            <v xml:space="preserve">16460421       </v>
          </cell>
          <cell r="O7227">
            <v>18</v>
          </cell>
        </row>
        <row r="7228">
          <cell r="F7228" t="str">
            <v xml:space="preserve">75074760       </v>
          </cell>
          <cell r="O7228">
            <v>45</v>
          </cell>
        </row>
        <row r="7229">
          <cell r="F7229" t="str">
            <v xml:space="preserve">75074760       </v>
          </cell>
          <cell r="O7229">
            <v>165</v>
          </cell>
        </row>
        <row r="7230">
          <cell r="F7230" t="str">
            <v xml:space="preserve">75074760       </v>
          </cell>
          <cell r="O7230">
            <v>162</v>
          </cell>
        </row>
        <row r="7231">
          <cell r="F7231" t="str">
            <v xml:space="preserve">75099432       </v>
          </cell>
          <cell r="O7231">
            <v>90</v>
          </cell>
        </row>
        <row r="7232">
          <cell r="F7232" t="str">
            <v xml:space="preserve">16052848       </v>
          </cell>
          <cell r="O7232">
            <v>1500</v>
          </cell>
        </row>
        <row r="7233">
          <cell r="F7233" t="str">
            <v xml:space="preserve">16052848       </v>
          </cell>
          <cell r="O7233">
            <v>270</v>
          </cell>
        </row>
        <row r="7234">
          <cell r="F7234" t="str">
            <v xml:space="preserve">16052848       </v>
          </cell>
          <cell r="O7234">
            <v>810</v>
          </cell>
        </row>
        <row r="7235">
          <cell r="F7235" t="str">
            <v xml:space="preserve">96359555       </v>
          </cell>
          <cell r="O7235">
            <v>1200</v>
          </cell>
        </row>
        <row r="7236">
          <cell r="F7236" t="str">
            <v xml:space="preserve">96359555       </v>
          </cell>
          <cell r="O7236">
            <v>1494</v>
          </cell>
        </row>
        <row r="7237">
          <cell r="F7237" t="str">
            <v xml:space="preserve">10237057       </v>
          </cell>
          <cell r="O7237">
            <v>90</v>
          </cell>
        </row>
        <row r="7238">
          <cell r="F7238" t="str">
            <v xml:space="preserve">901555731      </v>
          </cell>
          <cell r="O7238">
            <v>18</v>
          </cell>
        </row>
        <row r="7239">
          <cell r="F7239" t="str">
            <v xml:space="preserve">901555731      </v>
          </cell>
          <cell r="O7239">
            <v>135</v>
          </cell>
        </row>
        <row r="7240">
          <cell r="F7240" t="str">
            <v xml:space="preserve">16456104       </v>
          </cell>
          <cell r="O7240">
            <v>300</v>
          </cell>
        </row>
        <row r="7241">
          <cell r="F7241" t="str">
            <v xml:space="preserve">71734502       </v>
          </cell>
          <cell r="O7241">
            <v>150</v>
          </cell>
        </row>
        <row r="7242">
          <cell r="F7242" t="str">
            <v xml:space="preserve">14471042       </v>
          </cell>
          <cell r="O7242">
            <v>45</v>
          </cell>
        </row>
        <row r="7243">
          <cell r="F7243" t="str">
            <v xml:space="preserve">10007888       </v>
          </cell>
          <cell r="O7243">
            <v>36</v>
          </cell>
        </row>
        <row r="7244">
          <cell r="F7244" t="str">
            <v xml:space="preserve">10007888       </v>
          </cell>
          <cell r="O7244">
            <v>120</v>
          </cell>
        </row>
        <row r="7245">
          <cell r="F7245" t="str">
            <v xml:space="preserve">1088256267     </v>
          </cell>
          <cell r="O7245">
            <v>150</v>
          </cell>
        </row>
        <row r="7246">
          <cell r="F7246" t="str">
            <v xml:space="preserve">1088256267     </v>
          </cell>
          <cell r="O7246">
            <v>15</v>
          </cell>
        </row>
        <row r="7247">
          <cell r="F7247" t="str">
            <v xml:space="preserve">16225682       </v>
          </cell>
          <cell r="O7247">
            <v>345</v>
          </cell>
        </row>
        <row r="7248">
          <cell r="F7248" t="str">
            <v xml:space="preserve">16225682       </v>
          </cell>
          <cell r="O7248">
            <v>90</v>
          </cell>
        </row>
        <row r="7249">
          <cell r="F7249" t="str">
            <v xml:space="preserve">16225682       </v>
          </cell>
          <cell r="O7249">
            <v>45</v>
          </cell>
        </row>
        <row r="7250">
          <cell r="F7250" t="str">
            <v xml:space="preserve">10144092       </v>
          </cell>
          <cell r="O7250">
            <v>330</v>
          </cell>
        </row>
        <row r="7251">
          <cell r="F7251" t="str">
            <v xml:space="preserve">10144092       </v>
          </cell>
          <cell r="O7251">
            <v>225</v>
          </cell>
        </row>
        <row r="7252">
          <cell r="F7252" t="str">
            <v xml:space="preserve">10144092       </v>
          </cell>
          <cell r="O7252">
            <v>45</v>
          </cell>
        </row>
        <row r="7253">
          <cell r="F7253" t="str">
            <v xml:space="preserve">18596221       </v>
          </cell>
          <cell r="O7253">
            <v>225</v>
          </cell>
        </row>
        <row r="7254">
          <cell r="F7254" t="str">
            <v xml:space="preserve">76336108       </v>
          </cell>
          <cell r="O7254">
            <v>15</v>
          </cell>
        </row>
        <row r="7255">
          <cell r="F7255" t="str">
            <v xml:space="preserve">76336108       </v>
          </cell>
          <cell r="O7255">
            <v>198</v>
          </cell>
        </row>
        <row r="7256">
          <cell r="F7256" t="str">
            <v xml:space="preserve">76336108       </v>
          </cell>
          <cell r="O7256">
            <v>15</v>
          </cell>
        </row>
        <row r="7257">
          <cell r="F7257" t="str">
            <v xml:space="preserve">76336108       </v>
          </cell>
          <cell r="O7257">
            <v>432</v>
          </cell>
        </row>
        <row r="7258">
          <cell r="F7258" t="str">
            <v xml:space="preserve">10532222       </v>
          </cell>
          <cell r="O7258">
            <v>30</v>
          </cell>
        </row>
        <row r="7259">
          <cell r="F7259" t="str">
            <v xml:space="preserve">12168724       </v>
          </cell>
          <cell r="O7259">
            <v>75</v>
          </cell>
        </row>
        <row r="7260">
          <cell r="F7260" t="str">
            <v xml:space="preserve">12168724       </v>
          </cell>
          <cell r="O7260">
            <v>360</v>
          </cell>
        </row>
        <row r="7261">
          <cell r="F7261" t="str">
            <v xml:space="preserve">12168724       </v>
          </cell>
          <cell r="O7261">
            <v>45</v>
          </cell>
        </row>
        <row r="7262">
          <cell r="F7262" t="str">
            <v xml:space="preserve">76211412       </v>
          </cell>
          <cell r="O7262">
            <v>135</v>
          </cell>
        </row>
        <row r="7263">
          <cell r="F7263" t="str">
            <v xml:space="preserve">10755493       </v>
          </cell>
          <cell r="O7263">
            <v>360</v>
          </cell>
        </row>
        <row r="7264">
          <cell r="F7264" t="str">
            <v xml:space="preserve">10292388       </v>
          </cell>
          <cell r="O7264">
            <v>252</v>
          </cell>
        </row>
        <row r="7265">
          <cell r="F7265" t="str">
            <v xml:space="preserve">89009557       </v>
          </cell>
          <cell r="O7265">
            <v>72</v>
          </cell>
        </row>
        <row r="7266">
          <cell r="F7266" t="str">
            <v xml:space="preserve">89009557       </v>
          </cell>
          <cell r="O7266">
            <v>45</v>
          </cell>
        </row>
        <row r="7267">
          <cell r="F7267" t="str">
            <v xml:space="preserve">9900047        </v>
          </cell>
          <cell r="O7267">
            <v>18</v>
          </cell>
        </row>
        <row r="7268">
          <cell r="F7268" t="str">
            <v xml:space="preserve">9900047        </v>
          </cell>
          <cell r="O7268">
            <v>30</v>
          </cell>
        </row>
        <row r="7269">
          <cell r="F7269" t="str">
            <v xml:space="preserve">9900047        </v>
          </cell>
          <cell r="O7269">
            <v>126</v>
          </cell>
        </row>
        <row r="7270">
          <cell r="F7270" t="str">
            <v xml:space="preserve">18389245       </v>
          </cell>
          <cell r="O7270">
            <v>435</v>
          </cell>
        </row>
        <row r="7271">
          <cell r="F7271" t="str">
            <v xml:space="preserve">18389245       </v>
          </cell>
          <cell r="O7271">
            <v>72</v>
          </cell>
        </row>
        <row r="7272">
          <cell r="F7272" t="str">
            <v xml:space="preserve">18389245       </v>
          </cell>
          <cell r="O7272">
            <v>90</v>
          </cell>
        </row>
        <row r="7273">
          <cell r="F7273" t="str">
            <v xml:space="preserve">18416624       </v>
          </cell>
          <cell r="O7273">
            <v>18</v>
          </cell>
        </row>
        <row r="7274">
          <cell r="F7274" t="str">
            <v xml:space="preserve">18416624       </v>
          </cell>
          <cell r="O7274">
            <v>15</v>
          </cell>
        </row>
        <row r="7275">
          <cell r="F7275" t="str">
            <v xml:space="preserve">18416624       </v>
          </cell>
          <cell r="O7275">
            <v>90</v>
          </cell>
        </row>
        <row r="7276">
          <cell r="F7276" t="str">
            <v xml:space="preserve">18416624       </v>
          </cell>
          <cell r="O7276">
            <v>45</v>
          </cell>
        </row>
        <row r="7277">
          <cell r="F7277" t="str">
            <v xml:space="preserve">4613715        </v>
          </cell>
          <cell r="O7277">
            <v>45</v>
          </cell>
        </row>
        <row r="7278">
          <cell r="F7278" t="str">
            <v xml:space="preserve">4613715        </v>
          </cell>
          <cell r="O7278">
            <v>360</v>
          </cell>
        </row>
        <row r="7279">
          <cell r="F7279" t="str">
            <v xml:space="preserve">4613715        </v>
          </cell>
          <cell r="O7279">
            <v>540</v>
          </cell>
        </row>
        <row r="7280">
          <cell r="F7280" t="str">
            <v xml:space="preserve">18415903       </v>
          </cell>
          <cell r="O7280">
            <v>270</v>
          </cell>
        </row>
        <row r="7281">
          <cell r="F7281" t="str">
            <v xml:space="preserve">9805400        </v>
          </cell>
          <cell r="O7281">
            <v>60</v>
          </cell>
        </row>
        <row r="7282">
          <cell r="F7282" t="str">
            <v xml:space="preserve">9805400        </v>
          </cell>
          <cell r="O7282">
            <v>18</v>
          </cell>
        </row>
        <row r="7283">
          <cell r="F7283" t="str">
            <v xml:space="preserve">9805400        </v>
          </cell>
          <cell r="O7283">
            <v>90</v>
          </cell>
        </row>
        <row r="7284">
          <cell r="F7284" t="str">
            <v xml:space="preserve">6110295        </v>
          </cell>
          <cell r="O7284">
            <v>36</v>
          </cell>
        </row>
        <row r="7285">
          <cell r="F7285" t="str">
            <v xml:space="preserve">6110295        </v>
          </cell>
          <cell r="O7285">
            <v>435</v>
          </cell>
        </row>
        <row r="7286">
          <cell r="F7286" t="str">
            <v xml:space="preserve">6110295        </v>
          </cell>
          <cell r="O7286">
            <v>288</v>
          </cell>
        </row>
        <row r="7287">
          <cell r="F7287" t="str">
            <v xml:space="preserve">6110295        </v>
          </cell>
          <cell r="O7287">
            <v>225</v>
          </cell>
        </row>
        <row r="7288">
          <cell r="F7288" t="str">
            <v xml:space="preserve">805005148      </v>
          </cell>
          <cell r="O7288">
            <v>108</v>
          </cell>
        </row>
        <row r="7289">
          <cell r="F7289" t="str">
            <v xml:space="preserve">805005148      </v>
          </cell>
          <cell r="O7289">
            <v>2520</v>
          </cell>
        </row>
        <row r="7290">
          <cell r="F7290" t="str">
            <v xml:space="preserve">805005148      </v>
          </cell>
          <cell r="O7290">
            <v>270</v>
          </cell>
        </row>
        <row r="7291">
          <cell r="F7291" t="str">
            <v xml:space="preserve">10488839       </v>
          </cell>
          <cell r="O7291">
            <v>4.5</v>
          </cell>
        </row>
        <row r="7292">
          <cell r="F7292" t="str">
            <v xml:space="preserve">10488839       </v>
          </cell>
          <cell r="O7292">
            <v>9</v>
          </cell>
        </row>
        <row r="7293">
          <cell r="F7293" t="str">
            <v xml:space="preserve">10488839       </v>
          </cell>
          <cell r="O7293">
            <v>15</v>
          </cell>
        </row>
        <row r="7294">
          <cell r="F7294" t="str">
            <v xml:space="preserve">10488839       </v>
          </cell>
          <cell r="O7294">
            <v>45</v>
          </cell>
        </row>
        <row r="7295">
          <cell r="F7295" t="str">
            <v xml:space="preserve">10488839       </v>
          </cell>
          <cell r="O7295">
            <v>954</v>
          </cell>
        </row>
        <row r="7296">
          <cell r="F7296" t="str">
            <v xml:space="preserve">900034686      </v>
          </cell>
          <cell r="O7296">
            <v>270</v>
          </cell>
        </row>
        <row r="7297">
          <cell r="F7297" t="str">
            <v xml:space="preserve">900034686      </v>
          </cell>
          <cell r="O7297">
            <v>45</v>
          </cell>
        </row>
        <row r="7298">
          <cell r="F7298" t="str">
            <v xml:space="preserve">16849293       </v>
          </cell>
          <cell r="O7298">
            <v>30</v>
          </cell>
        </row>
        <row r="7299">
          <cell r="F7299" t="str">
            <v xml:space="preserve">16849293       </v>
          </cell>
          <cell r="O7299">
            <v>180</v>
          </cell>
        </row>
        <row r="7300">
          <cell r="F7300" t="str">
            <v xml:space="preserve">16849293       </v>
          </cell>
          <cell r="O7300">
            <v>90</v>
          </cell>
        </row>
        <row r="7301">
          <cell r="F7301" t="str">
            <v xml:space="preserve">900555944      </v>
          </cell>
          <cell r="O7301">
            <v>36</v>
          </cell>
        </row>
        <row r="7302">
          <cell r="F7302" t="str">
            <v xml:space="preserve">10555516       </v>
          </cell>
          <cell r="O7302">
            <v>540</v>
          </cell>
        </row>
        <row r="7303">
          <cell r="F7303" t="str">
            <v xml:space="preserve">10555516       </v>
          </cell>
          <cell r="O7303">
            <v>180</v>
          </cell>
        </row>
        <row r="7304">
          <cell r="F7304" t="str">
            <v xml:space="preserve">900444531      </v>
          </cell>
          <cell r="O7304">
            <v>108</v>
          </cell>
        </row>
        <row r="7305">
          <cell r="F7305" t="str">
            <v xml:space="preserve">7247040        </v>
          </cell>
          <cell r="O7305">
            <v>75</v>
          </cell>
        </row>
        <row r="7306">
          <cell r="F7306" t="str">
            <v xml:space="preserve">7247040        </v>
          </cell>
          <cell r="O7306">
            <v>36</v>
          </cell>
        </row>
        <row r="7307">
          <cell r="F7307" t="str">
            <v xml:space="preserve">79736632       </v>
          </cell>
          <cell r="O7307">
            <v>198</v>
          </cell>
        </row>
        <row r="7308">
          <cell r="F7308" t="str">
            <v xml:space="preserve">79736632       </v>
          </cell>
          <cell r="O7308">
            <v>675</v>
          </cell>
        </row>
        <row r="7309">
          <cell r="F7309" t="str">
            <v xml:space="preserve">26050336       </v>
          </cell>
          <cell r="O7309">
            <v>18</v>
          </cell>
        </row>
        <row r="7310">
          <cell r="F7310" t="str">
            <v xml:space="preserve">26050336       </v>
          </cell>
          <cell r="O7310">
            <v>36</v>
          </cell>
        </row>
        <row r="7311">
          <cell r="F7311" t="str">
            <v xml:space="preserve">26050336       </v>
          </cell>
          <cell r="O7311">
            <v>45</v>
          </cell>
        </row>
        <row r="7312">
          <cell r="F7312" t="str">
            <v xml:space="preserve">5969303        </v>
          </cell>
          <cell r="O7312">
            <v>45</v>
          </cell>
        </row>
        <row r="7313">
          <cell r="F7313" t="str">
            <v xml:space="preserve">5969303        </v>
          </cell>
          <cell r="O7313">
            <v>180</v>
          </cell>
        </row>
        <row r="7314">
          <cell r="F7314" t="str">
            <v xml:space="preserve">93152963       </v>
          </cell>
          <cell r="O7314">
            <v>45</v>
          </cell>
        </row>
        <row r="7315">
          <cell r="F7315" t="str">
            <v xml:space="preserve">93152963       </v>
          </cell>
          <cell r="O7315">
            <v>270</v>
          </cell>
        </row>
        <row r="7316">
          <cell r="F7316" t="str">
            <v xml:space="preserve">91360601       </v>
          </cell>
          <cell r="O7316">
            <v>9</v>
          </cell>
        </row>
        <row r="7317">
          <cell r="F7317" t="str">
            <v xml:space="preserve">91360601       </v>
          </cell>
          <cell r="O7317">
            <v>45</v>
          </cell>
        </row>
        <row r="7318">
          <cell r="F7318" t="str">
            <v xml:space="preserve">91360601       </v>
          </cell>
          <cell r="O7318">
            <v>1818</v>
          </cell>
        </row>
        <row r="7319">
          <cell r="F7319" t="str">
            <v xml:space="preserve">91360601       </v>
          </cell>
          <cell r="O7319">
            <v>495</v>
          </cell>
        </row>
        <row r="7320">
          <cell r="F7320" t="str">
            <v xml:space="preserve">91360601       </v>
          </cell>
          <cell r="O7320">
            <v>180</v>
          </cell>
        </row>
        <row r="7321">
          <cell r="F7321" t="str">
            <v xml:space="preserve">79824837       </v>
          </cell>
          <cell r="O7321">
            <v>432</v>
          </cell>
        </row>
        <row r="7322">
          <cell r="F7322" t="str">
            <v xml:space="preserve">79824837       </v>
          </cell>
          <cell r="O7322">
            <v>90</v>
          </cell>
        </row>
        <row r="7323">
          <cell r="F7323" t="str">
            <v xml:space="preserve">79824837       </v>
          </cell>
          <cell r="O7323">
            <v>1080</v>
          </cell>
        </row>
        <row r="7324">
          <cell r="F7324" t="str">
            <v xml:space="preserve">900459366      </v>
          </cell>
          <cell r="O7324">
            <v>75</v>
          </cell>
        </row>
        <row r="7325">
          <cell r="F7325" t="str">
            <v xml:space="preserve">900459366      </v>
          </cell>
          <cell r="O7325">
            <v>2430</v>
          </cell>
        </row>
        <row r="7326">
          <cell r="F7326" t="str">
            <v xml:space="preserve">900459366      </v>
          </cell>
          <cell r="O7326">
            <v>360</v>
          </cell>
        </row>
        <row r="7327">
          <cell r="F7327" t="str">
            <v xml:space="preserve">900459366      </v>
          </cell>
          <cell r="O7327">
            <v>72</v>
          </cell>
        </row>
        <row r="7328">
          <cell r="F7328" t="str">
            <v xml:space="preserve">900459366      </v>
          </cell>
          <cell r="O7328">
            <v>1620</v>
          </cell>
        </row>
        <row r="7329">
          <cell r="F7329" t="str">
            <v xml:space="preserve">900459366      </v>
          </cell>
          <cell r="O7329">
            <v>450</v>
          </cell>
        </row>
        <row r="7330">
          <cell r="F7330" t="str">
            <v xml:space="preserve">900459366      </v>
          </cell>
          <cell r="O7330">
            <v>2682</v>
          </cell>
        </row>
        <row r="7331">
          <cell r="F7331" t="str">
            <v xml:space="preserve">900459366      </v>
          </cell>
          <cell r="O7331">
            <v>180</v>
          </cell>
        </row>
        <row r="7332">
          <cell r="F7332" t="str">
            <v xml:space="preserve">900459366      </v>
          </cell>
          <cell r="O7332">
            <v>36</v>
          </cell>
        </row>
        <row r="7333">
          <cell r="F7333" t="str">
            <v xml:space="preserve">900459366      </v>
          </cell>
          <cell r="O7333">
            <v>18</v>
          </cell>
        </row>
        <row r="7334">
          <cell r="F7334" t="str">
            <v xml:space="preserve">900459366      </v>
          </cell>
          <cell r="O7334">
            <v>45</v>
          </cell>
        </row>
        <row r="7335">
          <cell r="F7335" t="str">
            <v xml:space="preserve">900459366      </v>
          </cell>
          <cell r="O7335">
            <v>1800</v>
          </cell>
        </row>
        <row r="7336">
          <cell r="F7336" t="str">
            <v xml:space="preserve">900459366      </v>
          </cell>
          <cell r="O7336">
            <v>270</v>
          </cell>
        </row>
        <row r="7337">
          <cell r="F7337" t="str">
            <v xml:space="preserve">71312536       </v>
          </cell>
          <cell r="O7337">
            <v>540</v>
          </cell>
        </row>
        <row r="7338">
          <cell r="F7338" t="str">
            <v xml:space="preserve">88157654       </v>
          </cell>
          <cell r="O7338">
            <v>450</v>
          </cell>
        </row>
        <row r="7339">
          <cell r="F7339" t="str">
            <v xml:space="preserve">88157654       </v>
          </cell>
          <cell r="O7339">
            <v>270</v>
          </cell>
        </row>
        <row r="7340">
          <cell r="F7340" t="str">
            <v xml:space="preserve">13458443       </v>
          </cell>
          <cell r="O7340">
            <v>510</v>
          </cell>
        </row>
        <row r="7341">
          <cell r="F7341" t="str">
            <v xml:space="preserve">13458443       </v>
          </cell>
          <cell r="O7341">
            <v>36</v>
          </cell>
        </row>
        <row r="7342">
          <cell r="F7342" t="str">
            <v xml:space="preserve">1117502076     </v>
          </cell>
          <cell r="O7342">
            <v>342</v>
          </cell>
        </row>
        <row r="7343">
          <cell r="F7343" t="str">
            <v xml:space="preserve">1117502076     </v>
          </cell>
          <cell r="O7343">
            <v>135</v>
          </cell>
        </row>
        <row r="7344">
          <cell r="F7344" t="str">
            <v xml:space="preserve">1117502076     </v>
          </cell>
          <cell r="O7344">
            <v>180</v>
          </cell>
        </row>
        <row r="7345">
          <cell r="F7345" t="str">
            <v xml:space="preserve">1117502076     </v>
          </cell>
          <cell r="O7345">
            <v>18</v>
          </cell>
        </row>
        <row r="7346">
          <cell r="F7346" t="str">
            <v xml:space="preserve">1117502076     </v>
          </cell>
          <cell r="O7346">
            <v>135</v>
          </cell>
        </row>
        <row r="7347">
          <cell r="F7347" t="str">
            <v xml:space="preserve">5689927        </v>
          </cell>
          <cell r="O7347">
            <v>396</v>
          </cell>
        </row>
        <row r="7348">
          <cell r="F7348" t="str">
            <v xml:space="preserve">5689927        </v>
          </cell>
          <cell r="O7348">
            <v>90</v>
          </cell>
        </row>
        <row r="7349">
          <cell r="F7349" t="str">
            <v xml:space="preserve">91266362       </v>
          </cell>
          <cell r="O7349">
            <v>108</v>
          </cell>
        </row>
        <row r="7350">
          <cell r="F7350" t="str">
            <v xml:space="preserve">91136131       </v>
          </cell>
          <cell r="O7350">
            <v>975</v>
          </cell>
        </row>
        <row r="7351">
          <cell r="F7351" t="str">
            <v xml:space="preserve">91136131       </v>
          </cell>
          <cell r="O7351">
            <v>540</v>
          </cell>
        </row>
        <row r="7352">
          <cell r="F7352" t="str">
            <v xml:space="preserve">91136131       </v>
          </cell>
          <cell r="O7352">
            <v>90</v>
          </cell>
        </row>
        <row r="7353">
          <cell r="F7353" t="str">
            <v xml:space="preserve">74080481       </v>
          </cell>
          <cell r="O7353">
            <v>630</v>
          </cell>
        </row>
        <row r="7354">
          <cell r="F7354" t="str">
            <v xml:space="preserve">74080481       </v>
          </cell>
          <cell r="O7354">
            <v>108</v>
          </cell>
        </row>
        <row r="7355">
          <cell r="F7355" t="str">
            <v xml:space="preserve">74080481       </v>
          </cell>
          <cell r="O7355">
            <v>630</v>
          </cell>
        </row>
        <row r="7356">
          <cell r="F7356" t="str">
            <v xml:space="preserve">13702886       </v>
          </cell>
          <cell r="O7356">
            <v>315</v>
          </cell>
        </row>
        <row r="7357">
          <cell r="F7357" t="str">
            <v xml:space="preserve">13702886       </v>
          </cell>
          <cell r="O7357">
            <v>36</v>
          </cell>
        </row>
        <row r="7358">
          <cell r="F7358" t="str">
            <v xml:space="preserve">13702886       </v>
          </cell>
          <cell r="O7358">
            <v>135</v>
          </cell>
        </row>
        <row r="7359">
          <cell r="F7359" t="str">
            <v xml:space="preserve">13702886       </v>
          </cell>
          <cell r="O7359">
            <v>45</v>
          </cell>
        </row>
        <row r="7360">
          <cell r="F7360" t="str">
            <v xml:space="preserve">91067422       </v>
          </cell>
          <cell r="O7360">
            <v>195</v>
          </cell>
        </row>
        <row r="7361">
          <cell r="F7361" t="str">
            <v xml:space="preserve">91067422       </v>
          </cell>
          <cell r="O7361">
            <v>36</v>
          </cell>
        </row>
        <row r="7362">
          <cell r="F7362" t="str">
            <v xml:space="preserve">91067422       </v>
          </cell>
          <cell r="O7362">
            <v>360</v>
          </cell>
        </row>
        <row r="7363">
          <cell r="F7363" t="str">
            <v xml:space="preserve">91067422       </v>
          </cell>
          <cell r="O7363">
            <v>75</v>
          </cell>
        </row>
        <row r="7364">
          <cell r="F7364" t="str">
            <v xml:space="preserve">91067422       </v>
          </cell>
          <cell r="O7364">
            <v>90</v>
          </cell>
        </row>
        <row r="7365">
          <cell r="F7365" t="str">
            <v xml:space="preserve">91272730       </v>
          </cell>
          <cell r="O7365">
            <v>180</v>
          </cell>
        </row>
        <row r="7366">
          <cell r="F7366" t="str">
            <v xml:space="preserve">13701254       </v>
          </cell>
          <cell r="O7366">
            <v>900</v>
          </cell>
        </row>
        <row r="7367">
          <cell r="F7367" t="str">
            <v xml:space="preserve">13701254       </v>
          </cell>
          <cell r="O7367">
            <v>180</v>
          </cell>
        </row>
        <row r="7368">
          <cell r="F7368" t="str">
            <v xml:space="preserve">13701254       </v>
          </cell>
          <cell r="O7368">
            <v>450</v>
          </cell>
        </row>
        <row r="7369">
          <cell r="F7369" t="str">
            <v xml:space="preserve">26229305       </v>
          </cell>
          <cell r="O7369">
            <v>1350</v>
          </cell>
        </row>
        <row r="7370">
          <cell r="F7370" t="str">
            <v xml:space="preserve">26229305       </v>
          </cell>
          <cell r="O7370">
            <v>90</v>
          </cell>
        </row>
        <row r="7371">
          <cell r="F7371" t="str">
            <v xml:space="preserve">26229305       </v>
          </cell>
          <cell r="O7371">
            <v>315</v>
          </cell>
        </row>
        <row r="7372">
          <cell r="F7372" t="str">
            <v xml:space="preserve">78112896       </v>
          </cell>
          <cell r="O7372">
            <v>4.5</v>
          </cell>
        </row>
        <row r="7373">
          <cell r="F7373" t="str">
            <v xml:space="preserve">78112896       </v>
          </cell>
          <cell r="O7373">
            <v>1188</v>
          </cell>
        </row>
        <row r="7374">
          <cell r="F7374" t="str">
            <v xml:space="preserve">78112896       </v>
          </cell>
          <cell r="O7374">
            <v>180</v>
          </cell>
        </row>
        <row r="7375">
          <cell r="F7375" t="str">
            <v xml:space="preserve">901096204      </v>
          </cell>
          <cell r="O7375">
            <v>2124</v>
          </cell>
        </row>
        <row r="7376">
          <cell r="F7376" t="str">
            <v xml:space="preserve">73134768       </v>
          </cell>
          <cell r="O7376">
            <v>345</v>
          </cell>
        </row>
        <row r="7377">
          <cell r="F7377" t="str">
            <v xml:space="preserve">73134768       </v>
          </cell>
          <cell r="O7377">
            <v>450</v>
          </cell>
        </row>
        <row r="7378">
          <cell r="F7378" t="str">
            <v xml:space="preserve">85477397       </v>
          </cell>
          <cell r="O7378">
            <v>930</v>
          </cell>
        </row>
        <row r="7379">
          <cell r="F7379" t="str">
            <v xml:space="preserve">85477397       </v>
          </cell>
          <cell r="O7379">
            <v>2100</v>
          </cell>
        </row>
        <row r="7380">
          <cell r="F7380" t="str">
            <v xml:space="preserve">85477397       </v>
          </cell>
          <cell r="O7380">
            <v>1125</v>
          </cell>
        </row>
        <row r="7381">
          <cell r="F7381" t="str">
            <v xml:space="preserve">30853980       </v>
          </cell>
          <cell r="O7381">
            <v>414</v>
          </cell>
        </row>
        <row r="7382">
          <cell r="F7382" t="str">
            <v xml:space="preserve">17842923       </v>
          </cell>
          <cell r="O7382">
            <v>1080</v>
          </cell>
        </row>
        <row r="7383">
          <cell r="F7383" t="str">
            <v xml:space="preserve">91288772       </v>
          </cell>
          <cell r="O7383">
            <v>525</v>
          </cell>
        </row>
        <row r="7384">
          <cell r="F7384" t="str">
            <v xml:space="preserve">91288772       </v>
          </cell>
          <cell r="O7384">
            <v>450</v>
          </cell>
        </row>
        <row r="7385">
          <cell r="F7385" t="str">
            <v xml:space="preserve">77191750       </v>
          </cell>
          <cell r="O7385">
            <v>666</v>
          </cell>
        </row>
        <row r="7386">
          <cell r="F7386" t="str">
            <v xml:space="preserve">72196317       </v>
          </cell>
          <cell r="O7386">
            <v>270</v>
          </cell>
        </row>
        <row r="7387">
          <cell r="F7387" t="str">
            <v xml:space="preserve">72196317       </v>
          </cell>
          <cell r="O7387">
            <v>18</v>
          </cell>
        </row>
        <row r="7388">
          <cell r="F7388" t="str">
            <v xml:space="preserve">72196317       </v>
          </cell>
          <cell r="O7388">
            <v>45</v>
          </cell>
        </row>
        <row r="7389">
          <cell r="F7389" t="str">
            <v xml:space="preserve">1047231108     </v>
          </cell>
          <cell r="O7389">
            <v>810</v>
          </cell>
        </row>
        <row r="7390">
          <cell r="F7390" t="str">
            <v xml:space="preserve">1047231108     </v>
          </cell>
          <cell r="O7390">
            <v>36</v>
          </cell>
        </row>
        <row r="7391">
          <cell r="F7391" t="str">
            <v xml:space="preserve">1047349327     </v>
          </cell>
          <cell r="O7391">
            <v>150</v>
          </cell>
        </row>
        <row r="7392">
          <cell r="F7392" t="str">
            <v xml:space="preserve">73079740       </v>
          </cell>
          <cell r="O7392">
            <v>15</v>
          </cell>
        </row>
        <row r="7393">
          <cell r="F7393" t="str">
            <v xml:space="preserve">73079740       </v>
          </cell>
          <cell r="O7393">
            <v>234</v>
          </cell>
        </row>
        <row r="7394">
          <cell r="F7394" t="str">
            <v xml:space="preserve">73079740       </v>
          </cell>
          <cell r="O7394">
            <v>135</v>
          </cell>
        </row>
        <row r="7395">
          <cell r="F7395" t="str">
            <v xml:space="preserve">15047548       </v>
          </cell>
          <cell r="O7395">
            <v>15</v>
          </cell>
        </row>
        <row r="7396">
          <cell r="F7396" t="str">
            <v xml:space="preserve">15047548       </v>
          </cell>
          <cell r="O7396">
            <v>180</v>
          </cell>
        </row>
        <row r="7397">
          <cell r="F7397" t="str">
            <v xml:space="preserve">18531333       </v>
          </cell>
          <cell r="O7397">
            <v>570</v>
          </cell>
        </row>
        <row r="7398">
          <cell r="F7398" t="str">
            <v xml:space="preserve">18531333       </v>
          </cell>
          <cell r="O7398">
            <v>36</v>
          </cell>
        </row>
        <row r="7399">
          <cell r="F7399" t="str">
            <v xml:space="preserve">1120352593     </v>
          </cell>
          <cell r="O7399">
            <v>75</v>
          </cell>
        </row>
        <row r="7400">
          <cell r="F7400" t="str">
            <v xml:space="preserve">1120352593     </v>
          </cell>
          <cell r="O7400">
            <v>2772</v>
          </cell>
        </row>
        <row r="7401">
          <cell r="F7401" t="str">
            <v xml:space="preserve">1120352593     </v>
          </cell>
          <cell r="O7401">
            <v>360</v>
          </cell>
        </row>
        <row r="7402">
          <cell r="F7402" t="str">
            <v xml:space="preserve">71172414       </v>
          </cell>
          <cell r="O7402">
            <v>1155</v>
          </cell>
        </row>
        <row r="7403">
          <cell r="F7403" t="str">
            <v xml:space="preserve">71172414       </v>
          </cell>
          <cell r="O7403">
            <v>288</v>
          </cell>
        </row>
        <row r="7404">
          <cell r="F7404" t="str">
            <v xml:space="preserve">71172414       </v>
          </cell>
          <cell r="O7404">
            <v>90</v>
          </cell>
        </row>
        <row r="7405">
          <cell r="F7405" t="str">
            <v xml:space="preserve">79827688       </v>
          </cell>
          <cell r="O7405">
            <v>60</v>
          </cell>
        </row>
        <row r="7406">
          <cell r="F7406" t="str">
            <v xml:space="preserve">79827688       </v>
          </cell>
          <cell r="O7406">
            <v>234</v>
          </cell>
        </row>
        <row r="7407">
          <cell r="F7407" t="str">
            <v xml:space="preserve">79827688       </v>
          </cell>
          <cell r="O7407">
            <v>315</v>
          </cell>
        </row>
        <row r="7408">
          <cell r="F7408" t="str">
            <v xml:space="preserve">79827688       </v>
          </cell>
          <cell r="O7408">
            <v>30</v>
          </cell>
        </row>
        <row r="7409">
          <cell r="F7409" t="str">
            <v xml:space="preserve">79827688       </v>
          </cell>
          <cell r="O7409">
            <v>108</v>
          </cell>
        </row>
        <row r="7410">
          <cell r="F7410" t="str">
            <v xml:space="preserve">92520690       </v>
          </cell>
          <cell r="O7410">
            <v>375</v>
          </cell>
        </row>
        <row r="7411">
          <cell r="F7411" t="str">
            <v xml:space="preserve">92520690       </v>
          </cell>
          <cell r="O7411">
            <v>1494</v>
          </cell>
        </row>
        <row r="7412">
          <cell r="F7412" t="str">
            <v xml:space="preserve">92520690       </v>
          </cell>
          <cell r="O7412">
            <v>45</v>
          </cell>
        </row>
        <row r="7413">
          <cell r="F7413" t="str">
            <v xml:space="preserve">70752579       </v>
          </cell>
          <cell r="O7413">
            <v>255</v>
          </cell>
        </row>
        <row r="7414">
          <cell r="F7414" t="str">
            <v xml:space="preserve">70752579       </v>
          </cell>
          <cell r="O7414">
            <v>414</v>
          </cell>
        </row>
        <row r="7415">
          <cell r="F7415" t="str">
            <v xml:space="preserve">70752579       </v>
          </cell>
          <cell r="O7415">
            <v>45</v>
          </cell>
        </row>
        <row r="7416">
          <cell r="F7416" t="str">
            <v xml:space="preserve">80266206       </v>
          </cell>
          <cell r="O7416">
            <v>36</v>
          </cell>
        </row>
        <row r="7417">
          <cell r="F7417" t="str">
            <v xml:space="preserve">80266206       </v>
          </cell>
          <cell r="O7417">
            <v>15</v>
          </cell>
        </row>
        <row r="7418">
          <cell r="F7418" t="str">
            <v xml:space="preserve">80266206       </v>
          </cell>
          <cell r="O7418">
            <v>216</v>
          </cell>
        </row>
        <row r="7419">
          <cell r="F7419" t="str">
            <v xml:space="preserve">80266206       </v>
          </cell>
          <cell r="O7419">
            <v>135</v>
          </cell>
        </row>
        <row r="7420">
          <cell r="F7420" t="str">
            <v xml:space="preserve">79119755       </v>
          </cell>
          <cell r="O7420">
            <v>45</v>
          </cell>
        </row>
        <row r="7421">
          <cell r="F7421" t="str">
            <v xml:space="preserve">79119755       </v>
          </cell>
          <cell r="O7421">
            <v>75</v>
          </cell>
        </row>
        <row r="7422">
          <cell r="F7422" t="str">
            <v xml:space="preserve">79119755       </v>
          </cell>
          <cell r="O7422">
            <v>540</v>
          </cell>
        </row>
        <row r="7423">
          <cell r="F7423" t="str">
            <v xml:space="preserve">1111739602     </v>
          </cell>
          <cell r="O7423">
            <v>210</v>
          </cell>
        </row>
        <row r="7424">
          <cell r="F7424" t="str">
            <v xml:space="preserve">1111739602     </v>
          </cell>
          <cell r="O7424">
            <v>495</v>
          </cell>
        </row>
        <row r="7425">
          <cell r="F7425" t="str">
            <v xml:space="preserve">1111739602     </v>
          </cell>
          <cell r="O7425">
            <v>1350</v>
          </cell>
        </row>
        <row r="7426">
          <cell r="F7426" t="str">
            <v xml:space="preserve">1111739602     </v>
          </cell>
          <cell r="O7426">
            <v>1350</v>
          </cell>
        </row>
        <row r="7427">
          <cell r="F7427" t="str">
            <v xml:space="preserve">1101204909     </v>
          </cell>
          <cell r="O7427">
            <v>126</v>
          </cell>
        </row>
        <row r="7428">
          <cell r="F7428" t="str">
            <v xml:space="preserve">1101204909     </v>
          </cell>
          <cell r="O7428">
            <v>90</v>
          </cell>
        </row>
        <row r="7429">
          <cell r="F7429" t="str">
            <v xml:space="preserve">1101204909     </v>
          </cell>
          <cell r="O7429">
            <v>270</v>
          </cell>
        </row>
        <row r="7430">
          <cell r="F7430" t="str">
            <v xml:space="preserve">88168843       </v>
          </cell>
          <cell r="O7430">
            <v>18</v>
          </cell>
        </row>
        <row r="7431">
          <cell r="F7431" t="str">
            <v xml:space="preserve">88168843       </v>
          </cell>
          <cell r="O7431">
            <v>342</v>
          </cell>
        </row>
        <row r="7432">
          <cell r="F7432" t="str">
            <v xml:space="preserve">88168843       </v>
          </cell>
          <cell r="O7432">
            <v>90</v>
          </cell>
        </row>
        <row r="7433">
          <cell r="F7433" t="str">
            <v xml:space="preserve">79266522       </v>
          </cell>
          <cell r="O7433">
            <v>180</v>
          </cell>
        </row>
        <row r="7434">
          <cell r="F7434" t="str">
            <v xml:space="preserve">10315862       </v>
          </cell>
          <cell r="O7434">
            <v>15</v>
          </cell>
        </row>
        <row r="7435">
          <cell r="F7435" t="str">
            <v xml:space="preserve">10315862       </v>
          </cell>
          <cell r="O7435">
            <v>306</v>
          </cell>
        </row>
        <row r="7436">
          <cell r="F7436" t="str">
            <v xml:space="preserve">10315862       </v>
          </cell>
          <cell r="O7436">
            <v>45</v>
          </cell>
        </row>
        <row r="7437">
          <cell r="F7437" t="str">
            <v xml:space="preserve">73507193       </v>
          </cell>
          <cell r="O7437">
            <v>225</v>
          </cell>
        </row>
        <row r="7438">
          <cell r="F7438" t="str">
            <v xml:space="preserve">73507193       </v>
          </cell>
          <cell r="O7438">
            <v>648</v>
          </cell>
        </row>
        <row r="7439">
          <cell r="F7439" t="str">
            <v xml:space="preserve">806013381      </v>
          </cell>
          <cell r="O7439">
            <v>225</v>
          </cell>
        </row>
        <row r="7440">
          <cell r="F7440" t="str">
            <v xml:space="preserve">890404163      </v>
          </cell>
          <cell r="O7440">
            <v>315</v>
          </cell>
        </row>
        <row r="7441">
          <cell r="F7441" t="str">
            <v xml:space="preserve">1143374955     </v>
          </cell>
          <cell r="O7441">
            <v>360</v>
          </cell>
        </row>
        <row r="7442">
          <cell r="F7442" t="str">
            <v xml:space="preserve">1143374955     </v>
          </cell>
          <cell r="O7442">
            <v>90</v>
          </cell>
        </row>
        <row r="7443">
          <cell r="F7443" t="str">
            <v xml:space="preserve">94429458       </v>
          </cell>
          <cell r="O7443">
            <v>180</v>
          </cell>
        </row>
        <row r="7444">
          <cell r="F7444" t="str">
            <v xml:space="preserve">94429458       </v>
          </cell>
          <cell r="O7444">
            <v>2400</v>
          </cell>
        </row>
        <row r="7445">
          <cell r="F7445" t="str">
            <v xml:space="preserve">94429458       </v>
          </cell>
          <cell r="O7445">
            <v>480</v>
          </cell>
        </row>
        <row r="7446">
          <cell r="F7446" t="str">
            <v xml:space="preserve">94429458       </v>
          </cell>
          <cell r="O7446">
            <v>1845</v>
          </cell>
        </row>
        <row r="7447">
          <cell r="F7447" t="str">
            <v xml:space="preserve">94429458       </v>
          </cell>
          <cell r="O7447">
            <v>360</v>
          </cell>
        </row>
        <row r="7448">
          <cell r="F7448" t="str">
            <v xml:space="preserve">74170036       </v>
          </cell>
          <cell r="O7448">
            <v>162</v>
          </cell>
        </row>
        <row r="7449">
          <cell r="F7449" t="str">
            <v xml:space="preserve">74170036       </v>
          </cell>
          <cell r="O7449">
            <v>360</v>
          </cell>
        </row>
        <row r="7450">
          <cell r="F7450" t="str">
            <v xml:space="preserve">7223456        </v>
          </cell>
          <cell r="O7450">
            <v>900</v>
          </cell>
        </row>
        <row r="7451">
          <cell r="F7451" t="str">
            <v xml:space="preserve">7223456        </v>
          </cell>
          <cell r="O7451">
            <v>90</v>
          </cell>
        </row>
        <row r="7452">
          <cell r="F7452" t="str">
            <v xml:space="preserve">13616258       </v>
          </cell>
          <cell r="O7452">
            <v>900</v>
          </cell>
        </row>
        <row r="7453">
          <cell r="F7453" t="str">
            <v xml:space="preserve">13616258       </v>
          </cell>
          <cell r="O7453">
            <v>450</v>
          </cell>
        </row>
        <row r="7454">
          <cell r="F7454" t="str">
            <v xml:space="preserve">13929214       </v>
          </cell>
          <cell r="O7454">
            <v>30</v>
          </cell>
        </row>
        <row r="7455">
          <cell r="F7455" t="str">
            <v xml:space="preserve">13929214       </v>
          </cell>
          <cell r="O7455">
            <v>810</v>
          </cell>
        </row>
        <row r="7456">
          <cell r="F7456" t="str">
            <v xml:space="preserve">13929214       </v>
          </cell>
          <cell r="O7456">
            <v>225</v>
          </cell>
        </row>
        <row r="7457">
          <cell r="F7457" t="str">
            <v xml:space="preserve">4252280        </v>
          </cell>
          <cell r="O7457">
            <v>432</v>
          </cell>
        </row>
        <row r="7458">
          <cell r="F7458" t="str">
            <v xml:space="preserve">4252280        </v>
          </cell>
          <cell r="O7458">
            <v>270</v>
          </cell>
        </row>
        <row r="7459">
          <cell r="F7459" t="str">
            <v xml:space="preserve">17783299       </v>
          </cell>
          <cell r="O7459">
            <v>1770</v>
          </cell>
        </row>
        <row r="7460">
          <cell r="F7460" t="str">
            <v xml:space="preserve">17783299       </v>
          </cell>
          <cell r="O7460">
            <v>315</v>
          </cell>
        </row>
        <row r="7461">
          <cell r="F7461" t="str">
            <v xml:space="preserve">11320273       </v>
          </cell>
          <cell r="O7461">
            <v>882</v>
          </cell>
        </row>
        <row r="7462">
          <cell r="F7462" t="str">
            <v xml:space="preserve">11320273       </v>
          </cell>
          <cell r="O7462">
            <v>675</v>
          </cell>
        </row>
        <row r="7463">
          <cell r="F7463" t="str">
            <v xml:space="preserve">5348905        </v>
          </cell>
          <cell r="O7463">
            <v>1200</v>
          </cell>
        </row>
        <row r="7464">
          <cell r="F7464" t="str">
            <v xml:space="preserve">5348905        </v>
          </cell>
          <cell r="O7464">
            <v>585</v>
          </cell>
        </row>
        <row r="7465">
          <cell r="F7465" t="str">
            <v xml:space="preserve">18185538       </v>
          </cell>
          <cell r="O7465">
            <v>1200</v>
          </cell>
        </row>
        <row r="7466">
          <cell r="F7466" t="str">
            <v xml:space="preserve">18185538       </v>
          </cell>
          <cell r="O7466">
            <v>648</v>
          </cell>
        </row>
        <row r="7467">
          <cell r="F7467" t="str">
            <v xml:space="preserve">18185538       </v>
          </cell>
          <cell r="O7467">
            <v>180</v>
          </cell>
        </row>
        <row r="7468">
          <cell r="F7468" t="str">
            <v xml:space="preserve">12180486       </v>
          </cell>
          <cell r="O7468">
            <v>1050</v>
          </cell>
        </row>
        <row r="7469">
          <cell r="F7469" t="str">
            <v xml:space="preserve">12180486       </v>
          </cell>
          <cell r="O7469">
            <v>450</v>
          </cell>
        </row>
        <row r="7470">
          <cell r="F7470" t="str">
            <v xml:space="preserve">12180486       </v>
          </cell>
          <cell r="O7470">
            <v>180</v>
          </cell>
        </row>
        <row r="7471">
          <cell r="F7471" t="str">
            <v xml:space="preserve">12266504       </v>
          </cell>
          <cell r="O7471">
            <v>405</v>
          </cell>
        </row>
        <row r="7472">
          <cell r="F7472" t="str">
            <v xml:space="preserve">12266504       </v>
          </cell>
          <cell r="O7472">
            <v>90</v>
          </cell>
        </row>
        <row r="7473">
          <cell r="F7473" t="str">
            <v xml:space="preserve">12266504       </v>
          </cell>
          <cell r="O7473">
            <v>15</v>
          </cell>
        </row>
        <row r="7474">
          <cell r="F7474" t="str">
            <v xml:space="preserve">12266504       </v>
          </cell>
          <cell r="O7474">
            <v>72</v>
          </cell>
        </row>
        <row r="7475">
          <cell r="F7475" t="str">
            <v xml:space="preserve">12266504       </v>
          </cell>
          <cell r="O7475">
            <v>360</v>
          </cell>
        </row>
        <row r="7476">
          <cell r="F7476" t="str">
            <v xml:space="preserve">12266504       </v>
          </cell>
          <cell r="O7476">
            <v>18</v>
          </cell>
        </row>
        <row r="7477">
          <cell r="F7477" t="str">
            <v xml:space="preserve">12266504       </v>
          </cell>
          <cell r="O7477">
            <v>180</v>
          </cell>
        </row>
        <row r="7478">
          <cell r="F7478" t="str">
            <v xml:space="preserve">12266504       </v>
          </cell>
          <cell r="O7478">
            <v>195</v>
          </cell>
        </row>
        <row r="7479">
          <cell r="F7479" t="str">
            <v xml:space="preserve">12266504       </v>
          </cell>
          <cell r="O7479">
            <v>45</v>
          </cell>
        </row>
        <row r="7480">
          <cell r="F7480" t="str">
            <v xml:space="preserve">12266504       </v>
          </cell>
          <cell r="O7480">
            <v>525</v>
          </cell>
        </row>
        <row r="7481">
          <cell r="F7481" t="str">
            <v xml:space="preserve">12266504       </v>
          </cell>
          <cell r="O7481">
            <v>54</v>
          </cell>
        </row>
        <row r="7482">
          <cell r="F7482" t="str">
            <v xml:space="preserve">12266504       </v>
          </cell>
          <cell r="O7482">
            <v>90</v>
          </cell>
        </row>
        <row r="7483">
          <cell r="F7483" t="str">
            <v xml:space="preserve">83042067       </v>
          </cell>
          <cell r="O7483">
            <v>240</v>
          </cell>
        </row>
        <row r="7484">
          <cell r="F7484" t="str">
            <v xml:space="preserve">83042067       </v>
          </cell>
          <cell r="O7484">
            <v>36</v>
          </cell>
        </row>
        <row r="7485">
          <cell r="F7485" t="str">
            <v xml:space="preserve">83042067       </v>
          </cell>
          <cell r="O7485">
            <v>270</v>
          </cell>
        </row>
        <row r="7486">
          <cell r="F7486" t="str">
            <v xml:space="preserve">83042067       </v>
          </cell>
          <cell r="O7486">
            <v>135</v>
          </cell>
        </row>
        <row r="7487">
          <cell r="F7487" t="str">
            <v xml:space="preserve">83042067       </v>
          </cell>
          <cell r="O7487">
            <v>225</v>
          </cell>
        </row>
        <row r="7488">
          <cell r="F7488" t="str">
            <v xml:space="preserve">15945210       </v>
          </cell>
          <cell r="O7488">
            <v>30</v>
          </cell>
        </row>
        <row r="7489">
          <cell r="F7489" t="str">
            <v xml:space="preserve">15945210       </v>
          </cell>
          <cell r="O7489">
            <v>540</v>
          </cell>
        </row>
        <row r="7490">
          <cell r="F7490" t="str">
            <v xml:space="preserve">15945210       </v>
          </cell>
          <cell r="O7490">
            <v>90</v>
          </cell>
        </row>
        <row r="7491">
          <cell r="F7491" t="str">
            <v xml:space="preserve">15945210       </v>
          </cell>
          <cell r="O7491">
            <v>540</v>
          </cell>
        </row>
        <row r="7492">
          <cell r="F7492" t="str">
            <v xml:space="preserve">15945210       </v>
          </cell>
          <cell r="O7492">
            <v>45</v>
          </cell>
        </row>
        <row r="7493">
          <cell r="F7493" t="str">
            <v xml:space="preserve">93287188       </v>
          </cell>
          <cell r="O7493">
            <v>540</v>
          </cell>
        </row>
        <row r="7494">
          <cell r="F7494" t="str">
            <v xml:space="preserve">11445090       </v>
          </cell>
          <cell r="O7494">
            <v>15</v>
          </cell>
        </row>
        <row r="7495">
          <cell r="F7495" t="str">
            <v xml:space="preserve">11445090       </v>
          </cell>
          <cell r="O7495">
            <v>18</v>
          </cell>
        </row>
        <row r="7496">
          <cell r="F7496" t="str">
            <v xml:space="preserve">11445090       </v>
          </cell>
          <cell r="O7496">
            <v>36</v>
          </cell>
        </row>
        <row r="7497">
          <cell r="F7497" t="str">
            <v xml:space="preserve">11445090       </v>
          </cell>
          <cell r="O7497">
            <v>126</v>
          </cell>
        </row>
        <row r="7498">
          <cell r="F7498" t="str">
            <v xml:space="preserve">11445090       </v>
          </cell>
          <cell r="O7498">
            <v>105</v>
          </cell>
        </row>
        <row r="7499">
          <cell r="F7499" t="str">
            <v xml:space="preserve">11445090       </v>
          </cell>
          <cell r="O7499">
            <v>630</v>
          </cell>
        </row>
        <row r="7500">
          <cell r="F7500" t="str">
            <v xml:space="preserve">11445090       </v>
          </cell>
          <cell r="O7500">
            <v>135</v>
          </cell>
        </row>
        <row r="7501">
          <cell r="F7501" t="str">
            <v xml:space="preserve">11445090       </v>
          </cell>
          <cell r="O7501">
            <v>108</v>
          </cell>
        </row>
        <row r="7502">
          <cell r="F7502" t="str">
            <v xml:space="preserve">11445090       </v>
          </cell>
          <cell r="O7502">
            <v>30</v>
          </cell>
        </row>
        <row r="7503">
          <cell r="F7503" t="str">
            <v xml:space="preserve">11445090       </v>
          </cell>
          <cell r="O7503">
            <v>396</v>
          </cell>
        </row>
        <row r="7504">
          <cell r="F7504" t="str">
            <v xml:space="preserve">11445090       </v>
          </cell>
          <cell r="O7504">
            <v>45</v>
          </cell>
        </row>
        <row r="7505">
          <cell r="F7505" t="str">
            <v xml:space="preserve">11445090       </v>
          </cell>
          <cell r="O7505">
            <v>666</v>
          </cell>
        </row>
        <row r="7506">
          <cell r="F7506" t="str">
            <v xml:space="preserve">11445090       </v>
          </cell>
          <cell r="O7506">
            <v>9</v>
          </cell>
        </row>
        <row r="7507">
          <cell r="F7507" t="str">
            <v xml:space="preserve">11445090       </v>
          </cell>
          <cell r="O7507">
            <v>9</v>
          </cell>
        </row>
        <row r="7508">
          <cell r="F7508" t="str">
            <v xml:space="preserve">11445090       </v>
          </cell>
          <cell r="O7508">
            <v>75</v>
          </cell>
        </row>
        <row r="7509">
          <cell r="F7509" t="str">
            <v xml:space="preserve">11445090       </v>
          </cell>
          <cell r="O7509">
            <v>702</v>
          </cell>
        </row>
        <row r="7510">
          <cell r="F7510" t="str">
            <v xml:space="preserve">11445090       </v>
          </cell>
          <cell r="O7510">
            <v>180</v>
          </cell>
        </row>
        <row r="7511">
          <cell r="F7511" t="str">
            <v xml:space="preserve">11445090       </v>
          </cell>
          <cell r="O7511">
            <v>45</v>
          </cell>
        </row>
        <row r="7512">
          <cell r="F7512" t="str">
            <v xml:space="preserve">11445090       </v>
          </cell>
          <cell r="O7512">
            <v>135</v>
          </cell>
        </row>
        <row r="7513">
          <cell r="F7513" t="str">
            <v xml:space="preserve">11445090       </v>
          </cell>
          <cell r="O7513">
            <v>252</v>
          </cell>
        </row>
        <row r="7514">
          <cell r="F7514" t="str">
            <v xml:space="preserve">860008940      </v>
          </cell>
          <cell r="O7514">
            <v>90</v>
          </cell>
        </row>
        <row r="7515">
          <cell r="F7515" t="str">
            <v xml:space="preserve">1068972221     </v>
          </cell>
          <cell r="O7515">
            <v>630</v>
          </cell>
        </row>
        <row r="7516">
          <cell r="F7516" t="str">
            <v xml:space="preserve">80277771       </v>
          </cell>
          <cell r="O7516">
            <v>540</v>
          </cell>
        </row>
        <row r="7517">
          <cell r="F7517" t="str">
            <v xml:space="preserve">860065656      </v>
          </cell>
          <cell r="O7517">
            <v>270</v>
          </cell>
        </row>
        <row r="7518">
          <cell r="F7518" t="str">
            <v xml:space="preserve">80351964       </v>
          </cell>
          <cell r="O7518">
            <v>90</v>
          </cell>
        </row>
        <row r="7519">
          <cell r="F7519" t="str">
            <v xml:space="preserve">80351964       </v>
          </cell>
          <cell r="O7519">
            <v>30</v>
          </cell>
        </row>
        <row r="7520">
          <cell r="F7520" t="str">
            <v xml:space="preserve">80351964       </v>
          </cell>
          <cell r="O7520">
            <v>288</v>
          </cell>
        </row>
        <row r="7521">
          <cell r="F7521" t="str">
            <v xml:space="preserve">23624338       </v>
          </cell>
          <cell r="O7521">
            <v>396</v>
          </cell>
        </row>
        <row r="7522">
          <cell r="F7522" t="str">
            <v xml:space="preserve">74282624       </v>
          </cell>
          <cell r="O7522">
            <v>-396</v>
          </cell>
        </row>
        <row r="7523">
          <cell r="F7523" t="str">
            <v xml:space="preserve">1072422938     </v>
          </cell>
          <cell r="O7523">
            <v>15</v>
          </cell>
        </row>
        <row r="7524">
          <cell r="F7524" t="str">
            <v xml:space="preserve">1072422938     </v>
          </cell>
          <cell r="O7524">
            <v>1296</v>
          </cell>
        </row>
        <row r="7525">
          <cell r="F7525" t="str">
            <v xml:space="preserve">1072422938     </v>
          </cell>
          <cell r="O7525">
            <v>225</v>
          </cell>
        </row>
        <row r="7526">
          <cell r="F7526" t="str">
            <v xml:space="preserve">1072422938     </v>
          </cell>
          <cell r="O7526">
            <v>90</v>
          </cell>
        </row>
        <row r="7527">
          <cell r="F7527" t="str">
            <v xml:space="preserve">80276442       </v>
          </cell>
          <cell r="O7527">
            <v>9</v>
          </cell>
        </row>
        <row r="7528">
          <cell r="F7528" t="str">
            <v xml:space="preserve">80276442       </v>
          </cell>
          <cell r="O7528">
            <v>270</v>
          </cell>
        </row>
        <row r="7529">
          <cell r="F7529" t="str">
            <v xml:space="preserve">4090572        </v>
          </cell>
          <cell r="O7529">
            <v>54</v>
          </cell>
        </row>
        <row r="7530">
          <cell r="F7530" t="str">
            <v xml:space="preserve">4090572        </v>
          </cell>
          <cell r="O7530">
            <v>30</v>
          </cell>
        </row>
        <row r="7531">
          <cell r="F7531" t="str">
            <v xml:space="preserve">4090572        </v>
          </cell>
          <cell r="O7531">
            <v>540</v>
          </cell>
        </row>
        <row r="7532">
          <cell r="F7532" t="str">
            <v xml:space="preserve">80024551       </v>
          </cell>
          <cell r="O7532">
            <v>90</v>
          </cell>
        </row>
        <row r="7533">
          <cell r="F7533" t="str">
            <v xml:space="preserve">80024551       </v>
          </cell>
          <cell r="O7533">
            <v>60</v>
          </cell>
        </row>
        <row r="7534">
          <cell r="F7534" t="str">
            <v xml:space="preserve">80024551       </v>
          </cell>
          <cell r="O7534">
            <v>1044</v>
          </cell>
        </row>
        <row r="7535">
          <cell r="F7535" t="str">
            <v xml:space="preserve">80024551       </v>
          </cell>
          <cell r="O7535">
            <v>315</v>
          </cell>
        </row>
        <row r="7536">
          <cell r="F7536" t="str">
            <v xml:space="preserve">4090806        </v>
          </cell>
          <cell r="O7536">
            <v>72</v>
          </cell>
        </row>
        <row r="7537">
          <cell r="F7537" t="str">
            <v xml:space="preserve">4090806        </v>
          </cell>
          <cell r="O7537">
            <v>30</v>
          </cell>
        </row>
        <row r="7538">
          <cell r="F7538" t="str">
            <v xml:space="preserve">4090806        </v>
          </cell>
          <cell r="O7538">
            <v>666</v>
          </cell>
        </row>
        <row r="7539">
          <cell r="F7539" t="str">
            <v xml:space="preserve">4090806        </v>
          </cell>
          <cell r="O7539">
            <v>135</v>
          </cell>
        </row>
        <row r="7540">
          <cell r="F7540" t="str">
            <v xml:space="preserve">4090806        </v>
          </cell>
          <cell r="O7540">
            <v>135</v>
          </cell>
        </row>
        <row r="7541">
          <cell r="F7541" t="str">
            <v xml:space="preserve">80004213       </v>
          </cell>
          <cell r="O7541">
            <v>165</v>
          </cell>
        </row>
        <row r="7542">
          <cell r="F7542" t="str">
            <v xml:space="preserve">80004213       </v>
          </cell>
          <cell r="O7542">
            <v>504</v>
          </cell>
        </row>
        <row r="7543">
          <cell r="F7543" t="str">
            <v xml:space="preserve">80004213       </v>
          </cell>
          <cell r="O7543">
            <v>180</v>
          </cell>
        </row>
        <row r="7544">
          <cell r="F7544" t="str">
            <v xml:space="preserve">79339314       </v>
          </cell>
          <cell r="O7544">
            <v>75</v>
          </cell>
        </row>
        <row r="7545">
          <cell r="F7545" t="str">
            <v xml:space="preserve">79339314       </v>
          </cell>
          <cell r="O7545">
            <v>18</v>
          </cell>
        </row>
        <row r="7546">
          <cell r="F7546" t="str">
            <v xml:space="preserve">79339314       </v>
          </cell>
          <cell r="O7546">
            <v>90</v>
          </cell>
        </row>
        <row r="7547">
          <cell r="F7547" t="str">
            <v xml:space="preserve">83218584       </v>
          </cell>
          <cell r="O7547">
            <v>525</v>
          </cell>
        </row>
        <row r="7548">
          <cell r="F7548" t="str">
            <v xml:space="preserve">83218584       </v>
          </cell>
          <cell r="O7548">
            <v>54</v>
          </cell>
        </row>
        <row r="7549">
          <cell r="F7549" t="str">
            <v xml:space="preserve">83218584       </v>
          </cell>
          <cell r="O7549">
            <v>180</v>
          </cell>
        </row>
        <row r="7550">
          <cell r="F7550" t="str">
            <v xml:space="preserve">83218584       </v>
          </cell>
          <cell r="O7550">
            <v>72</v>
          </cell>
        </row>
        <row r="7551">
          <cell r="F7551" t="str">
            <v xml:space="preserve">83218584       </v>
          </cell>
          <cell r="O7551">
            <v>90</v>
          </cell>
        </row>
        <row r="7552">
          <cell r="F7552" t="str">
            <v xml:space="preserve">83218584       </v>
          </cell>
          <cell r="O7552">
            <v>315</v>
          </cell>
        </row>
        <row r="7553">
          <cell r="F7553" t="str">
            <v xml:space="preserve">83218584       </v>
          </cell>
          <cell r="O7553">
            <v>54</v>
          </cell>
        </row>
        <row r="7554">
          <cell r="F7554" t="str">
            <v xml:space="preserve">7305728        </v>
          </cell>
          <cell r="O7554">
            <v>60</v>
          </cell>
        </row>
        <row r="7555">
          <cell r="F7555" t="str">
            <v xml:space="preserve">7305728        </v>
          </cell>
          <cell r="O7555">
            <v>306</v>
          </cell>
        </row>
        <row r="7556">
          <cell r="F7556" t="str">
            <v xml:space="preserve">7305728        </v>
          </cell>
          <cell r="O7556">
            <v>45</v>
          </cell>
        </row>
        <row r="7557">
          <cell r="F7557" t="str">
            <v xml:space="preserve">830092234      </v>
          </cell>
          <cell r="O7557">
            <v>180</v>
          </cell>
        </row>
        <row r="7558">
          <cell r="F7558" t="str">
            <v xml:space="preserve">63316163       </v>
          </cell>
          <cell r="O7558">
            <v>1260</v>
          </cell>
        </row>
        <row r="7559">
          <cell r="F7559" t="str">
            <v xml:space="preserve">63316163       </v>
          </cell>
          <cell r="O7559">
            <v>450</v>
          </cell>
        </row>
        <row r="7560">
          <cell r="F7560" t="str">
            <v xml:space="preserve">1097404034     </v>
          </cell>
          <cell r="O7560">
            <v>60</v>
          </cell>
        </row>
        <row r="7561">
          <cell r="F7561" t="str">
            <v xml:space="preserve">1097404034     </v>
          </cell>
          <cell r="O7561">
            <v>18</v>
          </cell>
        </row>
        <row r="7562">
          <cell r="F7562" t="str">
            <v xml:space="preserve">7545517        </v>
          </cell>
          <cell r="O7562">
            <v>75</v>
          </cell>
        </row>
        <row r="7563">
          <cell r="F7563" t="str">
            <v xml:space="preserve">7545517        </v>
          </cell>
          <cell r="O7563">
            <v>162</v>
          </cell>
        </row>
        <row r="7564">
          <cell r="F7564" t="str">
            <v xml:space="preserve">94071517       </v>
          </cell>
          <cell r="O7564">
            <v>180</v>
          </cell>
        </row>
        <row r="7565">
          <cell r="F7565" t="str">
            <v xml:space="preserve">94071517       </v>
          </cell>
          <cell r="O7565">
            <v>54</v>
          </cell>
        </row>
        <row r="7566">
          <cell r="F7566" t="str">
            <v xml:space="preserve">8458310        </v>
          </cell>
          <cell r="O7566">
            <v>30</v>
          </cell>
        </row>
        <row r="7567">
          <cell r="F7567" t="str">
            <v xml:space="preserve">8458310        </v>
          </cell>
          <cell r="O7567">
            <v>198</v>
          </cell>
        </row>
        <row r="7568">
          <cell r="F7568" t="str">
            <v xml:space="preserve">8458310        </v>
          </cell>
          <cell r="O7568">
            <v>270</v>
          </cell>
        </row>
        <row r="7569">
          <cell r="F7569" t="str">
            <v xml:space="preserve">8101796        </v>
          </cell>
          <cell r="O7569">
            <v>720</v>
          </cell>
        </row>
        <row r="7570">
          <cell r="F7570" t="str">
            <v xml:space="preserve">8101796        </v>
          </cell>
          <cell r="O7570">
            <v>1800</v>
          </cell>
        </row>
        <row r="7571">
          <cell r="F7571" t="str">
            <v xml:space="preserve">8101796        </v>
          </cell>
          <cell r="O7571">
            <v>180</v>
          </cell>
        </row>
        <row r="7572">
          <cell r="F7572" t="str">
            <v xml:space="preserve">71174894       </v>
          </cell>
          <cell r="O7572">
            <v>2490</v>
          </cell>
        </row>
        <row r="7573">
          <cell r="F7573" t="str">
            <v xml:space="preserve">71174894       </v>
          </cell>
          <cell r="O7573">
            <v>18</v>
          </cell>
        </row>
        <row r="7574">
          <cell r="F7574" t="str">
            <v xml:space="preserve">71174894       </v>
          </cell>
          <cell r="O7574">
            <v>360</v>
          </cell>
        </row>
        <row r="7575">
          <cell r="F7575" t="str">
            <v xml:space="preserve">71174894       </v>
          </cell>
          <cell r="O7575">
            <v>18</v>
          </cell>
        </row>
        <row r="7576">
          <cell r="F7576" t="str">
            <v xml:space="preserve">1039696881     </v>
          </cell>
          <cell r="O7576">
            <v>4.5</v>
          </cell>
        </row>
        <row r="7577">
          <cell r="F7577" t="str">
            <v xml:space="preserve">1039696881     </v>
          </cell>
          <cell r="O7577">
            <v>1440</v>
          </cell>
        </row>
        <row r="7578">
          <cell r="F7578" t="str">
            <v xml:space="preserve">1039696881     </v>
          </cell>
          <cell r="O7578">
            <v>1260</v>
          </cell>
        </row>
        <row r="7579">
          <cell r="F7579" t="str">
            <v xml:space="preserve">1039696881     </v>
          </cell>
          <cell r="O7579">
            <v>135</v>
          </cell>
        </row>
        <row r="7580">
          <cell r="F7580" t="str">
            <v xml:space="preserve">1039696881     </v>
          </cell>
          <cell r="O7580">
            <v>4.5</v>
          </cell>
        </row>
        <row r="7581">
          <cell r="F7581" t="str">
            <v xml:space="preserve">1039696881     </v>
          </cell>
          <cell r="O7581">
            <v>990</v>
          </cell>
        </row>
        <row r="7582">
          <cell r="F7582" t="str">
            <v xml:space="preserve">1092154547     </v>
          </cell>
          <cell r="O7582">
            <v>540</v>
          </cell>
        </row>
        <row r="7583">
          <cell r="F7583" t="str">
            <v xml:space="preserve">1092154547     </v>
          </cell>
          <cell r="O7583">
            <v>4.5</v>
          </cell>
        </row>
        <row r="7584">
          <cell r="F7584" t="str">
            <v xml:space="preserve">1092154547     </v>
          </cell>
          <cell r="O7584">
            <v>75</v>
          </cell>
        </row>
        <row r="7585">
          <cell r="F7585" t="str">
            <v xml:space="preserve">15342410       </v>
          </cell>
          <cell r="O7585">
            <v>4.5</v>
          </cell>
        </row>
        <row r="7586">
          <cell r="F7586" t="str">
            <v xml:space="preserve">15342410       </v>
          </cell>
          <cell r="O7586">
            <v>2490</v>
          </cell>
        </row>
        <row r="7587">
          <cell r="F7587" t="str">
            <v xml:space="preserve">15342410       </v>
          </cell>
          <cell r="O7587">
            <v>180</v>
          </cell>
        </row>
        <row r="7588">
          <cell r="F7588" t="str">
            <v xml:space="preserve">15342410       </v>
          </cell>
          <cell r="O7588">
            <v>270</v>
          </cell>
        </row>
        <row r="7589">
          <cell r="F7589" t="str">
            <v xml:space="preserve">15381508       </v>
          </cell>
          <cell r="O7589">
            <v>285</v>
          </cell>
        </row>
        <row r="7590">
          <cell r="F7590" t="str">
            <v xml:space="preserve">15381508       </v>
          </cell>
          <cell r="O7590">
            <v>126</v>
          </cell>
        </row>
        <row r="7591">
          <cell r="F7591" t="str">
            <v xml:space="preserve">15381508       </v>
          </cell>
          <cell r="O7591">
            <v>180</v>
          </cell>
        </row>
        <row r="7592">
          <cell r="F7592" t="str">
            <v xml:space="preserve">6802563        </v>
          </cell>
          <cell r="O7592">
            <v>90</v>
          </cell>
        </row>
        <row r="7593">
          <cell r="F7593" t="str">
            <v xml:space="preserve">6802563        </v>
          </cell>
          <cell r="O7593">
            <v>35</v>
          </cell>
        </row>
        <row r="7594">
          <cell r="F7594" t="str">
            <v xml:space="preserve">6802563        </v>
          </cell>
          <cell r="O7594">
            <v>45</v>
          </cell>
        </row>
        <row r="7595">
          <cell r="F7595" t="str">
            <v xml:space="preserve">6802563        </v>
          </cell>
          <cell r="O7595">
            <v>345</v>
          </cell>
        </row>
        <row r="7596">
          <cell r="F7596" t="str">
            <v xml:space="preserve">1105671149     </v>
          </cell>
          <cell r="O7596">
            <v>270</v>
          </cell>
        </row>
        <row r="7597">
          <cell r="F7597" t="str">
            <v xml:space="preserve">1105671149     </v>
          </cell>
          <cell r="O7597">
            <v>135</v>
          </cell>
        </row>
        <row r="7598">
          <cell r="F7598" t="str">
            <v xml:space="preserve">1105671149     </v>
          </cell>
          <cell r="O7598">
            <v>720</v>
          </cell>
        </row>
        <row r="7599">
          <cell r="F7599" t="str">
            <v xml:space="preserve">1105671149     </v>
          </cell>
          <cell r="O7599">
            <v>207</v>
          </cell>
        </row>
        <row r="7600">
          <cell r="F7600" t="str">
            <v xml:space="preserve">1105671149     </v>
          </cell>
          <cell r="O7600">
            <v>400</v>
          </cell>
        </row>
        <row r="7601">
          <cell r="F7601" t="str">
            <v xml:space="preserve">74283129       </v>
          </cell>
          <cell r="O7601">
            <v>792</v>
          </cell>
        </row>
        <row r="7602">
          <cell r="F7602" t="str">
            <v xml:space="preserve">74283129       </v>
          </cell>
          <cell r="O7602">
            <v>270</v>
          </cell>
        </row>
        <row r="7603">
          <cell r="F7603" t="str">
            <v xml:space="preserve">74283129       </v>
          </cell>
          <cell r="O7603">
            <v>180</v>
          </cell>
        </row>
        <row r="7604">
          <cell r="F7604" t="str">
            <v xml:space="preserve">7250220        </v>
          </cell>
          <cell r="O7604">
            <v>75</v>
          </cell>
        </row>
        <row r="7605">
          <cell r="F7605" t="str">
            <v xml:space="preserve">7250220        </v>
          </cell>
          <cell r="O7605">
            <v>72</v>
          </cell>
        </row>
        <row r="7606">
          <cell r="F7606" t="str">
            <v xml:space="preserve">7250220        </v>
          </cell>
          <cell r="O7606">
            <v>90</v>
          </cell>
        </row>
        <row r="7607">
          <cell r="F7607" t="str">
            <v xml:space="preserve">7250220        </v>
          </cell>
          <cell r="O7607">
            <v>420</v>
          </cell>
        </row>
        <row r="7608">
          <cell r="F7608" t="str">
            <v xml:space="preserve">7250220        </v>
          </cell>
          <cell r="O7608">
            <v>18</v>
          </cell>
        </row>
        <row r="7609">
          <cell r="F7609" t="str">
            <v xml:space="preserve">98763233       </v>
          </cell>
          <cell r="O7609">
            <v>18</v>
          </cell>
        </row>
        <row r="7610">
          <cell r="F7610" t="str">
            <v xml:space="preserve">98763233       </v>
          </cell>
          <cell r="O7610">
            <v>9</v>
          </cell>
        </row>
        <row r="7611">
          <cell r="F7611" t="str">
            <v xml:space="preserve">98763233       </v>
          </cell>
          <cell r="O7611">
            <v>15</v>
          </cell>
        </row>
        <row r="7612">
          <cell r="F7612" t="str">
            <v xml:space="preserve">98763233       </v>
          </cell>
          <cell r="O7612">
            <v>1476</v>
          </cell>
        </row>
        <row r="7613">
          <cell r="F7613" t="str">
            <v xml:space="preserve">10180926       </v>
          </cell>
          <cell r="O7613">
            <v>45</v>
          </cell>
        </row>
        <row r="7614">
          <cell r="F7614" t="str">
            <v xml:space="preserve">10180926       </v>
          </cell>
          <cell r="O7614">
            <v>432</v>
          </cell>
        </row>
        <row r="7615">
          <cell r="F7615" t="str">
            <v xml:space="preserve">10180926       </v>
          </cell>
          <cell r="O7615">
            <v>90</v>
          </cell>
        </row>
        <row r="7616">
          <cell r="F7616" t="str">
            <v xml:space="preserve">901301637      </v>
          </cell>
          <cell r="O7616">
            <v>1395</v>
          </cell>
        </row>
        <row r="7617">
          <cell r="F7617" t="str">
            <v xml:space="preserve">901301637      </v>
          </cell>
          <cell r="O7617">
            <v>5202</v>
          </cell>
        </row>
        <row r="7618">
          <cell r="F7618" t="str">
            <v xml:space="preserve">901301637      </v>
          </cell>
          <cell r="O7618">
            <v>225</v>
          </cell>
        </row>
        <row r="7619">
          <cell r="F7619" t="str">
            <v xml:space="preserve">901301637      </v>
          </cell>
          <cell r="O7619">
            <v>750</v>
          </cell>
        </row>
        <row r="7620">
          <cell r="F7620" t="str">
            <v xml:space="preserve">901301637      </v>
          </cell>
          <cell r="O7620">
            <v>6012</v>
          </cell>
        </row>
        <row r="7621">
          <cell r="F7621" t="str">
            <v xml:space="preserve">901301637      </v>
          </cell>
          <cell r="O7621">
            <v>720</v>
          </cell>
        </row>
        <row r="7622">
          <cell r="F7622" t="str">
            <v xml:space="preserve">1039694009     </v>
          </cell>
          <cell r="O7622">
            <v>690</v>
          </cell>
        </row>
        <row r="7623">
          <cell r="F7623" t="str">
            <v xml:space="preserve">1039694009     </v>
          </cell>
          <cell r="O7623">
            <v>540</v>
          </cell>
        </row>
        <row r="7624">
          <cell r="F7624" t="str">
            <v xml:space="preserve">1039694009     </v>
          </cell>
          <cell r="O7624">
            <v>90</v>
          </cell>
        </row>
        <row r="7625">
          <cell r="F7625" t="str">
            <v xml:space="preserve">830094679      </v>
          </cell>
          <cell r="O7625">
            <v>204</v>
          </cell>
        </row>
        <row r="7626">
          <cell r="F7626" t="str">
            <v xml:space="preserve">1100623000     </v>
          </cell>
          <cell r="O7626">
            <v>15</v>
          </cell>
        </row>
        <row r="7627">
          <cell r="F7627" t="str">
            <v xml:space="preserve">1100623000     </v>
          </cell>
          <cell r="O7627">
            <v>90</v>
          </cell>
        </row>
        <row r="7628">
          <cell r="F7628" t="str">
            <v xml:space="preserve">1100623000     </v>
          </cell>
          <cell r="O7628">
            <v>900</v>
          </cell>
        </row>
        <row r="7629">
          <cell r="F7629" t="str">
            <v xml:space="preserve">73126502       </v>
          </cell>
          <cell r="O7629">
            <v>150</v>
          </cell>
        </row>
        <row r="7630">
          <cell r="F7630" t="str">
            <v xml:space="preserve">73126502       </v>
          </cell>
          <cell r="O7630">
            <v>144</v>
          </cell>
        </row>
        <row r="7631">
          <cell r="F7631" t="str">
            <v xml:space="preserve">70303177       </v>
          </cell>
          <cell r="O7631">
            <v>900</v>
          </cell>
        </row>
        <row r="7632">
          <cell r="F7632" t="str">
            <v xml:space="preserve">70303177       </v>
          </cell>
          <cell r="O7632">
            <v>540</v>
          </cell>
        </row>
        <row r="7633">
          <cell r="F7633" t="str">
            <v xml:space="preserve">70303177       </v>
          </cell>
          <cell r="O7633">
            <v>90</v>
          </cell>
        </row>
        <row r="7634">
          <cell r="F7634" t="str">
            <v xml:space="preserve">1054554487     </v>
          </cell>
          <cell r="O7634">
            <v>252</v>
          </cell>
        </row>
        <row r="7635">
          <cell r="F7635" t="str">
            <v xml:space="preserve">71142360       </v>
          </cell>
          <cell r="O7635">
            <v>4.5</v>
          </cell>
        </row>
        <row r="7636">
          <cell r="F7636" t="str">
            <v xml:space="preserve">71142360       </v>
          </cell>
          <cell r="O7636">
            <v>300</v>
          </cell>
        </row>
        <row r="7637">
          <cell r="F7637" t="str">
            <v xml:space="preserve">71142360       </v>
          </cell>
          <cell r="O7637">
            <v>540</v>
          </cell>
        </row>
        <row r="7638">
          <cell r="F7638" t="str">
            <v xml:space="preserve">71142360       </v>
          </cell>
          <cell r="O7638">
            <v>45</v>
          </cell>
        </row>
        <row r="7639">
          <cell r="F7639" t="str">
            <v xml:space="preserve">71142360       </v>
          </cell>
          <cell r="O7639">
            <v>765</v>
          </cell>
        </row>
        <row r="7640">
          <cell r="F7640" t="str">
            <v xml:space="preserve">71142360       </v>
          </cell>
          <cell r="O7640">
            <v>126</v>
          </cell>
        </row>
        <row r="7641">
          <cell r="F7641" t="str">
            <v xml:space="preserve">71142360       </v>
          </cell>
          <cell r="O7641">
            <v>90</v>
          </cell>
        </row>
        <row r="7642">
          <cell r="F7642" t="str">
            <v xml:space="preserve">71142360       </v>
          </cell>
          <cell r="O7642">
            <v>18</v>
          </cell>
        </row>
        <row r="7643">
          <cell r="F7643" t="str">
            <v xml:space="preserve">71142360       </v>
          </cell>
          <cell r="O7643">
            <v>120</v>
          </cell>
        </row>
        <row r="7644">
          <cell r="F7644" t="str">
            <v xml:space="preserve">71142360       </v>
          </cell>
          <cell r="O7644">
            <v>1638</v>
          </cell>
        </row>
        <row r="7645">
          <cell r="F7645" t="str">
            <v xml:space="preserve">71142360       </v>
          </cell>
          <cell r="O7645">
            <v>180</v>
          </cell>
        </row>
        <row r="7646">
          <cell r="F7646" t="str">
            <v xml:space="preserve">24341063       </v>
          </cell>
          <cell r="O7646">
            <v>18</v>
          </cell>
        </row>
        <row r="7647">
          <cell r="F7647" t="str">
            <v xml:space="preserve">24341063       </v>
          </cell>
          <cell r="O7647">
            <v>300</v>
          </cell>
        </row>
        <row r="7648">
          <cell r="F7648" t="str">
            <v xml:space="preserve">24341063       </v>
          </cell>
          <cell r="O7648">
            <v>270</v>
          </cell>
        </row>
        <row r="7649">
          <cell r="F7649" t="str">
            <v xml:space="preserve">24341063       </v>
          </cell>
          <cell r="O7649">
            <v>45</v>
          </cell>
        </row>
        <row r="7650">
          <cell r="F7650" t="str">
            <v xml:space="preserve">24341063       </v>
          </cell>
          <cell r="O7650">
            <v>36</v>
          </cell>
        </row>
        <row r="7651">
          <cell r="F7651" t="str">
            <v xml:space="preserve">901178932      </v>
          </cell>
          <cell r="O7651">
            <v>54</v>
          </cell>
        </row>
        <row r="7652">
          <cell r="F7652" t="str">
            <v xml:space="preserve">43656575       </v>
          </cell>
          <cell r="O7652">
            <v>9</v>
          </cell>
        </row>
        <row r="7653">
          <cell r="F7653" t="str">
            <v xml:space="preserve">43656575       </v>
          </cell>
          <cell r="O7653">
            <v>1278</v>
          </cell>
        </row>
        <row r="7654">
          <cell r="F7654" t="str">
            <v xml:space="preserve">43656575       </v>
          </cell>
          <cell r="O7654">
            <v>270</v>
          </cell>
        </row>
        <row r="7655">
          <cell r="F7655" t="str">
            <v xml:space="preserve">43656575       </v>
          </cell>
          <cell r="O7655">
            <v>13.5</v>
          </cell>
        </row>
        <row r="7656">
          <cell r="F7656" t="str">
            <v xml:space="preserve">43656575       </v>
          </cell>
          <cell r="O7656">
            <v>9</v>
          </cell>
        </row>
        <row r="7657">
          <cell r="F7657" t="str">
            <v xml:space="preserve">43656575       </v>
          </cell>
          <cell r="O7657">
            <v>30</v>
          </cell>
        </row>
        <row r="7658">
          <cell r="F7658" t="str">
            <v xml:space="preserve">43656575       </v>
          </cell>
          <cell r="O7658">
            <v>936</v>
          </cell>
        </row>
        <row r="7659">
          <cell r="F7659" t="str">
            <v xml:space="preserve">43656575       </v>
          </cell>
          <cell r="O7659">
            <v>45</v>
          </cell>
        </row>
        <row r="7660">
          <cell r="F7660" t="str">
            <v xml:space="preserve">43656575       </v>
          </cell>
          <cell r="O7660">
            <v>-13.5</v>
          </cell>
        </row>
        <row r="7661">
          <cell r="F7661" t="str">
            <v xml:space="preserve">43656575       </v>
          </cell>
          <cell r="O7661">
            <v>-9</v>
          </cell>
        </row>
        <row r="7662">
          <cell r="F7662" t="str">
            <v xml:space="preserve">43656575       </v>
          </cell>
          <cell r="O7662">
            <v>-30</v>
          </cell>
        </row>
        <row r="7663">
          <cell r="F7663" t="str">
            <v xml:space="preserve">43656575       </v>
          </cell>
          <cell r="O7663">
            <v>-936</v>
          </cell>
        </row>
        <row r="7664">
          <cell r="F7664" t="str">
            <v xml:space="preserve">43656575       </v>
          </cell>
          <cell r="O7664">
            <v>-45</v>
          </cell>
        </row>
        <row r="7665">
          <cell r="F7665" t="str">
            <v xml:space="preserve">16836063       </v>
          </cell>
          <cell r="O7665">
            <v>180</v>
          </cell>
        </row>
        <row r="7666">
          <cell r="F7666" t="str">
            <v xml:space="preserve">16836063       </v>
          </cell>
          <cell r="O7666">
            <v>45</v>
          </cell>
        </row>
        <row r="7667">
          <cell r="F7667" t="str">
            <v xml:space="preserve">17421056       </v>
          </cell>
          <cell r="O7667">
            <v>90</v>
          </cell>
        </row>
        <row r="7668">
          <cell r="F7668" t="str">
            <v xml:space="preserve">73559455       </v>
          </cell>
          <cell r="O7668">
            <v>105</v>
          </cell>
        </row>
        <row r="7669">
          <cell r="F7669" t="str">
            <v xml:space="preserve">73559455       </v>
          </cell>
          <cell r="O7669">
            <v>36</v>
          </cell>
        </row>
        <row r="7670">
          <cell r="F7670" t="str">
            <v xml:space="preserve">73559455       </v>
          </cell>
          <cell r="O7670">
            <v>135</v>
          </cell>
        </row>
        <row r="7671">
          <cell r="F7671" t="str">
            <v xml:space="preserve">94262420       </v>
          </cell>
          <cell r="O7671">
            <v>90</v>
          </cell>
        </row>
        <row r="7672">
          <cell r="F7672" t="str">
            <v xml:space="preserve">94262420       </v>
          </cell>
          <cell r="O7672">
            <v>702</v>
          </cell>
        </row>
        <row r="7673">
          <cell r="F7673" t="str">
            <v xml:space="preserve">94262420       </v>
          </cell>
          <cell r="O7673">
            <v>450</v>
          </cell>
        </row>
        <row r="7674">
          <cell r="F7674" t="str">
            <v xml:space="preserve">94262420       </v>
          </cell>
          <cell r="O7674">
            <v>18</v>
          </cell>
        </row>
        <row r="7675">
          <cell r="F7675" t="str">
            <v xml:space="preserve">94262420       </v>
          </cell>
          <cell r="O7675">
            <v>36</v>
          </cell>
        </row>
        <row r="7676">
          <cell r="F7676" t="str">
            <v xml:space="preserve">1214745372     </v>
          </cell>
          <cell r="O7676">
            <v>270</v>
          </cell>
        </row>
        <row r="7677">
          <cell r="F7677" t="str">
            <v xml:space="preserve">860002523      </v>
          </cell>
          <cell r="O7677">
            <v>140</v>
          </cell>
        </row>
        <row r="7678">
          <cell r="F7678" t="str">
            <v xml:space="preserve">860005265      </v>
          </cell>
          <cell r="O7678">
            <v>1047</v>
          </cell>
        </row>
        <row r="7679">
          <cell r="F7679" t="str">
            <v xml:space="preserve">860005265      </v>
          </cell>
          <cell r="O7679">
            <v>602.6</v>
          </cell>
        </row>
        <row r="7680">
          <cell r="F7680" t="str">
            <v xml:space="preserve">860047066      </v>
          </cell>
          <cell r="O7680">
            <v>80</v>
          </cell>
        </row>
        <row r="7681">
          <cell r="F7681" t="str">
            <v xml:space="preserve">5874334        </v>
          </cell>
          <cell r="O7681">
            <v>630</v>
          </cell>
        </row>
        <row r="7682">
          <cell r="F7682" t="str">
            <v xml:space="preserve">5874334        </v>
          </cell>
          <cell r="O7682">
            <v>45</v>
          </cell>
        </row>
        <row r="7683">
          <cell r="F7683" t="str">
            <v xml:space="preserve">401            </v>
          </cell>
          <cell r="O7683">
            <v>15</v>
          </cell>
        </row>
        <row r="7684">
          <cell r="F7684" t="str">
            <v xml:space="preserve">800012375      </v>
          </cell>
          <cell r="O7684">
            <v>180</v>
          </cell>
        </row>
        <row r="7685">
          <cell r="F7685" t="str">
            <v xml:space="preserve">800052377      </v>
          </cell>
          <cell r="O7685">
            <v>54</v>
          </cell>
        </row>
        <row r="7686">
          <cell r="F7686" t="str">
            <v xml:space="preserve">800052377      </v>
          </cell>
          <cell r="O7686">
            <v>72</v>
          </cell>
        </row>
        <row r="7687">
          <cell r="F7687" t="str">
            <v xml:space="preserve">800150267      </v>
          </cell>
          <cell r="O7687">
            <v>18</v>
          </cell>
        </row>
        <row r="7688">
          <cell r="F7688" t="str">
            <v xml:space="preserve">805018495      </v>
          </cell>
          <cell r="O7688">
            <v>144</v>
          </cell>
        </row>
        <row r="7689">
          <cell r="F7689" t="str">
            <v xml:space="preserve">815002042      </v>
          </cell>
          <cell r="O7689">
            <v>72</v>
          </cell>
        </row>
        <row r="7690">
          <cell r="F7690" t="str">
            <v xml:space="preserve">821000169      </v>
          </cell>
          <cell r="O7690">
            <v>114</v>
          </cell>
        </row>
        <row r="7691">
          <cell r="F7691" t="str">
            <v xml:space="preserve">821000169      </v>
          </cell>
          <cell r="O7691">
            <v>100</v>
          </cell>
        </row>
        <row r="7692">
          <cell r="F7692" t="str">
            <v xml:space="preserve">890302594      </v>
          </cell>
          <cell r="O7692">
            <v>90</v>
          </cell>
        </row>
        <row r="7693">
          <cell r="F7693" t="str">
            <v xml:space="preserve">890903939      </v>
          </cell>
          <cell r="O7693">
            <v>114</v>
          </cell>
        </row>
        <row r="7694">
          <cell r="F7694" t="str">
            <v xml:space="preserve">890903939      </v>
          </cell>
          <cell r="O7694">
            <v>76</v>
          </cell>
        </row>
        <row r="7695">
          <cell r="F7695" t="str">
            <v xml:space="preserve">891301549      </v>
          </cell>
          <cell r="O7695">
            <v>135</v>
          </cell>
        </row>
        <row r="7696">
          <cell r="F7696" t="str">
            <v xml:space="preserve">891301549      </v>
          </cell>
          <cell r="O7696">
            <v>90</v>
          </cell>
        </row>
        <row r="7697">
          <cell r="F7697" t="str">
            <v xml:space="preserve">891301549      </v>
          </cell>
          <cell r="O7697">
            <v>45</v>
          </cell>
        </row>
        <row r="7698">
          <cell r="F7698" t="str">
            <v xml:space="preserve">900772446      </v>
          </cell>
          <cell r="O7698">
            <v>36</v>
          </cell>
        </row>
        <row r="7699">
          <cell r="F7699" t="str">
            <v xml:space="preserve">901547329      </v>
          </cell>
          <cell r="O7699">
            <v>675</v>
          </cell>
        </row>
        <row r="7700">
          <cell r="F7700" t="str">
            <v xml:space="preserve">830503491      </v>
          </cell>
          <cell r="O7700">
            <v>100</v>
          </cell>
        </row>
        <row r="7701">
          <cell r="F7701" t="str">
            <v xml:space="preserve">860001697      </v>
          </cell>
          <cell r="O7701">
            <v>460.05</v>
          </cell>
        </row>
        <row r="7702">
          <cell r="F7702" t="str">
            <v xml:space="preserve">860001697      </v>
          </cell>
          <cell r="O7702">
            <v>511.69</v>
          </cell>
        </row>
        <row r="7703">
          <cell r="F7703" t="str">
            <v xml:space="preserve">900239671      </v>
          </cell>
          <cell r="O7703">
            <v>72</v>
          </cell>
        </row>
        <row r="7704">
          <cell r="F7704" t="str">
            <v xml:space="preserve">901079460      </v>
          </cell>
          <cell r="O7704">
            <v>225</v>
          </cell>
        </row>
        <row r="7705">
          <cell r="F7705" t="str">
            <v xml:space="preserve">901079460      </v>
          </cell>
          <cell r="O7705">
            <v>320.25</v>
          </cell>
        </row>
        <row r="7706">
          <cell r="F7706" t="str">
            <v xml:space="preserve">101            </v>
          </cell>
          <cell r="O7706">
            <v>45</v>
          </cell>
        </row>
        <row r="7707">
          <cell r="F7707" t="str">
            <v xml:space="preserve">101            </v>
          </cell>
          <cell r="O7707">
            <v>126</v>
          </cell>
        </row>
        <row r="7708">
          <cell r="F7708" t="str">
            <v xml:space="preserve">101            </v>
          </cell>
          <cell r="O7708">
            <v>9</v>
          </cell>
        </row>
        <row r="7709">
          <cell r="F7709" t="str">
            <v xml:space="preserve">101            </v>
          </cell>
          <cell r="O7709">
            <v>90</v>
          </cell>
        </row>
        <row r="7710">
          <cell r="F7710" t="str">
            <v xml:space="preserve">101            </v>
          </cell>
          <cell r="O7710">
            <v>90</v>
          </cell>
        </row>
        <row r="7711">
          <cell r="F7711" t="str">
            <v xml:space="preserve">102            </v>
          </cell>
          <cell r="O7711">
            <v>15</v>
          </cell>
        </row>
        <row r="7712">
          <cell r="F7712" t="str">
            <v xml:space="preserve">102            </v>
          </cell>
          <cell r="O7712">
            <v>9</v>
          </cell>
        </row>
        <row r="7713">
          <cell r="F7713" t="str">
            <v xml:space="preserve">102            </v>
          </cell>
          <cell r="O7713">
            <v>45</v>
          </cell>
        </row>
        <row r="7714">
          <cell r="F7714" t="str">
            <v xml:space="preserve">102            </v>
          </cell>
          <cell r="O7714">
            <v>15</v>
          </cell>
        </row>
        <row r="7715">
          <cell r="F7715" t="str">
            <v xml:space="preserve">800062338      </v>
          </cell>
          <cell r="O7715">
            <v>72</v>
          </cell>
        </row>
        <row r="7716">
          <cell r="F7716" t="str">
            <v xml:space="preserve">800062338      </v>
          </cell>
          <cell r="O7716">
            <v>90</v>
          </cell>
        </row>
        <row r="7717">
          <cell r="F7717" t="str">
            <v xml:space="preserve">800090890      </v>
          </cell>
          <cell r="O7717">
            <v>18</v>
          </cell>
        </row>
        <row r="7718">
          <cell r="F7718" t="str">
            <v xml:space="preserve">811014849      </v>
          </cell>
          <cell r="O7718">
            <v>36</v>
          </cell>
        </row>
        <row r="7719">
          <cell r="F7719" t="str">
            <v xml:space="preserve">890800450      </v>
          </cell>
          <cell r="O7719">
            <v>90</v>
          </cell>
        </row>
        <row r="7720">
          <cell r="F7720" t="str">
            <v xml:space="preserve">890800450      </v>
          </cell>
          <cell r="O7720">
            <v>54</v>
          </cell>
        </row>
        <row r="7721">
          <cell r="F7721" t="str">
            <v xml:space="preserve">890805453      </v>
          </cell>
          <cell r="O7721">
            <v>36</v>
          </cell>
        </row>
        <row r="7722">
          <cell r="F7722" t="str">
            <v xml:space="preserve">890903939      </v>
          </cell>
          <cell r="O7722">
            <v>108</v>
          </cell>
        </row>
        <row r="7723">
          <cell r="F7723" t="str">
            <v xml:space="preserve">900543878      </v>
          </cell>
          <cell r="O7723">
            <v>18</v>
          </cell>
        </row>
        <row r="7724">
          <cell r="F7724" t="str">
            <v xml:space="preserve">901116362      </v>
          </cell>
          <cell r="O7724">
            <v>45</v>
          </cell>
        </row>
        <row r="7725">
          <cell r="F7725" t="str">
            <v xml:space="preserve">901555731      </v>
          </cell>
          <cell r="O7725">
            <v>108</v>
          </cell>
        </row>
        <row r="7726">
          <cell r="F7726" t="str">
            <v xml:space="preserve">901555731      </v>
          </cell>
          <cell r="O7726">
            <v>45</v>
          </cell>
        </row>
        <row r="7727">
          <cell r="F7727" t="str">
            <v xml:space="preserve">73186091       </v>
          </cell>
          <cell r="O7727">
            <v>360</v>
          </cell>
        </row>
        <row r="7728">
          <cell r="F7728" t="str">
            <v xml:space="preserve">73186091       </v>
          </cell>
          <cell r="O7728">
            <v>36</v>
          </cell>
        </row>
        <row r="7729">
          <cell r="F7729" t="str">
            <v xml:space="preserve">73186091       </v>
          </cell>
          <cell r="O7729">
            <v>90</v>
          </cell>
        </row>
        <row r="7730">
          <cell r="F7730" t="str">
            <v xml:space="preserve">900488394      </v>
          </cell>
          <cell r="O7730">
            <v>90</v>
          </cell>
        </row>
        <row r="7731">
          <cell r="F7731" t="str">
            <v xml:space="preserve">800005260      </v>
          </cell>
          <cell r="O7731">
            <v>18</v>
          </cell>
        </row>
        <row r="7732">
          <cell r="F7732" t="str">
            <v xml:space="preserve">800230447      </v>
          </cell>
          <cell r="O7732">
            <v>60</v>
          </cell>
        </row>
        <row r="7733">
          <cell r="F7733" t="str">
            <v xml:space="preserve">830006735      </v>
          </cell>
          <cell r="O7733">
            <v>603.69000000000005</v>
          </cell>
        </row>
        <row r="7734">
          <cell r="F7734" t="str">
            <v xml:space="preserve">830094679      </v>
          </cell>
          <cell r="O7734">
            <v>160</v>
          </cell>
        </row>
        <row r="7735">
          <cell r="F7735" t="str">
            <v xml:space="preserve">830118404      </v>
          </cell>
          <cell r="O7735">
            <v>54</v>
          </cell>
        </row>
        <row r="7736">
          <cell r="F7736" t="str">
            <v xml:space="preserve">860005265      </v>
          </cell>
          <cell r="O7736">
            <v>279.10000000000002</v>
          </cell>
        </row>
        <row r="7737">
          <cell r="F7737" t="str">
            <v xml:space="preserve">890903475      </v>
          </cell>
          <cell r="O7737">
            <v>20</v>
          </cell>
        </row>
        <row r="7738">
          <cell r="F7738" t="str">
            <v xml:space="preserve">899999049      </v>
          </cell>
          <cell r="O7738">
            <v>54</v>
          </cell>
        </row>
        <row r="7739">
          <cell r="F7739" t="str">
            <v xml:space="preserve">899999049      </v>
          </cell>
          <cell r="O7739">
            <v>180</v>
          </cell>
        </row>
        <row r="7740">
          <cell r="F7740" t="str">
            <v xml:space="preserve">407            </v>
          </cell>
          <cell r="O7740">
            <v>60</v>
          </cell>
        </row>
        <row r="7741">
          <cell r="F7741" t="str">
            <v xml:space="preserve">407            </v>
          </cell>
          <cell r="O7741">
            <v>216</v>
          </cell>
        </row>
        <row r="7742">
          <cell r="F7742" t="str">
            <v xml:space="preserve">800090890      </v>
          </cell>
          <cell r="O7742">
            <v>38</v>
          </cell>
        </row>
        <row r="7743">
          <cell r="F7743" t="str">
            <v xml:space="preserve">800090890      </v>
          </cell>
          <cell r="O7743">
            <v>19</v>
          </cell>
        </row>
        <row r="7744">
          <cell r="F7744" t="str">
            <v xml:space="preserve">811014849      </v>
          </cell>
          <cell r="O7744">
            <v>198</v>
          </cell>
        </row>
        <row r="7745">
          <cell r="F7745" t="str">
            <v xml:space="preserve">811014849      </v>
          </cell>
          <cell r="O7745">
            <v>72</v>
          </cell>
        </row>
        <row r="7746">
          <cell r="F7746" t="str">
            <v xml:space="preserve">890903939      </v>
          </cell>
          <cell r="O7746">
            <v>1145.8499999999999</v>
          </cell>
        </row>
        <row r="7747">
          <cell r="F7747" t="str">
            <v xml:space="preserve">890903939      </v>
          </cell>
          <cell r="O7747">
            <v>143.75</v>
          </cell>
        </row>
        <row r="7748">
          <cell r="F7748" t="str">
            <v xml:space="preserve">211            </v>
          </cell>
          <cell r="O7748">
            <v>165</v>
          </cell>
        </row>
        <row r="7749">
          <cell r="F7749" t="str">
            <v xml:space="preserve">211            </v>
          </cell>
          <cell r="O7749">
            <v>1836</v>
          </cell>
        </row>
        <row r="7750">
          <cell r="F7750" t="str">
            <v xml:space="preserve">211            </v>
          </cell>
          <cell r="O7750">
            <v>180</v>
          </cell>
        </row>
        <row r="7751">
          <cell r="F7751" t="str">
            <v xml:space="preserve">211            </v>
          </cell>
          <cell r="O7751">
            <v>45</v>
          </cell>
        </row>
        <row r="7752">
          <cell r="F7752" t="str">
            <v xml:space="preserve">211            </v>
          </cell>
          <cell r="O7752">
            <v>3366</v>
          </cell>
        </row>
        <row r="7753">
          <cell r="F7753" t="str">
            <v xml:space="preserve">800220041      </v>
          </cell>
          <cell r="O7753">
            <v>60</v>
          </cell>
        </row>
        <row r="7754">
          <cell r="F7754" t="str">
            <v xml:space="preserve">806008873      </v>
          </cell>
          <cell r="O7754">
            <v>360</v>
          </cell>
        </row>
        <row r="7755">
          <cell r="F7755" t="str">
            <v xml:space="preserve">811016729      </v>
          </cell>
          <cell r="O7755">
            <v>72</v>
          </cell>
        </row>
        <row r="7756">
          <cell r="F7756" t="str">
            <v xml:space="preserve">811032699      </v>
          </cell>
          <cell r="O7756">
            <v>54</v>
          </cell>
        </row>
        <row r="7757">
          <cell r="F7757" t="str">
            <v xml:space="preserve">830076368      </v>
          </cell>
          <cell r="O7757">
            <v>75</v>
          </cell>
        </row>
        <row r="7758">
          <cell r="F7758" t="str">
            <v xml:space="preserve">830076368      </v>
          </cell>
          <cell r="O7758">
            <v>75</v>
          </cell>
        </row>
        <row r="7759">
          <cell r="F7759" t="str">
            <v xml:space="preserve">830095213      </v>
          </cell>
          <cell r="O7759">
            <v>234</v>
          </cell>
        </row>
        <row r="7760">
          <cell r="F7760" t="str">
            <v xml:space="preserve">830095213      </v>
          </cell>
          <cell r="O7760">
            <v>180</v>
          </cell>
        </row>
        <row r="7761">
          <cell r="F7761" t="str">
            <v xml:space="preserve">890903939      </v>
          </cell>
          <cell r="O7761">
            <v>0</v>
          </cell>
        </row>
        <row r="7762">
          <cell r="F7762" t="str">
            <v xml:space="preserve">890903939      </v>
          </cell>
          <cell r="O7762">
            <v>0</v>
          </cell>
        </row>
        <row r="7763">
          <cell r="F7763" t="str">
            <v xml:space="preserve">890903939      </v>
          </cell>
          <cell r="O7763">
            <v>0</v>
          </cell>
        </row>
        <row r="7764">
          <cell r="F7764" t="str">
            <v xml:space="preserve">890903939      </v>
          </cell>
          <cell r="O7764">
            <v>379.16</v>
          </cell>
        </row>
        <row r="7765">
          <cell r="F7765" t="str">
            <v xml:space="preserve">900275396      </v>
          </cell>
          <cell r="O7765">
            <v>90</v>
          </cell>
        </row>
        <row r="7766">
          <cell r="F7766" t="str">
            <v xml:space="preserve">900799297      </v>
          </cell>
          <cell r="O7766">
            <v>45</v>
          </cell>
        </row>
        <row r="7767">
          <cell r="F7767" t="str">
            <v xml:space="preserve">900820045      </v>
          </cell>
          <cell r="O7767">
            <v>45</v>
          </cell>
        </row>
        <row r="7768">
          <cell r="F7768" t="str">
            <v xml:space="preserve">830010908      </v>
          </cell>
          <cell r="O7768">
            <v>40</v>
          </cell>
        </row>
        <row r="7769">
          <cell r="F7769" t="str">
            <v xml:space="preserve">860001697      </v>
          </cell>
          <cell r="O7769">
            <v>1067.75</v>
          </cell>
        </row>
        <row r="7770">
          <cell r="F7770" t="str">
            <v xml:space="preserve">860048371      </v>
          </cell>
          <cell r="O7770">
            <v>36</v>
          </cell>
        </row>
        <row r="7771">
          <cell r="F7771" t="str">
            <v xml:space="preserve">860048371      </v>
          </cell>
          <cell r="O7771">
            <v>40</v>
          </cell>
        </row>
        <row r="7772">
          <cell r="F7772" t="str">
            <v xml:space="preserve">860502509      </v>
          </cell>
          <cell r="O7772">
            <v>280.5</v>
          </cell>
        </row>
        <row r="7773">
          <cell r="F7773" t="str">
            <v xml:space="preserve">800229035      </v>
          </cell>
          <cell r="O7773">
            <v>105</v>
          </cell>
        </row>
        <row r="7774">
          <cell r="F7774" t="str">
            <v xml:space="preserve">800229035      </v>
          </cell>
          <cell r="O7774">
            <v>90</v>
          </cell>
        </row>
        <row r="7775">
          <cell r="F7775" t="str">
            <v xml:space="preserve">800229035      </v>
          </cell>
          <cell r="O7775">
            <v>75</v>
          </cell>
        </row>
        <row r="7776">
          <cell r="F7776" t="str">
            <v xml:space="preserve">811016729      </v>
          </cell>
          <cell r="O7776">
            <v>18</v>
          </cell>
        </row>
        <row r="7777">
          <cell r="F7777" t="str">
            <v xml:space="preserve">860020382      </v>
          </cell>
          <cell r="O7777">
            <v>15</v>
          </cell>
        </row>
        <row r="7778">
          <cell r="F7778" t="str">
            <v xml:space="preserve">890322007      </v>
          </cell>
          <cell r="O7778">
            <v>45</v>
          </cell>
        </row>
        <row r="7779">
          <cell r="F7779" t="str">
            <v xml:space="preserve">890903024      </v>
          </cell>
          <cell r="O7779">
            <v>30</v>
          </cell>
        </row>
        <row r="7780">
          <cell r="F7780" t="str">
            <v xml:space="preserve">890903939      </v>
          </cell>
          <cell r="O7780">
            <v>387.55</v>
          </cell>
        </row>
        <row r="7781">
          <cell r="F7781" t="str">
            <v xml:space="preserve">900049818      </v>
          </cell>
          <cell r="O7781">
            <v>30</v>
          </cell>
        </row>
        <row r="7782">
          <cell r="F7782" t="str">
            <v xml:space="preserve">900319753      </v>
          </cell>
          <cell r="O7782">
            <v>60</v>
          </cell>
        </row>
        <row r="7783">
          <cell r="F7783" t="str">
            <v xml:space="preserve">900603554      </v>
          </cell>
          <cell r="O7783">
            <v>72</v>
          </cell>
        </row>
        <row r="7784">
          <cell r="F7784" t="str">
            <v xml:space="preserve">901017528      </v>
          </cell>
          <cell r="O7784">
            <v>315</v>
          </cell>
        </row>
        <row r="7785">
          <cell r="F7785" t="str">
            <v xml:space="preserve">901046830      </v>
          </cell>
          <cell r="O7785">
            <v>480</v>
          </cell>
        </row>
        <row r="7786">
          <cell r="F7786" t="str">
            <v xml:space="preserve">901010638      </v>
          </cell>
          <cell r="O7786">
            <v>1500.2</v>
          </cell>
        </row>
        <row r="7787">
          <cell r="F7787" t="str">
            <v xml:space="preserve">30305213       </v>
          </cell>
          <cell r="O7787">
            <v>33.1</v>
          </cell>
        </row>
        <row r="7788">
          <cell r="F7788" t="str">
            <v xml:space="preserve">800253598      </v>
          </cell>
          <cell r="O7788">
            <v>145.19999999999999</v>
          </cell>
        </row>
        <row r="7789">
          <cell r="F7789" t="str">
            <v xml:space="preserve">810002410      </v>
          </cell>
          <cell r="O7789">
            <v>341.9</v>
          </cell>
        </row>
        <row r="7790">
          <cell r="F7790" t="str">
            <v xml:space="preserve">890932124      </v>
          </cell>
          <cell r="O7790">
            <v>4349.3</v>
          </cell>
        </row>
        <row r="7791">
          <cell r="F7791" t="str">
            <v xml:space="preserve">890932124      </v>
          </cell>
          <cell r="O7791">
            <v>323.89999999999998</v>
          </cell>
        </row>
        <row r="7792">
          <cell r="F7792" t="str">
            <v xml:space="preserve">901457609      </v>
          </cell>
          <cell r="O7792">
            <v>202.3</v>
          </cell>
        </row>
        <row r="7793">
          <cell r="F7793" t="str">
            <v xml:space="preserve">1113640703     </v>
          </cell>
          <cell r="O7793">
            <v>443.8</v>
          </cell>
        </row>
        <row r="7794">
          <cell r="F7794" t="str">
            <v xml:space="preserve">805017257      </v>
          </cell>
          <cell r="O7794">
            <v>303.39999999999998</v>
          </cell>
        </row>
        <row r="7795">
          <cell r="F7795" t="str">
            <v xml:space="preserve">860058831      </v>
          </cell>
          <cell r="O7795">
            <v>866.8</v>
          </cell>
        </row>
        <row r="7796">
          <cell r="F7796" t="str">
            <v xml:space="preserve">900870666      </v>
          </cell>
          <cell r="O7796">
            <v>81.900000000000006</v>
          </cell>
        </row>
        <row r="7797">
          <cell r="F7797" t="str">
            <v xml:space="preserve">901516022      </v>
          </cell>
          <cell r="O7797">
            <v>1163.9000000000001</v>
          </cell>
        </row>
        <row r="7798">
          <cell r="F7798" t="str">
            <v xml:space="preserve">53120676       </v>
          </cell>
          <cell r="O7798">
            <v>98.3</v>
          </cell>
        </row>
        <row r="7799">
          <cell r="F7799" t="str">
            <v xml:space="preserve">830010738      </v>
          </cell>
          <cell r="O7799">
            <v>1619.7</v>
          </cell>
        </row>
        <row r="7800">
          <cell r="F7800" t="str">
            <v xml:space="preserve">830010738      </v>
          </cell>
          <cell r="O7800">
            <v>129.4</v>
          </cell>
        </row>
        <row r="7801">
          <cell r="F7801" t="str">
            <v xml:space="preserve">830010738      </v>
          </cell>
          <cell r="O7801">
            <v>56.2</v>
          </cell>
        </row>
        <row r="7802">
          <cell r="F7802" t="str">
            <v xml:space="preserve">830038922      </v>
          </cell>
          <cell r="O7802">
            <v>61.2</v>
          </cell>
        </row>
        <row r="7803">
          <cell r="F7803" t="str">
            <v xml:space="preserve">830071552      </v>
          </cell>
          <cell r="O7803">
            <v>1634.9</v>
          </cell>
        </row>
        <row r="7804">
          <cell r="F7804" t="str">
            <v xml:space="preserve">830071552      </v>
          </cell>
          <cell r="O7804">
            <v>2484.1999999999998</v>
          </cell>
        </row>
        <row r="7805">
          <cell r="F7805" t="str">
            <v xml:space="preserve">901547550      </v>
          </cell>
          <cell r="O7805">
            <v>790.1</v>
          </cell>
        </row>
        <row r="7806">
          <cell r="F7806" t="str">
            <v xml:space="preserve">830106563      </v>
          </cell>
          <cell r="O7806">
            <v>607.4</v>
          </cell>
        </row>
        <row r="7807">
          <cell r="F7807" t="str">
            <v xml:space="preserve">212            </v>
          </cell>
          <cell r="O7807">
            <v>9</v>
          </cell>
        </row>
        <row r="7808">
          <cell r="F7808" t="str">
            <v xml:space="preserve">212            </v>
          </cell>
          <cell r="O7808">
            <v>30</v>
          </cell>
        </row>
        <row r="7809">
          <cell r="F7809" t="str">
            <v xml:space="preserve">212            </v>
          </cell>
          <cell r="O7809">
            <v>18</v>
          </cell>
        </row>
        <row r="7810">
          <cell r="F7810" t="str">
            <v xml:space="preserve">212            </v>
          </cell>
          <cell r="O7810">
            <v>4.5</v>
          </cell>
        </row>
        <row r="7811">
          <cell r="F7811" t="str">
            <v xml:space="preserve">212            </v>
          </cell>
          <cell r="O7811">
            <v>120</v>
          </cell>
        </row>
        <row r="7812">
          <cell r="F7812" t="str">
            <v xml:space="preserve">212            </v>
          </cell>
          <cell r="O7812">
            <v>198</v>
          </cell>
        </row>
        <row r="7813">
          <cell r="F7813" t="str">
            <v xml:space="preserve">212            </v>
          </cell>
          <cell r="O7813">
            <v>135</v>
          </cell>
        </row>
        <row r="7814">
          <cell r="F7814" t="str">
            <v xml:space="preserve">900084859      </v>
          </cell>
          <cell r="O7814">
            <v>45</v>
          </cell>
        </row>
        <row r="7815">
          <cell r="F7815" t="str">
            <v xml:space="preserve">900084859      </v>
          </cell>
          <cell r="O7815">
            <v>18</v>
          </cell>
        </row>
        <row r="7816">
          <cell r="F7816" t="str">
            <v xml:space="preserve">900880568      </v>
          </cell>
          <cell r="O7816">
            <v>54</v>
          </cell>
        </row>
        <row r="7817">
          <cell r="F7817" t="str">
            <v xml:space="preserve">900880568      </v>
          </cell>
          <cell r="O7817">
            <v>18</v>
          </cell>
        </row>
        <row r="7818">
          <cell r="F7818" t="str">
            <v xml:space="preserve">900880568      </v>
          </cell>
          <cell r="O7818">
            <v>90</v>
          </cell>
        </row>
        <row r="7819">
          <cell r="F7819" t="str">
            <v xml:space="preserve">213            </v>
          </cell>
          <cell r="O7819">
            <v>45</v>
          </cell>
        </row>
        <row r="7820">
          <cell r="F7820" t="str">
            <v xml:space="preserve">213            </v>
          </cell>
          <cell r="O7820">
            <v>126</v>
          </cell>
        </row>
        <row r="7821">
          <cell r="F7821" t="str">
            <v xml:space="preserve">70052771       </v>
          </cell>
          <cell r="O7821">
            <v>168</v>
          </cell>
        </row>
        <row r="7822">
          <cell r="F7822" t="str">
            <v xml:space="preserve">800147650      </v>
          </cell>
          <cell r="O7822">
            <v>90</v>
          </cell>
        </row>
        <row r="7823">
          <cell r="F7823" t="str">
            <v xml:space="preserve">860013809      </v>
          </cell>
          <cell r="O7823">
            <v>162</v>
          </cell>
        </row>
        <row r="7824">
          <cell r="F7824" t="str">
            <v xml:space="preserve">860020382      </v>
          </cell>
          <cell r="O7824">
            <v>75</v>
          </cell>
        </row>
        <row r="7825">
          <cell r="F7825" t="str">
            <v xml:space="preserve">890900424      </v>
          </cell>
          <cell r="O7825">
            <v>30</v>
          </cell>
        </row>
        <row r="7826">
          <cell r="F7826" t="str">
            <v xml:space="preserve">890904996      </v>
          </cell>
          <cell r="O7826">
            <v>30</v>
          </cell>
        </row>
        <row r="7827">
          <cell r="F7827" t="str">
            <v xml:space="preserve">890904996      </v>
          </cell>
          <cell r="O7827">
            <v>198</v>
          </cell>
        </row>
        <row r="7828">
          <cell r="F7828" t="str">
            <v xml:space="preserve">899999049      </v>
          </cell>
          <cell r="O7828">
            <v>36</v>
          </cell>
        </row>
        <row r="7829">
          <cell r="F7829" t="str">
            <v xml:space="preserve">901436775      </v>
          </cell>
          <cell r="O7829">
            <v>135</v>
          </cell>
        </row>
        <row r="7830">
          <cell r="F7830" t="str">
            <v xml:space="preserve">101            </v>
          </cell>
          <cell r="O7830">
            <v>162</v>
          </cell>
        </row>
        <row r="7831">
          <cell r="F7831" t="str">
            <v xml:space="preserve">101            </v>
          </cell>
          <cell r="O7831">
            <v>18</v>
          </cell>
        </row>
        <row r="7832">
          <cell r="F7832" t="str">
            <v xml:space="preserve">101            </v>
          </cell>
          <cell r="O7832">
            <v>90</v>
          </cell>
        </row>
        <row r="7833">
          <cell r="F7833" t="str">
            <v xml:space="preserve">210            </v>
          </cell>
          <cell r="O7833">
            <v>1638</v>
          </cell>
        </row>
        <row r="7834">
          <cell r="F7834" t="str">
            <v xml:space="preserve">860020382      </v>
          </cell>
          <cell r="O7834">
            <v>63</v>
          </cell>
        </row>
        <row r="7835">
          <cell r="F7835" t="str">
            <v xml:space="preserve">860001697      </v>
          </cell>
          <cell r="O7835">
            <v>1195</v>
          </cell>
        </row>
        <row r="7836">
          <cell r="F7836" t="str">
            <v xml:space="preserve">404            </v>
          </cell>
          <cell r="O7836">
            <v>90</v>
          </cell>
        </row>
        <row r="7837">
          <cell r="F7837" t="str">
            <v xml:space="preserve">404            </v>
          </cell>
          <cell r="O7837">
            <v>108</v>
          </cell>
        </row>
        <row r="7838">
          <cell r="F7838" t="str">
            <v xml:space="preserve">210            </v>
          </cell>
          <cell r="O7838">
            <v>15</v>
          </cell>
        </row>
        <row r="7839">
          <cell r="F7839" t="str">
            <v xml:space="preserve">210            </v>
          </cell>
          <cell r="O7839">
            <v>234</v>
          </cell>
        </row>
        <row r="7840">
          <cell r="F7840" t="str">
            <v xml:space="preserve">800100700      </v>
          </cell>
          <cell r="O7840">
            <v>90</v>
          </cell>
        </row>
        <row r="7841">
          <cell r="F7841" t="str">
            <v xml:space="preserve">805007674      </v>
          </cell>
          <cell r="O7841">
            <v>90</v>
          </cell>
        </row>
        <row r="7842">
          <cell r="F7842" t="str">
            <v xml:space="preserve">805026018      </v>
          </cell>
          <cell r="O7842">
            <v>18</v>
          </cell>
        </row>
        <row r="7843">
          <cell r="F7843" t="str">
            <v xml:space="preserve">817004766      </v>
          </cell>
          <cell r="O7843">
            <v>162</v>
          </cell>
        </row>
        <row r="7844">
          <cell r="F7844" t="str">
            <v xml:space="preserve">890302609      </v>
          </cell>
          <cell r="O7844">
            <v>228</v>
          </cell>
        </row>
        <row r="7845">
          <cell r="F7845" t="str">
            <v xml:space="preserve">890304607      </v>
          </cell>
          <cell r="O7845">
            <v>54</v>
          </cell>
        </row>
        <row r="7846">
          <cell r="F7846" t="str">
            <v xml:space="preserve">890319806      </v>
          </cell>
          <cell r="O7846">
            <v>18</v>
          </cell>
        </row>
        <row r="7847">
          <cell r="F7847" t="str">
            <v xml:space="preserve">890805453      </v>
          </cell>
          <cell r="O7847">
            <v>36</v>
          </cell>
        </row>
        <row r="7848">
          <cell r="F7848" t="str">
            <v xml:space="preserve">890903939      </v>
          </cell>
          <cell r="O7848">
            <v>317</v>
          </cell>
        </row>
        <row r="7849">
          <cell r="F7849" t="str">
            <v xml:space="preserve">890903939      </v>
          </cell>
          <cell r="O7849">
            <v>279</v>
          </cell>
        </row>
        <row r="7850">
          <cell r="F7850" t="str">
            <v xml:space="preserve">891300382      </v>
          </cell>
          <cell r="O7850">
            <v>90</v>
          </cell>
        </row>
        <row r="7851">
          <cell r="F7851" t="str">
            <v xml:space="preserve">900609757      </v>
          </cell>
          <cell r="O7851">
            <v>54</v>
          </cell>
        </row>
        <row r="7852">
          <cell r="F7852" t="str">
            <v xml:space="preserve">900706515      </v>
          </cell>
          <cell r="O7852">
            <v>18</v>
          </cell>
        </row>
        <row r="7853">
          <cell r="F7853" t="str">
            <v xml:space="preserve">901149931      </v>
          </cell>
          <cell r="O7853">
            <v>72</v>
          </cell>
        </row>
        <row r="7854">
          <cell r="F7854" t="str">
            <v xml:space="preserve">901167377      </v>
          </cell>
          <cell r="O7854">
            <v>238.5</v>
          </cell>
        </row>
        <row r="7855">
          <cell r="F7855" t="str">
            <v xml:space="preserve">800028446      </v>
          </cell>
          <cell r="O7855">
            <v>1224.7</v>
          </cell>
        </row>
        <row r="7856">
          <cell r="F7856" t="str">
            <v xml:space="preserve">800154428      </v>
          </cell>
          <cell r="O7856">
            <v>141.9</v>
          </cell>
        </row>
        <row r="7857">
          <cell r="F7857" t="str">
            <v xml:space="preserve">830010738      </v>
          </cell>
          <cell r="O7857">
            <v>2423.8000000000002</v>
          </cell>
        </row>
        <row r="7858">
          <cell r="F7858" t="str">
            <v xml:space="preserve">830143647      </v>
          </cell>
          <cell r="O7858">
            <v>411.2</v>
          </cell>
        </row>
        <row r="7859">
          <cell r="F7859" t="str">
            <v xml:space="preserve">860011109      </v>
          </cell>
          <cell r="O7859">
            <v>3233.7</v>
          </cell>
        </row>
        <row r="7860">
          <cell r="F7860" t="str">
            <v xml:space="preserve">890700148      </v>
          </cell>
          <cell r="O7860">
            <v>500</v>
          </cell>
        </row>
        <row r="7861">
          <cell r="F7861" t="str">
            <v xml:space="preserve">901117319      </v>
          </cell>
          <cell r="O7861">
            <v>200</v>
          </cell>
        </row>
        <row r="7862">
          <cell r="F7862" t="str">
            <v xml:space="preserve">901508532      </v>
          </cell>
          <cell r="O7862">
            <v>116.5</v>
          </cell>
        </row>
        <row r="7863">
          <cell r="F7863" t="str">
            <v xml:space="preserve">18936116       </v>
          </cell>
          <cell r="O7863">
            <v>180</v>
          </cell>
        </row>
        <row r="7864">
          <cell r="F7864" t="str">
            <v xml:space="preserve">890903475      </v>
          </cell>
          <cell r="O7864">
            <v>36</v>
          </cell>
        </row>
        <row r="7865">
          <cell r="F7865" t="str">
            <v xml:space="preserve">5581295        </v>
          </cell>
          <cell r="O7865">
            <v>225</v>
          </cell>
        </row>
        <row r="7866">
          <cell r="F7866" t="str">
            <v xml:space="preserve">5581295        </v>
          </cell>
          <cell r="O7866">
            <v>90</v>
          </cell>
        </row>
        <row r="7867">
          <cell r="F7867" t="str">
            <v xml:space="preserve">210            </v>
          </cell>
          <cell r="O7867">
            <v>18</v>
          </cell>
        </row>
        <row r="7868">
          <cell r="F7868" t="str">
            <v xml:space="preserve">210            </v>
          </cell>
          <cell r="O7868">
            <v>630</v>
          </cell>
        </row>
        <row r="7869">
          <cell r="F7869" t="str">
            <v xml:space="preserve">210            </v>
          </cell>
          <cell r="O7869">
            <v>225</v>
          </cell>
        </row>
        <row r="7870">
          <cell r="F7870" t="str">
            <v xml:space="preserve">110            </v>
          </cell>
          <cell r="O7870">
            <v>882</v>
          </cell>
        </row>
        <row r="7871">
          <cell r="F7871" t="str">
            <v xml:space="preserve">71312536       </v>
          </cell>
          <cell r="O7871">
            <v>-540</v>
          </cell>
        </row>
        <row r="7872">
          <cell r="F7872" t="str">
            <v xml:space="preserve">39087765       </v>
          </cell>
          <cell r="O7872">
            <v>61.6</v>
          </cell>
        </row>
        <row r="7873">
          <cell r="F7873" t="str">
            <v xml:space="preserve">860015542      </v>
          </cell>
          <cell r="O7873">
            <v>700.6</v>
          </cell>
        </row>
        <row r="7874">
          <cell r="F7874" t="str">
            <v xml:space="preserve">860024586      </v>
          </cell>
          <cell r="O7874">
            <v>820.2</v>
          </cell>
        </row>
        <row r="7875">
          <cell r="F7875" t="str">
            <v xml:space="preserve">860065656      </v>
          </cell>
          <cell r="O7875">
            <v>630</v>
          </cell>
        </row>
        <row r="7876">
          <cell r="F7876" t="str">
            <v xml:space="preserve">900662475      </v>
          </cell>
          <cell r="O7876">
            <v>2625.9</v>
          </cell>
        </row>
        <row r="7877">
          <cell r="F7877" t="str">
            <v xml:space="preserve">900938018      </v>
          </cell>
          <cell r="O7877">
            <v>944.2</v>
          </cell>
        </row>
        <row r="7878">
          <cell r="F7878" t="str">
            <v xml:space="preserve">42795633       </v>
          </cell>
          <cell r="O7878">
            <v>180</v>
          </cell>
        </row>
        <row r="7879">
          <cell r="F7879" t="str">
            <v xml:space="preserve">811014849      </v>
          </cell>
          <cell r="O7879">
            <v>918.8</v>
          </cell>
        </row>
        <row r="7880">
          <cell r="F7880" t="str">
            <v xml:space="preserve">890900161      </v>
          </cell>
          <cell r="O7880">
            <v>109.9</v>
          </cell>
        </row>
        <row r="7881">
          <cell r="F7881" t="str">
            <v xml:space="preserve">890900223      </v>
          </cell>
          <cell r="O7881">
            <v>560</v>
          </cell>
        </row>
        <row r="7882">
          <cell r="F7882" t="str">
            <v xml:space="preserve">900036188      </v>
          </cell>
          <cell r="O7882">
            <v>811.2</v>
          </cell>
        </row>
        <row r="7883">
          <cell r="F7883" t="str">
            <v xml:space="preserve">900302490      </v>
          </cell>
          <cell r="O7883">
            <v>419.1</v>
          </cell>
        </row>
        <row r="7884">
          <cell r="F7884" t="str">
            <v xml:space="preserve">901008628      </v>
          </cell>
          <cell r="O7884">
            <v>159.69999999999999</v>
          </cell>
        </row>
        <row r="7885">
          <cell r="F7885" t="str">
            <v xml:space="preserve">901243034      </v>
          </cell>
          <cell r="O7885">
            <v>400.7</v>
          </cell>
        </row>
        <row r="7886">
          <cell r="F7886" t="str">
            <v xml:space="preserve">79095204       </v>
          </cell>
          <cell r="O7886">
            <v>288</v>
          </cell>
        </row>
        <row r="7887">
          <cell r="F7887" t="str">
            <v xml:space="preserve">79095204       </v>
          </cell>
          <cell r="O7887">
            <v>180</v>
          </cell>
        </row>
        <row r="7888">
          <cell r="F7888" t="str">
            <v xml:space="preserve">212            </v>
          </cell>
          <cell r="O7888">
            <v>15</v>
          </cell>
        </row>
        <row r="7889">
          <cell r="F7889" t="str">
            <v xml:space="preserve">212            </v>
          </cell>
          <cell r="O7889">
            <v>54</v>
          </cell>
        </row>
        <row r="7890">
          <cell r="F7890" t="str">
            <v xml:space="preserve">811014849      </v>
          </cell>
          <cell r="O7890">
            <v>108</v>
          </cell>
        </row>
        <row r="7891">
          <cell r="F7891" t="str">
            <v xml:space="preserve">811014849      </v>
          </cell>
          <cell r="O7891">
            <v>54</v>
          </cell>
        </row>
        <row r="7892">
          <cell r="F7892" t="str">
            <v xml:space="preserve">811023799      </v>
          </cell>
          <cell r="O7892">
            <v>18</v>
          </cell>
        </row>
        <row r="7893">
          <cell r="F7893" t="str">
            <v xml:space="preserve">830027386      </v>
          </cell>
          <cell r="O7893">
            <v>147</v>
          </cell>
        </row>
        <row r="7894">
          <cell r="F7894" t="str">
            <v xml:space="preserve">890900161      </v>
          </cell>
          <cell r="O7894">
            <v>60</v>
          </cell>
        </row>
        <row r="7895">
          <cell r="F7895" t="str">
            <v xml:space="preserve">890900161      </v>
          </cell>
          <cell r="O7895">
            <v>30</v>
          </cell>
        </row>
        <row r="7896">
          <cell r="F7896" t="str">
            <v xml:space="preserve">900313945      </v>
          </cell>
          <cell r="O7896">
            <v>120</v>
          </cell>
        </row>
        <row r="7897">
          <cell r="F7897" t="str">
            <v xml:space="preserve">900603554      </v>
          </cell>
          <cell r="O7897">
            <v>72</v>
          </cell>
        </row>
        <row r="7898">
          <cell r="F7898" t="str">
            <v xml:space="preserve">900631756      </v>
          </cell>
          <cell r="O7898">
            <v>30</v>
          </cell>
        </row>
        <row r="7899">
          <cell r="F7899" t="str">
            <v xml:space="preserve">805012977      </v>
          </cell>
          <cell r="O7899">
            <v>126</v>
          </cell>
        </row>
        <row r="7900">
          <cell r="F7900" t="str">
            <v xml:space="preserve">815004320      </v>
          </cell>
          <cell r="O7900">
            <v>54</v>
          </cell>
        </row>
        <row r="7901">
          <cell r="F7901" t="str">
            <v xml:space="preserve">860020382      </v>
          </cell>
          <cell r="O7901">
            <v>36</v>
          </cell>
        </row>
        <row r="7902">
          <cell r="F7902" t="str">
            <v xml:space="preserve">860020382      </v>
          </cell>
          <cell r="O7902">
            <v>54</v>
          </cell>
        </row>
        <row r="7903">
          <cell r="F7903" t="str">
            <v xml:space="preserve">890311251      </v>
          </cell>
          <cell r="O7903">
            <v>54</v>
          </cell>
        </row>
        <row r="7904">
          <cell r="F7904" t="str">
            <v xml:space="preserve">890312630      </v>
          </cell>
          <cell r="O7904">
            <v>78</v>
          </cell>
        </row>
        <row r="7905">
          <cell r="F7905" t="str">
            <v xml:space="preserve">890322007      </v>
          </cell>
          <cell r="O7905">
            <v>126</v>
          </cell>
        </row>
        <row r="7906">
          <cell r="F7906" t="str">
            <v xml:space="preserve">899999049      </v>
          </cell>
          <cell r="O7906">
            <v>72</v>
          </cell>
        </row>
        <row r="7907">
          <cell r="F7907" t="str">
            <v xml:space="preserve">900298074      </v>
          </cell>
          <cell r="O7907">
            <v>36</v>
          </cell>
        </row>
        <row r="7908">
          <cell r="F7908" t="str">
            <v xml:space="preserve">900454593      </v>
          </cell>
          <cell r="O7908">
            <v>36</v>
          </cell>
        </row>
        <row r="7909">
          <cell r="F7909" t="str">
            <v xml:space="preserve">900896300      </v>
          </cell>
          <cell r="O7909">
            <v>246</v>
          </cell>
        </row>
        <row r="7910">
          <cell r="F7910" t="str">
            <v xml:space="preserve">901026262      </v>
          </cell>
          <cell r="O7910">
            <v>72</v>
          </cell>
        </row>
        <row r="7911">
          <cell r="F7911" t="str">
            <v xml:space="preserve">212            </v>
          </cell>
          <cell r="O7911">
            <v>15</v>
          </cell>
        </row>
        <row r="7912">
          <cell r="F7912" t="str">
            <v xml:space="preserve">212            </v>
          </cell>
          <cell r="O7912">
            <v>18</v>
          </cell>
        </row>
        <row r="7913">
          <cell r="F7913" t="str">
            <v xml:space="preserve">212            </v>
          </cell>
          <cell r="O7913">
            <v>15</v>
          </cell>
        </row>
        <row r="7914">
          <cell r="F7914" t="str">
            <v xml:space="preserve">212            </v>
          </cell>
          <cell r="O7914">
            <v>18</v>
          </cell>
        </row>
        <row r="7915">
          <cell r="F7915" t="str">
            <v xml:space="preserve">212            </v>
          </cell>
          <cell r="O7915">
            <v>60</v>
          </cell>
        </row>
        <row r="7916">
          <cell r="F7916" t="str">
            <v xml:space="preserve">212            </v>
          </cell>
          <cell r="O7916">
            <v>90</v>
          </cell>
        </row>
        <row r="7917">
          <cell r="F7917" t="str">
            <v xml:space="preserve">830010738      </v>
          </cell>
          <cell r="O7917">
            <v>450</v>
          </cell>
        </row>
        <row r="7918">
          <cell r="F7918" t="str">
            <v xml:space="preserve">830016868      </v>
          </cell>
          <cell r="O7918">
            <v>450</v>
          </cell>
        </row>
        <row r="7919">
          <cell r="F7919" t="str">
            <v xml:space="preserve">890304130      </v>
          </cell>
          <cell r="O7919">
            <v>225</v>
          </cell>
        </row>
        <row r="7920">
          <cell r="F7920" t="str">
            <v xml:space="preserve">890332769      </v>
          </cell>
          <cell r="O7920">
            <v>6140.9</v>
          </cell>
        </row>
        <row r="7921">
          <cell r="F7921" t="str">
            <v xml:space="preserve">1095837688     </v>
          </cell>
          <cell r="O7921">
            <v>67.8</v>
          </cell>
        </row>
        <row r="7922">
          <cell r="F7922" t="str">
            <v xml:space="preserve">1098799280     </v>
          </cell>
          <cell r="O7922">
            <v>90.1</v>
          </cell>
        </row>
        <row r="7923">
          <cell r="F7923" t="str">
            <v xml:space="preserve">1127227070     </v>
          </cell>
          <cell r="O7923">
            <v>125.7</v>
          </cell>
        </row>
        <row r="7924">
          <cell r="F7924" t="str">
            <v xml:space="preserve">37392006       </v>
          </cell>
          <cell r="O7924">
            <v>51.2</v>
          </cell>
        </row>
        <row r="7925">
          <cell r="F7925" t="str">
            <v xml:space="preserve">37397539       </v>
          </cell>
          <cell r="O7925">
            <v>86</v>
          </cell>
        </row>
        <row r="7926">
          <cell r="F7926" t="str">
            <v xml:space="preserve">807004341      </v>
          </cell>
          <cell r="O7926">
            <v>553.20000000000005</v>
          </cell>
        </row>
        <row r="7927">
          <cell r="F7927" t="str">
            <v xml:space="preserve">901215181      </v>
          </cell>
          <cell r="O7927">
            <v>78</v>
          </cell>
        </row>
        <row r="7928">
          <cell r="F7928" t="str">
            <v xml:space="preserve">901595394      </v>
          </cell>
          <cell r="O7928">
            <v>417.4</v>
          </cell>
        </row>
        <row r="7929">
          <cell r="F7929" t="str">
            <v xml:space="preserve">76278004       </v>
          </cell>
          <cell r="O7929">
            <v>850</v>
          </cell>
        </row>
        <row r="7930">
          <cell r="F7930" t="str">
            <v xml:space="preserve">805011094      </v>
          </cell>
          <cell r="O7930">
            <v>2708.8</v>
          </cell>
        </row>
        <row r="7931">
          <cell r="F7931" t="str">
            <v xml:space="preserve">805011094      </v>
          </cell>
          <cell r="O7931">
            <v>286.7</v>
          </cell>
        </row>
        <row r="7932">
          <cell r="F7932" t="str">
            <v xml:space="preserve">900018975      </v>
          </cell>
          <cell r="O7932">
            <v>3999.9</v>
          </cell>
        </row>
        <row r="7933">
          <cell r="F7933" t="str">
            <v xml:space="preserve">804002825      </v>
          </cell>
          <cell r="O7933">
            <v>3800</v>
          </cell>
        </row>
        <row r="7934">
          <cell r="F7934" t="str">
            <v xml:space="preserve">804002825      </v>
          </cell>
          <cell r="O7934">
            <v>2983.6</v>
          </cell>
        </row>
        <row r="7935">
          <cell r="F7935" t="str">
            <v xml:space="preserve">804002825      </v>
          </cell>
          <cell r="O7935">
            <v>4601.8999999999996</v>
          </cell>
        </row>
        <row r="7936">
          <cell r="F7936" t="str">
            <v xml:space="preserve">804002825      </v>
          </cell>
          <cell r="O7936">
            <v>1578.1</v>
          </cell>
        </row>
        <row r="7937">
          <cell r="F7937" t="str">
            <v xml:space="preserve">804002825      </v>
          </cell>
          <cell r="O7937">
            <v>3370</v>
          </cell>
        </row>
        <row r="7938">
          <cell r="F7938" t="str">
            <v xml:space="preserve">900438187      </v>
          </cell>
          <cell r="O7938">
            <v>4731.1000000000004</v>
          </cell>
        </row>
        <row r="7939">
          <cell r="F7939" t="str">
            <v xml:space="preserve">860049921      </v>
          </cell>
          <cell r="O7939">
            <v>2016.2</v>
          </cell>
        </row>
        <row r="7940">
          <cell r="F7940" t="str">
            <v xml:space="preserve">900306309      </v>
          </cell>
          <cell r="O7940">
            <v>2228.6</v>
          </cell>
        </row>
        <row r="7941">
          <cell r="F7941" t="str">
            <v xml:space="preserve">900306309      </v>
          </cell>
          <cell r="O7941">
            <v>2265.4</v>
          </cell>
        </row>
        <row r="7942">
          <cell r="F7942" t="str">
            <v xml:space="preserve">830107012      </v>
          </cell>
          <cell r="O7942">
            <v>72</v>
          </cell>
        </row>
        <row r="7943">
          <cell r="F7943" t="str">
            <v xml:space="preserve">890903939      </v>
          </cell>
          <cell r="O7943">
            <v>270</v>
          </cell>
        </row>
        <row r="7944">
          <cell r="F7944" t="str">
            <v xml:space="preserve">830022625      </v>
          </cell>
          <cell r="O7944">
            <v>167.5</v>
          </cell>
        </row>
        <row r="7945">
          <cell r="F7945" t="str">
            <v xml:space="preserve">10163145       </v>
          </cell>
          <cell r="O7945">
            <v>33.299999999999997</v>
          </cell>
        </row>
        <row r="7946">
          <cell r="F7946" t="str">
            <v xml:space="preserve">24711613       </v>
          </cell>
          <cell r="O7946">
            <v>82.4</v>
          </cell>
        </row>
        <row r="7947">
          <cell r="F7947" t="str">
            <v xml:space="preserve">52656913       </v>
          </cell>
          <cell r="O7947">
            <v>232.5</v>
          </cell>
        </row>
        <row r="7948">
          <cell r="F7948" t="str">
            <v xml:space="preserve">808001297      </v>
          </cell>
          <cell r="O7948">
            <v>184.2</v>
          </cell>
        </row>
        <row r="7949">
          <cell r="F7949" t="str">
            <v xml:space="preserve">811014849      </v>
          </cell>
          <cell r="O7949">
            <v>2105.6</v>
          </cell>
        </row>
        <row r="7950">
          <cell r="F7950" t="str">
            <v xml:space="preserve">901149500      </v>
          </cell>
          <cell r="O7950">
            <v>141.6</v>
          </cell>
        </row>
        <row r="7951">
          <cell r="F7951" t="str">
            <v xml:space="preserve">213            </v>
          </cell>
          <cell r="O7951">
            <v>210</v>
          </cell>
        </row>
        <row r="7952">
          <cell r="F7952" t="str">
            <v xml:space="preserve">213            </v>
          </cell>
          <cell r="O7952">
            <v>54</v>
          </cell>
        </row>
        <row r="7953">
          <cell r="F7953" t="str">
            <v xml:space="preserve">800220087      </v>
          </cell>
          <cell r="O7953">
            <v>2400.4</v>
          </cell>
        </row>
        <row r="7954">
          <cell r="F7954" t="str">
            <v xml:space="preserve">860004828      </v>
          </cell>
          <cell r="O7954">
            <v>248.6</v>
          </cell>
        </row>
        <row r="7955">
          <cell r="F7955" t="str">
            <v xml:space="preserve">860020194      </v>
          </cell>
          <cell r="O7955">
            <v>63</v>
          </cell>
        </row>
        <row r="7956">
          <cell r="F7956" t="str">
            <v xml:space="preserve">16686596       </v>
          </cell>
          <cell r="O7956">
            <v>93.3</v>
          </cell>
        </row>
        <row r="7957">
          <cell r="F7957" t="str">
            <v xml:space="preserve">31989080       </v>
          </cell>
          <cell r="O7957">
            <v>211</v>
          </cell>
        </row>
        <row r="7958">
          <cell r="F7958" t="str">
            <v xml:space="preserve">800150267      </v>
          </cell>
          <cell r="O7958">
            <v>338.5</v>
          </cell>
        </row>
        <row r="7959">
          <cell r="F7959" t="str">
            <v xml:space="preserve">805011094      </v>
          </cell>
          <cell r="O7959">
            <v>3996</v>
          </cell>
        </row>
        <row r="7960">
          <cell r="F7960" t="str">
            <v xml:space="preserve">817004851      </v>
          </cell>
          <cell r="O7960">
            <v>460.6</v>
          </cell>
        </row>
        <row r="7961">
          <cell r="F7961" t="str">
            <v xml:space="preserve">860058831      </v>
          </cell>
          <cell r="O7961">
            <v>2588.6999999999998</v>
          </cell>
        </row>
        <row r="7962">
          <cell r="F7962" t="str">
            <v xml:space="preserve">900212705      </v>
          </cell>
          <cell r="O7962">
            <v>950.4</v>
          </cell>
        </row>
        <row r="7963">
          <cell r="F7963" t="str">
            <v xml:space="preserve">901019138      </v>
          </cell>
          <cell r="O7963">
            <v>28751.86</v>
          </cell>
        </row>
        <row r="7964">
          <cell r="F7964" t="str">
            <v xml:space="preserve">860001697      </v>
          </cell>
          <cell r="O7964">
            <v>201.7</v>
          </cell>
        </row>
        <row r="7965">
          <cell r="F7965" t="str">
            <v xml:space="preserve">860001697      </v>
          </cell>
          <cell r="O7965">
            <v>77.81</v>
          </cell>
        </row>
        <row r="7966">
          <cell r="F7966" t="str">
            <v xml:space="preserve">860001697      </v>
          </cell>
          <cell r="O7966">
            <v>276.22000000000003</v>
          </cell>
        </row>
        <row r="7967">
          <cell r="F7967" t="str">
            <v xml:space="preserve">830099238      </v>
          </cell>
          <cell r="O7967">
            <v>36500</v>
          </cell>
        </row>
        <row r="7968">
          <cell r="F7968" t="str">
            <v xml:space="preserve">003            </v>
          </cell>
          <cell r="O7968">
            <v>-8.26</v>
          </cell>
        </row>
        <row r="7969">
          <cell r="F7969" t="str">
            <v xml:space="preserve">900789921      </v>
          </cell>
          <cell r="O7969">
            <v>10077</v>
          </cell>
        </row>
        <row r="7970">
          <cell r="F7970" t="str">
            <v xml:space="preserve">830118416      </v>
          </cell>
          <cell r="O7970">
            <v>6980</v>
          </cell>
        </row>
        <row r="7971">
          <cell r="F7971" t="str">
            <v xml:space="preserve">804002825      </v>
          </cell>
          <cell r="O7971">
            <v>6990</v>
          </cell>
        </row>
        <row r="7972">
          <cell r="F7972" t="str">
            <v xml:space="preserve">804002825      </v>
          </cell>
          <cell r="O7972">
            <v>7130</v>
          </cell>
        </row>
        <row r="7973">
          <cell r="F7973" t="str">
            <v xml:space="preserve">804002825      </v>
          </cell>
          <cell r="O7973">
            <v>7200</v>
          </cell>
        </row>
        <row r="7974">
          <cell r="F7974" t="str">
            <v xml:space="preserve">901175206      </v>
          </cell>
          <cell r="O7974">
            <v>4027.4</v>
          </cell>
        </row>
        <row r="7975">
          <cell r="F7975" t="str">
            <v xml:space="preserve">901175206      </v>
          </cell>
          <cell r="O7975">
            <v>1328.2</v>
          </cell>
        </row>
        <row r="7976">
          <cell r="F7976" t="str">
            <v xml:space="preserve">901175206      </v>
          </cell>
          <cell r="O7976">
            <v>1153.9000000000001</v>
          </cell>
        </row>
        <row r="7977">
          <cell r="F7977" t="str">
            <v xml:space="preserve">811014849      </v>
          </cell>
          <cell r="O7977">
            <v>592.24</v>
          </cell>
        </row>
        <row r="7978">
          <cell r="F7978" t="str">
            <v xml:space="preserve">830026277      </v>
          </cell>
          <cell r="O7978">
            <v>1601.01</v>
          </cell>
        </row>
        <row r="7979">
          <cell r="F7979" t="str">
            <v xml:space="preserve">830086392      </v>
          </cell>
          <cell r="O7979">
            <v>206.36</v>
          </cell>
        </row>
        <row r="7980">
          <cell r="F7980" t="str">
            <v xml:space="preserve">830086392      </v>
          </cell>
          <cell r="O7980">
            <v>171.96</v>
          </cell>
        </row>
        <row r="7981">
          <cell r="F7981" t="str">
            <v xml:space="preserve">860015542      </v>
          </cell>
          <cell r="O7981">
            <v>125.52</v>
          </cell>
        </row>
        <row r="7982">
          <cell r="F7982" t="str">
            <v xml:space="preserve">891300382      </v>
          </cell>
          <cell r="O7982">
            <v>82.4</v>
          </cell>
        </row>
        <row r="7983">
          <cell r="F7983" t="str">
            <v xml:space="preserve">891300382      </v>
          </cell>
          <cell r="O7983">
            <v>75.86</v>
          </cell>
        </row>
        <row r="7984">
          <cell r="F7984" t="str">
            <v xml:space="preserve">891300382      </v>
          </cell>
          <cell r="O7984">
            <v>87.38</v>
          </cell>
        </row>
        <row r="7985">
          <cell r="F7985" t="str">
            <v xml:space="preserve">900213632      </v>
          </cell>
          <cell r="O7985">
            <v>210.67</v>
          </cell>
        </row>
        <row r="7986">
          <cell r="F7986" t="str">
            <v xml:space="preserve">800154428      </v>
          </cell>
          <cell r="O7986">
            <v>156.5</v>
          </cell>
        </row>
        <row r="7987">
          <cell r="F7987" t="str">
            <v xml:space="preserve">830091965      </v>
          </cell>
          <cell r="O7987">
            <v>1180</v>
          </cell>
        </row>
        <row r="7988">
          <cell r="F7988" t="str">
            <v xml:space="preserve">860002536      </v>
          </cell>
          <cell r="O7988">
            <v>851.3</v>
          </cell>
        </row>
        <row r="7989">
          <cell r="F7989" t="str">
            <v xml:space="preserve">900436352      </v>
          </cell>
          <cell r="O7989">
            <v>3609.5</v>
          </cell>
        </row>
        <row r="7990">
          <cell r="F7990" t="str">
            <v xml:space="preserve">900474780      </v>
          </cell>
          <cell r="O7990">
            <v>0</v>
          </cell>
        </row>
        <row r="7991">
          <cell r="F7991" t="str">
            <v xml:space="preserve">900474780      </v>
          </cell>
          <cell r="O7991">
            <v>0</v>
          </cell>
        </row>
        <row r="7992">
          <cell r="F7992" t="str">
            <v xml:space="preserve">900992422      </v>
          </cell>
          <cell r="O7992">
            <v>5406.4</v>
          </cell>
        </row>
        <row r="7993">
          <cell r="F7993" t="str">
            <v xml:space="preserve">79454285       </v>
          </cell>
          <cell r="O7993">
            <v>75.7</v>
          </cell>
        </row>
        <row r="7994">
          <cell r="F7994" t="str">
            <v xml:space="preserve">800141262      </v>
          </cell>
          <cell r="O7994">
            <v>419.4</v>
          </cell>
        </row>
        <row r="7995">
          <cell r="F7995" t="str">
            <v xml:space="preserve">830015208      </v>
          </cell>
          <cell r="O7995">
            <v>37.700000000000003</v>
          </cell>
        </row>
        <row r="7996">
          <cell r="F7996" t="str">
            <v xml:space="preserve">900081535      </v>
          </cell>
          <cell r="O7996">
            <v>725</v>
          </cell>
        </row>
        <row r="7997">
          <cell r="F7997" t="str">
            <v xml:space="preserve">900601228      </v>
          </cell>
          <cell r="O7997">
            <v>75.5</v>
          </cell>
        </row>
        <row r="7998">
          <cell r="F7998" t="str">
            <v xml:space="preserve">800134497      </v>
          </cell>
          <cell r="O7998">
            <v>1226.2</v>
          </cell>
        </row>
        <row r="7999">
          <cell r="F7999" t="str">
            <v xml:space="preserve">890500726      </v>
          </cell>
          <cell r="O7999">
            <v>184526.55</v>
          </cell>
        </row>
        <row r="8000">
          <cell r="F8000" t="str">
            <v xml:space="preserve">823001882      </v>
          </cell>
          <cell r="O8000">
            <v>135</v>
          </cell>
        </row>
        <row r="8001">
          <cell r="F8001" t="str">
            <v xml:space="preserve">805005148      </v>
          </cell>
          <cell r="O8001">
            <v>1008</v>
          </cell>
        </row>
        <row r="8002">
          <cell r="F8002" t="str">
            <v xml:space="preserve">805005148      </v>
          </cell>
          <cell r="O8002">
            <v>90</v>
          </cell>
        </row>
        <row r="8003">
          <cell r="F8003" t="str">
            <v xml:space="preserve">860033740      </v>
          </cell>
          <cell r="O8003">
            <v>90</v>
          </cell>
        </row>
        <row r="8004">
          <cell r="F8004" t="str">
            <v xml:space="preserve">901435739      </v>
          </cell>
          <cell r="O8004">
            <v>90</v>
          </cell>
        </row>
        <row r="8005">
          <cell r="F8005" t="str">
            <v xml:space="preserve">1130605276     </v>
          </cell>
          <cell r="O8005">
            <v>9</v>
          </cell>
        </row>
        <row r="8006">
          <cell r="F8006" t="str">
            <v xml:space="preserve">1130605276     </v>
          </cell>
          <cell r="O8006">
            <v>255</v>
          </cell>
        </row>
        <row r="8007">
          <cell r="F8007" t="str">
            <v xml:space="preserve">1130605276     </v>
          </cell>
          <cell r="O8007">
            <v>360</v>
          </cell>
        </row>
        <row r="8008">
          <cell r="F8008" t="str">
            <v xml:space="preserve">94464104       </v>
          </cell>
          <cell r="O8008">
            <v>144</v>
          </cell>
        </row>
        <row r="8009">
          <cell r="F8009" t="str">
            <v xml:space="preserve">94464104       </v>
          </cell>
          <cell r="O8009">
            <v>360</v>
          </cell>
        </row>
        <row r="8010">
          <cell r="F8010" t="str">
            <v xml:space="preserve">94464104       </v>
          </cell>
          <cell r="O8010">
            <v>414</v>
          </cell>
        </row>
        <row r="8011">
          <cell r="F8011" t="str">
            <v xml:space="preserve">94464104       </v>
          </cell>
          <cell r="O8011">
            <v>45</v>
          </cell>
        </row>
        <row r="8012">
          <cell r="F8012" t="str">
            <v xml:space="preserve">16458005       </v>
          </cell>
          <cell r="O8012">
            <v>9</v>
          </cell>
        </row>
        <row r="8013">
          <cell r="F8013" t="str">
            <v xml:space="preserve">16458005       </v>
          </cell>
          <cell r="O8013">
            <v>180</v>
          </cell>
        </row>
        <row r="8014">
          <cell r="F8014" t="str">
            <v xml:space="preserve">94419930       </v>
          </cell>
          <cell r="O8014">
            <v>18</v>
          </cell>
        </row>
        <row r="8015">
          <cell r="F8015" t="str">
            <v xml:space="preserve">94420019       </v>
          </cell>
          <cell r="O8015">
            <v>135</v>
          </cell>
        </row>
        <row r="8016">
          <cell r="F8016" t="str">
            <v xml:space="preserve">16669313       </v>
          </cell>
          <cell r="O8016">
            <v>4.5</v>
          </cell>
        </row>
        <row r="8017">
          <cell r="F8017" t="str">
            <v xml:space="preserve">16669313       </v>
          </cell>
          <cell r="O8017">
            <v>9</v>
          </cell>
        </row>
        <row r="8018">
          <cell r="F8018" t="str">
            <v xml:space="preserve">16669313       </v>
          </cell>
          <cell r="O8018">
            <v>30</v>
          </cell>
        </row>
        <row r="8019">
          <cell r="F8019" t="str">
            <v xml:space="preserve">16669313       </v>
          </cell>
          <cell r="O8019">
            <v>882</v>
          </cell>
        </row>
        <row r="8020">
          <cell r="F8020" t="str">
            <v xml:space="preserve">16669313       </v>
          </cell>
          <cell r="O8020">
            <v>45</v>
          </cell>
        </row>
        <row r="8021">
          <cell r="F8021" t="str">
            <v xml:space="preserve">900034686      </v>
          </cell>
          <cell r="O8021">
            <v>54</v>
          </cell>
        </row>
        <row r="8022">
          <cell r="F8022" t="str">
            <v xml:space="preserve">900034686      </v>
          </cell>
          <cell r="O8022">
            <v>90</v>
          </cell>
        </row>
        <row r="8023">
          <cell r="F8023" t="str">
            <v xml:space="preserve">900034686      </v>
          </cell>
          <cell r="O8023">
            <v>54</v>
          </cell>
        </row>
        <row r="8024">
          <cell r="F8024" t="str">
            <v xml:space="preserve">900034686      </v>
          </cell>
          <cell r="O8024">
            <v>180</v>
          </cell>
        </row>
        <row r="8025">
          <cell r="F8025" t="str">
            <v xml:space="preserve">901551934      </v>
          </cell>
          <cell r="O8025">
            <v>36</v>
          </cell>
        </row>
        <row r="8026">
          <cell r="F8026" t="str">
            <v xml:space="preserve">901551934      </v>
          </cell>
          <cell r="O8026">
            <v>90</v>
          </cell>
        </row>
        <row r="8027">
          <cell r="F8027" t="str">
            <v xml:space="preserve">75074760       </v>
          </cell>
          <cell r="O8027">
            <v>9</v>
          </cell>
        </row>
        <row r="8028">
          <cell r="F8028" t="str">
            <v xml:space="preserve">75074760       </v>
          </cell>
          <cell r="O8028">
            <v>255</v>
          </cell>
        </row>
        <row r="8029">
          <cell r="F8029" t="str">
            <v xml:space="preserve">9910443        </v>
          </cell>
          <cell r="O8029">
            <v>2700</v>
          </cell>
        </row>
        <row r="8030">
          <cell r="F8030" t="str">
            <v xml:space="preserve">75099432       </v>
          </cell>
          <cell r="O8030">
            <v>450</v>
          </cell>
        </row>
        <row r="8031">
          <cell r="F8031" t="str">
            <v xml:space="preserve">75099432       </v>
          </cell>
          <cell r="O8031">
            <v>108</v>
          </cell>
        </row>
        <row r="8032">
          <cell r="F8032" t="str">
            <v xml:space="preserve">75099432       </v>
          </cell>
          <cell r="O8032">
            <v>90</v>
          </cell>
        </row>
        <row r="8033">
          <cell r="F8033" t="str">
            <v xml:space="preserve">75099432       </v>
          </cell>
          <cell r="O8033">
            <v>18</v>
          </cell>
        </row>
        <row r="8034">
          <cell r="F8034" t="str">
            <v xml:space="preserve">75099432       </v>
          </cell>
          <cell r="O8034">
            <v>750</v>
          </cell>
        </row>
        <row r="8035">
          <cell r="F8035" t="str">
            <v xml:space="preserve">75099432       </v>
          </cell>
          <cell r="O8035">
            <v>144</v>
          </cell>
        </row>
        <row r="8036">
          <cell r="F8036" t="str">
            <v xml:space="preserve">75099432       </v>
          </cell>
          <cell r="O8036">
            <v>135</v>
          </cell>
        </row>
        <row r="8037">
          <cell r="F8037" t="str">
            <v xml:space="preserve">890806490      </v>
          </cell>
          <cell r="O8037">
            <v>225</v>
          </cell>
        </row>
        <row r="8038">
          <cell r="F8038" t="str">
            <v xml:space="preserve">890903939      </v>
          </cell>
          <cell r="O8038">
            <v>144</v>
          </cell>
        </row>
        <row r="8039">
          <cell r="F8039" t="str">
            <v xml:space="preserve">900204935      </v>
          </cell>
          <cell r="O8039">
            <v>54</v>
          </cell>
        </row>
        <row r="8040">
          <cell r="F8040" t="str">
            <v xml:space="preserve">9696643        </v>
          </cell>
          <cell r="O8040">
            <v>1950</v>
          </cell>
        </row>
        <row r="8041">
          <cell r="F8041" t="str">
            <v xml:space="preserve">9696643        </v>
          </cell>
          <cell r="O8041">
            <v>810</v>
          </cell>
        </row>
        <row r="8042">
          <cell r="F8042" t="str">
            <v xml:space="preserve">9696643        </v>
          </cell>
          <cell r="O8042">
            <v>540</v>
          </cell>
        </row>
        <row r="8043">
          <cell r="F8043" t="str">
            <v xml:space="preserve">94406762       </v>
          </cell>
          <cell r="O8043">
            <v>2475</v>
          </cell>
        </row>
        <row r="8044">
          <cell r="F8044" t="str">
            <v xml:space="preserve">94406762       </v>
          </cell>
          <cell r="O8044">
            <v>225</v>
          </cell>
        </row>
        <row r="8045">
          <cell r="F8045" t="str">
            <v xml:space="preserve">6157942        </v>
          </cell>
          <cell r="O8045">
            <v>90</v>
          </cell>
        </row>
        <row r="8046">
          <cell r="F8046" t="str">
            <v xml:space="preserve">6157942        </v>
          </cell>
          <cell r="O8046">
            <v>18</v>
          </cell>
        </row>
        <row r="8047">
          <cell r="F8047" t="str">
            <v xml:space="preserve">6157942        </v>
          </cell>
          <cell r="O8047">
            <v>165</v>
          </cell>
        </row>
        <row r="8048">
          <cell r="F8048" t="str">
            <v xml:space="preserve">29233836       </v>
          </cell>
          <cell r="O8048">
            <v>1050</v>
          </cell>
        </row>
        <row r="8049">
          <cell r="F8049" t="str">
            <v xml:space="preserve">29233836       </v>
          </cell>
          <cell r="O8049">
            <v>270</v>
          </cell>
        </row>
        <row r="8050">
          <cell r="F8050" t="str">
            <v xml:space="preserve">10007888       </v>
          </cell>
          <cell r="O8050">
            <v>120</v>
          </cell>
        </row>
        <row r="8051">
          <cell r="F8051" t="str">
            <v xml:space="preserve">10007888       </v>
          </cell>
          <cell r="O8051">
            <v>36</v>
          </cell>
        </row>
        <row r="8052">
          <cell r="F8052" t="str">
            <v xml:space="preserve">10007888       </v>
          </cell>
          <cell r="O8052">
            <v>18</v>
          </cell>
        </row>
        <row r="8053">
          <cell r="F8053" t="str">
            <v xml:space="preserve">1088256267     </v>
          </cell>
          <cell r="O8053">
            <v>15</v>
          </cell>
        </row>
        <row r="8054">
          <cell r="F8054" t="str">
            <v xml:space="preserve">1088256267     </v>
          </cell>
          <cell r="O8054">
            <v>36</v>
          </cell>
        </row>
        <row r="8055">
          <cell r="F8055" t="str">
            <v xml:space="preserve">1088256267     </v>
          </cell>
          <cell r="O8055">
            <v>90</v>
          </cell>
        </row>
        <row r="8056">
          <cell r="F8056" t="str">
            <v xml:space="preserve">1088256267     </v>
          </cell>
          <cell r="O8056">
            <v>195</v>
          </cell>
        </row>
        <row r="8057">
          <cell r="F8057" t="str">
            <v xml:space="preserve">1088256267     </v>
          </cell>
          <cell r="O8057">
            <v>72</v>
          </cell>
        </row>
        <row r="8058">
          <cell r="F8058" t="str">
            <v xml:space="preserve">1088256267     </v>
          </cell>
          <cell r="O8058">
            <v>180</v>
          </cell>
        </row>
        <row r="8059">
          <cell r="F8059" t="str">
            <v xml:space="preserve">18531114       </v>
          </cell>
          <cell r="O8059">
            <v>300</v>
          </cell>
        </row>
        <row r="8060">
          <cell r="F8060" t="str">
            <v xml:space="preserve">18531114       </v>
          </cell>
          <cell r="O8060">
            <v>360</v>
          </cell>
        </row>
        <row r="8061">
          <cell r="F8061" t="str">
            <v xml:space="preserve">18615735       </v>
          </cell>
          <cell r="O8061">
            <v>18</v>
          </cell>
        </row>
        <row r="8062">
          <cell r="F8062" t="str">
            <v xml:space="preserve">16225682       </v>
          </cell>
          <cell r="O8062">
            <v>300</v>
          </cell>
        </row>
        <row r="8063">
          <cell r="F8063" t="str">
            <v xml:space="preserve">16225682       </v>
          </cell>
          <cell r="O8063">
            <v>90</v>
          </cell>
        </row>
        <row r="8064">
          <cell r="F8064" t="str">
            <v xml:space="preserve">16225682       </v>
          </cell>
          <cell r="O8064">
            <v>45</v>
          </cell>
        </row>
        <row r="8065">
          <cell r="F8065" t="str">
            <v xml:space="preserve">10144092       </v>
          </cell>
          <cell r="O8065">
            <v>180</v>
          </cell>
        </row>
        <row r="8066">
          <cell r="F8066" t="str">
            <v xml:space="preserve">10144092       </v>
          </cell>
          <cell r="O8066">
            <v>285</v>
          </cell>
        </row>
        <row r="8067">
          <cell r="F8067" t="str">
            <v xml:space="preserve">18596221       </v>
          </cell>
          <cell r="O8067">
            <v>150</v>
          </cell>
        </row>
        <row r="8068">
          <cell r="F8068" t="str">
            <v xml:space="preserve">18596221       </v>
          </cell>
          <cell r="O8068">
            <v>36</v>
          </cell>
        </row>
        <row r="8069">
          <cell r="F8069" t="str">
            <v xml:space="preserve">901303668      </v>
          </cell>
          <cell r="O8069">
            <v>405</v>
          </cell>
        </row>
        <row r="8070">
          <cell r="F8070" t="str">
            <v xml:space="preserve">12168724       </v>
          </cell>
          <cell r="O8070">
            <v>450</v>
          </cell>
        </row>
        <row r="8071">
          <cell r="F8071" t="str">
            <v xml:space="preserve">10755493       </v>
          </cell>
          <cell r="O8071">
            <v>270</v>
          </cell>
        </row>
        <row r="8072">
          <cell r="F8072" t="str">
            <v xml:space="preserve">10755493       </v>
          </cell>
          <cell r="O8072">
            <v>45</v>
          </cell>
        </row>
        <row r="8073">
          <cell r="F8073" t="str">
            <v xml:space="preserve">76331539       </v>
          </cell>
          <cell r="O8073">
            <v>90</v>
          </cell>
        </row>
        <row r="8074">
          <cell r="F8074" t="str">
            <v xml:space="preserve">76331539       </v>
          </cell>
          <cell r="O8074">
            <v>1080</v>
          </cell>
        </row>
        <row r="8075">
          <cell r="F8075" t="str">
            <v xml:space="preserve">76331539       </v>
          </cell>
          <cell r="O8075">
            <v>180</v>
          </cell>
        </row>
        <row r="8076">
          <cell r="F8076" t="str">
            <v xml:space="preserve">76331539       </v>
          </cell>
          <cell r="O8076">
            <v>270</v>
          </cell>
        </row>
        <row r="8077">
          <cell r="F8077" t="str">
            <v xml:space="preserve">76331539       </v>
          </cell>
          <cell r="O8077">
            <v>90</v>
          </cell>
        </row>
        <row r="8078">
          <cell r="F8078" t="str">
            <v xml:space="preserve">4613715        </v>
          </cell>
          <cell r="O8078">
            <v>468</v>
          </cell>
        </row>
        <row r="8079">
          <cell r="F8079" t="str">
            <v xml:space="preserve">4613715        </v>
          </cell>
          <cell r="O8079">
            <v>90</v>
          </cell>
        </row>
        <row r="8080">
          <cell r="F8080" t="str">
            <v xml:space="preserve">9805400        </v>
          </cell>
          <cell r="O8080">
            <v>9</v>
          </cell>
        </row>
        <row r="8081">
          <cell r="F8081" t="str">
            <v xml:space="preserve">9805400        </v>
          </cell>
          <cell r="O8081">
            <v>90</v>
          </cell>
        </row>
        <row r="8082">
          <cell r="F8082" t="str">
            <v xml:space="preserve">9805400        </v>
          </cell>
          <cell r="O8082">
            <v>144</v>
          </cell>
        </row>
        <row r="8083">
          <cell r="F8083" t="str">
            <v xml:space="preserve">9805400        </v>
          </cell>
          <cell r="O8083">
            <v>15</v>
          </cell>
        </row>
        <row r="8084">
          <cell r="F8084" t="str">
            <v xml:space="preserve">9805400        </v>
          </cell>
          <cell r="O8084">
            <v>18</v>
          </cell>
        </row>
        <row r="8085">
          <cell r="F8085" t="str">
            <v xml:space="preserve">805005148      </v>
          </cell>
          <cell r="O8085">
            <v>4.5</v>
          </cell>
        </row>
        <row r="8086">
          <cell r="F8086" t="str">
            <v xml:space="preserve">805005148      </v>
          </cell>
          <cell r="O8086">
            <v>9</v>
          </cell>
        </row>
        <row r="8087">
          <cell r="F8087" t="str">
            <v xml:space="preserve">805005148      </v>
          </cell>
          <cell r="O8087">
            <v>60</v>
          </cell>
        </row>
        <row r="8088">
          <cell r="F8088" t="str">
            <v xml:space="preserve">805005148      </v>
          </cell>
          <cell r="O8088">
            <v>108</v>
          </cell>
        </row>
        <row r="8089">
          <cell r="F8089" t="str">
            <v xml:space="preserve">16849293       </v>
          </cell>
          <cell r="O8089">
            <v>30</v>
          </cell>
        </row>
        <row r="8090">
          <cell r="F8090" t="str">
            <v xml:space="preserve">16849293       </v>
          </cell>
          <cell r="O8090">
            <v>216</v>
          </cell>
        </row>
        <row r="8091">
          <cell r="F8091" t="str">
            <v xml:space="preserve">6009148        </v>
          </cell>
          <cell r="O8091">
            <v>450</v>
          </cell>
        </row>
        <row r="8092">
          <cell r="F8092" t="str">
            <v xml:space="preserve">6009148        </v>
          </cell>
          <cell r="O8092">
            <v>45</v>
          </cell>
        </row>
        <row r="8093">
          <cell r="F8093" t="str">
            <v xml:space="preserve">14229215       </v>
          </cell>
          <cell r="O8093">
            <v>540</v>
          </cell>
        </row>
        <row r="8094">
          <cell r="F8094" t="str">
            <v xml:space="preserve">14229215       </v>
          </cell>
          <cell r="O8094">
            <v>45</v>
          </cell>
        </row>
        <row r="8095">
          <cell r="F8095" t="str">
            <v xml:space="preserve">13701412       </v>
          </cell>
          <cell r="O8095">
            <v>30</v>
          </cell>
        </row>
        <row r="8096">
          <cell r="F8096" t="str">
            <v xml:space="preserve">13701412       </v>
          </cell>
          <cell r="O8096">
            <v>360</v>
          </cell>
        </row>
        <row r="8097">
          <cell r="F8097" t="str">
            <v xml:space="preserve">13701412       </v>
          </cell>
          <cell r="O8097">
            <v>90</v>
          </cell>
        </row>
        <row r="8098">
          <cell r="F8098" t="str">
            <v xml:space="preserve">79263601       </v>
          </cell>
          <cell r="O8098">
            <v>450</v>
          </cell>
        </row>
        <row r="8099">
          <cell r="F8099" t="str">
            <v xml:space="preserve">79263601       </v>
          </cell>
          <cell r="O8099">
            <v>315</v>
          </cell>
        </row>
        <row r="8100">
          <cell r="F8100" t="str">
            <v xml:space="preserve">26050336       </v>
          </cell>
          <cell r="O8100">
            <v>18</v>
          </cell>
        </row>
        <row r="8101">
          <cell r="F8101" t="str">
            <v xml:space="preserve">26050336       </v>
          </cell>
          <cell r="O8101">
            <v>30</v>
          </cell>
        </row>
        <row r="8102">
          <cell r="F8102" t="str">
            <v xml:space="preserve">5969303        </v>
          </cell>
          <cell r="O8102">
            <v>126</v>
          </cell>
        </row>
        <row r="8103">
          <cell r="F8103" t="str">
            <v xml:space="preserve">830001241      </v>
          </cell>
          <cell r="O8103">
            <v>315</v>
          </cell>
        </row>
        <row r="8104">
          <cell r="F8104" t="str">
            <v xml:space="preserve">80397293       </v>
          </cell>
          <cell r="O8104">
            <v>75</v>
          </cell>
        </row>
        <row r="8105">
          <cell r="F8105" t="str">
            <v xml:space="preserve">80397293       </v>
          </cell>
          <cell r="O8105">
            <v>270</v>
          </cell>
        </row>
        <row r="8106">
          <cell r="F8106" t="str">
            <v xml:space="preserve">80397293       </v>
          </cell>
          <cell r="O8106">
            <v>135</v>
          </cell>
        </row>
        <row r="8107">
          <cell r="F8107" t="str">
            <v xml:space="preserve">82394480       </v>
          </cell>
          <cell r="O8107">
            <v>108</v>
          </cell>
        </row>
        <row r="8108">
          <cell r="F8108" t="str">
            <v xml:space="preserve">82394480       </v>
          </cell>
          <cell r="O8108">
            <v>360</v>
          </cell>
        </row>
        <row r="8109">
          <cell r="F8109" t="str">
            <v xml:space="preserve">82394480       </v>
          </cell>
          <cell r="O8109">
            <v>198</v>
          </cell>
        </row>
        <row r="8110">
          <cell r="F8110" t="str">
            <v xml:space="preserve">82394480       </v>
          </cell>
          <cell r="O8110">
            <v>225</v>
          </cell>
        </row>
        <row r="8111">
          <cell r="F8111" t="str">
            <v xml:space="preserve">79824837       </v>
          </cell>
          <cell r="O8111">
            <v>1368</v>
          </cell>
        </row>
        <row r="8112">
          <cell r="F8112" t="str">
            <v xml:space="preserve">79824837       </v>
          </cell>
          <cell r="O8112">
            <v>45</v>
          </cell>
        </row>
        <row r="8113">
          <cell r="F8113" t="str">
            <v xml:space="preserve">79824837       </v>
          </cell>
          <cell r="O8113">
            <v>315</v>
          </cell>
        </row>
        <row r="8114">
          <cell r="F8114" t="str">
            <v xml:space="preserve">71312536       </v>
          </cell>
          <cell r="O8114">
            <v>468</v>
          </cell>
        </row>
        <row r="8115">
          <cell r="F8115" t="str">
            <v xml:space="preserve">71312536       </v>
          </cell>
          <cell r="O8115">
            <v>15</v>
          </cell>
        </row>
        <row r="8116">
          <cell r="F8116" t="str">
            <v xml:space="preserve">71312536       </v>
          </cell>
          <cell r="O8116">
            <v>720</v>
          </cell>
        </row>
        <row r="8117">
          <cell r="F8117" t="str">
            <v xml:space="preserve">71312536       </v>
          </cell>
          <cell r="O8117">
            <v>270</v>
          </cell>
        </row>
        <row r="8118">
          <cell r="F8118" t="str">
            <v xml:space="preserve">71215358       </v>
          </cell>
          <cell r="O8118">
            <v>18</v>
          </cell>
        </row>
        <row r="8119">
          <cell r="F8119" t="str">
            <v xml:space="preserve">71215358       </v>
          </cell>
          <cell r="O8119">
            <v>30</v>
          </cell>
        </row>
        <row r="8120">
          <cell r="F8120" t="str">
            <v xml:space="preserve">71215358       </v>
          </cell>
          <cell r="O8120">
            <v>396</v>
          </cell>
        </row>
        <row r="8121">
          <cell r="F8121" t="str">
            <v xml:space="preserve">71215358       </v>
          </cell>
          <cell r="O8121">
            <v>360</v>
          </cell>
        </row>
        <row r="8122">
          <cell r="F8122" t="str">
            <v xml:space="preserve">71215358       </v>
          </cell>
          <cell r="O8122">
            <v>414</v>
          </cell>
        </row>
        <row r="8123">
          <cell r="F8123" t="str">
            <v xml:space="preserve">71215358       </v>
          </cell>
          <cell r="O8123">
            <v>180</v>
          </cell>
        </row>
        <row r="8124">
          <cell r="F8124" t="str">
            <v xml:space="preserve">71053866       </v>
          </cell>
          <cell r="O8124">
            <v>45</v>
          </cell>
        </row>
        <row r="8125">
          <cell r="F8125" t="str">
            <v xml:space="preserve">71053866       </v>
          </cell>
          <cell r="O8125">
            <v>300</v>
          </cell>
        </row>
        <row r="8126">
          <cell r="F8126" t="str">
            <v xml:space="preserve">71053866       </v>
          </cell>
          <cell r="O8126">
            <v>1602</v>
          </cell>
        </row>
        <row r="8127">
          <cell r="F8127" t="str">
            <v xml:space="preserve">91179385       </v>
          </cell>
          <cell r="O8127">
            <v>486</v>
          </cell>
        </row>
        <row r="8128">
          <cell r="F8128" t="str">
            <v xml:space="preserve">91179385       </v>
          </cell>
          <cell r="O8128">
            <v>135</v>
          </cell>
        </row>
        <row r="8129">
          <cell r="F8129" t="str">
            <v xml:space="preserve">91179385       </v>
          </cell>
          <cell r="O8129">
            <v>45</v>
          </cell>
        </row>
        <row r="8130">
          <cell r="F8130" t="str">
            <v xml:space="preserve">91179385       </v>
          </cell>
          <cell r="O8130">
            <v>30</v>
          </cell>
        </row>
        <row r="8131">
          <cell r="F8131" t="str">
            <v xml:space="preserve">91179385       </v>
          </cell>
          <cell r="O8131">
            <v>648</v>
          </cell>
        </row>
        <row r="8132">
          <cell r="F8132" t="str">
            <v xml:space="preserve">91179385       </v>
          </cell>
          <cell r="O8132">
            <v>180</v>
          </cell>
        </row>
        <row r="8133">
          <cell r="F8133" t="str">
            <v xml:space="preserve">88275004       </v>
          </cell>
          <cell r="O8133">
            <v>360</v>
          </cell>
        </row>
        <row r="8134">
          <cell r="F8134" t="str">
            <v xml:space="preserve">88275004       </v>
          </cell>
          <cell r="O8134">
            <v>1200</v>
          </cell>
        </row>
        <row r="8135">
          <cell r="F8135" t="str">
            <v xml:space="preserve">88158577       </v>
          </cell>
          <cell r="O8135">
            <v>300</v>
          </cell>
        </row>
        <row r="8136">
          <cell r="F8136" t="str">
            <v xml:space="preserve">88158577       </v>
          </cell>
          <cell r="O8136">
            <v>540</v>
          </cell>
        </row>
        <row r="8137">
          <cell r="F8137" t="str">
            <v xml:space="preserve">88158577       </v>
          </cell>
          <cell r="O8137">
            <v>855</v>
          </cell>
        </row>
        <row r="8138">
          <cell r="F8138" t="str">
            <v xml:space="preserve">79384689       </v>
          </cell>
          <cell r="O8138">
            <v>105</v>
          </cell>
        </row>
        <row r="8139">
          <cell r="F8139" t="str">
            <v xml:space="preserve">13458443       </v>
          </cell>
          <cell r="O8139">
            <v>120</v>
          </cell>
        </row>
        <row r="8140">
          <cell r="F8140" t="str">
            <v xml:space="preserve">13458443       </v>
          </cell>
          <cell r="O8140">
            <v>9</v>
          </cell>
        </row>
        <row r="8141">
          <cell r="F8141" t="str">
            <v xml:space="preserve">88288258       </v>
          </cell>
          <cell r="O8141">
            <v>75</v>
          </cell>
        </row>
        <row r="8142">
          <cell r="F8142" t="str">
            <v xml:space="preserve">13494934       </v>
          </cell>
          <cell r="O8142">
            <v>240</v>
          </cell>
        </row>
        <row r="8143">
          <cell r="F8143" t="str">
            <v xml:space="preserve">13494934       </v>
          </cell>
          <cell r="O8143">
            <v>36</v>
          </cell>
        </row>
        <row r="8144">
          <cell r="F8144" t="str">
            <v xml:space="preserve">13494934       </v>
          </cell>
          <cell r="O8144">
            <v>45</v>
          </cell>
        </row>
        <row r="8145">
          <cell r="F8145" t="str">
            <v xml:space="preserve">13494934       </v>
          </cell>
          <cell r="O8145">
            <v>225</v>
          </cell>
        </row>
        <row r="8146">
          <cell r="F8146" t="str">
            <v xml:space="preserve">13494934       </v>
          </cell>
          <cell r="O8146">
            <v>18</v>
          </cell>
        </row>
        <row r="8147">
          <cell r="F8147" t="str">
            <v xml:space="preserve">13494934       </v>
          </cell>
          <cell r="O8147">
            <v>180</v>
          </cell>
        </row>
        <row r="8148">
          <cell r="F8148" t="str">
            <v xml:space="preserve">13494934       </v>
          </cell>
          <cell r="O8148">
            <v>180</v>
          </cell>
        </row>
        <row r="8149">
          <cell r="F8149" t="str">
            <v xml:space="preserve">13494934       </v>
          </cell>
          <cell r="O8149">
            <v>135</v>
          </cell>
        </row>
        <row r="8150">
          <cell r="F8150" t="str">
            <v xml:space="preserve">13494934       </v>
          </cell>
          <cell r="O8150">
            <v>330</v>
          </cell>
        </row>
        <row r="8151">
          <cell r="F8151" t="str">
            <v xml:space="preserve">13494934       </v>
          </cell>
          <cell r="O8151">
            <v>126</v>
          </cell>
        </row>
        <row r="8152">
          <cell r="F8152" t="str">
            <v xml:space="preserve">13494934       </v>
          </cell>
          <cell r="O8152">
            <v>135</v>
          </cell>
        </row>
        <row r="8153">
          <cell r="F8153" t="str">
            <v xml:space="preserve">88188644       </v>
          </cell>
          <cell r="O8153">
            <v>645</v>
          </cell>
        </row>
        <row r="8154">
          <cell r="F8154" t="str">
            <v xml:space="preserve">88188644       </v>
          </cell>
          <cell r="O8154">
            <v>225</v>
          </cell>
        </row>
        <row r="8155">
          <cell r="F8155" t="str">
            <v xml:space="preserve">901449776      </v>
          </cell>
          <cell r="O8155">
            <v>45</v>
          </cell>
        </row>
        <row r="8156">
          <cell r="F8156" t="str">
            <v xml:space="preserve">1117502076     </v>
          </cell>
          <cell r="O8156">
            <v>378</v>
          </cell>
        </row>
        <row r="8157">
          <cell r="F8157" t="str">
            <v xml:space="preserve">1117502076     </v>
          </cell>
          <cell r="O8157">
            <v>198</v>
          </cell>
        </row>
        <row r="8158">
          <cell r="F8158" t="str">
            <v xml:space="preserve">13862691       </v>
          </cell>
          <cell r="O8158">
            <v>1656</v>
          </cell>
        </row>
        <row r="8159">
          <cell r="F8159" t="str">
            <v xml:space="preserve">13862691       </v>
          </cell>
          <cell r="O8159">
            <v>360</v>
          </cell>
        </row>
        <row r="8160">
          <cell r="F8160" t="str">
            <v xml:space="preserve">13537217       </v>
          </cell>
          <cell r="O8160">
            <v>60</v>
          </cell>
        </row>
        <row r="8161">
          <cell r="F8161" t="str">
            <v xml:space="preserve">13537217       </v>
          </cell>
          <cell r="O8161">
            <v>1584</v>
          </cell>
        </row>
        <row r="8162">
          <cell r="F8162" t="str">
            <v xml:space="preserve">13537217       </v>
          </cell>
          <cell r="O8162">
            <v>135</v>
          </cell>
        </row>
        <row r="8163">
          <cell r="F8163" t="str">
            <v xml:space="preserve">91179643       </v>
          </cell>
          <cell r="O8163">
            <v>72</v>
          </cell>
        </row>
        <row r="8164">
          <cell r="F8164" t="str">
            <v xml:space="preserve">91179643       </v>
          </cell>
          <cell r="O8164">
            <v>90</v>
          </cell>
        </row>
        <row r="8165">
          <cell r="F8165" t="str">
            <v xml:space="preserve">890503966      </v>
          </cell>
          <cell r="O8165">
            <v>3795</v>
          </cell>
        </row>
        <row r="8166">
          <cell r="F8166" t="str">
            <v xml:space="preserve">890503966      </v>
          </cell>
          <cell r="O8166">
            <v>360</v>
          </cell>
        </row>
        <row r="8167">
          <cell r="F8167" t="str">
            <v xml:space="preserve">890503966      </v>
          </cell>
          <cell r="O8167">
            <v>855</v>
          </cell>
        </row>
        <row r="8168">
          <cell r="F8168" t="str">
            <v xml:space="preserve">890503966      </v>
          </cell>
          <cell r="O8168">
            <v>90</v>
          </cell>
        </row>
        <row r="8169">
          <cell r="F8169" t="str">
            <v xml:space="preserve">91222539       </v>
          </cell>
          <cell r="O8169">
            <v>90</v>
          </cell>
        </row>
        <row r="8170">
          <cell r="F8170" t="str">
            <v xml:space="preserve">91222539       </v>
          </cell>
          <cell r="O8170">
            <v>576</v>
          </cell>
        </row>
        <row r="8171">
          <cell r="F8171" t="str">
            <v xml:space="preserve">91222539       </v>
          </cell>
          <cell r="O8171">
            <v>90</v>
          </cell>
        </row>
        <row r="8172">
          <cell r="F8172" t="str">
            <v xml:space="preserve">91222539       </v>
          </cell>
          <cell r="O8172">
            <v>216</v>
          </cell>
        </row>
        <row r="8173">
          <cell r="F8173" t="str">
            <v xml:space="preserve">13702886       </v>
          </cell>
          <cell r="O8173">
            <v>150</v>
          </cell>
        </row>
        <row r="8174">
          <cell r="F8174" t="str">
            <v xml:space="preserve">13702886       </v>
          </cell>
          <cell r="O8174">
            <v>180</v>
          </cell>
        </row>
        <row r="8175">
          <cell r="F8175" t="str">
            <v xml:space="preserve">13702886       </v>
          </cell>
          <cell r="O8175">
            <v>360</v>
          </cell>
        </row>
        <row r="8176">
          <cell r="F8176" t="str">
            <v xml:space="preserve">91067422       </v>
          </cell>
          <cell r="O8176">
            <v>165</v>
          </cell>
        </row>
        <row r="8177">
          <cell r="F8177" t="str">
            <v xml:space="preserve">91067422       </v>
          </cell>
          <cell r="O8177">
            <v>36</v>
          </cell>
        </row>
        <row r="8178">
          <cell r="F8178" t="str">
            <v xml:space="preserve">91067422       </v>
          </cell>
          <cell r="O8178">
            <v>45</v>
          </cell>
        </row>
        <row r="8179">
          <cell r="F8179" t="str">
            <v xml:space="preserve">91272730       </v>
          </cell>
          <cell r="O8179">
            <v>195</v>
          </cell>
        </row>
        <row r="8180">
          <cell r="F8180" t="str">
            <v xml:space="preserve">91272730       </v>
          </cell>
          <cell r="O8180">
            <v>126</v>
          </cell>
        </row>
        <row r="8181">
          <cell r="F8181" t="str">
            <v xml:space="preserve">91272730       </v>
          </cell>
          <cell r="O8181">
            <v>135</v>
          </cell>
        </row>
        <row r="8182">
          <cell r="F8182" t="str">
            <v xml:space="preserve">92543124       </v>
          </cell>
          <cell r="O8182">
            <v>750</v>
          </cell>
        </row>
        <row r="8183">
          <cell r="F8183" t="str">
            <v xml:space="preserve">26229305       </v>
          </cell>
          <cell r="O8183">
            <v>1125</v>
          </cell>
        </row>
        <row r="8184">
          <cell r="F8184" t="str">
            <v xml:space="preserve">26229305       </v>
          </cell>
          <cell r="O8184">
            <v>90</v>
          </cell>
        </row>
        <row r="8185">
          <cell r="F8185" t="str">
            <v xml:space="preserve">26229305       </v>
          </cell>
          <cell r="O8185">
            <v>135</v>
          </cell>
        </row>
        <row r="8186">
          <cell r="F8186" t="str">
            <v xml:space="preserve">26229305       </v>
          </cell>
          <cell r="O8186">
            <v>1200</v>
          </cell>
        </row>
        <row r="8187">
          <cell r="F8187" t="str">
            <v xml:space="preserve">26229305       </v>
          </cell>
          <cell r="O8187">
            <v>36</v>
          </cell>
        </row>
        <row r="8188">
          <cell r="F8188" t="str">
            <v xml:space="preserve">26229305       </v>
          </cell>
          <cell r="O8188">
            <v>90</v>
          </cell>
        </row>
        <row r="8189">
          <cell r="F8189" t="str">
            <v xml:space="preserve">78033625       </v>
          </cell>
          <cell r="O8189">
            <v>1980</v>
          </cell>
        </row>
        <row r="8190">
          <cell r="F8190" t="str">
            <v xml:space="preserve">72137594       </v>
          </cell>
          <cell r="O8190">
            <v>450</v>
          </cell>
        </row>
        <row r="8191">
          <cell r="F8191" t="str">
            <v xml:space="preserve">72137594       </v>
          </cell>
          <cell r="O8191">
            <v>288</v>
          </cell>
        </row>
        <row r="8192">
          <cell r="F8192" t="str">
            <v xml:space="preserve">9262987        </v>
          </cell>
          <cell r="O8192">
            <v>108</v>
          </cell>
        </row>
        <row r="8193">
          <cell r="F8193" t="str">
            <v xml:space="preserve">72196317       </v>
          </cell>
          <cell r="O8193">
            <v>255</v>
          </cell>
        </row>
        <row r="8194">
          <cell r="F8194" t="str">
            <v xml:space="preserve">72196317       </v>
          </cell>
          <cell r="O8194">
            <v>144</v>
          </cell>
        </row>
        <row r="8195">
          <cell r="F8195" t="str">
            <v xml:space="preserve">72196317       </v>
          </cell>
          <cell r="O8195">
            <v>180</v>
          </cell>
        </row>
        <row r="8196">
          <cell r="F8196" t="str">
            <v xml:space="preserve">72196317       </v>
          </cell>
          <cell r="O8196">
            <v>36</v>
          </cell>
        </row>
        <row r="8197">
          <cell r="F8197" t="str">
            <v xml:space="preserve">72196317       </v>
          </cell>
          <cell r="O8197">
            <v>285</v>
          </cell>
        </row>
        <row r="8198">
          <cell r="F8198" t="str">
            <v xml:space="preserve">72196317       </v>
          </cell>
          <cell r="O8198">
            <v>72</v>
          </cell>
        </row>
        <row r="8199">
          <cell r="F8199" t="str">
            <v xml:space="preserve">1047231108     </v>
          </cell>
          <cell r="O8199">
            <v>720</v>
          </cell>
        </row>
        <row r="8200">
          <cell r="F8200" t="str">
            <v xml:space="preserve">1047231108     </v>
          </cell>
          <cell r="O8200">
            <v>36</v>
          </cell>
        </row>
        <row r="8201">
          <cell r="F8201" t="str">
            <v xml:space="preserve">1047231108     </v>
          </cell>
          <cell r="O8201">
            <v>45</v>
          </cell>
        </row>
        <row r="8202">
          <cell r="F8202" t="str">
            <v xml:space="preserve">1047349327     </v>
          </cell>
          <cell r="O8202">
            <v>210</v>
          </cell>
        </row>
        <row r="8203">
          <cell r="F8203" t="str">
            <v xml:space="preserve">18531333       </v>
          </cell>
          <cell r="O8203">
            <v>225</v>
          </cell>
        </row>
        <row r="8204">
          <cell r="F8204" t="str">
            <v xml:space="preserve">18531333       </v>
          </cell>
          <cell r="O8204">
            <v>510</v>
          </cell>
        </row>
        <row r="8205">
          <cell r="F8205" t="str">
            <v xml:space="preserve">18531333       </v>
          </cell>
          <cell r="O8205">
            <v>90</v>
          </cell>
        </row>
        <row r="8206">
          <cell r="F8206" t="str">
            <v xml:space="preserve">18531333       </v>
          </cell>
          <cell r="O8206">
            <v>2985</v>
          </cell>
        </row>
        <row r="8207">
          <cell r="F8207" t="str">
            <v xml:space="preserve">1020712348     </v>
          </cell>
          <cell r="O8207">
            <v>756</v>
          </cell>
        </row>
        <row r="8208">
          <cell r="F8208" t="str">
            <v xml:space="preserve">1020712348     </v>
          </cell>
          <cell r="O8208">
            <v>405</v>
          </cell>
        </row>
        <row r="8209">
          <cell r="F8209" t="str">
            <v xml:space="preserve">11255578       </v>
          </cell>
          <cell r="O8209">
            <v>54</v>
          </cell>
        </row>
        <row r="8210">
          <cell r="F8210" t="str">
            <v xml:space="preserve">11255578       </v>
          </cell>
          <cell r="O8210">
            <v>30</v>
          </cell>
        </row>
        <row r="8211">
          <cell r="F8211" t="str">
            <v xml:space="preserve">11255578       </v>
          </cell>
          <cell r="O8211">
            <v>180</v>
          </cell>
        </row>
        <row r="8212">
          <cell r="F8212" t="str">
            <v xml:space="preserve">11255578       </v>
          </cell>
          <cell r="O8212">
            <v>135</v>
          </cell>
        </row>
        <row r="8213">
          <cell r="F8213" t="str">
            <v xml:space="preserve">79827688       </v>
          </cell>
          <cell r="O8213">
            <v>9</v>
          </cell>
        </row>
        <row r="8214">
          <cell r="F8214" t="str">
            <v xml:space="preserve">79827688       </v>
          </cell>
          <cell r="O8214">
            <v>120</v>
          </cell>
        </row>
        <row r="8215">
          <cell r="F8215" t="str">
            <v xml:space="preserve">79827688       </v>
          </cell>
          <cell r="O8215">
            <v>324</v>
          </cell>
        </row>
        <row r="8216">
          <cell r="F8216" t="str">
            <v xml:space="preserve">79827688       </v>
          </cell>
          <cell r="O8216">
            <v>180</v>
          </cell>
        </row>
        <row r="8217">
          <cell r="F8217" t="str">
            <v xml:space="preserve">79827688       </v>
          </cell>
          <cell r="O8217">
            <v>75</v>
          </cell>
        </row>
        <row r="8218">
          <cell r="F8218" t="str">
            <v xml:space="preserve">79827688       </v>
          </cell>
          <cell r="O8218">
            <v>216</v>
          </cell>
        </row>
        <row r="8219">
          <cell r="F8219" t="str">
            <v xml:space="preserve">70752579       </v>
          </cell>
          <cell r="O8219">
            <v>180</v>
          </cell>
        </row>
        <row r="8220">
          <cell r="F8220" t="str">
            <v xml:space="preserve">70752579       </v>
          </cell>
          <cell r="O8220">
            <v>144</v>
          </cell>
        </row>
        <row r="8221">
          <cell r="F8221" t="str">
            <v xml:space="preserve">70752579       </v>
          </cell>
          <cell r="O8221">
            <v>9</v>
          </cell>
        </row>
        <row r="8222">
          <cell r="F8222" t="str">
            <v xml:space="preserve">70752579       </v>
          </cell>
          <cell r="O8222">
            <v>210</v>
          </cell>
        </row>
        <row r="8223">
          <cell r="F8223" t="str">
            <v xml:space="preserve">70752579       </v>
          </cell>
          <cell r="O8223">
            <v>90</v>
          </cell>
        </row>
        <row r="8224">
          <cell r="F8224" t="str">
            <v xml:space="preserve">80266206       </v>
          </cell>
          <cell r="O8224">
            <v>36</v>
          </cell>
        </row>
        <row r="8225">
          <cell r="F8225" t="str">
            <v xml:space="preserve">80266206       </v>
          </cell>
          <cell r="O8225">
            <v>15</v>
          </cell>
        </row>
        <row r="8226">
          <cell r="F8226" t="str">
            <v xml:space="preserve">80266206       </v>
          </cell>
          <cell r="O8226">
            <v>306</v>
          </cell>
        </row>
        <row r="8227">
          <cell r="F8227" t="str">
            <v xml:space="preserve">1111739602     </v>
          </cell>
          <cell r="O8227">
            <v>300</v>
          </cell>
        </row>
        <row r="8228">
          <cell r="F8228" t="str">
            <v xml:space="preserve">88168843       </v>
          </cell>
          <cell r="O8228">
            <v>18</v>
          </cell>
        </row>
        <row r="8229">
          <cell r="F8229" t="str">
            <v xml:space="preserve">88168843       </v>
          </cell>
          <cell r="O8229">
            <v>180</v>
          </cell>
        </row>
        <row r="8230">
          <cell r="F8230" t="str">
            <v xml:space="preserve">88168843       </v>
          </cell>
          <cell r="O8230">
            <v>306</v>
          </cell>
        </row>
        <row r="8231">
          <cell r="F8231" t="str">
            <v xml:space="preserve">88168843       </v>
          </cell>
          <cell r="O8231">
            <v>18</v>
          </cell>
        </row>
        <row r="8232">
          <cell r="F8232" t="str">
            <v xml:space="preserve">79221604       </v>
          </cell>
          <cell r="O8232">
            <v>18</v>
          </cell>
        </row>
        <row r="8233">
          <cell r="F8233" t="str">
            <v xml:space="preserve">79221604       </v>
          </cell>
          <cell r="O8233">
            <v>360</v>
          </cell>
        </row>
        <row r="8234">
          <cell r="F8234" t="str">
            <v xml:space="preserve">79221604       </v>
          </cell>
          <cell r="O8234">
            <v>90</v>
          </cell>
        </row>
        <row r="8235">
          <cell r="F8235" t="str">
            <v xml:space="preserve">79221604       </v>
          </cell>
          <cell r="O8235">
            <v>9</v>
          </cell>
        </row>
        <row r="8236">
          <cell r="F8236" t="str">
            <v xml:space="preserve">79221604       </v>
          </cell>
          <cell r="O8236">
            <v>180</v>
          </cell>
        </row>
        <row r="8237">
          <cell r="F8237" t="str">
            <v xml:space="preserve">79221604       </v>
          </cell>
          <cell r="O8237">
            <v>90</v>
          </cell>
        </row>
        <row r="8238">
          <cell r="F8238" t="str">
            <v xml:space="preserve">9867640        </v>
          </cell>
          <cell r="O8238">
            <v>225</v>
          </cell>
        </row>
        <row r="8239">
          <cell r="F8239" t="str">
            <v xml:space="preserve">9867640        </v>
          </cell>
          <cell r="O8239">
            <v>45</v>
          </cell>
        </row>
        <row r="8240">
          <cell r="F8240" t="str">
            <v xml:space="preserve">10315862       </v>
          </cell>
          <cell r="O8240">
            <v>15</v>
          </cell>
        </row>
        <row r="8241">
          <cell r="F8241" t="str">
            <v xml:space="preserve">10315862       </v>
          </cell>
          <cell r="O8241">
            <v>324</v>
          </cell>
        </row>
        <row r="8242">
          <cell r="F8242" t="str">
            <v xml:space="preserve">10315862       </v>
          </cell>
          <cell r="O8242">
            <v>45</v>
          </cell>
        </row>
        <row r="8243">
          <cell r="F8243" t="str">
            <v xml:space="preserve">1103101503     </v>
          </cell>
          <cell r="O8243">
            <v>630</v>
          </cell>
        </row>
        <row r="8244">
          <cell r="F8244" t="str">
            <v xml:space="preserve">1103101503     </v>
          </cell>
          <cell r="O8244">
            <v>45</v>
          </cell>
        </row>
        <row r="8245">
          <cell r="F8245" t="str">
            <v xml:space="preserve">1103101503     </v>
          </cell>
          <cell r="O8245">
            <v>90</v>
          </cell>
        </row>
        <row r="8246">
          <cell r="F8246" t="str">
            <v xml:space="preserve">1103101503     </v>
          </cell>
          <cell r="O8246">
            <v>918</v>
          </cell>
        </row>
        <row r="8247">
          <cell r="F8247" t="str">
            <v xml:space="preserve">73166349       </v>
          </cell>
          <cell r="O8247">
            <v>75</v>
          </cell>
        </row>
        <row r="8248">
          <cell r="F8248" t="str">
            <v xml:space="preserve">73166349       </v>
          </cell>
          <cell r="O8248">
            <v>306</v>
          </cell>
        </row>
        <row r="8249">
          <cell r="F8249" t="str">
            <v xml:space="preserve">80162310       </v>
          </cell>
          <cell r="O8249">
            <v>30</v>
          </cell>
        </row>
        <row r="8250">
          <cell r="F8250" t="str">
            <v xml:space="preserve">91540489       </v>
          </cell>
          <cell r="O8250">
            <v>1155</v>
          </cell>
        </row>
        <row r="8251">
          <cell r="F8251" t="str">
            <v xml:space="preserve">91540489       </v>
          </cell>
          <cell r="O8251">
            <v>306</v>
          </cell>
        </row>
        <row r="8252">
          <cell r="F8252" t="str">
            <v xml:space="preserve">91540489       </v>
          </cell>
          <cell r="O8252">
            <v>540</v>
          </cell>
        </row>
        <row r="8253">
          <cell r="F8253" t="str">
            <v xml:space="preserve">74170036       </v>
          </cell>
          <cell r="O8253">
            <v>306</v>
          </cell>
        </row>
        <row r="8254">
          <cell r="F8254" t="str">
            <v xml:space="preserve">74170036       </v>
          </cell>
          <cell r="O8254">
            <v>180</v>
          </cell>
        </row>
        <row r="8255">
          <cell r="F8255" t="str">
            <v xml:space="preserve">7305518        </v>
          </cell>
          <cell r="O8255">
            <v>1980</v>
          </cell>
        </row>
        <row r="8256">
          <cell r="F8256" t="str">
            <v xml:space="preserve">7305518        </v>
          </cell>
          <cell r="O8256">
            <v>540</v>
          </cell>
        </row>
        <row r="8257">
          <cell r="F8257" t="str">
            <v xml:space="preserve">7305518        </v>
          </cell>
          <cell r="O8257">
            <v>18</v>
          </cell>
        </row>
        <row r="8258">
          <cell r="F8258" t="str">
            <v xml:space="preserve">901547550      </v>
          </cell>
          <cell r="O8258">
            <v>90</v>
          </cell>
        </row>
        <row r="8259">
          <cell r="F8259" t="str">
            <v xml:space="preserve">7305425        </v>
          </cell>
          <cell r="O8259">
            <v>720</v>
          </cell>
        </row>
        <row r="8260">
          <cell r="F8260" t="str">
            <v xml:space="preserve">7305425        </v>
          </cell>
          <cell r="O8260">
            <v>135</v>
          </cell>
        </row>
        <row r="8261">
          <cell r="F8261" t="str">
            <v xml:space="preserve">7301411        </v>
          </cell>
          <cell r="O8261">
            <v>342</v>
          </cell>
        </row>
        <row r="8262">
          <cell r="F8262" t="str">
            <v xml:space="preserve">7301411        </v>
          </cell>
          <cell r="O8262">
            <v>225</v>
          </cell>
        </row>
        <row r="8263">
          <cell r="F8263" t="str">
            <v xml:space="preserve">79734086       </v>
          </cell>
          <cell r="O8263">
            <v>45</v>
          </cell>
        </row>
        <row r="8264">
          <cell r="F8264" t="str">
            <v xml:space="preserve">79734086       </v>
          </cell>
          <cell r="O8264">
            <v>180</v>
          </cell>
        </row>
        <row r="8265">
          <cell r="F8265" t="str">
            <v xml:space="preserve">17655129       </v>
          </cell>
          <cell r="O8265">
            <v>450</v>
          </cell>
        </row>
        <row r="8266">
          <cell r="F8266" t="str">
            <v xml:space="preserve">17655129       </v>
          </cell>
          <cell r="O8266">
            <v>90</v>
          </cell>
        </row>
        <row r="8267">
          <cell r="F8267" t="str">
            <v xml:space="preserve">1083686504     </v>
          </cell>
          <cell r="O8267">
            <v>150</v>
          </cell>
        </row>
        <row r="8268">
          <cell r="F8268" t="str">
            <v xml:space="preserve">1083686504     </v>
          </cell>
          <cell r="O8268">
            <v>45</v>
          </cell>
        </row>
        <row r="8269">
          <cell r="F8269" t="str">
            <v xml:space="preserve">12256895       </v>
          </cell>
          <cell r="O8269">
            <v>1125</v>
          </cell>
        </row>
        <row r="8270">
          <cell r="F8270" t="str">
            <v xml:space="preserve">3024873        </v>
          </cell>
          <cell r="O8270">
            <v>360</v>
          </cell>
        </row>
        <row r="8271">
          <cell r="F8271" t="str">
            <v xml:space="preserve">35250577       </v>
          </cell>
          <cell r="O8271">
            <v>162</v>
          </cell>
        </row>
        <row r="8272">
          <cell r="F8272" t="str">
            <v xml:space="preserve">35250577       </v>
          </cell>
          <cell r="O8272">
            <v>90</v>
          </cell>
        </row>
        <row r="8273">
          <cell r="F8273" t="str">
            <v xml:space="preserve">11320273       </v>
          </cell>
          <cell r="O8273">
            <v>360</v>
          </cell>
        </row>
        <row r="8274">
          <cell r="F8274" t="str">
            <v xml:space="preserve">11320273       </v>
          </cell>
          <cell r="O8274">
            <v>315</v>
          </cell>
        </row>
        <row r="8275">
          <cell r="F8275" t="str">
            <v xml:space="preserve">12231586       </v>
          </cell>
          <cell r="O8275">
            <v>105</v>
          </cell>
        </row>
        <row r="8276">
          <cell r="F8276" t="str">
            <v xml:space="preserve">12231586       </v>
          </cell>
          <cell r="O8276">
            <v>18</v>
          </cell>
        </row>
        <row r="8277">
          <cell r="F8277" t="str">
            <v xml:space="preserve">12231586       </v>
          </cell>
          <cell r="O8277">
            <v>315</v>
          </cell>
        </row>
        <row r="8278">
          <cell r="F8278" t="str">
            <v xml:space="preserve">12231586       </v>
          </cell>
          <cell r="O8278">
            <v>255</v>
          </cell>
        </row>
        <row r="8279">
          <cell r="F8279" t="str">
            <v xml:space="preserve">12231586       </v>
          </cell>
          <cell r="O8279">
            <v>18</v>
          </cell>
        </row>
        <row r="8280">
          <cell r="F8280" t="str">
            <v xml:space="preserve">18144684       </v>
          </cell>
          <cell r="O8280">
            <v>105</v>
          </cell>
        </row>
        <row r="8281">
          <cell r="F8281" t="str">
            <v xml:space="preserve">18144684       </v>
          </cell>
          <cell r="O8281">
            <v>36</v>
          </cell>
        </row>
        <row r="8282">
          <cell r="F8282" t="str">
            <v xml:space="preserve">18144684       </v>
          </cell>
          <cell r="O8282">
            <v>315</v>
          </cell>
        </row>
        <row r="8283">
          <cell r="F8283" t="str">
            <v xml:space="preserve">18144684       </v>
          </cell>
          <cell r="O8283">
            <v>90</v>
          </cell>
        </row>
        <row r="8284">
          <cell r="F8284" t="str">
            <v xml:space="preserve">16864143       </v>
          </cell>
          <cell r="O8284">
            <v>885</v>
          </cell>
        </row>
        <row r="8285">
          <cell r="F8285" t="str">
            <v xml:space="preserve">16864143       </v>
          </cell>
          <cell r="O8285">
            <v>90</v>
          </cell>
        </row>
        <row r="8286">
          <cell r="F8286" t="str">
            <v xml:space="preserve">1062292334     </v>
          </cell>
          <cell r="O8286">
            <v>225</v>
          </cell>
        </row>
        <row r="8287">
          <cell r="F8287" t="str">
            <v xml:space="preserve">1062292334     </v>
          </cell>
          <cell r="O8287">
            <v>216</v>
          </cell>
        </row>
        <row r="8288">
          <cell r="F8288" t="str">
            <v xml:space="preserve">1062292334     </v>
          </cell>
          <cell r="O8288">
            <v>90</v>
          </cell>
        </row>
        <row r="8289">
          <cell r="F8289" t="str">
            <v xml:space="preserve">11445090       </v>
          </cell>
          <cell r="O8289">
            <v>144</v>
          </cell>
        </row>
        <row r="8290">
          <cell r="F8290" t="str">
            <v xml:space="preserve">11445090       </v>
          </cell>
          <cell r="O8290">
            <v>120</v>
          </cell>
        </row>
        <row r="8291">
          <cell r="F8291" t="str">
            <v xml:space="preserve">11445090       </v>
          </cell>
          <cell r="O8291">
            <v>558</v>
          </cell>
        </row>
        <row r="8292">
          <cell r="F8292" t="str">
            <v xml:space="preserve">11445090       </v>
          </cell>
          <cell r="O8292">
            <v>135</v>
          </cell>
        </row>
        <row r="8293">
          <cell r="F8293" t="str">
            <v xml:space="preserve">11445090       </v>
          </cell>
          <cell r="O8293">
            <v>9</v>
          </cell>
        </row>
        <row r="8294">
          <cell r="F8294" t="str">
            <v xml:space="preserve">11445090       </v>
          </cell>
          <cell r="O8294">
            <v>720</v>
          </cell>
        </row>
        <row r="8295">
          <cell r="F8295" t="str">
            <v xml:space="preserve">11445090       </v>
          </cell>
          <cell r="O8295">
            <v>135</v>
          </cell>
        </row>
        <row r="8296">
          <cell r="F8296" t="str">
            <v xml:space="preserve">11445090       </v>
          </cell>
          <cell r="O8296">
            <v>45</v>
          </cell>
        </row>
        <row r="8297">
          <cell r="F8297" t="str">
            <v xml:space="preserve">901033312      </v>
          </cell>
          <cell r="O8297">
            <v>0</v>
          </cell>
        </row>
        <row r="8298">
          <cell r="F8298" t="str">
            <v xml:space="preserve">375997         </v>
          </cell>
          <cell r="O8298">
            <v>18</v>
          </cell>
        </row>
        <row r="8299">
          <cell r="F8299" t="str">
            <v xml:space="preserve">375997         </v>
          </cell>
          <cell r="O8299">
            <v>30</v>
          </cell>
        </row>
        <row r="8300">
          <cell r="F8300" t="str">
            <v xml:space="preserve">1010164223     </v>
          </cell>
          <cell r="O8300">
            <v>396</v>
          </cell>
        </row>
        <row r="8301">
          <cell r="F8301" t="str">
            <v xml:space="preserve">1015995477     </v>
          </cell>
          <cell r="O8301">
            <v>81</v>
          </cell>
        </row>
        <row r="8302">
          <cell r="F8302" t="str">
            <v xml:space="preserve">3159567        </v>
          </cell>
          <cell r="O8302">
            <v>1638</v>
          </cell>
        </row>
        <row r="8303">
          <cell r="F8303" t="str">
            <v xml:space="preserve">3159567        </v>
          </cell>
          <cell r="O8303">
            <v>225</v>
          </cell>
        </row>
        <row r="8304">
          <cell r="F8304" t="str">
            <v xml:space="preserve">3159567        </v>
          </cell>
          <cell r="O8304">
            <v>2160</v>
          </cell>
        </row>
        <row r="8305">
          <cell r="F8305" t="str">
            <v xml:space="preserve">3159567        </v>
          </cell>
          <cell r="O8305">
            <v>450</v>
          </cell>
        </row>
        <row r="8306">
          <cell r="F8306" t="str">
            <v xml:space="preserve">80351964       </v>
          </cell>
          <cell r="O8306">
            <v>18</v>
          </cell>
        </row>
        <row r="8307">
          <cell r="F8307" t="str">
            <v xml:space="preserve">80351964       </v>
          </cell>
          <cell r="O8307">
            <v>144</v>
          </cell>
        </row>
        <row r="8308">
          <cell r="F8308" t="str">
            <v xml:space="preserve">80351964       </v>
          </cell>
          <cell r="O8308">
            <v>45</v>
          </cell>
        </row>
        <row r="8309">
          <cell r="F8309" t="str">
            <v xml:space="preserve">3085945        </v>
          </cell>
          <cell r="O8309">
            <v>9</v>
          </cell>
        </row>
        <row r="8310">
          <cell r="F8310" t="str">
            <v xml:space="preserve">3085945        </v>
          </cell>
          <cell r="O8310">
            <v>1080</v>
          </cell>
        </row>
        <row r="8311">
          <cell r="F8311" t="str">
            <v xml:space="preserve">3085945        </v>
          </cell>
          <cell r="O8311">
            <v>135</v>
          </cell>
        </row>
        <row r="8312">
          <cell r="F8312" t="str">
            <v xml:space="preserve">3085945        </v>
          </cell>
          <cell r="O8312">
            <v>270</v>
          </cell>
        </row>
        <row r="8313">
          <cell r="F8313" t="str">
            <v xml:space="preserve">80283261       </v>
          </cell>
          <cell r="O8313">
            <v>522</v>
          </cell>
        </row>
        <row r="8314">
          <cell r="F8314" t="str">
            <v xml:space="preserve">80283261       </v>
          </cell>
          <cell r="O8314">
            <v>270</v>
          </cell>
        </row>
        <row r="8315">
          <cell r="F8315" t="str">
            <v xml:space="preserve">4090572        </v>
          </cell>
          <cell r="O8315">
            <v>36</v>
          </cell>
        </row>
        <row r="8316">
          <cell r="F8316" t="str">
            <v xml:space="preserve">4090572        </v>
          </cell>
          <cell r="O8316">
            <v>15</v>
          </cell>
        </row>
        <row r="8317">
          <cell r="F8317" t="str">
            <v xml:space="preserve">4090572        </v>
          </cell>
          <cell r="O8317">
            <v>432</v>
          </cell>
        </row>
        <row r="8318">
          <cell r="F8318" t="str">
            <v xml:space="preserve">4090572        </v>
          </cell>
          <cell r="O8318">
            <v>45</v>
          </cell>
        </row>
        <row r="8319">
          <cell r="F8319" t="str">
            <v xml:space="preserve">4090572        </v>
          </cell>
          <cell r="O8319">
            <v>180</v>
          </cell>
        </row>
        <row r="8320">
          <cell r="F8320" t="str">
            <v xml:space="preserve">4090572        </v>
          </cell>
          <cell r="O8320">
            <v>90</v>
          </cell>
        </row>
        <row r="8321">
          <cell r="F8321" t="str">
            <v xml:space="preserve">4090572        </v>
          </cell>
          <cell r="O8321">
            <v>180</v>
          </cell>
        </row>
        <row r="8322">
          <cell r="F8322" t="str">
            <v xml:space="preserve">79210220       </v>
          </cell>
          <cell r="O8322">
            <v>36</v>
          </cell>
        </row>
        <row r="8323">
          <cell r="F8323" t="str">
            <v xml:space="preserve">79210220       </v>
          </cell>
          <cell r="O8323">
            <v>30</v>
          </cell>
        </row>
        <row r="8324">
          <cell r="F8324" t="str">
            <v xml:space="preserve">79210220       </v>
          </cell>
          <cell r="O8324">
            <v>360</v>
          </cell>
        </row>
        <row r="8325">
          <cell r="F8325" t="str">
            <v xml:space="preserve">79210220       </v>
          </cell>
          <cell r="O8325">
            <v>135</v>
          </cell>
        </row>
        <row r="8326">
          <cell r="F8326" t="str">
            <v xml:space="preserve">79589699       </v>
          </cell>
          <cell r="O8326">
            <v>36</v>
          </cell>
        </row>
        <row r="8327">
          <cell r="F8327" t="str">
            <v xml:space="preserve">80024551       </v>
          </cell>
          <cell r="O8327">
            <v>81</v>
          </cell>
        </row>
        <row r="8328">
          <cell r="F8328" t="str">
            <v xml:space="preserve">80024551       </v>
          </cell>
          <cell r="O8328">
            <v>45</v>
          </cell>
        </row>
        <row r="8329">
          <cell r="F8329" t="str">
            <v xml:space="preserve">80024551       </v>
          </cell>
          <cell r="O8329">
            <v>666</v>
          </cell>
        </row>
        <row r="8330">
          <cell r="F8330" t="str">
            <v xml:space="preserve">80024551       </v>
          </cell>
          <cell r="O8330">
            <v>450</v>
          </cell>
        </row>
        <row r="8331">
          <cell r="F8331" t="str">
            <v xml:space="preserve">4198272        </v>
          </cell>
          <cell r="O8331">
            <v>135</v>
          </cell>
        </row>
        <row r="8332">
          <cell r="F8332" t="str">
            <v xml:space="preserve">4198272        </v>
          </cell>
          <cell r="O8332">
            <v>45</v>
          </cell>
        </row>
        <row r="8333">
          <cell r="F8333" t="str">
            <v xml:space="preserve">4198272        </v>
          </cell>
          <cell r="O8333">
            <v>45</v>
          </cell>
        </row>
        <row r="8334">
          <cell r="F8334" t="str">
            <v xml:space="preserve">4198272        </v>
          </cell>
          <cell r="O8334">
            <v>45</v>
          </cell>
        </row>
        <row r="8335">
          <cell r="F8335" t="str">
            <v xml:space="preserve">80829725       </v>
          </cell>
          <cell r="O8335">
            <v>1260</v>
          </cell>
        </row>
        <row r="8336">
          <cell r="F8336" t="str">
            <v xml:space="preserve">80829725       </v>
          </cell>
          <cell r="O8336">
            <v>180</v>
          </cell>
        </row>
        <row r="8337">
          <cell r="F8337" t="str">
            <v xml:space="preserve">80829725       </v>
          </cell>
          <cell r="O8337">
            <v>270</v>
          </cell>
        </row>
        <row r="8338">
          <cell r="F8338" t="str">
            <v xml:space="preserve">98330118       </v>
          </cell>
          <cell r="O8338">
            <v>795</v>
          </cell>
        </row>
        <row r="8339">
          <cell r="F8339" t="str">
            <v xml:space="preserve">98330118       </v>
          </cell>
          <cell r="O8339">
            <v>54</v>
          </cell>
        </row>
        <row r="8340">
          <cell r="F8340" t="str">
            <v xml:space="preserve">1126452165     </v>
          </cell>
          <cell r="O8340">
            <v>510</v>
          </cell>
        </row>
        <row r="8341">
          <cell r="F8341" t="str">
            <v xml:space="preserve">1126452165     </v>
          </cell>
          <cell r="O8341">
            <v>54</v>
          </cell>
        </row>
        <row r="8342">
          <cell r="F8342" t="str">
            <v xml:space="preserve">1126452165     </v>
          </cell>
          <cell r="O8342">
            <v>135</v>
          </cell>
        </row>
        <row r="8343">
          <cell r="F8343" t="str">
            <v xml:space="preserve">79339314       </v>
          </cell>
          <cell r="O8343">
            <v>105</v>
          </cell>
        </row>
        <row r="8344">
          <cell r="F8344" t="str">
            <v xml:space="preserve">79339314       </v>
          </cell>
          <cell r="O8344">
            <v>36</v>
          </cell>
        </row>
        <row r="8345">
          <cell r="F8345" t="str">
            <v xml:space="preserve">79339314       </v>
          </cell>
          <cell r="O8345">
            <v>45</v>
          </cell>
        </row>
        <row r="8346">
          <cell r="F8346" t="str">
            <v xml:space="preserve">3171403        </v>
          </cell>
          <cell r="O8346">
            <v>360</v>
          </cell>
        </row>
        <row r="8347">
          <cell r="F8347" t="str">
            <v xml:space="preserve">3171403        </v>
          </cell>
          <cell r="O8347">
            <v>225</v>
          </cell>
        </row>
        <row r="8348">
          <cell r="F8348" t="str">
            <v xml:space="preserve">51856228       </v>
          </cell>
          <cell r="O8348">
            <v>9</v>
          </cell>
        </row>
        <row r="8349">
          <cell r="F8349" t="str">
            <v xml:space="preserve">51856228       </v>
          </cell>
          <cell r="O8349">
            <v>1026</v>
          </cell>
        </row>
        <row r="8350">
          <cell r="F8350" t="str">
            <v xml:space="preserve">51856228       </v>
          </cell>
          <cell r="O8350">
            <v>315</v>
          </cell>
        </row>
        <row r="8351">
          <cell r="F8351" t="str">
            <v xml:space="preserve">1093217151     </v>
          </cell>
          <cell r="O8351">
            <v>270</v>
          </cell>
        </row>
        <row r="8352">
          <cell r="F8352" t="str">
            <v xml:space="preserve">1097404034     </v>
          </cell>
          <cell r="O8352">
            <v>72</v>
          </cell>
        </row>
        <row r="8353">
          <cell r="F8353" t="str">
            <v xml:space="preserve">1097404034     </v>
          </cell>
          <cell r="O8353">
            <v>1395</v>
          </cell>
        </row>
        <row r="8354">
          <cell r="F8354" t="str">
            <v xml:space="preserve">1097404034     </v>
          </cell>
          <cell r="O8354">
            <v>234</v>
          </cell>
        </row>
        <row r="8355">
          <cell r="F8355" t="str">
            <v xml:space="preserve">10185600       </v>
          </cell>
          <cell r="O8355">
            <v>720</v>
          </cell>
        </row>
        <row r="8356">
          <cell r="F8356" t="str">
            <v xml:space="preserve">10185600       </v>
          </cell>
          <cell r="O8356">
            <v>45</v>
          </cell>
        </row>
        <row r="8357">
          <cell r="F8357" t="str">
            <v xml:space="preserve">15989735       </v>
          </cell>
          <cell r="O8357">
            <v>18</v>
          </cell>
        </row>
        <row r="8358">
          <cell r="F8358" t="str">
            <v xml:space="preserve">15989735       </v>
          </cell>
          <cell r="O8358">
            <v>600</v>
          </cell>
        </row>
        <row r="8359">
          <cell r="F8359" t="str">
            <v xml:space="preserve">15989735       </v>
          </cell>
          <cell r="O8359">
            <v>1998</v>
          </cell>
        </row>
        <row r="8360">
          <cell r="F8360" t="str">
            <v xml:space="preserve">15989735       </v>
          </cell>
          <cell r="O8360">
            <v>90</v>
          </cell>
        </row>
        <row r="8361">
          <cell r="F8361" t="str">
            <v xml:space="preserve">94071517       </v>
          </cell>
          <cell r="O8361">
            <v>150</v>
          </cell>
        </row>
        <row r="8362">
          <cell r="F8362" t="str">
            <v xml:space="preserve">94071517       </v>
          </cell>
          <cell r="O8362">
            <v>90</v>
          </cell>
        </row>
        <row r="8363">
          <cell r="F8363" t="str">
            <v xml:space="preserve">8458310        </v>
          </cell>
          <cell r="O8363">
            <v>180</v>
          </cell>
        </row>
        <row r="8364">
          <cell r="F8364" t="str">
            <v xml:space="preserve">8458310        </v>
          </cell>
          <cell r="O8364">
            <v>90</v>
          </cell>
        </row>
        <row r="8365">
          <cell r="F8365" t="str">
            <v xml:space="preserve">8458310        </v>
          </cell>
          <cell r="O8365">
            <v>45</v>
          </cell>
        </row>
        <row r="8366">
          <cell r="F8366" t="str">
            <v xml:space="preserve">211            </v>
          </cell>
          <cell r="O8366">
            <v>4.5</v>
          </cell>
        </row>
        <row r="8367">
          <cell r="F8367" t="str">
            <v xml:space="preserve">211            </v>
          </cell>
          <cell r="O8367">
            <v>954</v>
          </cell>
        </row>
        <row r="8368">
          <cell r="F8368" t="str">
            <v xml:space="preserve">1101440685     </v>
          </cell>
          <cell r="O8368">
            <v>105</v>
          </cell>
        </row>
        <row r="8369">
          <cell r="F8369" t="str">
            <v xml:space="preserve">1101440685     </v>
          </cell>
          <cell r="O8369">
            <v>846</v>
          </cell>
        </row>
        <row r="8370">
          <cell r="F8370" t="str">
            <v xml:space="preserve">901269856      </v>
          </cell>
          <cell r="O8370">
            <v>270</v>
          </cell>
        </row>
        <row r="8371">
          <cell r="F8371" t="str">
            <v xml:space="preserve">901269856      </v>
          </cell>
          <cell r="O8371">
            <v>45</v>
          </cell>
        </row>
        <row r="8372">
          <cell r="F8372" t="str">
            <v xml:space="preserve">1039696881     </v>
          </cell>
          <cell r="O8372">
            <v>1440</v>
          </cell>
        </row>
        <row r="8373">
          <cell r="F8373" t="str">
            <v xml:space="preserve">16186973       </v>
          </cell>
          <cell r="O8373">
            <v>27</v>
          </cell>
        </row>
        <row r="8374">
          <cell r="F8374" t="str">
            <v xml:space="preserve">16186973       </v>
          </cell>
          <cell r="O8374">
            <v>450</v>
          </cell>
        </row>
        <row r="8375">
          <cell r="F8375" t="str">
            <v xml:space="preserve">16186973       </v>
          </cell>
          <cell r="O8375">
            <v>180</v>
          </cell>
        </row>
        <row r="8376">
          <cell r="F8376" t="str">
            <v xml:space="preserve">1092154547     </v>
          </cell>
          <cell r="O8376">
            <v>9</v>
          </cell>
        </row>
        <row r="8377">
          <cell r="F8377" t="str">
            <v xml:space="preserve">1092154547     </v>
          </cell>
          <cell r="O8377">
            <v>720</v>
          </cell>
        </row>
        <row r="8378">
          <cell r="F8378" t="str">
            <v xml:space="preserve">1092154547     </v>
          </cell>
          <cell r="O8378">
            <v>18</v>
          </cell>
        </row>
        <row r="8379">
          <cell r="F8379" t="str">
            <v xml:space="preserve">800256881      </v>
          </cell>
          <cell r="O8379">
            <v>18</v>
          </cell>
        </row>
        <row r="8380">
          <cell r="F8380" t="str">
            <v xml:space="preserve">890328163      </v>
          </cell>
          <cell r="O8380">
            <v>18</v>
          </cell>
        </row>
        <row r="8381">
          <cell r="F8381" t="str">
            <v xml:space="preserve">900962695      </v>
          </cell>
          <cell r="O8381">
            <v>15</v>
          </cell>
        </row>
        <row r="8382">
          <cell r="F8382" t="str">
            <v xml:space="preserve">901158575      </v>
          </cell>
          <cell r="O8382">
            <v>90</v>
          </cell>
        </row>
        <row r="8383">
          <cell r="F8383" t="str">
            <v xml:space="preserve">15381508       </v>
          </cell>
          <cell r="O8383">
            <v>4.5</v>
          </cell>
        </row>
        <row r="8384">
          <cell r="F8384" t="str">
            <v xml:space="preserve">15381508       </v>
          </cell>
          <cell r="O8384">
            <v>300</v>
          </cell>
        </row>
        <row r="8385">
          <cell r="F8385" t="str">
            <v xml:space="preserve">15381508       </v>
          </cell>
          <cell r="O8385">
            <v>252</v>
          </cell>
        </row>
        <row r="8386">
          <cell r="F8386" t="str">
            <v xml:space="preserve">15381508       </v>
          </cell>
          <cell r="O8386">
            <v>90</v>
          </cell>
        </row>
        <row r="8387">
          <cell r="F8387" t="str">
            <v xml:space="preserve">71388276       </v>
          </cell>
          <cell r="O8387">
            <v>90</v>
          </cell>
        </row>
        <row r="8388">
          <cell r="F8388" t="str">
            <v xml:space="preserve">10178861       </v>
          </cell>
          <cell r="O8388">
            <v>900</v>
          </cell>
        </row>
        <row r="8389">
          <cell r="F8389" t="str">
            <v xml:space="preserve">10178861       </v>
          </cell>
          <cell r="O8389">
            <v>225</v>
          </cell>
        </row>
        <row r="8390">
          <cell r="F8390" t="str">
            <v xml:space="preserve">93291251       </v>
          </cell>
          <cell r="O8390">
            <v>558</v>
          </cell>
        </row>
        <row r="8391">
          <cell r="F8391" t="str">
            <v xml:space="preserve">93291251       </v>
          </cell>
          <cell r="O8391">
            <v>225</v>
          </cell>
        </row>
        <row r="8392">
          <cell r="F8392" t="str">
            <v xml:space="preserve">93291251       </v>
          </cell>
          <cell r="O8392">
            <v>990</v>
          </cell>
        </row>
        <row r="8393">
          <cell r="F8393" t="str">
            <v xml:space="preserve">93291251       </v>
          </cell>
          <cell r="O8393">
            <v>765</v>
          </cell>
        </row>
        <row r="8394">
          <cell r="F8394" t="str">
            <v xml:space="preserve">1105671149     </v>
          </cell>
          <cell r="O8394">
            <v>81</v>
          </cell>
        </row>
        <row r="8395">
          <cell r="F8395" t="str">
            <v xml:space="preserve">1105671149     </v>
          </cell>
          <cell r="O8395">
            <v>15</v>
          </cell>
        </row>
        <row r="8396">
          <cell r="F8396" t="str">
            <v xml:space="preserve">1105671149     </v>
          </cell>
          <cell r="O8396">
            <v>1404</v>
          </cell>
        </row>
        <row r="8397">
          <cell r="F8397" t="str">
            <v xml:space="preserve">1105671149     </v>
          </cell>
          <cell r="O8397">
            <v>135</v>
          </cell>
        </row>
        <row r="8398">
          <cell r="F8398" t="str">
            <v xml:space="preserve">88273778       </v>
          </cell>
          <cell r="O8398">
            <v>15</v>
          </cell>
        </row>
        <row r="8399">
          <cell r="F8399" t="str">
            <v xml:space="preserve">88273778       </v>
          </cell>
          <cell r="O8399">
            <v>330</v>
          </cell>
        </row>
        <row r="8400">
          <cell r="F8400" t="str">
            <v xml:space="preserve">88273778       </v>
          </cell>
          <cell r="O8400">
            <v>135</v>
          </cell>
        </row>
        <row r="8401">
          <cell r="F8401" t="str">
            <v xml:space="preserve">88273778       </v>
          </cell>
          <cell r="O8401">
            <v>75</v>
          </cell>
        </row>
        <row r="8402">
          <cell r="F8402" t="str">
            <v xml:space="preserve">88273778       </v>
          </cell>
          <cell r="O8402">
            <v>300</v>
          </cell>
        </row>
        <row r="8403">
          <cell r="F8403" t="str">
            <v xml:space="preserve">13476066       </v>
          </cell>
          <cell r="O8403">
            <v>90</v>
          </cell>
        </row>
        <row r="8404">
          <cell r="F8404" t="str">
            <v xml:space="preserve">13476066       </v>
          </cell>
          <cell r="O8404">
            <v>15</v>
          </cell>
        </row>
        <row r="8405">
          <cell r="F8405" t="str">
            <v xml:space="preserve">13476066       </v>
          </cell>
          <cell r="O8405">
            <v>45</v>
          </cell>
        </row>
        <row r="8406">
          <cell r="F8406" t="str">
            <v xml:space="preserve">13476066       </v>
          </cell>
          <cell r="O8406">
            <v>210</v>
          </cell>
        </row>
        <row r="8407">
          <cell r="F8407" t="str">
            <v xml:space="preserve">13476066       </v>
          </cell>
          <cell r="O8407">
            <v>18</v>
          </cell>
        </row>
        <row r="8408">
          <cell r="F8408" t="str">
            <v xml:space="preserve">13476066       </v>
          </cell>
          <cell r="O8408">
            <v>90</v>
          </cell>
        </row>
        <row r="8409">
          <cell r="F8409" t="str">
            <v xml:space="preserve">98763233       </v>
          </cell>
          <cell r="O8409">
            <v>9</v>
          </cell>
        </row>
        <row r="8410">
          <cell r="F8410" t="str">
            <v xml:space="preserve">98763233       </v>
          </cell>
          <cell r="O8410">
            <v>1062</v>
          </cell>
        </row>
        <row r="8411">
          <cell r="F8411" t="str">
            <v xml:space="preserve">37726719       </v>
          </cell>
          <cell r="O8411">
            <v>210</v>
          </cell>
        </row>
        <row r="8412">
          <cell r="F8412" t="str">
            <v xml:space="preserve">37726719       </v>
          </cell>
          <cell r="O8412">
            <v>810</v>
          </cell>
        </row>
        <row r="8413">
          <cell r="F8413" t="str">
            <v xml:space="preserve">901113951      </v>
          </cell>
          <cell r="O8413">
            <v>135</v>
          </cell>
        </row>
        <row r="8414">
          <cell r="F8414" t="str">
            <v xml:space="preserve">1036942800     </v>
          </cell>
          <cell r="O8414">
            <v>150</v>
          </cell>
        </row>
        <row r="8415">
          <cell r="F8415" t="str">
            <v xml:space="preserve">1036942800     </v>
          </cell>
          <cell r="O8415">
            <v>234</v>
          </cell>
        </row>
        <row r="8416">
          <cell r="F8416" t="str">
            <v xml:space="preserve">1036942800     </v>
          </cell>
          <cell r="O8416">
            <v>225</v>
          </cell>
        </row>
        <row r="8417">
          <cell r="F8417" t="str">
            <v xml:space="preserve">94420654       </v>
          </cell>
          <cell r="O8417">
            <v>180</v>
          </cell>
        </row>
        <row r="8418">
          <cell r="F8418" t="str">
            <v xml:space="preserve">1090397527     </v>
          </cell>
          <cell r="O8418">
            <v>240</v>
          </cell>
        </row>
        <row r="8419">
          <cell r="F8419" t="str">
            <v xml:space="preserve">1090397527     </v>
          </cell>
          <cell r="O8419">
            <v>135</v>
          </cell>
        </row>
        <row r="8420">
          <cell r="F8420" t="str">
            <v xml:space="preserve">1090397527     </v>
          </cell>
          <cell r="O8420">
            <v>810</v>
          </cell>
        </row>
        <row r="8421">
          <cell r="F8421" t="str">
            <v xml:space="preserve">1090397527     </v>
          </cell>
          <cell r="O8421">
            <v>195</v>
          </cell>
        </row>
        <row r="8422">
          <cell r="F8422" t="str">
            <v xml:space="preserve">1090397527     </v>
          </cell>
          <cell r="O8422">
            <v>855</v>
          </cell>
        </row>
        <row r="8423">
          <cell r="F8423" t="str">
            <v xml:space="preserve">1090397527     </v>
          </cell>
          <cell r="O8423">
            <v>585</v>
          </cell>
        </row>
        <row r="8424">
          <cell r="F8424" t="str">
            <v xml:space="preserve">1090397527     </v>
          </cell>
          <cell r="O8424">
            <v>54</v>
          </cell>
        </row>
        <row r="8425">
          <cell r="F8425" t="str">
            <v xml:space="preserve">1090397527     </v>
          </cell>
          <cell r="O8425">
            <v>1170</v>
          </cell>
        </row>
        <row r="8426">
          <cell r="F8426" t="str">
            <v xml:space="preserve">1090397527     </v>
          </cell>
          <cell r="O8426">
            <v>525</v>
          </cell>
        </row>
        <row r="8427">
          <cell r="F8427" t="str">
            <v xml:space="preserve">1090397527     </v>
          </cell>
          <cell r="O8427">
            <v>945</v>
          </cell>
        </row>
        <row r="8428">
          <cell r="F8428" t="str">
            <v xml:space="preserve">1090397527     </v>
          </cell>
          <cell r="O8428">
            <v>540</v>
          </cell>
        </row>
        <row r="8429">
          <cell r="F8429" t="str">
            <v xml:space="preserve">1090397527     </v>
          </cell>
          <cell r="O8429">
            <v>810</v>
          </cell>
        </row>
        <row r="8430">
          <cell r="F8430" t="str">
            <v xml:space="preserve">1090397527     </v>
          </cell>
          <cell r="O8430">
            <v>300</v>
          </cell>
        </row>
        <row r="8431">
          <cell r="F8431" t="str">
            <v xml:space="preserve">1090397527     </v>
          </cell>
          <cell r="O8431">
            <v>135</v>
          </cell>
        </row>
        <row r="8432">
          <cell r="F8432" t="str">
            <v xml:space="preserve">1090397527     </v>
          </cell>
          <cell r="O8432">
            <v>180</v>
          </cell>
        </row>
        <row r="8433">
          <cell r="F8433" t="str">
            <v xml:space="preserve">1090397527     </v>
          </cell>
          <cell r="O8433">
            <v>90</v>
          </cell>
        </row>
        <row r="8434">
          <cell r="F8434" t="str">
            <v xml:space="preserve">1100623000     </v>
          </cell>
          <cell r="O8434">
            <v>30</v>
          </cell>
        </row>
        <row r="8435">
          <cell r="F8435" t="str">
            <v xml:space="preserve">1100623000     </v>
          </cell>
          <cell r="O8435">
            <v>828</v>
          </cell>
        </row>
        <row r="8436">
          <cell r="F8436" t="str">
            <v xml:space="preserve">1100623000     </v>
          </cell>
          <cell r="O8436">
            <v>90</v>
          </cell>
        </row>
        <row r="8437">
          <cell r="F8437" t="str">
            <v xml:space="preserve">71142360       </v>
          </cell>
          <cell r="O8437">
            <v>288</v>
          </cell>
        </row>
        <row r="8438">
          <cell r="F8438" t="str">
            <v xml:space="preserve">24341063       </v>
          </cell>
          <cell r="O8438">
            <v>300</v>
          </cell>
        </row>
        <row r="8439">
          <cell r="F8439" t="str">
            <v xml:space="preserve">43656575       </v>
          </cell>
          <cell r="O8439">
            <v>13.5</v>
          </cell>
        </row>
        <row r="8440">
          <cell r="F8440" t="str">
            <v xml:space="preserve">43656575       </v>
          </cell>
          <cell r="O8440">
            <v>9</v>
          </cell>
        </row>
        <row r="8441">
          <cell r="F8441" t="str">
            <v xml:space="preserve">43656575       </v>
          </cell>
          <cell r="O8441">
            <v>1620</v>
          </cell>
        </row>
        <row r="8442">
          <cell r="F8442" t="str">
            <v xml:space="preserve">43656575       </v>
          </cell>
          <cell r="O8442">
            <v>450</v>
          </cell>
        </row>
        <row r="8443">
          <cell r="F8443" t="str">
            <v xml:space="preserve">43656575       </v>
          </cell>
          <cell r="O8443">
            <v>2754</v>
          </cell>
        </row>
        <row r="8444">
          <cell r="F8444" t="str">
            <v xml:space="preserve">800255713      </v>
          </cell>
          <cell r="O8444">
            <v>220</v>
          </cell>
        </row>
        <row r="8445">
          <cell r="F8445" t="str">
            <v xml:space="preserve">203            </v>
          </cell>
          <cell r="O8445">
            <v>72</v>
          </cell>
        </row>
        <row r="8446">
          <cell r="F8446" t="str">
            <v xml:space="preserve">203            </v>
          </cell>
          <cell r="O8446">
            <v>4.5</v>
          </cell>
        </row>
        <row r="8447">
          <cell r="F8447" t="str">
            <v xml:space="preserve">203            </v>
          </cell>
          <cell r="O8447">
            <v>30</v>
          </cell>
        </row>
        <row r="8448">
          <cell r="F8448" t="str">
            <v xml:space="preserve">203            </v>
          </cell>
          <cell r="O8448">
            <v>72</v>
          </cell>
        </row>
        <row r="8449">
          <cell r="F8449" t="str">
            <v xml:space="preserve">890985417      </v>
          </cell>
          <cell r="O8449">
            <v>18</v>
          </cell>
        </row>
        <row r="8450">
          <cell r="F8450" t="str">
            <v xml:space="preserve">900445736      </v>
          </cell>
          <cell r="O8450">
            <v>45</v>
          </cell>
        </row>
        <row r="8451">
          <cell r="F8451" t="str">
            <v xml:space="preserve">98699317       </v>
          </cell>
          <cell r="O8451">
            <v>18</v>
          </cell>
        </row>
        <row r="8452">
          <cell r="F8452" t="str">
            <v xml:space="preserve">93419128       </v>
          </cell>
          <cell r="O8452">
            <v>30</v>
          </cell>
        </row>
        <row r="8453">
          <cell r="F8453" t="str">
            <v xml:space="preserve">93419128       </v>
          </cell>
          <cell r="O8453">
            <v>540</v>
          </cell>
        </row>
        <row r="8454">
          <cell r="F8454" t="str">
            <v xml:space="preserve">93419128       </v>
          </cell>
          <cell r="O8454">
            <v>180</v>
          </cell>
        </row>
        <row r="8455">
          <cell r="F8455" t="str">
            <v xml:space="preserve">805021435      </v>
          </cell>
          <cell r="O8455">
            <v>36</v>
          </cell>
        </row>
        <row r="8456">
          <cell r="F8456" t="str">
            <v xml:space="preserve">860005265      </v>
          </cell>
          <cell r="O8456">
            <v>979</v>
          </cell>
        </row>
        <row r="8457">
          <cell r="F8457" t="str">
            <v xml:space="preserve">860005265      </v>
          </cell>
          <cell r="O8457">
            <v>743.8</v>
          </cell>
        </row>
        <row r="8458">
          <cell r="F8458" t="str">
            <v xml:space="preserve">860001697      </v>
          </cell>
          <cell r="O8458">
            <v>181</v>
          </cell>
        </row>
        <row r="8459">
          <cell r="F8459" t="str">
            <v xml:space="preserve">203            </v>
          </cell>
          <cell r="O8459">
            <v>18</v>
          </cell>
        </row>
        <row r="8460">
          <cell r="F8460" t="str">
            <v xml:space="preserve">203            </v>
          </cell>
          <cell r="O8460">
            <v>18</v>
          </cell>
        </row>
        <row r="8461">
          <cell r="F8461" t="str">
            <v xml:space="preserve">203            </v>
          </cell>
          <cell r="O8461">
            <v>135</v>
          </cell>
        </row>
        <row r="8462">
          <cell r="F8462" t="str">
            <v xml:space="preserve">900084859      </v>
          </cell>
          <cell r="O8462">
            <v>45</v>
          </cell>
        </row>
        <row r="8463">
          <cell r="F8463" t="str">
            <v xml:space="preserve">901309711      </v>
          </cell>
          <cell r="O8463">
            <v>90</v>
          </cell>
        </row>
        <row r="8464">
          <cell r="F8464" t="str">
            <v xml:space="preserve">901485271      </v>
          </cell>
          <cell r="O8464">
            <v>36</v>
          </cell>
        </row>
        <row r="8465">
          <cell r="F8465" t="str">
            <v xml:space="preserve">901485271      </v>
          </cell>
          <cell r="O8465">
            <v>36</v>
          </cell>
        </row>
        <row r="8466">
          <cell r="F8466" t="str">
            <v xml:space="preserve">901485271      </v>
          </cell>
          <cell r="O8466">
            <v>45</v>
          </cell>
        </row>
        <row r="8467">
          <cell r="F8467" t="str">
            <v xml:space="preserve">901485271      </v>
          </cell>
          <cell r="O8467">
            <v>18</v>
          </cell>
        </row>
        <row r="8468">
          <cell r="F8468" t="str">
            <v xml:space="preserve">901485271      </v>
          </cell>
          <cell r="O8468">
            <v>90</v>
          </cell>
        </row>
        <row r="8469">
          <cell r="F8469" t="str">
            <v xml:space="preserve">800052377      </v>
          </cell>
          <cell r="O8469">
            <v>54</v>
          </cell>
        </row>
        <row r="8470">
          <cell r="F8470" t="str">
            <v xml:space="preserve">805018495      </v>
          </cell>
          <cell r="O8470">
            <v>162</v>
          </cell>
        </row>
        <row r="8471">
          <cell r="F8471" t="str">
            <v xml:space="preserve">890903939      </v>
          </cell>
          <cell r="O8471">
            <v>114</v>
          </cell>
        </row>
        <row r="8472">
          <cell r="F8472" t="str">
            <v xml:space="preserve">890903939      </v>
          </cell>
          <cell r="O8472">
            <v>133</v>
          </cell>
        </row>
        <row r="8473">
          <cell r="F8473" t="str">
            <v xml:space="preserve">891301549      </v>
          </cell>
          <cell r="O8473">
            <v>54</v>
          </cell>
        </row>
        <row r="8474">
          <cell r="F8474" t="str">
            <v xml:space="preserve">900772446      </v>
          </cell>
          <cell r="O8474">
            <v>36</v>
          </cell>
        </row>
        <row r="8475">
          <cell r="F8475" t="str">
            <v xml:space="preserve">860001697      </v>
          </cell>
          <cell r="O8475">
            <v>140.05000000000001</v>
          </cell>
        </row>
        <row r="8476">
          <cell r="F8476" t="str">
            <v xml:space="preserve">860001697      </v>
          </cell>
          <cell r="O8476">
            <v>371.15</v>
          </cell>
        </row>
        <row r="8477">
          <cell r="F8477" t="str">
            <v xml:space="preserve">860001697      </v>
          </cell>
          <cell r="O8477">
            <v>384</v>
          </cell>
        </row>
        <row r="8478">
          <cell r="F8478" t="str">
            <v xml:space="preserve">860005265      </v>
          </cell>
          <cell r="O8478">
            <v>192</v>
          </cell>
        </row>
        <row r="8479">
          <cell r="F8479" t="str">
            <v xml:space="preserve">890932134      </v>
          </cell>
          <cell r="O8479">
            <v>90</v>
          </cell>
        </row>
        <row r="8480">
          <cell r="F8480" t="str">
            <v xml:space="preserve">101            </v>
          </cell>
          <cell r="O8480">
            <v>9</v>
          </cell>
        </row>
        <row r="8481">
          <cell r="F8481" t="str">
            <v xml:space="preserve">101            </v>
          </cell>
          <cell r="O8481">
            <v>54</v>
          </cell>
        </row>
        <row r="8482">
          <cell r="F8482" t="str">
            <v xml:space="preserve">800098983      </v>
          </cell>
          <cell r="O8482">
            <v>135</v>
          </cell>
        </row>
        <row r="8483">
          <cell r="F8483" t="str">
            <v xml:space="preserve">102            </v>
          </cell>
          <cell r="O8483">
            <v>60</v>
          </cell>
        </row>
        <row r="8484">
          <cell r="F8484" t="str">
            <v xml:space="preserve">102            </v>
          </cell>
          <cell r="O8484">
            <v>54</v>
          </cell>
        </row>
        <row r="8485">
          <cell r="F8485" t="str">
            <v xml:space="preserve">102            </v>
          </cell>
          <cell r="O8485">
            <v>135</v>
          </cell>
        </row>
        <row r="8486">
          <cell r="F8486" t="str">
            <v xml:space="preserve">102            </v>
          </cell>
          <cell r="O8486">
            <v>15</v>
          </cell>
        </row>
        <row r="8487">
          <cell r="F8487" t="str">
            <v xml:space="preserve">890903939      </v>
          </cell>
          <cell r="O8487">
            <v>144</v>
          </cell>
        </row>
        <row r="8488">
          <cell r="F8488" t="str">
            <v xml:space="preserve">890932389      </v>
          </cell>
          <cell r="O8488">
            <v>36</v>
          </cell>
        </row>
        <row r="8489">
          <cell r="F8489" t="str">
            <v xml:space="preserve">901113458      </v>
          </cell>
          <cell r="O8489">
            <v>36</v>
          </cell>
        </row>
        <row r="8490">
          <cell r="F8490" t="str">
            <v xml:space="preserve">32772122       </v>
          </cell>
          <cell r="O8490">
            <v>225</v>
          </cell>
        </row>
        <row r="8491">
          <cell r="F8491" t="str">
            <v xml:space="preserve">404            </v>
          </cell>
          <cell r="O8491">
            <v>330</v>
          </cell>
        </row>
        <row r="8492">
          <cell r="F8492" t="str">
            <v xml:space="preserve">404            </v>
          </cell>
          <cell r="O8492">
            <v>45</v>
          </cell>
        </row>
        <row r="8493">
          <cell r="F8493" t="str">
            <v xml:space="preserve">73186091       </v>
          </cell>
          <cell r="O8493">
            <v>165</v>
          </cell>
        </row>
        <row r="8494">
          <cell r="F8494" t="str">
            <v xml:space="preserve">73186091       </v>
          </cell>
          <cell r="O8494">
            <v>36</v>
          </cell>
        </row>
        <row r="8495">
          <cell r="F8495" t="str">
            <v xml:space="preserve">212            </v>
          </cell>
          <cell r="O8495">
            <v>825</v>
          </cell>
        </row>
        <row r="8496">
          <cell r="F8496" t="str">
            <v xml:space="preserve">212            </v>
          </cell>
          <cell r="O8496">
            <v>630</v>
          </cell>
        </row>
        <row r="8497">
          <cell r="F8497" t="str">
            <v xml:space="preserve">212            </v>
          </cell>
          <cell r="O8497">
            <v>90</v>
          </cell>
        </row>
        <row r="8498">
          <cell r="F8498" t="str">
            <v xml:space="preserve">811014849      </v>
          </cell>
          <cell r="O8498">
            <v>274.14999999999998</v>
          </cell>
        </row>
        <row r="8499">
          <cell r="F8499" t="str">
            <v xml:space="preserve">830006735      </v>
          </cell>
          <cell r="O8499">
            <v>108</v>
          </cell>
        </row>
        <row r="8500">
          <cell r="F8500" t="str">
            <v xml:space="preserve">830016868      </v>
          </cell>
          <cell r="O8500">
            <v>45</v>
          </cell>
        </row>
        <row r="8501">
          <cell r="F8501" t="str">
            <v xml:space="preserve">890205142      </v>
          </cell>
          <cell r="O8501">
            <v>90</v>
          </cell>
        </row>
        <row r="8502">
          <cell r="F8502" t="str">
            <v xml:space="preserve">890205142      </v>
          </cell>
          <cell r="O8502">
            <v>1170</v>
          </cell>
        </row>
        <row r="8503">
          <cell r="F8503" t="str">
            <v xml:space="preserve">890205142      </v>
          </cell>
          <cell r="O8503">
            <v>1575</v>
          </cell>
        </row>
        <row r="8504">
          <cell r="F8504" t="str">
            <v xml:space="preserve">890205142      </v>
          </cell>
          <cell r="O8504">
            <v>630</v>
          </cell>
        </row>
        <row r="8505">
          <cell r="F8505" t="str">
            <v xml:space="preserve">407            </v>
          </cell>
          <cell r="O8505">
            <v>720</v>
          </cell>
        </row>
        <row r="8506">
          <cell r="F8506" t="str">
            <v xml:space="preserve">800090890      </v>
          </cell>
          <cell r="O8506">
            <v>32</v>
          </cell>
        </row>
        <row r="8507">
          <cell r="F8507" t="str">
            <v xml:space="preserve">800090890      </v>
          </cell>
          <cell r="O8507">
            <v>16</v>
          </cell>
        </row>
        <row r="8508">
          <cell r="F8508" t="str">
            <v xml:space="preserve">800090890      </v>
          </cell>
          <cell r="O8508">
            <v>57</v>
          </cell>
        </row>
        <row r="8509">
          <cell r="F8509" t="str">
            <v xml:space="preserve">811014849      </v>
          </cell>
          <cell r="O8509">
            <v>180</v>
          </cell>
        </row>
        <row r="8510">
          <cell r="F8510" t="str">
            <v xml:space="preserve">811014849      </v>
          </cell>
          <cell r="O8510">
            <v>126</v>
          </cell>
        </row>
        <row r="8511">
          <cell r="F8511" t="str">
            <v xml:space="preserve">890903939      </v>
          </cell>
          <cell r="O8511">
            <v>1209.6500000000001</v>
          </cell>
        </row>
        <row r="8512">
          <cell r="F8512" t="str">
            <v xml:space="preserve">890903939      </v>
          </cell>
          <cell r="O8512">
            <v>259.2</v>
          </cell>
        </row>
        <row r="8513">
          <cell r="F8513" t="str">
            <v xml:space="preserve">890903939      </v>
          </cell>
          <cell r="O8513">
            <v>142.1</v>
          </cell>
        </row>
        <row r="8514">
          <cell r="F8514" t="str">
            <v xml:space="preserve">890903939      </v>
          </cell>
          <cell r="O8514">
            <v>259.3</v>
          </cell>
        </row>
        <row r="8515">
          <cell r="F8515" t="str">
            <v xml:space="preserve">211            </v>
          </cell>
          <cell r="O8515">
            <v>15</v>
          </cell>
        </row>
        <row r="8516">
          <cell r="F8516" t="str">
            <v xml:space="preserve">211            </v>
          </cell>
          <cell r="O8516">
            <v>108</v>
          </cell>
        </row>
        <row r="8517">
          <cell r="F8517" t="str">
            <v xml:space="preserve">211            </v>
          </cell>
          <cell r="O8517">
            <v>45</v>
          </cell>
        </row>
        <row r="8518">
          <cell r="F8518" t="str">
            <v xml:space="preserve">811032699      </v>
          </cell>
          <cell r="O8518">
            <v>36</v>
          </cell>
        </row>
        <row r="8519">
          <cell r="F8519" t="str">
            <v xml:space="preserve">830095213      </v>
          </cell>
          <cell r="O8519">
            <v>45</v>
          </cell>
        </row>
        <row r="8520">
          <cell r="F8520" t="str">
            <v xml:space="preserve">830095213      </v>
          </cell>
          <cell r="O8520">
            <v>72</v>
          </cell>
        </row>
        <row r="8521">
          <cell r="F8521" t="str">
            <v xml:space="preserve">830095213      </v>
          </cell>
          <cell r="O8521">
            <v>180</v>
          </cell>
        </row>
        <row r="8522">
          <cell r="F8522" t="str">
            <v xml:space="preserve">860013771      </v>
          </cell>
          <cell r="O8522">
            <v>225</v>
          </cell>
        </row>
        <row r="8523">
          <cell r="F8523" t="str">
            <v xml:space="preserve">890903939      </v>
          </cell>
          <cell r="O8523">
            <v>359.99</v>
          </cell>
        </row>
        <row r="8524">
          <cell r="F8524" t="str">
            <v xml:space="preserve">900305709      </v>
          </cell>
          <cell r="O8524">
            <v>270</v>
          </cell>
        </row>
        <row r="8525">
          <cell r="F8525" t="str">
            <v xml:space="preserve">900305709      </v>
          </cell>
          <cell r="O8525">
            <v>90</v>
          </cell>
        </row>
        <row r="8526">
          <cell r="F8526" t="str">
            <v xml:space="preserve">830036921      </v>
          </cell>
          <cell r="O8526">
            <v>289.2</v>
          </cell>
        </row>
        <row r="8527">
          <cell r="F8527" t="str">
            <v xml:space="preserve">860001697      </v>
          </cell>
          <cell r="O8527">
            <v>944.5</v>
          </cell>
        </row>
        <row r="8528">
          <cell r="F8528" t="str">
            <v xml:space="preserve">860502509      </v>
          </cell>
          <cell r="O8528">
            <v>343.95</v>
          </cell>
        </row>
        <row r="8529">
          <cell r="F8529" t="str">
            <v xml:space="preserve">800148119      </v>
          </cell>
          <cell r="O8529">
            <v>60</v>
          </cell>
        </row>
        <row r="8530">
          <cell r="F8530" t="str">
            <v xml:space="preserve">800229035      </v>
          </cell>
          <cell r="O8530">
            <v>75</v>
          </cell>
        </row>
        <row r="8531">
          <cell r="F8531" t="str">
            <v xml:space="preserve">800229035      </v>
          </cell>
          <cell r="O8531">
            <v>75</v>
          </cell>
        </row>
        <row r="8532">
          <cell r="F8532" t="str">
            <v xml:space="preserve">800229035      </v>
          </cell>
          <cell r="O8532">
            <v>75</v>
          </cell>
        </row>
        <row r="8533">
          <cell r="F8533" t="str">
            <v xml:space="preserve">811016729      </v>
          </cell>
          <cell r="O8533">
            <v>36</v>
          </cell>
        </row>
        <row r="8534">
          <cell r="F8534" t="str">
            <v xml:space="preserve">830076368      </v>
          </cell>
          <cell r="O8534">
            <v>18</v>
          </cell>
        </row>
        <row r="8535">
          <cell r="F8535" t="str">
            <v xml:space="preserve">890101692      </v>
          </cell>
          <cell r="O8535">
            <v>54</v>
          </cell>
        </row>
        <row r="8536">
          <cell r="F8536" t="str">
            <v xml:space="preserve">890903939      </v>
          </cell>
          <cell r="O8536">
            <v>574.29999999999995</v>
          </cell>
        </row>
        <row r="8537">
          <cell r="F8537" t="str">
            <v xml:space="preserve">890903939      </v>
          </cell>
          <cell r="O8537">
            <v>531.6</v>
          </cell>
        </row>
        <row r="8538">
          <cell r="F8538" t="str">
            <v xml:space="preserve">900274444      </v>
          </cell>
          <cell r="O8538">
            <v>1615.4</v>
          </cell>
        </row>
        <row r="8539">
          <cell r="F8539" t="str">
            <v xml:space="preserve">900274444      </v>
          </cell>
          <cell r="O8539">
            <v>-1615.4</v>
          </cell>
        </row>
        <row r="8540">
          <cell r="F8540" t="str">
            <v xml:space="preserve">901017528      </v>
          </cell>
          <cell r="O8540">
            <v>495</v>
          </cell>
        </row>
        <row r="8541">
          <cell r="F8541" t="str">
            <v xml:space="preserve">901046830      </v>
          </cell>
          <cell r="O8541">
            <v>420</v>
          </cell>
        </row>
        <row r="8542">
          <cell r="F8542" t="str">
            <v xml:space="preserve">901442971      </v>
          </cell>
          <cell r="O8542">
            <v>29.7</v>
          </cell>
        </row>
        <row r="8543">
          <cell r="F8543" t="str">
            <v xml:space="preserve">901442971      </v>
          </cell>
          <cell r="O8543">
            <v>9.8000000000000007</v>
          </cell>
        </row>
        <row r="8544">
          <cell r="F8544" t="str">
            <v xml:space="preserve">901442971      </v>
          </cell>
          <cell r="O8544">
            <v>310.60000000000002</v>
          </cell>
        </row>
        <row r="8545">
          <cell r="F8545" t="str">
            <v xml:space="preserve">901491446      </v>
          </cell>
          <cell r="O8545">
            <v>199.5</v>
          </cell>
        </row>
        <row r="8546">
          <cell r="F8546" t="str">
            <v xml:space="preserve">1075233722     </v>
          </cell>
          <cell r="O8546">
            <v>139.19999999999999</v>
          </cell>
        </row>
        <row r="8547">
          <cell r="F8547" t="str">
            <v xml:space="preserve">1117528016     </v>
          </cell>
          <cell r="O8547">
            <v>52.5</v>
          </cell>
        </row>
        <row r="8548">
          <cell r="F8548" t="str">
            <v xml:space="preserve">17655255       </v>
          </cell>
          <cell r="O8548">
            <v>68.900000000000006</v>
          </cell>
        </row>
        <row r="8549">
          <cell r="F8549" t="str">
            <v xml:space="preserve">26515995       </v>
          </cell>
          <cell r="O8549">
            <v>150.6</v>
          </cell>
        </row>
        <row r="8550">
          <cell r="F8550" t="str">
            <v xml:space="preserve">40759008       </v>
          </cell>
          <cell r="O8550">
            <v>73.5</v>
          </cell>
        </row>
        <row r="8551">
          <cell r="F8551" t="str">
            <v xml:space="preserve">700171862      </v>
          </cell>
          <cell r="O8551">
            <v>79.7</v>
          </cell>
        </row>
        <row r="8552">
          <cell r="F8552" t="str">
            <v xml:space="preserve">94364658       </v>
          </cell>
          <cell r="O8552">
            <v>139.5</v>
          </cell>
        </row>
        <row r="8553">
          <cell r="F8553" t="str">
            <v xml:space="preserve">10270172       </v>
          </cell>
          <cell r="O8553">
            <v>91.7</v>
          </cell>
        </row>
        <row r="8554">
          <cell r="F8554" t="str">
            <v xml:space="preserve">1053817659     </v>
          </cell>
          <cell r="O8554">
            <v>25.7</v>
          </cell>
        </row>
        <row r="8555">
          <cell r="F8555" t="str">
            <v xml:space="preserve">1053817659     </v>
          </cell>
          <cell r="O8555">
            <v>304.60000000000002</v>
          </cell>
        </row>
        <row r="8556">
          <cell r="F8556" t="str">
            <v xml:space="preserve">30310943       </v>
          </cell>
          <cell r="O8556">
            <v>80</v>
          </cell>
        </row>
        <row r="8557">
          <cell r="F8557" t="str">
            <v xml:space="preserve">800149426      </v>
          </cell>
          <cell r="O8557">
            <v>102</v>
          </cell>
        </row>
        <row r="8558">
          <cell r="F8558" t="str">
            <v xml:space="preserve">900417711      </v>
          </cell>
          <cell r="O8558">
            <v>211.1</v>
          </cell>
        </row>
        <row r="8559">
          <cell r="F8559" t="str">
            <v xml:space="preserve">900444396      </v>
          </cell>
          <cell r="O8559">
            <v>101.8</v>
          </cell>
        </row>
        <row r="8560">
          <cell r="F8560" t="str">
            <v xml:space="preserve">901247462      </v>
          </cell>
          <cell r="O8560">
            <v>100.1</v>
          </cell>
        </row>
        <row r="8561">
          <cell r="F8561" t="str">
            <v xml:space="preserve">900930070      </v>
          </cell>
          <cell r="O8561">
            <v>1303.9000000000001</v>
          </cell>
        </row>
        <row r="8562">
          <cell r="F8562" t="str">
            <v xml:space="preserve">901247983      </v>
          </cell>
          <cell r="O8562">
            <v>4200</v>
          </cell>
        </row>
        <row r="8563">
          <cell r="F8563" t="str">
            <v xml:space="preserve">901440885      </v>
          </cell>
          <cell r="O8563">
            <v>851.2</v>
          </cell>
        </row>
        <row r="8564">
          <cell r="F8564" t="str">
            <v xml:space="preserve">901440885      </v>
          </cell>
          <cell r="O8564">
            <v>1194.5</v>
          </cell>
        </row>
        <row r="8565">
          <cell r="F8565" t="str">
            <v xml:space="preserve">901440885      </v>
          </cell>
          <cell r="O8565">
            <v>720.6</v>
          </cell>
        </row>
        <row r="8566">
          <cell r="F8566" t="str">
            <v xml:space="preserve">901440885      </v>
          </cell>
          <cell r="O8566">
            <v>1224.7</v>
          </cell>
        </row>
        <row r="8567">
          <cell r="F8567" t="str">
            <v xml:space="preserve">901440885      </v>
          </cell>
          <cell r="O8567">
            <v>1473</v>
          </cell>
        </row>
        <row r="8568">
          <cell r="F8568" t="str">
            <v xml:space="preserve">832006599      </v>
          </cell>
          <cell r="O8568">
            <v>6827</v>
          </cell>
        </row>
        <row r="8569">
          <cell r="F8569" t="str">
            <v xml:space="preserve">900992422      </v>
          </cell>
          <cell r="O8569">
            <v>7090</v>
          </cell>
        </row>
        <row r="8570">
          <cell r="F8570" t="str">
            <v xml:space="preserve">900992422      </v>
          </cell>
          <cell r="O8570">
            <v>4607.5</v>
          </cell>
        </row>
        <row r="8571">
          <cell r="F8571" t="str">
            <v xml:space="preserve">860001697      </v>
          </cell>
          <cell r="O8571">
            <v>392.7</v>
          </cell>
        </row>
        <row r="8572">
          <cell r="F8572" t="str">
            <v xml:space="preserve">212            </v>
          </cell>
          <cell r="O8572">
            <v>36</v>
          </cell>
        </row>
        <row r="8573">
          <cell r="F8573" t="str">
            <v xml:space="preserve">212            </v>
          </cell>
          <cell r="O8573">
            <v>30</v>
          </cell>
        </row>
        <row r="8574">
          <cell r="F8574" t="str">
            <v xml:space="preserve">212            </v>
          </cell>
          <cell r="O8574">
            <v>72</v>
          </cell>
        </row>
        <row r="8575">
          <cell r="F8575" t="str">
            <v xml:space="preserve">212            </v>
          </cell>
          <cell r="O8575">
            <v>36</v>
          </cell>
        </row>
        <row r="8576">
          <cell r="F8576" t="str">
            <v xml:space="preserve">890985417      </v>
          </cell>
          <cell r="O8576">
            <v>45</v>
          </cell>
        </row>
        <row r="8577">
          <cell r="F8577" t="str">
            <v xml:space="preserve">900495908      </v>
          </cell>
          <cell r="O8577">
            <v>45</v>
          </cell>
        </row>
        <row r="8578">
          <cell r="F8578" t="str">
            <v xml:space="preserve">811016793      </v>
          </cell>
          <cell r="O8578">
            <v>0</v>
          </cell>
        </row>
        <row r="8579">
          <cell r="F8579" t="str">
            <v xml:space="preserve">213            </v>
          </cell>
          <cell r="O8579">
            <v>345</v>
          </cell>
        </row>
        <row r="8580">
          <cell r="F8580" t="str">
            <v xml:space="preserve">213            </v>
          </cell>
          <cell r="O8580">
            <v>252</v>
          </cell>
        </row>
        <row r="8581">
          <cell r="F8581" t="str">
            <v xml:space="preserve">213            </v>
          </cell>
          <cell r="O8581">
            <v>45</v>
          </cell>
        </row>
        <row r="8582">
          <cell r="F8582" t="str">
            <v xml:space="preserve">808001297      </v>
          </cell>
          <cell r="O8582">
            <v>45</v>
          </cell>
        </row>
        <row r="8583">
          <cell r="F8583" t="str">
            <v xml:space="preserve">70052771       </v>
          </cell>
          <cell r="O8583">
            <v>75</v>
          </cell>
        </row>
        <row r="8584">
          <cell r="F8584" t="str">
            <v xml:space="preserve">70052771       </v>
          </cell>
          <cell r="O8584">
            <v>18</v>
          </cell>
        </row>
        <row r="8585">
          <cell r="F8585" t="str">
            <v xml:space="preserve">800230447      </v>
          </cell>
          <cell r="O8585">
            <v>72</v>
          </cell>
        </row>
        <row r="8586">
          <cell r="F8586" t="str">
            <v xml:space="preserve">811022351      </v>
          </cell>
          <cell r="O8586">
            <v>144</v>
          </cell>
        </row>
        <row r="8587">
          <cell r="F8587" t="str">
            <v xml:space="preserve">811034230      </v>
          </cell>
          <cell r="O8587">
            <v>18</v>
          </cell>
        </row>
        <row r="8588">
          <cell r="F8588" t="str">
            <v xml:space="preserve">811035741      </v>
          </cell>
          <cell r="O8588">
            <v>45</v>
          </cell>
        </row>
        <row r="8589">
          <cell r="F8589" t="str">
            <v xml:space="preserve">811035741      </v>
          </cell>
          <cell r="O8589">
            <v>108</v>
          </cell>
        </row>
        <row r="8590">
          <cell r="F8590" t="str">
            <v xml:space="preserve">860013809      </v>
          </cell>
          <cell r="O8590">
            <v>162</v>
          </cell>
        </row>
        <row r="8591">
          <cell r="F8591" t="str">
            <v xml:space="preserve">890904713      </v>
          </cell>
          <cell r="O8591">
            <v>30</v>
          </cell>
        </row>
        <row r="8592">
          <cell r="F8592" t="str">
            <v xml:space="preserve">890905790      </v>
          </cell>
          <cell r="O8592">
            <v>45</v>
          </cell>
        </row>
        <row r="8593">
          <cell r="F8593" t="str">
            <v xml:space="preserve">890907406      </v>
          </cell>
          <cell r="O8593">
            <v>45</v>
          </cell>
        </row>
        <row r="8594">
          <cell r="F8594" t="str">
            <v xml:space="preserve">890918272      </v>
          </cell>
          <cell r="O8594">
            <v>72</v>
          </cell>
        </row>
        <row r="8595">
          <cell r="F8595" t="str">
            <v xml:space="preserve">890932389      </v>
          </cell>
          <cell r="O8595">
            <v>54</v>
          </cell>
        </row>
        <row r="8596">
          <cell r="F8596" t="str">
            <v xml:space="preserve">901436775      </v>
          </cell>
          <cell r="O8596">
            <v>90</v>
          </cell>
        </row>
        <row r="8597">
          <cell r="F8597" t="str">
            <v xml:space="preserve">210            </v>
          </cell>
          <cell r="O8597">
            <v>135</v>
          </cell>
        </row>
        <row r="8598">
          <cell r="F8598" t="str">
            <v xml:space="preserve">210            </v>
          </cell>
          <cell r="O8598">
            <v>990</v>
          </cell>
        </row>
        <row r="8599">
          <cell r="F8599" t="str">
            <v xml:space="preserve">210            </v>
          </cell>
          <cell r="O8599">
            <v>1116</v>
          </cell>
        </row>
        <row r="8600">
          <cell r="F8600" t="str">
            <v xml:space="preserve">210            </v>
          </cell>
          <cell r="O8600">
            <v>45</v>
          </cell>
        </row>
        <row r="8601">
          <cell r="F8601" t="str">
            <v xml:space="preserve">8370568        </v>
          </cell>
          <cell r="O8601">
            <v>72</v>
          </cell>
        </row>
        <row r="8602">
          <cell r="F8602" t="str">
            <v xml:space="preserve">8370568        </v>
          </cell>
          <cell r="O8602">
            <v>72</v>
          </cell>
        </row>
        <row r="8603">
          <cell r="F8603" t="str">
            <v xml:space="preserve">101            </v>
          </cell>
          <cell r="O8603">
            <v>4.5</v>
          </cell>
        </row>
        <row r="8604">
          <cell r="F8604" t="str">
            <v xml:space="preserve">101            </v>
          </cell>
          <cell r="O8604">
            <v>108</v>
          </cell>
        </row>
        <row r="8605">
          <cell r="F8605" t="str">
            <v xml:space="preserve">101            </v>
          </cell>
          <cell r="O8605">
            <v>15</v>
          </cell>
        </row>
        <row r="8606">
          <cell r="F8606" t="str">
            <v xml:space="preserve">101            </v>
          </cell>
          <cell r="O8606">
            <v>252</v>
          </cell>
        </row>
        <row r="8607">
          <cell r="F8607" t="str">
            <v xml:space="preserve">101            </v>
          </cell>
          <cell r="O8607">
            <v>4.5</v>
          </cell>
        </row>
        <row r="8608">
          <cell r="F8608" t="str">
            <v xml:space="preserve">101            </v>
          </cell>
          <cell r="O8608">
            <v>18</v>
          </cell>
        </row>
        <row r="8609">
          <cell r="F8609" t="str">
            <v xml:space="preserve">101            </v>
          </cell>
          <cell r="O8609">
            <v>90</v>
          </cell>
        </row>
        <row r="8610">
          <cell r="F8610" t="str">
            <v xml:space="preserve">101            </v>
          </cell>
          <cell r="O8610">
            <v>18</v>
          </cell>
        </row>
        <row r="8611">
          <cell r="F8611" t="str">
            <v xml:space="preserve">800027374      </v>
          </cell>
          <cell r="O8611">
            <v>18</v>
          </cell>
        </row>
        <row r="8612">
          <cell r="F8612" t="str">
            <v xml:space="preserve">860001697      </v>
          </cell>
          <cell r="O8612">
            <v>267.8</v>
          </cell>
        </row>
        <row r="8613">
          <cell r="F8613" t="str">
            <v xml:space="preserve">860020382      </v>
          </cell>
          <cell r="O8613">
            <v>102</v>
          </cell>
        </row>
        <row r="8614">
          <cell r="F8614" t="str">
            <v xml:space="preserve">890903939      </v>
          </cell>
          <cell r="O8614">
            <v>83</v>
          </cell>
        </row>
        <row r="8615">
          <cell r="F8615" t="str">
            <v xml:space="preserve">860001697      </v>
          </cell>
          <cell r="O8615">
            <v>1062</v>
          </cell>
        </row>
        <row r="8616">
          <cell r="F8616" t="str">
            <v xml:space="preserve">808001297      </v>
          </cell>
          <cell r="O8616">
            <v>45</v>
          </cell>
        </row>
        <row r="8617">
          <cell r="F8617" t="str">
            <v xml:space="preserve">808001297      </v>
          </cell>
          <cell r="O8617">
            <v>45</v>
          </cell>
        </row>
        <row r="8618">
          <cell r="F8618" t="str">
            <v xml:space="preserve">404            </v>
          </cell>
          <cell r="O8618">
            <v>360</v>
          </cell>
        </row>
        <row r="8619">
          <cell r="F8619" t="str">
            <v xml:space="preserve">890101692      </v>
          </cell>
          <cell r="O8619">
            <v>45</v>
          </cell>
        </row>
        <row r="8620">
          <cell r="F8620" t="str">
            <v xml:space="preserve">890108961      </v>
          </cell>
          <cell r="O8620">
            <v>225</v>
          </cell>
        </row>
        <row r="8621">
          <cell r="F8621" t="str">
            <v xml:space="preserve">210            </v>
          </cell>
          <cell r="O8621">
            <v>15</v>
          </cell>
        </row>
        <row r="8622">
          <cell r="F8622" t="str">
            <v xml:space="preserve">210            </v>
          </cell>
          <cell r="O8622">
            <v>180</v>
          </cell>
        </row>
        <row r="8623">
          <cell r="F8623" t="str">
            <v xml:space="preserve">210            </v>
          </cell>
          <cell r="O8623">
            <v>135</v>
          </cell>
        </row>
        <row r="8624">
          <cell r="F8624" t="str">
            <v xml:space="preserve">6621568        </v>
          </cell>
          <cell r="O8624">
            <v>54</v>
          </cell>
        </row>
        <row r="8625">
          <cell r="F8625" t="str">
            <v xml:space="preserve">6621568        </v>
          </cell>
          <cell r="O8625">
            <v>90</v>
          </cell>
        </row>
        <row r="8626">
          <cell r="F8626" t="str">
            <v xml:space="preserve">800003267      </v>
          </cell>
          <cell r="O8626">
            <v>162</v>
          </cell>
        </row>
        <row r="8627">
          <cell r="F8627" t="str">
            <v xml:space="preserve">805026018      </v>
          </cell>
          <cell r="O8627">
            <v>36</v>
          </cell>
        </row>
        <row r="8628">
          <cell r="F8628" t="str">
            <v xml:space="preserve">890302609      </v>
          </cell>
          <cell r="O8628">
            <v>177</v>
          </cell>
        </row>
        <row r="8629">
          <cell r="F8629" t="str">
            <v xml:space="preserve">890304611      </v>
          </cell>
          <cell r="O8629">
            <v>30</v>
          </cell>
        </row>
        <row r="8630">
          <cell r="F8630" t="str">
            <v xml:space="preserve">890321924      </v>
          </cell>
          <cell r="O8630">
            <v>54</v>
          </cell>
        </row>
        <row r="8631">
          <cell r="F8631" t="str">
            <v xml:space="preserve">890903939      </v>
          </cell>
          <cell r="O8631">
            <v>278</v>
          </cell>
        </row>
        <row r="8632">
          <cell r="F8632" t="str">
            <v xml:space="preserve">900233101      </v>
          </cell>
          <cell r="O8632">
            <v>54</v>
          </cell>
        </row>
        <row r="8633">
          <cell r="F8633" t="str">
            <v xml:space="preserve">900385892      </v>
          </cell>
          <cell r="O8633">
            <v>270</v>
          </cell>
        </row>
        <row r="8634">
          <cell r="F8634" t="str">
            <v xml:space="preserve">1066184116     </v>
          </cell>
          <cell r="O8634">
            <v>54</v>
          </cell>
        </row>
        <row r="8635">
          <cell r="F8635" t="str">
            <v xml:space="preserve">407            </v>
          </cell>
          <cell r="O8635">
            <v>0</v>
          </cell>
        </row>
        <row r="8636">
          <cell r="F8636" t="str">
            <v xml:space="preserve">811020038      </v>
          </cell>
          <cell r="O8636">
            <v>54</v>
          </cell>
        </row>
        <row r="8637">
          <cell r="F8637" t="str">
            <v xml:space="preserve">860001697      </v>
          </cell>
          <cell r="O8637">
            <v>226.04</v>
          </cell>
        </row>
        <row r="8638">
          <cell r="F8638" t="str">
            <v xml:space="preserve">860001697      </v>
          </cell>
          <cell r="O8638">
            <v>560.46</v>
          </cell>
        </row>
        <row r="8639">
          <cell r="F8639" t="str">
            <v xml:space="preserve">900172069      </v>
          </cell>
          <cell r="O8639">
            <v>180</v>
          </cell>
        </row>
        <row r="8640">
          <cell r="F8640" t="str">
            <v xml:space="preserve">900996674      </v>
          </cell>
          <cell r="O8640">
            <v>195</v>
          </cell>
        </row>
        <row r="8641">
          <cell r="F8641" t="str">
            <v xml:space="preserve">70900706       </v>
          </cell>
          <cell r="O8641">
            <v>45</v>
          </cell>
        </row>
        <row r="8642">
          <cell r="F8642" t="str">
            <v xml:space="preserve">70900706       </v>
          </cell>
          <cell r="O8642">
            <v>450</v>
          </cell>
        </row>
        <row r="8643">
          <cell r="F8643" t="str">
            <v xml:space="preserve">70900706       </v>
          </cell>
          <cell r="O8643">
            <v>45</v>
          </cell>
        </row>
        <row r="8644">
          <cell r="F8644" t="str">
            <v xml:space="preserve">70900706       </v>
          </cell>
          <cell r="O8644">
            <v>-45</v>
          </cell>
        </row>
        <row r="8645">
          <cell r="F8645" t="str">
            <v xml:space="preserve">70900706       </v>
          </cell>
          <cell r="O8645">
            <v>-450</v>
          </cell>
        </row>
        <row r="8646">
          <cell r="F8646" t="str">
            <v xml:space="preserve">70900706       </v>
          </cell>
          <cell r="O8646">
            <v>-45</v>
          </cell>
        </row>
        <row r="8647">
          <cell r="F8647" t="str">
            <v xml:space="preserve">830106563      </v>
          </cell>
          <cell r="O8647">
            <v>731.6</v>
          </cell>
        </row>
        <row r="8648">
          <cell r="F8648" t="str">
            <v xml:space="preserve">860032450      </v>
          </cell>
          <cell r="O8648">
            <v>1263.4000000000001</v>
          </cell>
        </row>
        <row r="8649">
          <cell r="F8649" t="str">
            <v xml:space="preserve">900958413      </v>
          </cell>
          <cell r="O8649">
            <v>194.6</v>
          </cell>
        </row>
        <row r="8650">
          <cell r="F8650" t="str">
            <v xml:space="preserve">830051377      </v>
          </cell>
          <cell r="O8650">
            <v>361</v>
          </cell>
        </row>
        <row r="8651">
          <cell r="F8651" t="str">
            <v xml:space="preserve">860065656      </v>
          </cell>
          <cell r="O8651">
            <v>703.1</v>
          </cell>
        </row>
        <row r="8652">
          <cell r="F8652" t="str">
            <v xml:space="preserve">860403972      </v>
          </cell>
          <cell r="O8652">
            <v>1858.7</v>
          </cell>
        </row>
        <row r="8653">
          <cell r="F8653" t="str">
            <v xml:space="preserve">52790620       </v>
          </cell>
          <cell r="O8653">
            <v>2376</v>
          </cell>
        </row>
        <row r="8654">
          <cell r="F8654" t="str">
            <v xml:space="preserve">110            </v>
          </cell>
          <cell r="O8654">
            <v>126</v>
          </cell>
        </row>
        <row r="8655">
          <cell r="F8655" t="str">
            <v xml:space="preserve">110            </v>
          </cell>
          <cell r="O8655">
            <v>45</v>
          </cell>
        </row>
        <row r="8656">
          <cell r="F8656" t="str">
            <v xml:space="preserve">890903939      </v>
          </cell>
          <cell r="O8656">
            <v>201</v>
          </cell>
        </row>
        <row r="8657">
          <cell r="F8657" t="str">
            <v xml:space="preserve">213            </v>
          </cell>
          <cell r="O8657">
            <v>105</v>
          </cell>
        </row>
        <row r="8658">
          <cell r="F8658" t="str">
            <v xml:space="preserve">213            </v>
          </cell>
          <cell r="O8658">
            <v>540</v>
          </cell>
        </row>
        <row r="8659">
          <cell r="F8659" t="str">
            <v xml:space="preserve">830036921      </v>
          </cell>
          <cell r="O8659">
            <v>210.1</v>
          </cell>
        </row>
        <row r="8660">
          <cell r="F8660" t="str">
            <v xml:space="preserve">900992422      </v>
          </cell>
          <cell r="O8660">
            <v>5441.5</v>
          </cell>
        </row>
        <row r="8661">
          <cell r="F8661" t="str">
            <v xml:space="preserve">811014849      </v>
          </cell>
          <cell r="O8661">
            <v>883.1</v>
          </cell>
        </row>
        <row r="8662">
          <cell r="F8662" t="str">
            <v xml:space="preserve">811014849      </v>
          </cell>
          <cell r="O8662">
            <v>653.70000000000005</v>
          </cell>
        </row>
        <row r="8663">
          <cell r="F8663" t="str">
            <v xml:space="preserve">890910131      </v>
          </cell>
          <cell r="O8663">
            <v>575.29999999999995</v>
          </cell>
        </row>
        <row r="8664">
          <cell r="F8664" t="str">
            <v xml:space="preserve">890910131      </v>
          </cell>
          <cell r="O8664">
            <v>220.3</v>
          </cell>
        </row>
        <row r="8665">
          <cell r="F8665" t="str">
            <v xml:space="preserve">900944192      </v>
          </cell>
          <cell r="O8665">
            <v>742.9</v>
          </cell>
        </row>
        <row r="8666">
          <cell r="F8666" t="str">
            <v xml:space="preserve">98617640       </v>
          </cell>
          <cell r="O8666">
            <v>489.9</v>
          </cell>
        </row>
        <row r="8667">
          <cell r="F8667" t="str">
            <v xml:space="preserve">212            </v>
          </cell>
          <cell r="O8667">
            <v>75</v>
          </cell>
        </row>
        <row r="8668">
          <cell r="F8668" t="str">
            <v xml:space="preserve">212            </v>
          </cell>
          <cell r="O8668">
            <v>18</v>
          </cell>
        </row>
        <row r="8669">
          <cell r="F8669" t="str">
            <v xml:space="preserve">212            </v>
          </cell>
          <cell r="O8669">
            <v>30</v>
          </cell>
        </row>
        <row r="8670">
          <cell r="F8670" t="str">
            <v xml:space="preserve">212            </v>
          </cell>
          <cell r="O8670">
            <v>45</v>
          </cell>
        </row>
        <row r="8671">
          <cell r="F8671" t="str">
            <v xml:space="preserve">212            </v>
          </cell>
          <cell r="O8671">
            <v>36</v>
          </cell>
        </row>
        <row r="8672">
          <cell r="F8672" t="str">
            <v xml:space="preserve">212            </v>
          </cell>
          <cell r="O8672">
            <v>45</v>
          </cell>
        </row>
        <row r="8673">
          <cell r="F8673" t="str">
            <v xml:space="preserve">830027386      </v>
          </cell>
          <cell r="O8673">
            <v>126</v>
          </cell>
        </row>
        <row r="8674">
          <cell r="F8674" t="str">
            <v xml:space="preserve">890900161      </v>
          </cell>
          <cell r="O8674">
            <v>195</v>
          </cell>
        </row>
        <row r="8675">
          <cell r="F8675" t="str">
            <v xml:space="preserve">890903939      </v>
          </cell>
          <cell r="O8675">
            <v>161.9</v>
          </cell>
        </row>
        <row r="8676">
          <cell r="F8676" t="str">
            <v xml:space="preserve">900157685      </v>
          </cell>
          <cell r="O8676">
            <v>45</v>
          </cell>
        </row>
        <row r="8677">
          <cell r="F8677" t="str">
            <v xml:space="preserve">900391930      </v>
          </cell>
          <cell r="O8677">
            <v>45</v>
          </cell>
        </row>
        <row r="8678">
          <cell r="F8678" t="str">
            <v xml:space="preserve">900422989      </v>
          </cell>
          <cell r="O8678">
            <v>30</v>
          </cell>
        </row>
        <row r="8679">
          <cell r="F8679" t="str">
            <v xml:space="preserve">900603554      </v>
          </cell>
          <cell r="O8679">
            <v>72</v>
          </cell>
        </row>
        <row r="8680">
          <cell r="F8680" t="str">
            <v xml:space="preserve">901172312      </v>
          </cell>
          <cell r="O8680">
            <v>15</v>
          </cell>
        </row>
        <row r="8681">
          <cell r="F8681" t="str">
            <v xml:space="preserve">213            </v>
          </cell>
          <cell r="O8681">
            <v>150</v>
          </cell>
        </row>
        <row r="8682">
          <cell r="F8682" t="str">
            <v xml:space="preserve">213            </v>
          </cell>
          <cell r="O8682">
            <v>378</v>
          </cell>
        </row>
        <row r="8683">
          <cell r="F8683" t="str">
            <v xml:space="preserve">805012977      </v>
          </cell>
          <cell r="O8683">
            <v>126</v>
          </cell>
        </row>
        <row r="8684">
          <cell r="F8684" t="str">
            <v xml:space="preserve">830052685      </v>
          </cell>
          <cell r="O8684">
            <v>54</v>
          </cell>
        </row>
        <row r="8685">
          <cell r="F8685" t="str">
            <v xml:space="preserve">860002576      </v>
          </cell>
          <cell r="O8685">
            <v>135</v>
          </cell>
        </row>
        <row r="8686">
          <cell r="F8686" t="str">
            <v xml:space="preserve">860020382      </v>
          </cell>
          <cell r="O8686">
            <v>72</v>
          </cell>
        </row>
        <row r="8687">
          <cell r="F8687" t="str">
            <v xml:space="preserve">860020382      </v>
          </cell>
          <cell r="O8687">
            <v>18</v>
          </cell>
        </row>
        <row r="8688">
          <cell r="F8688" t="str">
            <v xml:space="preserve">890307885      </v>
          </cell>
          <cell r="O8688">
            <v>252</v>
          </cell>
        </row>
        <row r="8689">
          <cell r="F8689" t="str">
            <v xml:space="preserve">890311251      </v>
          </cell>
          <cell r="O8689">
            <v>36</v>
          </cell>
        </row>
        <row r="8690">
          <cell r="F8690" t="str">
            <v xml:space="preserve">890322007      </v>
          </cell>
          <cell r="O8690">
            <v>198</v>
          </cell>
        </row>
        <row r="8691">
          <cell r="F8691" t="str">
            <v xml:space="preserve">890332889      </v>
          </cell>
          <cell r="O8691">
            <v>81</v>
          </cell>
        </row>
        <row r="8692">
          <cell r="F8692" t="str">
            <v xml:space="preserve">900204935      </v>
          </cell>
          <cell r="O8692">
            <v>36</v>
          </cell>
        </row>
        <row r="8693">
          <cell r="F8693" t="str">
            <v xml:space="preserve">900818921      </v>
          </cell>
          <cell r="O8693">
            <v>403</v>
          </cell>
        </row>
        <row r="8694">
          <cell r="F8694" t="str">
            <v xml:space="preserve">900896300      </v>
          </cell>
          <cell r="O8694">
            <v>141</v>
          </cell>
        </row>
        <row r="8695">
          <cell r="F8695" t="str">
            <v xml:space="preserve">901026262      </v>
          </cell>
          <cell r="O8695">
            <v>108</v>
          </cell>
        </row>
        <row r="8696">
          <cell r="F8696" t="str">
            <v xml:space="preserve">212            </v>
          </cell>
          <cell r="O8696">
            <v>4.5</v>
          </cell>
        </row>
        <row r="8697">
          <cell r="F8697" t="str">
            <v xml:space="preserve">212            </v>
          </cell>
          <cell r="O8697">
            <v>225</v>
          </cell>
        </row>
        <row r="8698">
          <cell r="F8698" t="str">
            <v xml:space="preserve">212            </v>
          </cell>
          <cell r="O8698">
            <v>108</v>
          </cell>
        </row>
        <row r="8699">
          <cell r="F8699" t="str">
            <v xml:space="preserve">811042631      </v>
          </cell>
          <cell r="O8699">
            <v>15</v>
          </cell>
        </row>
        <row r="8700">
          <cell r="F8700" t="str">
            <v xml:space="preserve">900495908      </v>
          </cell>
          <cell r="O8700">
            <v>18</v>
          </cell>
        </row>
        <row r="8701">
          <cell r="F8701" t="str">
            <v xml:space="preserve">900495908      </v>
          </cell>
          <cell r="O8701">
            <v>45</v>
          </cell>
        </row>
        <row r="8702">
          <cell r="F8702" t="str">
            <v xml:space="preserve">900495908      </v>
          </cell>
          <cell r="O8702">
            <v>45</v>
          </cell>
        </row>
        <row r="8703">
          <cell r="F8703" t="str">
            <v xml:space="preserve">1119886844     </v>
          </cell>
          <cell r="O8703">
            <v>100.1</v>
          </cell>
        </row>
        <row r="8704">
          <cell r="F8704" t="str">
            <v xml:space="preserve">890332769      </v>
          </cell>
          <cell r="O8704">
            <v>3500.4</v>
          </cell>
        </row>
        <row r="8705">
          <cell r="F8705" t="str">
            <v xml:space="preserve">890901271      </v>
          </cell>
          <cell r="O8705">
            <v>2401.6</v>
          </cell>
        </row>
        <row r="8706">
          <cell r="F8706" t="str">
            <v xml:space="preserve">1093767786     </v>
          </cell>
          <cell r="O8706">
            <v>75</v>
          </cell>
        </row>
        <row r="8707">
          <cell r="F8707" t="str">
            <v xml:space="preserve">13373455       </v>
          </cell>
          <cell r="O8707">
            <v>162.19999999999999</v>
          </cell>
        </row>
        <row r="8708">
          <cell r="F8708" t="str">
            <v xml:space="preserve">27897684       </v>
          </cell>
          <cell r="O8708">
            <v>110.1</v>
          </cell>
        </row>
        <row r="8709">
          <cell r="F8709" t="str">
            <v xml:space="preserve">5546993        </v>
          </cell>
          <cell r="O8709">
            <v>143.1</v>
          </cell>
        </row>
        <row r="8710">
          <cell r="F8710" t="str">
            <v xml:space="preserve">5546993        </v>
          </cell>
          <cell r="O8710">
            <v>166.8</v>
          </cell>
        </row>
        <row r="8711">
          <cell r="F8711" t="str">
            <v xml:space="preserve">79233796       </v>
          </cell>
          <cell r="O8711">
            <v>52</v>
          </cell>
        </row>
        <row r="8712">
          <cell r="F8712" t="str">
            <v xml:space="preserve">88269160       </v>
          </cell>
          <cell r="O8712">
            <v>70.900000000000006</v>
          </cell>
        </row>
        <row r="8713">
          <cell r="F8713" t="str">
            <v xml:space="preserve">900740022      </v>
          </cell>
          <cell r="O8713">
            <v>80.099999999999994</v>
          </cell>
        </row>
        <row r="8714">
          <cell r="F8714" t="str">
            <v xml:space="preserve">900740022      </v>
          </cell>
          <cell r="O8714">
            <v>497.9</v>
          </cell>
        </row>
        <row r="8715">
          <cell r="F8715" t="str">
            <v xml:space="preserve">901377572      </v>
          </cell>
          <cell r="O8715">
            <v>134.1</v>
          </cell>
        </row>
        <row r="8716">
          <cell r="F8716" t="str">
            <v xml:space="preserve">14433987       </v>
          </cell>
          <cell r="O8716">
            <v>213.5</v>
          </cell>
        </row>
        <row r="8717">
          <cell r="F8717" t="str">
            <v xml:space="preserve">6256980        </v>
          </cell>
          <cell r="O8717">
            <v>109.6</v>
          </cell>
        </row>
        <row r="8718">
          <cell r="F8718" t="str">
            <v xml:space="preserve">76312079       </v>
          </cell>
          <cell r="O8718">
            <v>59.2</v>
          </cell>
        </row>
        <row r="8719">
          <cell r="F8719" t="str">
            <v xml:space="preserve">890308786      </v>
          </cell>
          <cell r="O8719">
            <v>3230.5</v>
          </cell>
        </row>
        <row r="8720">
          <cell r="F8720" t="str">
            <v xml:space="preserve">891380049      </v>
          </cell>
          <cell r="O8720">
            <v>1218</v>
          </cell>
        </row>
        <row r="8721">
          <cell r="F8721" t="str">
            <v xml:space="preserve">900233101      </v>
          </cell>
          <cell r="O8721">
            <v>-1218</v>
          </cell>
        </row>
        <row r="8722">
          <cell r="F8722" t="str">
            <v xml:space="preserve">900598527      </v>
          </cell>
          <cell r="O8722">
            <v>370.3</v>
          </cell>
        </row>
        <row r="8723">
          <cell r="F8723" t="str">
            <v xml:space="preserve">1102368216     </v>
          </cell>
          <cell r="O8723">
            <v>60.1</v>
          </cell>
        </row>
        <row r="8724">
          <cell r="F8724" t="str">
            <v xml:space="preserve">13874825       </v>
          </cell>
          <cell r="O8724">
            <v>82</v>
          </cell>
        </row>
        <row r="8725">
          <cell r="F8725" t="str">
            <v xml:space="preserve">890201881      </v>
          </cell>
          <cell r="O8725">
            <v>2877</v>
          </cell>
        </row>
        <row r="8726">
          <cell r="F8726" t="str">
            <v xml:space="preserve">890205142      </v>
          </cell>
          <cell r="O8726">
            <v>1305.0999999999999</v>
          </cell>
        </row>
        <row r="8727">
          <cell r="F8727" t="str">
            <v xml:space="preserve">900197640      </v>
          </cell>
          <cell r="O8727">
            <v>2556.1</v>
          </cell>
        </row>
        <row r="8728">
          <cell r="F8728" t="str">
            <v xml:space="preserve">900197640      </v>
          </cell>
          <cell r="O8728">
            <v>2257.5</v>
          </cell>
        </row>
        <row r="8729">
          <cell r="F8729" t="str">
            <v xml:space="preserve">900197640      </v>
          </cell>
          <cell r="O8729">
            <v>1156.4000000000001</v>
          </cell>
        </row>
        <row r="8730">
          <cell r="F8730" t="str">
            <v xml:space="preserve">63338722       </v>
          </cell>
          <cell r="O8730">
            <v>322.89999999999998</v>
          </cell>
        </row>
        <row r="8731">
          <cell r="F8731" t="str">
            <v xml:space="preserve">800134497      </v>
          </cell>
          <cell r="O8731">
            <v>219.6</v>
          </cell>
        </row>
        <row r="8732">
          <cell r="F8732" t="str">
            <v xml:space="preserve">860002536      </v>
          </cell>
          <cell r="O8732">
            <v>1560.1</v>
          </cell>
        </row>
        <row r="8733">
          <cell r="F8733" t="str">
            <v xml:space="preserve">860522164      </v>
          </cell>
          <cell r="O8733">
            <v>800.8</v>
          </cell>
        </row>
        <row r="8734">
          <cell r="F8734" t="str">
            <v xml:space="preserve">860527701      </v>
          </cell>
          <cell r="O8734">
            <v>1206.2</v>
          </cell>
        </row>
        <row r="8735">
          <cell r="F8735" t="str">
            <v xml:space="preserve">900474647      </v>
          </cell>
          <cell r="O8735">
            <v>1053.0999999999999</v>
          </cell>
        </row>
        <row r="8736">
          <cell r="F8736" t="str">
            <v xml:space="preserve">901204377      </v>
          </cell>
          <cell r="O8736">
            <v>18</v>
          </cell>
        </row>
        <row r="8737">
          <cell r="F8737" t="str">
            <v xml:space="preserve">800049083      </v>
          </cell>
          <cell r="O8737">
            <v>1130</v>
          </cell>
        </row>
        <row r="8738">
          <cell r="F8738" t="str">
            <v xml:space="preserve">860518811      </v>
          </cell>
          <cell r="O8738">
            <v>1354.7</v>
          </cell>
        </row>
        <row r="8739">
          <cell r="F8739" t="str">
            <v xml:space="preserve">860518811      </v>
          </cell>
          <cell r="O8739">
            <v>751.8</v>
          </cell>
        </row>
        <row r="8740">
          <cell r="F8740" t="str">
            <v xml:space="preserve">901244271      </v>
          </cell>
          <cell r="O8740">
            <v>833.5</v>
          </cell>
        </row>
        <row r="8741">
          <cell r="F8741" t="str">
            <v xml:space="preserve">830042321      </v>
          </cell>
          <cell r="O8741">
            <v>118.4</v>
          </cell>
        </row>
        <row r="8742">
          <cell r="F8742" t="str">
            <v xml:space="preserve">900438187      </v>
          </cell>
          <cell r="O8742">
            <v>4908.6000000000004</v>
          </cell>
        </row>
        <row r="8743">
          <cell r="F8743" t="str">
            <v xml:space="preserve">52790620       </v>
          </cell>
          <cell r="O8743">
            <v>225</v>
          </cell>
        </row>
        <row r="8744">
          <cell r="F8744" t="str">
            <v xml:space="preserve">52790620       </v>
          </cell>
          <cell r="O8744">
            <v>225</v>
          </cell>
        </row>
        <row r="8745">
          <cell r="F8745" t="str">
            <v xml:space="preserve">20960320       </v>
          </cell>
          <cell r="O8745">
            <v>111.3</v>
          </cell>
        </row>
        <row r="8746">
          <cell r="F8746" t="str">
            <v xml:space="preserve">23270299       </v>
          </cell>
          <cell r="O8746">
            <v>150</v>
          </cell>
        </row>
        <row r="8747">
          <cell r="F8747" t="str">
            <v xml:space="preserve">830010738      </v>
          </cell>
          <cell r="O8747">
            <v>267.3</v>
          </cell>
        </row>
        <row r="8748">
          <cell r="F8748" t="str">
            <v xml:space="preserve">830066860      </v>
          </cell>
          <cell r="O8748">
            <v>521.79999999999995</v>
          </cell>
        </row>
        <row r="8749">
          <cell r="F8749" t="str">
            <v xml:space="preserve">901221052      </v>
          </cell>
          <cell r="O8749">
            <v>1374.5</v>
          </cell>
        </row>
        <row r="8750">
          <cell r="F8750" t="str">
            <v xml:space="preserve">890903939      </v>
          </cell>
          <cell r="O8750">
            <v>180</v>
          </cell>
        </row>
        <row r="8751">
          <cell r="F8751" t="str">
            <v xml:space="preserve">890903939      </v>
          </cell>
          <cell r="O8751">
            <v>180</v>
          </cell>
        </row>
        <row r="8752">
          <cell r="F8752" t="str">
            <v xml:space="preserve">890903939      </v>
          </cell>
          <cell r="O8752">
            <v>360</v>
          </cell>
        </row>
        <row r="8753">
          <cell r="F8753" t="str">
            <v xml:space="preserve">890903939      </v>
          </cell>
          <cell r="O8753">
            <v>45</v>
          </cell>
        </row>
        <row r="8754">
          <cell r="F8754" t="str">
            <v xml:space="preserve">890903939      </v>
          </cell>
          <cell r="O8754">
            <v>126</v>
          </cell>
        </row>
        <row r="8755">
          <cell r="F8755" t="str">
            <v xml:space="preserve">890903939      </v>
          </cell>
          <cell r="O8755">
            <v>270</v>
          </cell>
        </row>
        <row r="8756">
          <cell r="F8756" t="str">
            <v xml:space="preserve">890903939      </v>
          </cell>
          <cell r="O8756">
            <v>180</v>
          </cell>
        </row>
        <row r="8757">
          <cell r="F8757" t="str">
            <v xml:space="preserve">900497719      </v>
          </cell>
          <cell r="O8757">
            <v>135</v>
          </cell>
        </row>
        <row r="8758">
          <cell r="F8758" t="str">
            <v xml:space="preserve">1088315297     </v>
          </cell>
          <cell r="O8758">
            <v>56.2</v>
          </cell>
        </row>
        <row r="8759">
          <cell r="F8759" t="str">
            <v xml:space="preserve">29352455       </v>
          </cell>
          <cell r="O8759">
            <v>64</v>
          </cell>
        </row>
        <row r="8760">
          <cell r="F8760" t="str">
            <v xml:space="preserve">830107617      </v>
          </cell>
          <cell r="O8760">
            <v>1640</v>
          </cell>
        </row>
        <row r="8761">
          <cell r="F8761" t="str">
            <v xml:space="preserve">890300431      </v>
          </cell>
          <cell r="O8761">
            <v>1050.8</v>
          </cell>
        </row>
        <row r="8762">
          <cell r="F8762" t="str">
            <v xml:space="preserve">900702496      </v>
          </cell>
          <cell r="O8762">
            <v>547.70000000000005</v>
          </cell>
        </row>
        <row r="8763">
          <cell r="F8763" t="str">
            <v xml:space="preserve">901139173      </v>
          </cell>
          <cell r="O8763">
            <v>100</v>
          </cell>
        </row>
        <row r="8764">
          <cell r="F8764" t="str">
            <v xml:space="preserve">901177420      </v>
          </cell>
          <cell r="O8764">
            <v>587.6</v>
          </cell>
        </row>
        <row r="8765">
          <cell r="F8765" t="str">
            <v xml:space="preserve">830101778      </v>
          </cell>
          <cell r="O8765">
            <v>422.94</v>
          </cell>
        </row>
        <row r="8766">
          <cell r="F8766" t="str">
            <v xml:space="preserve">891401781      </v>
          </cell>
          <cell r="O8766">
            <v>1892.94</v>
          </cell>
        </row>
        <row r="8767">
          <cell r="F8767" t="str">
            <v xml:space="preserve">900103877      </v>
          </cell>
          <cell r="O8767">
            <v>1067.46</v>
          </cell>
        </row>
        <row r="8768">
          <cell r="F8768" t="str">
            <v xml:space="preserve">900430148      </v>
          </cell>
          <cell r="O8768">
            <v>585.41999999999996</v>
          </cell>
        </row>
        <row r="8769">
          <cell r="F8769" t="str">
            <v xml:space="preserve">900430148      </v>
          </cell>
          <cell r="O8769">
            <v>380.29</v>
          </cell>
        </row>
        <row r="8770">
          <cell r="F8770" t="str">
            <v xml:space="preserve">900430148      </v>
          </cell>
          <cell r="O8770">
            <v>746.31</v>
          </cell>
        </row>
        <row r="8771">
          <cell r="F8771" t="str">
            <v xml:space="preserve">901230769      </v>
          </cell>
          <cell r="O8771">
            <v>1144.44</v>
          </cell>
        </row>
        <row r="8772">
          <cell r="F8772" t="str">
            <v xml:space="preserve">901230769      </v>
          </cell>
          <cell r="O8772">
            <v>2198.8000000000002</v>
          </cell>
        </row>
        <row r="8773">
          <cell r="F8773" t="str">
            <v xml:space="preserve">901230769      </v>
          </cell>
          <cell r="O8773">
            <v>1509.03</v>
          </cell>
        </row>
        <row r="8774">
          <cell r="F8774" t="str">
            <v xml:space="preserve">003            </v>
          </cell>
          <cell r="O8774">
            <v>219.39</v>
          </cell>
        </row>
        <row r="8775">
          <cell r="F8775" t="str">
            <v xml:space="preserve">51958738       </v>
          </cell>
          <cell r="O8775">
            <v>426.63</v>
          </cell>
        </row>
        <row r="8776">
          <cell r="F8776" t="str">
            <v xml:space="preserve">79288238       </v>
          </cell>
          <cell r="O8776">
            <v>100.05</v>
          </cell>
        </row>
        <row r="8777">
          <cell r="F8777" t="str">
            <v xml:space="preserve">830026277      </v>
          </cell>
          <cell r="O8777">
            <v>1152.8900000000001</v>
          </cell>
        </row>
        <row r="8778">
          <cell r="F8778" t="str">
            <v xml:space="preserve">830051267      </v>
          </cell>
          <cell r="O8778">
            <v>181.37</v>
          </cell>
        </row>
        <row r="8779">
          <cell r="F8779" t="str">
            <v xml:space="preserve">79581982       </v>
          </cell>
          <cell r="O8779">
            <v>249.8</v>
          </cell>
        </row>
        <row r="8780">
          <cell r="F8780" t="str">
            <v xml:space="preserve">830010738      </v>
          </cell>
          <cell r="O8780">
            <v>1801.2</v>
          </cell>
        </row>
        <row r="8781">
          <cell r="F8781" t="str">
            <v xml:space="preserve">860516981      </v>
          </cell>
          <cell r="O8781">
            <v>1130.0999999999999</v>
          </cell>
        </row>
        <row r="8782">
          <cell r="F8782" t="str">
            <v xml:space="preserve">860527701      </v>
          </cell>
          <cell r="O8782">
            <v>1536.5</v>
          </cell>
        </row>
        <row r="8783">
          <cell r="F8783" t="str">
            <v xml:space="preserve">900474647      </v>
          </cell>
          <cell r="O8783">
            <v>1256.4000000000001</v>
          </cell>
        </row>
        <row r="8784">
          <cell r="F8784" t="str">
            <v xml:space="preserve">20454645       </v>
          </cell>
          <cell r="O8784">
            <v>62</v>
          </cell>
        </row>
        <row r="8785">
          <cell r="F8785" t="str">
            <v xml:space="preserve">860033045      </v>
          </cell>
          <cell r="O8785">
            <v>254.6</v>
          </cell>
        </row>
        <row r="8786">
          <cell r="F8786" t="str">
            <v xml:space="preserve">860033045      </v>
          </cell>
          <cell r="O8786">
            <v>1209.3</v>
          </cell>
        </row>
        <row r="8787">
          <cell r="F8787" t="str">
            <v xml:space="preserve">860011109      </v>
          </cell>
          <cell r="O8787">
            <v>1750</v>
          </cell>
        </row>
        <row r="8788">
          <cell r="F8788" t="str">
            <v xml:space="preserve">860058831      </v>
          </cell>
          <cell r="O8788">
            <v>683.5</v>
          </cell>
        </row>
        <row r="8789">
          <cell r="F8789" t="str">
            <v xml:space="preserve">805005148      </v>
          </cell>
          <cell r="O8789">
            <v>864</v>
          </cell>
        </row>
        <row r="8790">
          <cell r="F8790" t="str">
            <v xml:space="preserve">805005148      </v>
          </cell>
          <cell r="O8790">
            <v>2880</v>
          </cell>
        </row>
        <row r="8791">
          <cell r="F8791" t="str">
            <v xml:space="preserve">805005148      </v>
          </cell>
          <cell r="O8791">
            <v>120</v>
          </cell>
        </row>
        <row r="8792">
          <cell r="F8792" t="str">
            <v xml:space="preserve">805005148      </v>
          </cell>
          <cell r="O8792">
            <v>36</v>
          </cell>
        </row>
        <row r="8793">
          <cell r="F8793" t="str">
            <v xml:space="preserve">805005148      </v>
          </cell>
          <cell r="O8793">
            <v>211.5</v>
          </cell>
        </row>
        <row r="8794">
          <cell r="F8794" t="str">
            <v xml:space="preserve">805005148      </v>
          </cell>
          <cell r="O8794">
            <v>54</v>
          </cell>
        </row>
        <row r="8795">
          <cell r="F8795" t="str">
            <v xml:space="preserve">805005148      </v>
          </cell>
          <cell r="O8795">
            <v>180</v>
          </cell>
        </row>
        <row r="8796">
          <cell r="F8796" t="str">
            <v xml:space="preserve">805005148      </v>
          </cell>
          <cell r="O8796">
            <v>1494</v>
          </cell>
        </row>
        <row r="8797">
          <cell r="F8797" t="str">
            <v xml:space="preserve">805005148      </v>
          </cell>
          <cell r="O8797">
            <v>585</v>
          </cell>
        </row>
        <row r="8798">
          <cell r="F8798" t="str">
            <v xml:space="preserve">805005148      </v>
          </cell>
          <cell r="O8798">
            <v>600</v>
          </cell>
        </row>
        <row r="8799">
          <cell r="F8799" t="str">
            <v xml:space="preserve">805005148      </v>
          </cell>
          <cell r="O8799">
            <v>2160</v>
          </cell>
        </row>
        <row r="8800">
          <cell r="F8800" t="str">
            <v xml:space="preserve">1130605276     </v>
          </cell>
          <cell r="O8800">
            <v>4.5</v>
          </cell>
        </row>
        <row r="8801">
          <cell r="F8801" t="str">
            <v xml:space="preserve">1130605276     </v>
          </cell>
          <cell r="O8801">
            <v>9</v>
          </cell>
        </row>
        <row r="8802">
          <cell r="F8802" t="str">
            <v xml:space="preserve">1130605276     </v>
          </cell>
          <cell r="O8802">
            <v>75</v>
          </cell>
        </row>
        <row r="8803">
          <cell r="F8803" t="str">
            <v xml:space="preserve">1130605276     </v>
          </cell>
          <cell r="O8803">
            <v>792</v>
          </cell>
        </row>
        <row r="8804">
          <cell r="F8804" t="str">
            <v xml:space="preserve">1130605276     </v>
          </cell>
          <cell r="O8804">
            <v>90</v>
          </cell>
        </row>
        <row r="8805">
          <cell r="F8805" t="str">
            <v xml:space="preserve">94050412       </v>
          </cell>
          <cell r="O8805">
            <v>30</v>
          </cell>
        </row>
        <row r="8806">
          <cell r="F8806" t="str">
            <v xml:space="preserve">94050412       </v>
          </cell>
          <cell r="O8806">
            <v>180</v>
          </cell>
        </row>
        <row r="8807">
          <cell r="F8807" t="str">
            <v xml:space="preserve">88275315       </v>
          </cell>
          <cell r="O8807">
            <v>9</v>
          </cell>
        </row>
        <row r="8808">
          <cell r="F8808" t="str">
            <v xml:space="preserve">88275315       </v>
          </cell>
          <cell r="O8808">
            <v>36</v>
          </cell>
        </row>
        <row r="8809">
          <cell r="F8809" t="str">
            <v xml:space="preserve">88275315       </v>
          </cell>
          <cell r="O8809">
            <v>75</v>
          </cell>
        </row>
        <row r="8810">
          <cell r="F8810" t="str">
            <v xml:space="preserve">88275315       </v>
          </cell>
          <cell r="O8810">
            <v>1872</v>
          </cell>
        </row>
        <row r="8811">
          <cell r="F8811" t="str">
            <v xml:space="preserve">88275315       </v>
          </cell>
          <cell r="O8811">
            <v>180</v>
          </cell>
        </row>
        <row r="8812">
          <cell r="F8812" t="str">
            <v xml:space="preserve">88275315       </v>
          </cell>
          <cell r="O8812">
            <v>126</v>
          </cell>
        </row>
        <row r="8813">
          <cell r="F8813" t="str">
            <v xml:space="preserve">94464104       </v>
          </cell>
          <cell r="O8813">
            <v>90</v>
          </cell>
        </row>
        <row r="8814">
          <cell r="F8814" t="str">
            <v xml:space="preserve">94464104       </v>
          </cell>
          <cell r="O8814">
            <v>225</v>
          </cell>
        </row>
        <row r="8815">
          <cell r="F8815" t="str">
            <v xml:space="preserve">16458005       </v>
          </cell>
          <cell r="O8815">
            <v>108</v>
          </cell>
        </row>
        <row r="8816">
          <cell r="F8816" t="str">
            <v xml:space="preserve">94419930       </v>
          </cell>
          <cell r="O8816">
            <v>30</v>
          </cell>
        </row>
        <row r="8817">
          <cell r="F8817" t="str">
            <v xml:space="preserve">94419930       </v>
          </cell>
          <cell r="O8817">
            <v>594</v>
          </cell>
        </row>
        <row r="8818">
          <cell r="F8818" t="str">
            <v xml:space="preserve">94419930       </v>
          </cell>
          <cell r="O8818">
            <v>180</v>
          </cell>
        </row>
        <row r="8819">
          <cell r="F8819" t="str">
            <v xml:space="preserve">94420019       </v>
          </cell>
          <cell r="O8819">
            <v>180</v>
          </cell>
        </row>
        <row r="8820">
          <cell r="F8820" t="str">
            <v xml:space="preserve">16669313       </v>
          </cell>
          <cell r="O8820">
            <v>4.5</v>
          </cell>
        </row>
        <row r="8821">
          <cell r="F8821" t="str">
            <v xml:space="preserve">16669313       </v>
          </cell>
          <cell r="O8821">
            <v>1692</v>
          </cell>
        </row>
        <row r="8822">
          <cell r="F8822" t="str">
            <v xml:space="preserve">900034686      </v>
          </cell>
          <cell r="O8822">
            <v>18</v>
          </cell>
        </row>
        <row r="8823">
          <cell r="F8823" t="str">
            <v xml:space="preserve">900034686      </v>
          </cell>
          <cell r="O8823">
            <v>135</v>
          </cell>
        </row>
        <row r="8824">
          <cell r="F8824" t="str">
            <v xml:space="preserve">16460421       </v>
          </cell>
          <cell r="O8824">
            <v>45</v>
          </cell>
        </row>
        <row r="8825">
          <cell r="F8825" t="str">
            <v xml:space="preserve">16460421       </v>
          </cell>
          <cell r="O8825">
            <v>75</v>
          </cell>
        </row>
        <row r="8826">
          <cell r="F8826" t="str">
            <v xml:space="preserve">16460421       </v>
          </cell>
          <cell r="O8826">
            <v>702</v>
          </cell>
        </row>
        <row r="8827">
          <cell r="F8827" t="str">
            <v xml:space="preserve">805004427      </v>
          </cell>
          <cell r="O8827">
            <v>162</v>
          </cell>
        </row>
        <row r="8828">
          <cell r="F8828" t="str">
            <v xml:space="preserve">890318280      </v>
          </cell>
          <cell r="O8828">
            <v>90</v>
          </cell>
        </row>
        <row r="8829">
          <cell r="F8829" t="str">
            <v xml:space="preserve">901382327      </v>
          </cell>
          <cell r="O8829">
            <v>18</v>
          </cell>
        </row>
        <row r="8830">
          <cell r="F8830" t="str">
            <v xml:space="preserve">15961063       </v>
          </cell>
          <cell r="O8830">
            <v>2250</v>
          </cell>
        </row>
        <row r="8831">
          <cell r="F8831" t="str">
            <v xml:space="preserve">15961063       </v>
          </cell>
          <cell r="O8831">
            <v>225</v>
          </cell>
        </row>
        <row r="8832">
          <cell r="F8832" t="str">
            <v xml:space="preserve">75099432       </v>
          </cell>
          <cell r="O8832">
            <v>90</v>
          </cell>
        </row>
        <row r="8833">
          <cell r="F8833" t="str">
            <v xml:space="preserve">75099432       </v>
          </cell>
          <cell r="O8833">
            <v>870</v>
          </cell>
        </row>
        <row r="8834">
          <cell r="F8834" t="str">
            <v xml:space="preserve">75099432       </v>
          </cell>
          <cell r="O8834">
            <v>324</v>
          </cell>
        </row>
        <row r="8835">
          <cell r="F8835" t="str">
            <v xml:space="preserve">75099432       </v>
          </cell>
          <cell r="O8835">
            <v>135</v>
          </cell>
        </row>
        <row r="8836">
          <cell r="F8836" t="str">
            <v xml:space="preserve">9696643        </v>
          </cell>
          <cell r="O8836">
            <v>2430</v>
          </cell>
        </row>
        <row r="8837">
          <cell r="F8837" t="str">
            <v xml:space="preserve">9696643        </v>
          </cell>
          <cell r="O8837">
            <v>540</v>
          </cell>
        </row>
        <row r="8838">
          <cell r="F8838" t="str">
            <v xml:space="preserve">9696643        </v>
          </cell>
          <cell r="O8838">
            <v>432</v>
          </cell>
        </row>
        <row r="8839">
          <cell r="F8839" t="str">
            <v xml:space="preserve">10237057       </v>
          </cell>
          <cell r="O8839">
            <v>180</v>
          </cell>
        </row>
        <row r="8840">
          <cell r="F8840" t="str">
            <v xml:space="preserve">10237057       </v>
          </cell>
          <cell r="O8840">
            <v>54</v>
          </cell>
        </row>
        <row r="8841">
          <cell r="F8841" t="str">
            <v xml:space="preserve">810006036      </v>
          </cell>
          <cell r="O8841">
            <v>15</v>
          </cell>
        </row>
        <row r="8842">
          <cell r="F8842" t="str">
            <v xml:space="preserve">901555731      </v>
          </cell>
          <cell r="O8842">
            <v>90</v>
          </cell>
        </row>
        <row r="8843">
          <cell r="F8843" t="str">
            <v xml:space="preserve">6157942        </v>
          </cell>
          <cell r="O8843">
            <v>705</v>
          </cell>
        </row>
        <row r="8844">
          <cell r="F8844" t="str">
            <v xml:space="preserve">6157942        </v>
          </cell>
          <cell r="O8844">
            <v>18</v>
          </cell>
        </row>
        <row r="8845">
          <cell r="F8845" t="str">
            <v xml:space="preserve">1111745154     </v>
          </cell>
          <cell r="O8845">
            <v>45</v>
          </cell>
        </row>
        <row r="8846">
          <cell r="F8846" t="str">
            <v xml:space="preserve">1111745154     </v>
          </cell>
          <cell r="O8846">
            <v>570</v>
          </cell>
        </row>
        <row r="8847">
          <cell r="F8847" t="str">
            <v xml:space="preserve">1111745154     </v>
          </cell>
          <cell r="O8847">
            <v>108</v>
          </cell>
        </row>
        <row r="8848">
          <cell r="F8848" t="str">
            <v xml:space="preserve">16456104       </v>
          </cell>
          <cell r="O8848">
            <v>90</v>
          </cell>
        </row>
        <row r="8849">
          <cell r="F8849" t="str">
            <v xml:space="preserve">16456104       </v>
          </cell>
          <cell r="O8849">
            <v>285</v>
          </cell>
        </row>
        <row r="8850">
          <cell r="F8850" t="str">
            <v xml:space="preserve">14471042       </v>
          </cell>
          <cell r="O8850">
            <v>45</v>
          </cell>
        </row>
        <row r="8851">
          <cell r="F8851" t="str">
            <v xml:space="preserve">14471042       </v>
          </cell>
          <cell r="O8851">
            <v>150</v>
          </cell>
        </row>
        <row r="8852">
          <cell r="F8852" t="str">
            <v xml:space="preserve">71734502       </v>
          </cell>
          <cell r="O8852">
            <v>45</v>
          </cell>
        </row>
        <row r="8853">
          <cell r="F8853" t="str">
            <v xml:space="preserve">1088256267     </v>
          </cell>
          <cell r="O8853">
            <v>150</v>
          </cell>
        </row>
        <row r="8854">
          <cell r="F8854" t="str">
            <v xml:space="preserve">1088256267     </v>
          </cell>
          <cell r="O8854">
            <v>54</v>
          </cell>
        </row>
        <row r="8855">
          <cell r="F8855" t="str">
            <v xml:space="preserve">1088256267     </v>
          </cell>
          <cell r="O8855">
            <v>225</v>
          </cell>
        </row>
        <row r="8856">
          <cell r="F8856" t="str">
            <v xml:space="preserve">66676270       </v>
          </cell>
          <cell r="O8856">
            <v>270</v>
          </cell>
        </row>
        <row r="8857">
          <cell r="F8857" t="str">
            <v xml:space="preserve">66676270       </v>
          </cell>
          <cell r="O8857">
            <v>90</v>
          </cell>
        </row>
        <row r="8858">
          <cell r="F8858" t="str">
            <v xml:space="preserve">94228120       </v>
          </cell>
          <cell r="O8858">
            <v>45</v>
          </cell>
        </row>
        <row r="8859">
          <cell r="F8859" t="str">
            <v xml:space="preserve">94228120       </v>
          </cell>
          <cell r="O8859">
            <v>594</v>
          </cell>
        </row>
        <row r="8860">
          <cell r="F8860" t="str">
            <v xml:space="preserve">94228120       </v>
          </cell>
          <cell r="O8860">
            <v>4.5</v>
          </cell>
        </row>
        <row r="8861">
          <cell r="F8861" t="str">
            <v xml:space="preserve">94228120       </v>
          </cell>
          <cell r="O8861">
            <v>162</v>
          </cell>
        </row>
        <row r="8862">
          <cell r="F8862" t="str">
            <v xml:space="preserve">94228120       </v>
          </cell>
          <cell r="O8862">
            <v>180</v>
          </cell>
        </row>
        <row r="8863">
          <cell r="F8863" t="str">
            <v xml:space="preserve">94228120       </v>
          </cell>
          <cell r="O8863">
            <v>30</v>
          </cell>
        </row>
        <row r="8864">
          <cell r="F8864" t="str">
            <v xml:space="preserve">15896671       </v>
          </cell>
          <cell r="O8864">
            <v>450</v>
          </cell>
        </row>
        <row r="8865">
          <cell r="F8865" t="str">
            <v xml:space="preserve">15896671       </v>
          </cell>
          <cell r="O8865">
            <v>90</v>
          </cell>
        </row>
        <row r="8866">
          <cell r="F8866" t="str">
            <v xml:space="preserve">66679645       </v>
          </cell>
          <cell r="O8866">
            <v>45</v>
          </cell>
        </row>
        <row r="8867">
          <cell r="F8867" t="str">
            <v xml:space="preserve">66679645       </v>
          </cell>
          <cell r="O8867">
            <v>180</v>
          </cell>
        </row>
        <row r="8868">
          <cell r="F8868" t="str">
            <v xml:space="preserve">66679645       </v>
          </cell>
          <cell r="O8868">
            <v>75</v>
          </cell>
        </row>
        <row r="8869">
          <cell r="F8869" t="str">
            <v xml:space="preserve">24835836       </v>
          </cell>
          <cell r="O8869">
            <v>195</v>
          </cell>
        </row>
        <row r="8870">
          <cell r="F8870" t="str">
            <v xml:space="preserve">24835836       </v>
          </cell>
          <cell r="O8870">
            <v>36</v>
          </cell>
        </row>
        <row r="8871">
          <cell r="F8871" t="str">
            <v xml:space="preserve">16225675       </v>
          </cell>
          <cell r="O8871">
            <v>9</v>
          </cell>
        </row>
        <row r="8872">
          <cell r="F8872" t="str">
            <v xml:space="preserve">16225675       </v>
          </cell>
          <cell r="O8872">
            <v>450</v>
          </cell>
        </row>
        <row r="8873">
          <cell r="F8873" t="str">
            <v xml:space="preserve">16225675       </v>
          </cell>
          <cell r="O8873">
            <v>126</v>
          </cell>
        </row>
        <row r="8874">
          <cell r="F8874" t="str">
            <v xml:space="preserve">805005148      </v>
          </cell>
          <cell r="O8874">
            <v>792</v>
          </cell>
        </row>
        <row r="8875">
          <cell r="F8875" t="str">
            <v xml:space="preserve">805005148      </v>
          </cell>
          <cell r="O8875">
            <v>45</v>
          </cell>
        </row>
        <row r="8876">
          <cell r="F8876" t="str">
            <v xml:space="preserve">805005148      </v>
          </cell>
          <cell r="O8876">
            <v>135</v>
          </cell>
        </row>
        <row r="8877">
          <cell r="F8877" t="str">
            <v xml:space="preserve">805005148      </v>
          </cell>
          <cell r="O8877">
            <v>1008</v>
          </cell>
        </row>
        <row r="8878">
          <cell r="F8878" t="str">
            <v xml:space="preserve">10303909       </v>
          </cell>
          <cell r="O8878">
            <v>630</v>
          </cell>
        </row>
        <row r="8879">
          <cell r="F8879" t="str">
            <v xml:space="preserve">76323227       </v>
          </cell>
          <cell r="O8879">
            <v>30</v>
          </cell>
        </row>
        <row r="8880">
          <cell r="F8880" t="str">
            <v xml:space="preserve">76323227       </v>
          </cell>
          <cell r="O8880">
            <v>3528</v>
          </cell>
        </row>
        <row r="8881">
          <cell r="F8881" t="str">
            <v xml:space="preserve">76323227       </v>
          </cell>
          <cell r="O8881">
            <v>2250</v>
          </cell>
        </row>
        <row r="8882">
          <cell r="F8882" t="str">
            <v xml:space="preserve">10532222       </v>
          </cell>
          <cell r="O8882">
            <v>15</v>
          </cell>
        </row>
        <row r="8883">
          <cell r="F8883" t="str">
            <v xml:space="preserve">10532222       </v>
          </cell>
          <cell r="O8883">
            <v>162</v>
          </cell>
        </row>
        <row r="8884">
          <cell r="F8884" t="str">
            <v xml:space="preserve">10532222       </v>
          </cell>
          <cell r="O8884">
            <v>90</v>
          </cell>
        </row>
        <row r="8885">
          <cell r="F8885" t="str">
            <v xml:space="preserve">12168724       </v>
          </cell>
          <cell r="O8885">
            <v>936</v>
          </cell>
        </row>
        <row r="8886">
          <cell r="F8886" t="str">
            <v xml:space="preserve">10292388       </v>
          </cell>
          <cell r="O8886">
            <v>306</v>
          </cell>
        </row>
        <row r="8887">
          <cell r="F8887" t="str">
            <v xml:space="preserve">10292388       </v>
          </cell>
          <cell r="O8887">
            <v>45</v>
          </cell>
        </row>
        <row r="8888">
          <cell r="F8888" t="str">
            <v xml:space="preserve">10292388       </v>
          </cell>
          <cell r="O8888">
            <v>45</v>
          </cell>
        </row>
        <row r="8889">
          <cell r="F8889" t="str">
            <v xml:space="preserve">9900047        </v>
          </cell>
          <cell r="O8889">
            <v>60</v>
          </cell>
        </row>
        <row r="8890">
          <cell r="F8890" t="str">
            <v xml:space="preserve">9900047        </v>
          </cell>
          <cell r="O8890">
            <v>54</v>
          </cell>
        </row>
        <row r="8891">
          <cell r="F8891" t="str">
            <v xml:space="preserve">18389245       </v>
          </cell>
          <cell r="O8891">
            <v>225</v>
          </cell>
        </row>
        <row r="8892">
          <cell r="F8892" t="str">
            <v xml:space="preserve">18389245       </v>
          </cell>
          <cell r="O8892">
            <v>90</v>
          </cell>
        </row>
        <row r="8893">
          <cell r="F8893" t="str">
            <v xml:space="preserve">4613715        </v>
          </cell>
          <cell r="O8893">
            <v>9</v>
          </cell>
        </row>
        <row r="8894">
          <cell r="F8894" t="str">
            <v xml:space="preserve">4613715        </v>
          </cell>
          <cell r="O8894">
            <v>435</v>
          </cell>
        </row>
        <row r="8895">
          <cell r="F8895" t="str">
            <v xml:space="preserve">4613715        </v>
          </cell>
          <cell r="O8895">
            <v>288</v>
          </cell>
        </row>
        <row r="8896">
          <cell r="F8896" t="str">
            <v xml:space="preserve">4613715        </v>
          </cell>
          <cell r="O8896">
            <v>45</v>
          </cell>
        </row>
        <row r="8897">
          <cell r="F8897" t="str">
            <v xml:space="preserve">6110295        </v>
          </cell>
          <cell r="O8897">
            <v>9</v>
          </cell>
        </row>
        <row r="8898">
          <cell r="F8898" t="str">
            <v xml:space="preserve">6110295        </v>
          </cell>
          <cell r="O8898">
            <v>360</v>
          </cell>
        </row>
        <row r="8899">
          <cell r="F8899" t="str">
            <v xml:space="preserve">6110295        </v>
          </cell>
          <cell r="O8899">
            <v>288</v>
          </cell>
        </row>
        <row r="8900">
          <cell r="F8900" t="str">
            <v xml:space="preserve">6110295        </v>
          </cell>
          <cell r="O8900">
            <v>135</v>
          </cell>
        </row>
        <row r="8901">
          <cell r="F8901" t="str">
            <v xml:space="preserve">805005148      </v>
          </cell>
          <cell r="O8901">
            <v>45</v>
          </cell>
        </row>
        <row r="8902">
          <cell r="F8902" t="str">
            <v xml:space="preserve">805005148      </v>
          </cell>
          <cell r="O8902">
            <v>180</v>
          </cell>
        </row>
        <row r="8903">
          <cell r="F8903" t="str">
            <v xml:space="preserve">805005148      </v>
          </cell>
          <cell r="O8903">
            <v>4734</v>
          </cell>
        </row>
        <row r="8904">
          <cell r="F8904" t="str">
            <v xml:space="preserve">805005148      </v>
          </cell>
          <cell r="O8904">
            <v>1260</v>
          </cell>
        </row>
        <row r="8905">
          <cell r="F8905" t="str">
            <v xml:space="preserve">805005148      </v>
          </cell>
          <cell r="O8905">
            <v>13.5</v>
          </cell>
        </row>
        <row r="8906">
          <cell r="F8906" t="str">
            <v xml:space="preserve">10488839       </v>
          </cell>
          <cell r="O8906">
            <v>4.5</v>
          </cell>
        </row>
        <row r="8907">
          <cell r="F8907" t="str">
            <v xml:space="preserve">10488839       </v>
          </cell>
          <cell r="O8907">
            <v>9</v>
          </cell>
        </row>
        <row r="8908">
          <cell r="F8908" t="str">
            <v xml:space="preserve">10488839       </v>
          </cell>
          <cell r="O8908">
            <v>30</v>
          </cell>
        </row>
        <row r="8909">
          <cell r="F8909" t="str">
            <v xml:space="preserve">10488839       </v>
          </cell>
          <cell r="O8909">
            <v>45</v>
          </cell>
        </row>
        <row r="8910">
          <cell r="F8910" t="str">
            <v xml:space="preserve">10488839       </v>
          </cell>
          <cell r="O8910">
            <v>1080</v>
          </cell>
        </row>
        <row r="8911">
          <cell r="F8911" t="str">
            <v xml:space="preserve">16843578       </v>
          </cell>
          <cell r="O8911">
            <v>1800</v>
          </cell>
        </row>
        <row r="8912">
          <cell r="F8912" t="str">
            <v xml:space="preserve">16843578       </v>
          </cell>
          <cell r="O8912">
            <v>45</v>
          </cell>
        </row>
        <row r="8913">
          <cell r="F8913" t="str">
            <v xml:space="preserve">900034686      </v>
          </cell>
          <cell r="O8913">
            <v>15</v>
          </cell>
        </row>
        <row r="8914">
          <cell r="F8914" t="str">
            <v xml:space="preserve">900034686      </v>
          </cell>
          <cell r="O8914">
            <v>90</v>
          </cell>
        </row>
        <row r="8915">
          <cell r="F8915" t="str">
            <v xml:space="preserve">10484782       </v>
          </cell>
          <cell r="O8915">
            <v>126</v>
          </cell>
        </row>
        <row r="8916">
          <cell r="F8916" t="str">
            <v xml:space="preserve">10484782       </v>
          </cell>
          <cell r="O8916">
            <v>2610</v>
          </cell>
        </row>
        <row r="8917">
          <cell r="F8917" t="str">
            <v xml:space="preserve">16849293       </v>
          </cell>
          <cell r="O8917">
            <v>30</v>
          </cell>
        </row>
        <row r="8918">
          <cell r="F8918" t="str">
            <v xml:space="preserve">16849293       </v>
          </cell>
          <cell r="O8918">
            <v>198</v>
          </cell>
        </row>
        <row r="8919">
          <cell r="F8919" t="str">
            <v xml:space="preserve">10555516       </v>
          </cell>
          <cell r="O8919">
            <v>15</v>
          </cell>
        </row>
        <row r="8920">
          <cell r="F8920" t="str">
            <v xml:space="preserve">10555516       </v>
          </cell>
          <cell r="O8920">
            <v>540</v>
          </cell>
        </row>
        <row r="8921">
          <cell r="F8921" t="str">
            <v xml:space="preserve">10555516       </v>
          </cell>
          <cell r="O8921">
            <v>45</v>
          </cell>
        </row>
        <row r="8922">
          <cell r="F8922" t="str">
            <v xml:space="preserve">900444531      </v>
          </cell>
          <cell r="O8922">
            <v>108</v>
          </cell>
        </row>
        <row r="8923">
          <cell r="F8923" t="str">
            <v xml:space="preserve">14229215       </v>
          </cell>
          <cell r="O8923">
            <v>540</v>
          </cell>
        </row>
        <row r="8924">
          <cell r="F8924" t="str">
            <v xml:space="preserve">14229215       </v>
          </cell>
          <cell r="O8924">
            <v>45</v>
          </cell>
        </row>
        <row r="8925">
          <cell r="F8925" t="str">
            <v xml:space="preserve">93152963       </v>
          </cell>
          <cell r="O8925">
            <v>180</v>
          </cell>
        </row>
        <row r="8926">
          <cell r="F8926" t="str">
            <v xml:space="preserve">93152963       </v>
          </cell>
          <cell r="O8926">
            <v>750</v>
          </cell>
        </row>
        <row r="8927">
          <cell r="F8927" t="str">
            <v xml:space="preserve">93152963       </v>
          </cell>
          <cell r="O8927">
            <v>1080</v>
          </cell>
        </row>
        <row r="8928">
          <cell r="F8928" t="str">
            <v xml:space="preserve">93152963       </v>
          </cell>
          <cell r="O8928">
            <v>450</v>
          </cell>
        </row>
        <row r="8929">
          <cell r="F8929" t="str">
            <v xml:space="preserve">91360601       </v>
          </cell>
          <cell r="O8929">
            <v>45</v>
          </cell>
        </row>
        <row r="8930">
          <cell r="F8930" t="str">
            <v xml:space="preserve">91360601       </v>
          </cell>
          <cell r="O8930">
            <v>1152</v>
          </cell>
        </row>
        <row r="8931">
          <cell r="F8931" t="str">
            <v xml:space="preserve">91360601       </v>
          </cell>
          <cell r="O8931">
            <v>450</v>
          </cell>
        </row>
        <row r="8932">
          <cell r="F8932" t="str">
            <v xml:space="preserve">18385749       </v>
          </cell>
          <cell r="O8932">
            <v>30</v>
          </cell>
        </row>
        <row r="8933">
          <cell r="F8933" t="str">
            <v xml:space="preserve">18385749       </v>
          </cell>
          <cell r="O8933">
            <v>306</v>
          </cell>
        </row>
        <row r="8934">
          <cell r="F8934" t="str">
            <v xml:space="preserve">18385749       </v>
          </cell>
          <cell r="O8934">
            <v>675</v>
          </cell>
        </row>
        <row r="8935">
          <cell r="F8935" t="str">
            <v xml:space="preserve">79824837       </v>
          </cell>
          <cell r="O8935">
            <v>450</v>
          </cell>
        </row>
        <row r="8936">
          <cell r="F8936" t="str">
            <v xml:space="preserve">79824837       </v>
          </cell>
          <cell r="O8936">
            <v>90</v>
          </cell>
        </row>
        <row r="8937">
          <cell r="F8937" t="str">
            <v xml:space="preserve">79824837       </v>
          </cell>
          <cell r="O8937">
            <v>1872</v>
          </cell>
        </row>
        <row r="8938">
          <cell r="F8938" t="str">
            <v xml:space="preserve">79824837       </v>
          </cell>
          <cell r="O8938">
            <v>450</v>
          </cell>
        </row>
        <row r="8939">
          <cell r="F8939" t="str">
            <v xml:space="preserve">1074130475     </v>
          </cell>
          <cell r="O8939">
            <v>1080</v>
          </cell>
        </row>
        <row r="8940">
          <cell r="F8940" t="str">
            <v xml:space="preserve">1074130475     </v>
          </cell>
          <cell r="O8940">
            <v>135</v>
          </cell>
        </row>
        <row r="8941">
          <cell r="F8941" t="str">
            <v xml:space="preserve">3273085        </v>
          </cell>
          <cell r="O8941">
            <v>30</v>
          </cell>
        </row>
        <row r="8942">
          <cell r="F8942" t="str">
            <v xml:space="preserve">3273085        </v>
          </cell>
          <cell r="O8942">
            <v>1062</v>
          </cell>
        </row>
        <row r="8943">
          <cell r="F8943" t="str">
            <v xml:space="preserve">3273085        </v>
          </cell>
          <cell r="O8943">
            <v>360</v>
          </cell>
        </row>
        <row r="8944">
          <cell r="F8944" t="str">
            <v xml:space="preserve">6667772        </v>
          </cell>
          <cell r="O8944">
            <v>90</v>
          </cell>
        </row>
        <row r="8945">
          <cell r="F8945" t="str">
            <v xml:space="preserve">6667772        </v>
          </cell>
          <cell r="O8945">
            <v>1200</v>
          </cell>
        </row>
        <row r="8946">
          <cell r="F8946" t="str">
            <v xml:space="preserve">6667772        </v>
          </cell>
          <cell r="O8946">
            <v>1440</v>
          </cell>
        </row>
        <row r="8947">
          <cell r="F8947" t="str">
            <v xml:space="preserve">6667772        </v>
          </cell>
          <cell r="O8947">
            <v>810</v>
          </cell>
        </row>
        <row r="8948">
          <cell r="F8948" t="str">
            <v xml:space="preserve">6667772        </v>
          </cell>
          <cell r="O8948">
            <v>45</v>
          </cell>
        </row>
        <row r="8949">
          <cell r="F8949" t="str">
            <v xml:space="preserve">6667772        </v>
          </cell>
          <cell r="O8949">
            <v>18</v>
          </cell>
        </row>
        <row r="8950">
          <cell r="F8950" t="str">
            <v xml:space="preserve">6667772        </v>
          </cell>
          <cell r="O8950">
            <v>300</v>
          </cell>
        </row>
        <row r="8951">
          <cell r="F8951" t="str">
            <v xml:space="preserve">6667772        </v>
          </cell>
          <cell r="O8951">
            <v>360</v>
          </cell>
        </row>
        <row r="8952">
          <cell r="F8952" t="str">
            <v xml:space="preserve">6667772        </v>
          </cell>
          <cell r="O8952">
            <v>855</v>
          </cell>
        </row>
        <row r="8953">
          <cell r="F8953" t="str">
            <v xml:space="preserve">6667772        </v>
          </cell>
          <cell r="O8953">
            <v>90</v>
          </cell>
        </row>
        <row r="8954">
          <cell r="F8954" t="str">
            <v xml:space="preserve">900459366      </v>
          </cell>
          <cell r="O8954">
            <v>18</v>
          </cell>
        </row>
        <row r="8955">
          <cell r="F8955" t="str">
            <v xml:space="preserve">900459366      </v>
          </cell>
          <cell r="O8955">
            <v>45</v>
          </cell>
        </row>
        <row r="8956">
          <cell r="F8956" t="str">
            <v xml:space="preserve">900459366      </v>
          </cell>
          <cell r="O8956">
            <v>1620</v>
          </cell>
        </row>
        <row r="8957">
          <cell r="F8957" t="str">
            <v xml:space="preserve">900459366      </v>
          </cell>
          <cell r="O8957">
            <v>450</v>
          </cell>
        </row>
        <row r="8958">
          <cell r="F8958" t="str">
            <v xml:space="preserve">71312536       </v>
          </cell>
          <cell r="O8958">
            <v>27</v>
          </cell>
        </row>
        <row r="8959">
          <cell r="F8959" t="str">
            <v xml:space="preserve">71312536       </v>
          </cell>
          <cell r="O8959">
            <v>540</v>
          </cell>
        </row>
        <row r="8960">
          <cell r="F8960" t="str">
            <v xml:space="preserve">71312536       </v>
          </cell>
          <cell r="O8960">
            <v>108</v>
          </cell>
        </row>
        <row r="8961">
          <cell r="F8961" t="str">
            <v xml:space="preserve">71215358       </v>
          </cell>
          <cell r="O8961">
            <v>180</v>
          </cell>
        </row>
        <row r="8962">
          <cell r="F8962" t="str">
            <v xml:space="preserve">71215358       </v>
          </cell>
          <cell r="O8962">
            <v>270</v>
          </cell>
        </row>
        <row r="8963">
          <cell r="F8963" t="str">
            <v xml:space="preserve">71215358       </v>
          </cell>
          <cell r="O8963">
            <v>4.5</v>
          </cell>
        </row>
        <row r="8964">
          <cell r="F8964" t="str">
            <v xml:space="preserve">71215358       </v>
          </cell>
          <cell r="O8964">
            <v>27</v>
          </cell>
        </row>
        <row r="8965">
          <cell r="F8965" t="str">
            <v xml:space="preserve">71215358       </v>
          </cell>
          <cell r="O8965">
            <v>45</v>
          </cell>
        </row>
        <row r="8966">
          <cell r="F8966" t="str">
            <v xml:space="preserve">71215358       </v>
          </cell>
          <cell r="O8966">
            <v>252</v>
          </cell>
        </row>
        <row r="8967">
          <cell r="F8967" t="str">
            <v xml:space="preserve">71215358       </v>
          </cell>
          <cell r="O8967">
            <v>270</v>
          </cell>
        </row>
        <row r="8968">
          <cell r="F8968" t="str">
            <v xml:space="preserve">91179385       </v>
          </cell>
          <cell r="O8968">
            <v>648</v>
          </cell>
        </row>
        <row r="8969">
          <cell r="F8969" t="str">
            <v xml:space="preserve">91179385       </v>
          </cell>
          <cell r="O8969">
            <v>135</v>
          </cell>
        </row>
        <row r="8970">
          <cell r="F8970" t="str">
            <v xml:space="preserve">88275004       </v>
          </cell>
          <cell r="O8970">
            <v>1500</v>
          </cell>
        </row>
        <row r="8971">
          <cell r="F8971" t="str">
            <v xml:space="preserve">88275004       </v>
          </cell>
          <cell r="O8971">
            <v>360</v>
          </cell>
        </row>
        <row r="8972">
          <cell r="F8972" t="str">
            <v xml:space="preserve">79384689       </v>
          </cell>
          <cell r="O8972">
            <v>180</v>
          </cell>
        </row>
        <row r="8973">
          <cell r="F8973" t="str">
            <v xml:space="preserve">79384689       </v>
          </cell>
          <cell r="O8973">
            <v>45</v>
          </cell>
        </row>
        <row r="8974">
          <cell r="F8974" t="str">
            <v xml:space="preserve">13494934       </v>
          </cell>
          <cell r="O8974">
            <v>450</v>
          </cell>
        </row>
        <row r="8975">
          <cell r="F8975" t="str">
            <v xml:space="preserve">13494934       </v>
          </cell>
          <cell r="O8975">
            <v>18</v>
          </cell>
        </row>
        <row r="8976">
          <cell r="F8976" t="str">
            <v xml:space="preserve">13494934       </v>
          </cell>
          <cell r="O8976">
            <v>270</v>
          </cell>
        </row>
        <row r="8977">
          <cell r="F8977" t="str">
            <v xml:space="preserve">13494934       </v>
          </cell>
          <cell r="O8977">
            <v>180</v>
          </cell>
        </row>
        <row r="8978">
          <cell r="F8978" t="str">
            <v xml:space="preserve">13494934       </v>
          </cell>
          <cell r="O8978">
            <v>45</v>
          </cell>
        </row>
        <row r="8979">
          <cell r="F8979" t="str">
            <v xml:space="preserve">88188644       </v>
          </cell>
          <cell r="O8979">
            <v>660</v>
          </cell>
        </row>
        <row r="8980">
          <cell r="F8980" t="str">
            <v xml:space="preserve">88188644       </v>
          </cell>
          <cell r="O8980">
            <v>270</v>
          </cell>
        </row>
        <row r="8981">
          <cell r="F8981" t="str">
            <v xml:space="preserve">1117502076     </v>
          </cell>
          <cell r="O8981">
            <v>378</v>
          </cell>
        </row>
        <row r="8982">
          <cell r="F8982" t="str">
            <v xml:space="preserve">91451576       </v>
          </cell>
          <cell r="O8982">
            <v>270</v>
          </cell>
        </row>
        <row r="8983">
          <cell r="F8983" t="str">
            <v xml:space="preserve">91451576       </v>
          </cell>
          <cell r="O8983">
            <v>180</v>
          </cell>
        </row>
        <row r="8984">
          <cell r="F8984" t="str">
            <v xml:space="preserve">5689927        </v>
          </cell>
          <cell r="O8984">
            <v>738</v>
          </cell>
        </row>
        <row r="8985">
          <cell r="F8985" t="str">
            <v xml:space="preserve">5689927        </v>
          </cell>
          <cell r="O8985">
            <v>270</v>
          </cell>
        </row>
        <row r="8986">
          <cell r="F8986" t="str">
            <v xml:space="preserve">91266362       </v>
          </cell>
          <cell r="O8986">
            <v>162</v>
          </cell>
        </row>
        <row r="8987">
          <cell r="F8987" t="str">
            <v xml:space="preserve">91179643       </v>
          </cell>
          <cell r="O8987">
            <v>90</v>
          </cell>
        </row>
        <row r="8988">
          <cell r="F8988" t="str">
            <v xml:space="preserve">91178985       </v>
          </cell>
          <cell r="O8988">
            <v>2535</v>
          </cell>
        </row>
        <row r="8989">
          <cell r="F8989" t="str">
            <v xml:space="preserve">91178985       </v>
          </cell>
          <cell r="O8989">
            <v>900</v>
          </cell>
        </row>
        <row r="8990">
          <cell r="F8990" t="str">
            <v xml:space="preserve">91178985       </v>
          </cell>
          <cell r="O8990">
            <v>135</v>
          </cell>
        </row>
        <row r="8991">
          <cell r="F8991" t="str">
            <v xml:space="preserve">890503966      </v>
          </cell>
          <cell r="O8991">
            <v>3360</v>
          </cell>
        </row>
        <row r="8992">
          <cell r="F8992" t="str">
            <v xml:space="preserve">890503966      </v>
          </cell>
          <cell r="O8992">
            <v>540</v>
          </cell>
        </row>
        <row r="8993">
          <cell r="F8993" t="str">
            <v xml:space="preserve">890503966      </v>
          </cell>
          <cell r="O8993">
            <v>1125</v>
          </cell>
        </row>
        <row r="8994">
          <cell r="F8994" t="str">
            <v xml:space="preserve">890503966      </v>
          </cell>
          <cell r="O8994">
            <v>90</v>
          </cell>
        </row>
        <row r="8995">
          <cell r="F8995" t="str">
            <v xml:space="preserve">91222539       </v>
          </cell>
          <cell r="O8995">
            <v>300</v>
          </cell>
        </row>
        <row r="8996">
          <cell r="F8996" t="str">
            <v xml:space="preserve">91222539       </v>
          </cell>
          <cell r="O8996">
            <v>1260</v>
          </cell>
        </row>
        <row r="8997">
          <cell r="F8997" t="str">
            <v xml:space="preserve">91222539       </v>
          </cell>
          <cell r="O8997">
            <v>360</v>
          </cell>
        </row>
        <row r="8998">
          <cell r="F8998" t="str">
            <v xml:space="preserve">91222539       </v>
          </cell>
          <cell r="O8998">
            <v>360</v>
          </cell>
        </row>
        <row r="8999">
          <cell r="F8999" t="str">
            <v xml:space="preserve">13702886       </v>
          </cell>
          <cell r="O8999">
            <v>300</v>
          </cell>
        </row>
        <row r="9000">
          <cell r="F9000" t="str">
            <v xml:space="preserve">13702886       </v>
          </cell>
          <cell r="O9000">
            <v>162</v>
          </cell>
        </row>
        <row r="9001">
          <cell r="F9001" t="str">
            <v xml:space="preserve">13702886       </v>
          </cell>
          <cell r="O9001">
            <v>180</v>
          </cell>
        </row>
        <row r="9002">
          <cell r="F9002" t="str">
            <v xml:space="preserve">91067422       </v>
          </cell>
          <cell r="O9002">
            <v>195</v>
          </cell>
        </row>
        <row r="9003">
          <cell r="F9003" t="str">
            <v xml:space="preserve">91067422       </v>
          </cell>
          <cell r="O9003">
            <v>18</v>
          </cell>
        </row>
        <row r="9004">
          <cell r="F9004" t="str">
            <v xml:space="preserve">91067422       </v>
          </cell>
          <cell r="O9004">
            <v>45</v>
          </cell>
        </row>
        <row r="9005">
          <cell r="F9005" t="str">
            <v xml:space="preserve">91067422       </v>
          </cell>
          <cell r="O9005">
            <v>90</v>
          </cell>
        </row>
        <row r="9006">
          <cell r="F9006" t="str">
            <v xml:space="preserve">91067422       </v>
          </cell>
          <cell r="O9006">
            <v>90</v>
          </cell>
        </row>
        <row r="9007">
          <cell r="F9007" t="str">
            <v xml:space="preserve">91067422       </v>
          </cell>
          <cell r="O9007">
            <v>18</v>
          </cell>
        </row>
        <row r="9008">
          <cell r="F9008" t="str">
            <v xml:space="preserve">91272730       </v>
          </cell>
          <cell r="O9008">
            <v>54</v>
          </cell>
        </row>
        <row r="9009">
          <cell r="F9009" t="str">
            <v xml:space="preserve">91272730       </v>
          </cell>
          <cell r="O9009">
            <v>135</v>
          </cell>
        </row>
        <row r="9010">
          <cell r="F9010" t="str">
            <v xml:space="preserve">91272730       </v>
          </cell>
          <cell r="O9010">
            <v>360</v>
          </cell>
        </row>
        <row r="9011">
          <cell r="F9011" t="str">
            <v xml:space="preserve">91272730       </v>
          </cell>
          <cell r="O9011">
            <v>90</v>
          </cell>
        </row>
        <row r="9012">
          <cell r="F9012" t="str">
            <v xml:space="preserve">13701254       </v>
          </cell>
          <cell r="O9012">
            <v>750</v>
          </cell>
        </row>
        <row r="9013">
          <cell r="F9013" t="str">
            <v xml:space="preserve">13701254       </v>
          </cell>
          <cell r="O9013">
            <v>90</v>
          </cell>
        </row>
        <row r="9014">
          <cell r="F9014" t="str">
            <v xml:space="preserve">13701254       </v>
          </cell>
          <cell r="O9014">
            <v>540</v>
          </cell>
        </row>
        <row r="9015">
          <cell r="F9015" t="str">
            <v xml:space="preserve">13701254       </v>
          </cell>
          <cell r="O9015">
            <v>45</v>
          </cell>
        </row>
        <row r="9016">
          <cell r="F9016" t="str">
            <v xml:space="preserve">78112896       </v>
          </cell>
          <cell r="O9016">
            <v>45</v>
          </cell>
        </row>
        <row r="9017">
          <cell r="F9017" t="str">
            <v xml:space="preserve">78112896       </v>
          </cell>
          <cell r="O9017">
            <v>1800</v>
          </cell>
        </row>
        <row r="9018">
          <cell r="F9018" t="str">
            <v xml:space="preserve">901096204      </v>
          </cell>
          <cell r="O9018">
            <v>9</v>
          </cell>
        </row>
        <row r="9019">
          <cell r="F9019" t="str">
            <v xml:space="preserve">901096204      </v>
          </cell>
          <cell r="O9019">
            <v>9</v>
          </cell>
        </row>
        <row r="9020">
          <cell r="F9020" t="str">
            <v xml:space="preserve">901096204      </v>
          </cell>
          <cell r="O9020">
            <v>1800</v>
          </cell>
        </row>
        <row r="9021">
          <cell r="F9021" t="str">
            <v xml:space="preserve">901096204      </v>
          </cell>
          <cell r="O9021">
            <v>270</v>
          </cell>
        </row>
        <row r="9022">
          <cell r="F9022" t="str">
            <v xml:space="preserve">901096204      </v>
          </cell>
          <cell r="O9022">
            <v>60</v>
          </cell>
        </row>
        <row r="9023">
          <cell r="F9023" t="str">
            <v xml:space="preserve">85477397       </v>
          </cell>
          <cell r="O9023">
            <v>1125</v>
          </cell>
        </row>
        <row r="9024">
          <cell r="F9024" t="str">
            <v xml:space="preserve">85477397       </v>
          </cell>
          <cell r="O9024">
            <v>1425</v>
          </cell>
        </row>
        <row r="9025">
          <cell r="F9025" t="str">
            <v xml:space="preserve">17842923       </v>
          </cell>
          <cell r="O9025">
            <v>1470</v>
          </cell>
        </row>
        <row r="9026">
          <cell r="F9026" t="str">
            <v xml:space="preserve">17842923       </v>
          </cell>
          <cell r="O9026">
            <v>810</v>
          </cell>
        </row>
        <row r="9027">
          <cell r="F9027" t="str">
            <v xml:space="preserve">17842923       </v>
          </cell>
          <cell r="O9027">
            <v>360</v>
          </cell>
        </row>
        <row r="9028">
          <cell r="F9028" t="str">
            <v xml:space="preserve">18916872       </v>
          </cell>
          <cell r="O9028">
            <v>2280</v>
          </cell>
        </row>
        <row r="9029">
          <cell r="F9029" t="str">
            <v xml:space="preserve">77191750       </v>
          </cell>
          <cell r="O9029">
            <v>684</v>
          </cell>
        </row>
        <row r="9030">
          <cell r="F9030" t="str">
            <v xml:space="preserve">91177584       </v>
          </cell>
          <cell r="O9030">
            <v>1935</v>
          </cell>
        </row>
        <row r="9031">
          <cell r="F9031" t="str">
            <v xml:space="preserve">91177584       </v>
          </cell>
          <cell r="O9031">
            <v>405</v>
          </cell>
        </row>
        <row r="9032">
          <cell r="F9032" t="str">
            <v xml:space="preserve">91177584       </v>
          </cell>
          <cell r="O9032">
            <v>2010</v>
          </cell>
        </row>
        <row r="9033">
          <cell r="F9033" t="str">
            <v xml:space="preserve">91177584       </v>
          </cell>
          <cell r="O9033">
            <v>1116</v>
          </cell>
        </row>
        <row r="9034">
          <cell r="F9034" t="str">
            <v xml:space="preserve">91177584       </v>
          </cell>
          <cell r="O9034">
            <v>135</v>
          </cell>
        </row>
        <row r="9035">
          <cell r="F9035" t="str">
            <v xml:space="preserve">91213004       </v>
          </cell>
          <cell r="O9035">
            <v>150</v>
          </cell>
        </row>
        <row r="9036">
          <cell r="F9036" t="str">
            <v xml:space="preserve">91213004       </v>
          </cell>
          <cell r="O9036">
            <v>900</v>
          </cell>
        </row>
        <row r="9037">
          <cell r="F9037" t="str">
            <v xml:space="preserve">72196317       </v>
          </cell>
          <cell r="O9037">
            <v>54</v>
          </cell>
        </row>
        <row r="9038">
          <cell r="F9038" t="str">
            <v xml:space="preserve">72196317       </v>
          </cell>
          <cell r="O9038">
            <v>750</v>
          </cell>
        </row>
        <row r="9039">
          <cell r="F9039" t="str">
            <v xml:space="preserve">72196317       </v>
          </cell>
          <cell r="O9039">
            <v>198</v>
          </cell>
        </row>
        <row r="9040">
          <cell r="F9040" t="str">
            <v xml:space="preserve">72196317       </v>
          </cell>
          <cell r="O9040">
            <v>180</v>
          </cell>
        </row>
        <row r="9041">
          <cell r="F9041" t="str">
            <v xml:space="preserve">72196317       </v>
          </cell>
          <cell r="O9041">
            <v>300</v>
          </cell>
        </row>
        <row r="9042">
          <cell r="F9042" t="str">
            <v xml:space="preserve">72196317       </v>
          </cell>
          <cell r="O9042">
            <v>270</v>
          </cell>
        </row>
        <row r="9043">
          <cell r="F9043" t="str">
            <v xml:space="preserve">73079740       </v>
          </cell>
          <cell r="O9043">
            <v>4.5</v>
          </cell>
        </row>
        <row r="9044">
          <cell r="F9044" t="str">
            <v xml:space="preserve">73079740       </v>
          </cell>
          <cell r="O9044">
            <v>468</v>
          </cell>
        </row>
        <row r="9045">
          <cell r="F9045" t="str">
            <v xml:space="preserve">73079740       </v>
          </cell>
          <cell r="O9045">
            <v>90</v>
          </cell>
        </row>
        <row r="9046">
          <cell r="F9046" t="str">
            <v xml:space="preserve">15047548       </v>
          </cell>
          <cell r="O9046">
            <v>90</v>
          </cell>
        </row>
        <row r="9047">
          <cell r="F9047" t="str">
            <v xml:space="preserve">15047548       </v>
          </cell>
          <cell r="O9047">
            <v>594</v>
          </cell>
        </row>
        <row r="9048">
          <cell r="F9048" t="str">
            <v xml:space="preserve">15047548       </v>
          </cell>
          <cell r="O9048">
            <v>15</v>
          </cell>
        </row>
        <row r="9049">
          <cell r="F9049" t="str">
            <v xml:space="preserve">15047548       </v>
          </cell>
          <cell r="O9049">
            <v>432</v>
          </cell>
        </row>
        <row r="9050">
          <cell r="F9050" t="str">
            <v xml:space="preserve">79827688       </v>
          </cell>
          <cell r="O9050">
            <v>9</v>
          </cell>
        </row>
        <row r="9051">
          <cell r="F9051" t="str">
            <v xml:space="preserve">79827688       </v>
          </cell>
          <cell r="O9051">
            <v>90</v>
          </cell>
        </row>
        <row r="9052">
          <cell r="F9052" t="str">
            <v xml:space="preserve">79827688       </v>
          </cell>
          <cell r="O9052">
            <v>90</v>
          </cell>
        </row>
        <row r="9053">
          <cell r="F9053" t="str">
            <v xml:space="preserve">79827688       </v>
          </cell>
          <cell r="O9053">
            <v>216</v>
          </cell>
        </row>
        <row r="9054">
          <cell r="F9054" t="str">
            <v xml:space="preserve">79827688       </v>
          </cell>
          <cell r="O9054">
            <v>90</v>
          </cell>
        </row>
        <row r="9055">
          <cell r="F9055" t="str">
            <v xml:space="preserve">79827688       </v>
          </cell>
          <cell r="O9055">
            <v>45</v>
          </cell>
        </row>
        <row r="9056">
          <cell r="F9056" t="str">
            <v xml:space="preserve">79827688       </v>
          </cell>
          <cell r="O9056">
            <v>120</v>
          </cell>
        </row>
        <row r="9057">
          <cell r="F9057" t="str">
            <v xml:space="preserve">79827688       </v>
          </cell>
          <cell r="O9057">
            <v>324</v>
          </cell>
        </row>
        <row r="9058">
          <cell r="F9058" t="str">
            <v xml:space="preserve">79827688       </v>
          </cell>
          <cell r="O9058">
            <v>30</v>
          </cell>
        </row>
        <row r="9059">
          <cell r="F9059" t="str">
            <v xml:space="preserve">79827688       </v>
          </cell>
          <cell r="O9059">
            <v>270</v>
          </cell>
        </row>
        <row r="9060">
          <cell r="F9060" t="str">
            <v xml:space="preserve">74280490       </v>
          </cell>
          <cell r="O9060">
            <v>9</v>
          </cell>
        </row>
        <row r="9061">
          <cell r="F9061" t="str">
            <v xml:space="preserve">74280490       </v>
          </cell>
          <cell r="O9061">
            <v>15</v>
          </cell>
        </row>
        <row r="9062">
          <cell r="F9062" t="str">
            <v xml:space="preserve">74280490       </v>
          </cell>
          <cell r="O9062">
            <v>1440</v>
          </cell>
        </row>
        <row r="9063">
          <cell r="F9063" t="str">
            <v xml:space="preserve">74280490       </v>
          </cell>
          <cell r="O9063">
            <v>1125</v>
          </cell>
        </row>
        <row r="9064">
          <cell r="F9064" t="str">
            <v xml:space="preserve">92520690       </v>
          </cell>
          <cell r="O9064">
            <v>165</v>
          </cell>
        </row>
        <row r="9065">
          <cell r="F9065" t="str">
            <v xml:space="preserve">92520690       </v>
          </cell>
          <cell r="O9065">
            <v>1602</v>
          </cell>
        </row>
        <row r="9066">
          <cell r="F9066" t="str">
            <v xml:space="preserve">92520690       </v>
          </cell>
          <cell r="O9066">
            <v>45</v>
          </cell>
        </row>
        <row r="9067">
          <cell r="F9067" t="str">
            <v xml:space="preserve">80266206       </v>
          </cell>
          <cell r="O9067">
            <v>27</v>
          </cell>
        </row>
        <row r="9068">
          <cell r="F9068" t="str">
            <v xml:space="preserve">80266206       </v>
          </cell>
          <cell r="O9068">
            <v>30</v>
          </cell>
        </row>
        <row r="9069">
          <cell r="F9069" t="str">
            <v xml:space="preserve">80266206       </v>
          </cell>
          <cell r="O9069">
            <v>216</v>
          </cell>
        </row>
        <row r="9070">
          <cell r="F9070" t="str">
            <v xml:space="preserve">79119755       </v>
          </cell>
          <cell r="O9070">
            <v>594</v>
          </cell>
        </row>
        <row r="9071">
          <cell r="F9071" t="str">
            <v xml:space="preserve">1111739602     </v>
          </cell>
          <cell r="O9071">
            <v>615</v>
          </cell>
        </row>
        <row r="9072">
          <cell r="F9072" t="str">
            <v xml:space="preserve">1111739602     </v>
          </cell>
          <cell r="O9072">
            <v>15</v>
          </cell>
        </row>
        <row r="9073">
          <cell r="F9073" t="str">
            <v xml:space="preserve">88168843       </v>
          </cell>
          <cell r="O9073">
            <v>36</v>
          </cell>
        </row>
        <row r="9074">
          <cell r="F9074" t="str">
            <v xml:space="preserve">79266522       </v>
          </cell>
          <cell r="O9074">
            <v>30</v>
          </cell>
        </row>
        <row r="9075">
          <cell r="F9075" t="str">
            <v xml:space="preserve">79266522       </v>
          </cell>
          <cell r="O9075">
            <v>180</v>
          </cell>
        </row>
        <row r="9076">
          <cell r="F9076" t="str">
            <v xml:space="preserve">79221604       </v>
          </cell>
          <cell r="O9076">
            <v>18</v>
          </cell>
        </row>
        <row r="9077">
          <cell r="F9077" t="str">
            <v xml:space="preserve">79221604       </v>
          </cell>
          <cell r="O9077">
            <v>9</v>
          </cell>
        </row>
        <row r="9078">
          <cell r="F9078" t="str">
            <v xml:space="preserve">79221604       </v>
          </cell>
          <cell r="O9078">
            <v>180</v>
          </cell>
        </row>
        <row r="9079">
          <cell r="F9079" t="str">
            <v xml:space="preserve">79221604       </v>
          </cell>
          <cell r="O9079">
            <v>45</v>
          </cell>
        </row>
        <row r="9080">
          <cell r="F9080" t="str">
            <v xml:space="preserve">79221604       </v>
          </cell>
          <cell r="O9080">
            <v>9</v>
          </cell>
        </row>
        <row r="9081">
          <cell r="F9081" t="str">
            <v xml:space="preserve">79221604       </v>
          </cell>
          <cell r="O9081">
            <v>270</v>
          </cell>
        </row>
        <row r="9082">
          <cell r="F9082" t="str">
            <v xml:space="preserve">79221604       </v>
          </cell>
          <cell r="O9082">
            <v>45</v>
          </cell>
        </row>
        <row r="9083">
          <cell r="F9083" t="str">
            <v xml:space="preserve">9867640        </v>
          </cell>
          <cell r="O9083">
            <v>225</v>
          </cell>
        </row>
        <row r="9084">
          <cell r="F9084" t="str">
            <v xml:space="preserve">9867640        </v>
          </cell>
          <cell r="O9084">
            <v>90</v>
          </cell>
        </row>
        <row r="9085">
          <cell r="F9085" t="str">
            <v xml:space="preserve">9867640        </v>
          </cell>
          <cell r="O9085">
            <v>90</v>
          </cell>
        </row>
        <row r="9086">
          <cell r="F9086" t="str">
            <v xml:space="preserve">10315862       </v>
          </cell>
          <cell r="O9086">
            <v>180</v>
          </cell>
        </row>
        <row r="9087">
          <cell r="F9087" t="str">
            <v xml:space="preserve">10315862       </v>
          </cell>
          <cell r="O9087">
            <v>15</v>
          </cell>
        </row>
        <row r="9088">
          <cell r="F9088" t="str">
            <v xml:space="preserve">10315862       </v>
          </cell>
          <cell r="O9088">
            <v>198</v>
          </cell>
        </row>
        <row r="9089">
          <cell r="F9089" t="str">
            <v xml:space="preserve">73507193       </v>
          </cell>
          <cell r="O9089">
            <v>300</v>
          </cell>
        </row>
        <row r="9090">
          <cell r="F9090" t="str">
            <v xml:space="preserve">73507193       </v>
          </cell>
          <cell r="O9090">
            <v>558</v>
          </cell>
        </row>
        <row r="9091">
          <cell r="F9091" t="str">
            <v xml:space="preserve">73507193       </v>
          </cell>
          <cell r="O9091">
            <v>45</v>
          </cell>
        </row>
        <row r="9092">
          <cell r="F9092" t="str">
            <v xml:space="preserve">80021718       </v>
          </cell>
          <cell r="O9092">
            <v>1800</v>
          </cell>
        </row>
        <row r="9093">
          <cell r="F9093" t="str">
            <v xml:space="preserve">80021718       </v>
          </cell>
          <cell r="O9093">
            <v>270</v>
          </cell>
        </row>
        <row r="9094">
          <cell r="F9094" t="str">
            <v xml:space="preserve">80021718       </v>
          </cell>
          <cell r="O9094">
            <v>405</v>
          </cell>
        </row>
        <row r="9095">
          <cell r="F9095" t="str">
            <v xml:space="preserve">74170036       </v>
          </cell>
          <cell r="O9095">
            <v>180</v>
          </cell>
        </row>
        <row r="9096">
          <cell r="F9096" t="str">
            <v xml:space="preserve">74170036       </v>
          </cell>
          <cell r="O9096">
            <v>414</v>
          </cell>
        </row>
        <row r="9097">
          <cell r="F9097" t="str">
            <v xml:space="preserve">13616258       </v>
          </cell>
          <cell r="O9097">
            <v>360</v>
          </cell>
        </row>
        <row r="9098">
          <cell r="F9098" t="str">
            <v xml:space="preserve">13616258       </v>
          </cell>
          <cell r="O9098">
            <v>450</v>
          </cell>
        </row>
        <row r="9099">
          <cell r="F9099" t="str">
            <v xml:space="preserve">7301411        </v>
          </cell>
          <cell r="O9099">
            <v>702</v>
          </cell>
        </row>
        <row r="9100">
          <cell r="F9100" t="str">
            <v xml:space="preserve">7301411        </v>
          </cell>
          <cell r="O9100">
            <v>225</v>
          </cell>
        </row>
        <row r="9101">
          <cell r="F9101" t="str">
            <v xml:space="preserve">79734086       </v>
          </cell>
          <cell r="O9101">
            <v>45</v>
          </cell>
        </row>
        <row r="9102">
          <cell r="F9102" t="str">
            <v xml:space="preserve">79734086       </v>
          </cell>
          <cell r="O9102">
            <v>684</v>
          </cell>
        </row>
        <row r="9103">
          <cell r="F9103" t="str">
            <v xml:space="preserve">79734086       </v>
          </cell>
          <cell r="O9103">
            <v>225</v>
          </cell>
        </row>
        <row r="9104">
          <cell r="F9104" t="str">
            <v xml:space="preserve">17783299       </v>
          </cell>
          <cell r="O9104">
            <v>945</v>
          </cell>
        </row>
        <row r="9105">
          <cell r="F9105" t="str">
            <v xml:space="preserve">17783299       </v>
          </cell>
          <cell r="O9105">
            <v>675</v>
          </cell>
        </row>
        <row r="9106">
          <cell r="F9106" t="str">
            <v xml:space="preserve">19389409       </v>
          </cell>
          <cell r="O9106">
            <v>252</v>
          </cell>
        </row>
        <row r="9107">
          <cell r="F9107" t="str">
            <v xml:space="preserve">19389409       </v>
          </cell>
          <cell r="O9107">
            <v>90</v>
          </cell>
        </row>
        <row r="9108">
          <cell r="F9108" t="str">
            <v xml:space="preserve">11320273       </v>
          </cell>
          <cell r="O9108">
            <v>225</v>
          </cell>
        </row>
        <row r="9109">
          <cell r="F9109" t="str">
            <v xml:space="preserve">11320273       </v>
          </cell>
          <cell r="O9109">
            <v>720</v>
          </cell>
        </row>
        <row r="9110">
          <cell r="F9110" t="str">
            <v xml:space="preserve">11320273       </v>
          </cell>
          <cell r="O9110">
            <v>450</v>
          </cell>
        </row>
        <row r="9111">
          <cell r="F9111" t="str">
            <v xml:space="preserve">18185538       </v>
          </cell>
          <cell r="O9111">
            <v>45</v>
          </cell>
        </row>
        <row r="9112">
          <cell r="F9112" t="str">
            <v xml:space="preserve">18185538       </v>
          </cell>
          <cell r="O9112">
            <v>270</v>
          </cell>
        </row>
        <row r="9113">
          <cell r="F9113" t="str">
            <v xml:space="preserve">18185538       </v>
          </cell>
          <cell r="O9113">
            <v>45</v>
          </cell>
        </row>
        <row r="9114">
          <cell r="F9114" t="str">
            <v xml:space="preserve">83226520       </v>
          </cell>
          <cell r="O9114">
            <v>2250</v>
          </cell>
        </row>
        <row r="9115">
          <cell r="F9115" t="str">
            <v xml:space="preserve">83226520       </v>
          </cell>
          <cell r="O9115">
            <v>315</v>
          </cell>
        </row>
        <row r="9116">
          <cell r="F9116" t="str">
            <v xml:space="preserve">12266504       </v>
          </cell>
          <cell r="O9116">
            <v>360</v>
          </cell>
        </row>
        <row r="9117">
          <cell r="F9117" t="str">
            <v xml:space="preserve">12266504       </v>
          </cell>
          <cell r="O9117">
            <v>36</v>
          </cell>
        </row>
        <row r="9118">
          <cell r="F9118" t="str">
            <v xml:space="preserve">12266504       </v>
          </cell>
          <cell r="O9118">
            <v>45</v>
          </cell>
        </row>
        <row r="9119">
          <cell r="F9119" t="str">
            <v xml:space="preserve">79847779       </v>
          </cell>
          <cell r="O9119">
            <v>900</v>
          </cell>
        </row>
        <row r="9120">
          <cell r="F9120" t="str">
            <v xml:space="preserve">79847779       </v>
          </cell>
          <cell r="O9120">
            <v>180</v>
          </cell>
        </row>
        <row r="9121">
          <cell r="F9121" t="str">
            <v xml:space="preserve">79847779       </v>
          </cell>
          <cell r="O9121">
            <v>495</v>
          </cell>
        </row>
        <row r="9122">
          <cell r="F9122" t="str">
            <v xml:space="preserve">12231586       </v>
          </cell>
          <cell r="O9122">
            <v>90</v>
          </cell>
        </row>
        <row r="9123">
          <cell r="F9123" t="str">
            <v xml:space="preserve">12231586       </v>
          </cell>
          <cell r="O9123">
            <v>36</v>
          </cell>
        </row>
        <row r="9124">
          <cell r="F9124" t="str">
            <v xml:space="preserve">12231586       </v>
          </cell>
          <cell r="O9124">
            <v>135</v>
          </cell>
        </row>
        <row r="9125">
          <cell r="F9125" t="str">
            <v xml:space="preserve">83042067       </v>
          </cell>
          <cell r="O9125">
            <v>315</v>
          </cell>
        </row>
        <row r="9126">
          <cell r="F9126" t="str">
            <v xml:space="preserve">83042067       </v>
          </cell>
          <cell r="O9126">
            <v>150</v>
          </cell>
        </row>
        <row r="9127">
          <cell r="F9127" t="str">
            <v xml:space="preserve">83042067       </v>
          </cell>
          <cell r="O9127">
            <v>18</v>
          </cell>
        </row>
        <row r="9128">
          <cell r="F9128" t="str">
            <v xml:space="preserve">18144684       </v>
          </cell>
          <cell r="O9128">
            <v>255</v>
          </cell>
        </row>
        <row r="9129">
          <cell r="F9129" t="str">
            <v xml:space="preserve">18144684       </v>
          </cell>
          <cell r="O9129">
            <v>90</v>
          </cell>
        </row>
        <row r="9130">
          <cell r="F9130" t="str">
            <v xml:space="preserve">18144684       </v>
          </cell>
          <cell r="O9130">
            <v>90</v>
          </cell>
        </row>
        <row r="9131">
          <cell r="F9131" t="str">
            <v xml:space="preserve">15945210       </v>
          </cell>
          <cell r="O9131">
            <v>9</v>
          </cell>
        </row>
        <row r="9132">
          <cell r="F9132" t="str">
            <v xml:space="preserve">15945210       </v>
          </cell>
          <cell r="O9132">
            <v>450</v>
          </cell>
        </row>
        <row r="9133">
          <cell r="F9133" t="str">
            <v xml:space="preserve">15945210       </v>
          </cell>
          <cell r="O9133">
            <v>45</v>
          </cell>
        </row>
        <row r="9134">
          <cell r="F9134" t="str">
            <v xml:space="preserve">15945210       </v>
          </cell>
          <cell r="O9134">
            <v>360</v>
          </cell>
        </row>
        <row r="9135">
          <cell r="F9135" t="str">
            <v xml:space="preserve">15945210       </v>
          </cell>
          <cell r="O9135">
            <v>45</v>
          </cell>
        </row>
        <row r="9136">
          <cell r="F9136" t="str">
            <v xml:space="preserve">11445090       </v>
          </cell>
          <cell r="O9136">
            <v>18</v>
          </cell>
        </row>
        <row r="9137">
          <cell r="F9137" t="str">
            <v xml:space="preserve">11445090       </v>
          </cell>
          <cell r="O9137">
            <v>9</v>
          </cell>
        </row>
        <row r="9138">
          <cell r="F9138" t="str">
            <v xml:space="preserve">11445090       </v>
          </cell>
          <cell r="O9138">
            <v>75</v>
          </cell>
        </row>
        <row r="9139">
          <cell r="F9139" t="str">
            <v xml:space="preserve">11445090       </v>
          </cell>
          <cell r="O9139">
            <v>36</v>
          </cell>
        </row>
        <row r="9140">
          <cell r="F9140" t="str">
            <v xml:space="preserve">11445090       </v>
          </cell>
          <cell r="O9140">
            <v>135</v>
          </cell>
        </row>
        <row r="9141">
          <cell r="F9141" t="str">
            <v xml:space="preserve">11445090       </v>
          </cell>
          <cell r="O9141">
            <v>54</v>
          </cell>
        </row>
        <row r="9142">
          <cell r="F9142" t="str">
            <v xml:space="preserve">11445090       </v>
          </cell>
          <cell r="O9142">
            <v>15</v>
          </cell>
        </row>
        <row r="9143">
          <cell r="F9143" t="str">
            <v xml:space="preserve">11445090       </v>
          </cell>
          <cell r="O9143">
            <v>684</v>
          </cell>
        </row>
        <row r="9144">
          <cell r="F9144" t="str">
            <v xml:space="preserve">11445090       </v>
          </cell>
          <cell r="O9144">
            <v>225</v>
          </cell>
        </row>
        <row r="9145">
          <cell r="F9145" t="str">
            <v xml:space="preserve">11445090       </v>
          </cell>
          <cell r="O9145">
            <v>99</v>
          </cell>
        </row>
        <row r="9146">
          <cell r="F9146" t="str">
            <v xml:space="preserve">11445090       </v>
          </cell>
          <cell r="O9146">
            <v>120</v>
          </cell>
        </row>
        <row r="9147">
          <cell r="F9147" t="str">
            <v xml:space="preserve">11445090       </v>
          </cell>
          <cell r="O9147">
            <v>630</v>
          </cell>
        </row>
        <row r="9148">
          <cell r="F9148" t="str">
            <v xml:space="preserve">11445090       </v>
          </cell>
          <cell r="O9148">
            <v>180</v>
          </cell>
        </row>
        <row r="9149">
          <cell r="F9149" t="str">
            <v xml:space="preserve">11445090       </v>
          </cell>
          <cell r="O9149">
            <v>27</v>
          </cell>
        </row>
        <row r="9150">
          <cell r="F9150" t="str">
            <v xml:space="preserve">11445090       </v>
          </cell>
          <cell r="O9150">
            <v>630</v>
          </cell>
        </row>
        <row r="9151">
          <cell r="F9151" t="str">
            <v xml:space="preserve">11445090       </v>
          </cell>
          <cell r="O9151">
            <v>15</v>
          </cell>
        </row>
        <row r="9152">
          <cell r="F9152" t="str">
            <v xml:space="preserve">1010164223     </v>
          </cell>
          <cell r="O9152">
            <v>468</v>
          </cell>
        </row>
        <row r="9153">
          <cell r="F9153" t="str">
            <v xml:space="preserve">1010164223     </v>
          </cell>
          <cell r="O9153">
            <v>90</v>
          </cell>
        </row>
        <row r="9154">
          <cell r="F9154" t="str">
            <v xml:space="preserve">1015995477     </v>
          </cell>
          <cell r="O9154">
            <v>36</v>
          </cell>
        </row>
        <row r="9155">
          <cell r="F9155" t="str">
            <v xml:space="preserve">3159567        </v>
          </cell>
          <cell r="O9155">
            <v>90</v>
          </cell>
        </row>
        <row r="9156">
          <cell r="F9156" t="str">
            <v xml:space="preserve">80351964       </v>
          </cell>
          <cell r="O9156">
            <v>72</v>
          </cell>
        </row>
        <row r="9157">
          <cell r="F9157" t="str">
            <v xml:space="preserve">80351964       </v>
          </cell>
          <cell r="O9157">
            <v>270</v>
          </cell>
        </row>
        <row r="9158">
          <cell r="F9158" t="str">
            <v xml:space="preserve">80351964       </v>
          </cell>
          <cell r="O9158">
            <v>90</v>
          </cell>
        </row>
        <row r="9159">
          <cell r="F9159" t="str">
            <v xml:space="preserve">3155595        </v>
          </cell>
          <cell r="O9159">
            <v>540</v>
          </cell>
        </row>
        <row r="9160">
          <cell r="F9160" t="str">
            <v xml:space="preserve">3155595        </v>
          </cell>
          <cell r="O9160">
            <v>135</v>
          </cell>
        </row>
        <row r="9161">
          <cell r="F9161" t="str">
            <v xml:space="preserve">80283261       </v>
          </cell>
          <cell r="O9161">
            <v>135</v>
          </cell>
        </row>
        <row r="9162">
          <cell r="F9162" t="str">
            <v xml:space="preserve">80283261       </v>
          </cell>
          <cell r="O9162">
            <v>2178</v>
          </cell>
        </row>
        <row r="9163">
          <cell r="F9163" t="str">
            <v xml:space="preserve">1072422938     </v>
          </cell>
          <cell r="O9163">
            <v>9</v>
          </cell>
        </row>
        <row r="9164">
          <cell r="F9164" t="str">
            <v xml:space="preserve">1072422938     </v>
          </cell>
          <cell r="O9164">
            <v>75</v>
          </cell>
        </row>
        <row r="9165">
          <cell r="F9165" t="str">
            <v xml:space="preserve">1072422938     </v>
          </cell>
          <cell r="O9165">
            <v>1314</v>
          </cell>
        </row>
        <row r="9166">
          <cell r="F9166" t="str">
            <v xml:space="preserve">1072422938     </v>
          </cell>
          <cell r="O9166">
            <v>135</v>
          </cell>
        </row>
        <row r="9167">
          <cell r="F9167" t="str">
            <v xml:space="preserve">1072422938     </v>
          </cell>
          <cell r="O9167">
            <v>450</v>
          </cell>
        </row>
        <row r="9168">
          <cell r="F9168" t="str">
            <v xml:space="preserve">80024551       </v>
          </cell>
          <cell r="O9168">
            <v>45</v>
          </cell>
        </row>
        <row r="9169">
          <cell r="F9169" t="str">
            <v xml:space="preserve">80024551       </v>
          </cell>
          <cell r="O9169">
            <v>918</v>
          </cell>
        </row>
        <row r="9170">
          <cell r="F9170" t="str">
            <v xml:space="preserve">80024551       </v>
          </cell>
          <cell r="O9170">
            <v>360</v>
          </cell>
        </row>
        <row r="9171">
          <cell r="F9171" t="str">
            <v xml:space="preserve">80024551       </v>
          </cell>
          <cell r="O9171">
            <v>15</v>
          </cell>
        </row>
        <row r="9172">
          <cell r="F9172" t="str">
            <v xml:space="preserve">4090806        </v>
          </cell>
          <cell r="O9172">
            <v>135</v>
          </cell>
        </row>
        <row r="9173">
          <cell r="F9173" t="str">
            <v xml:space="preserve">4090806        </v>
          </cell>
          <cell r="O9173">
            <v>45</v>
          </cell>
        </row>
        <row r="9174">
          <cell r="F9174" t="str">
            <v xml:space="preserve">4090806        </v>
          </cell>
          <cell r="O9174">
            <v>1044</v>
          </cell>
        </row>
        <row r="9175">
          <cell r="F9175" t="str">
            <v xml:space="preserve">4090806        </v>
          </cell>
          <cell r="O9175">
            <v>495</v>
          </cell>
        </row>
        <row r="9176">
          <cell r="F9176" t="str">
            <v xml:space="preserve">80004213       </v>
          </cell>
          <cell r="O9176">
            <v>225</v>
          </cell>
        </row>
        <row r="9177">
          <cell r="F9177" t="str">
            <v xml:space="preserve">80004213       </v>
          </cell>
          <cell r="O9177">
            <v>1368</v>
          </cell>
        </row>
        <row r="9178">
          <cell r="F9178" t="str">
            <v xml:space="preserve">80004213       </v>
          </cell>
          <cell r="O9178">
            <v>270</v>
          </cell>
        </row>
        <row r="9179">
          <cell r="F9179" t="str">
            <v xml:space="preserve">98330118       </v>
          </cell>
          <cell r="O9179">
            <v>450</v>
          </cell>
        </row>
        <row r="9180">
          <cell r="F9180" t="str">
            <v xml:space="preserve">98330118       </v>
          </cell>
          <cell r="O9180">
            <v>36</v>
          </cell>
        </row>
        <row r="9181">
          <cell r="F9181" t="str">
            <v xml:space="preserve">1126452165     </v>
          </cell>
          <cell r="O9181">
            <v>300</v>
          </cell>
        </row>
        <row r="9182">
          <cell r="F9182" t="str">
            <v xml:space="preserve">1126452165     </v>
          </cell>
          <cell r="O9182">
            <v>54</v>
          </cell>
        </row>
        <row r="9183">
          <cell r="F9183" t="str">
            <v xml:space="preserve">1126452165     </v>
          </cell>
          <cell r="O9183">
            <v>45</v>
          </cell>
        </row>
        <row r="9184">
          <cell r="F9184" t="str">
            <v xml:space="preserve">79339314       </v>
          </cell>
          <cell r="O9184">
            <v>150</v>
          </cell>
        </row>
        <row r="9185">
          <cell r="F9185" t="str">
            <v xml:space="preserve">79339314       </v>
          </cell>
          <cell r="O9185">
            <v>18</v>
          </cell>
        </row>
        <row r="9186">
          <cell r="F9186" t="str">
            <v xml:space="preserve">79339314       </v>
          </cell>
          <cell r="O9186">
            <v>135</v>
          </cell>
        </row>
        <row r="9187">
          <cell r="F9187" t="str">
            <v xml:space="preserve">11379585       </v>
          </cell>
          <cell r="O9187">
            <v>15</v>
          </cell>
        </row>
        <row r="9188">
          <cell r="F9188" t="str">
            <v xml:space="preserve">11379585       </v>
          </cell>
          <cell r="O9188">
            <v>558</v>
          </cell>
        </row>
        <row r="9189">
          <cell r="F9189" t="str">
            <v xml:space="preserve">11379585       </v>
          </cell>
          <cell r="O9189">
            <v>765</v>
          </cell>
        </row>
        <row r="9190">
          <cell r="F9190" t="str">
            <v xml:space="preserve">83218584       </v>
          </cell>
          <cell r="O9190">
            <v>675</v>
          </cell>
        </row>
        <row r="9191">
          <cell r="F9191" t="str">
            <v xml:space="preserve">83218584       </v>
          </cell>
          <cell r="O9191">
            <v>126</v>
          </cell>
        </row>
        <row r="9192">
          <cell r="F9192" t="str">
            <v xml:space="preserve">83218584       </v>
          </cell>
          <cell r="O9192">
            <v>270</v>
          </cell>
        </row>
        <row r="9193">
          <cell r="F9193" t="str">
            <v xml:space="preserve">83218584       </v>
          </cell>
          <cell r="O9193">
            <v>345</v>
          </cell>
        </row>
        <row r="9194">
          <cell r="F9194" t="str">
            <v xml:space="preserve">83218584       </v>
          </cell>
          <cell r="O9194">
            <v>72</v>
          </cell>
        </row>
        <row r="9195">
          <cell r="F9195" t="str">
            <v xml:space="preserve">83218584       </v>
          </cell>
          <cell r="O9195">
            <v>90</v>
          </cell>
        </row>
        <row r="9196">
          <cell r="F9196" t="str">
            <v xml:space="preserve">7305728        </v>
          </cell>
          <cell r="O9196">
            <v>195</v>
          </cell>
        </row>
        <row r="9197">
          <cell r="F9197" t="str">
            <v xml:space="preserve">7305728        </v>
          </cell>
          <cell r="O9197">
            <v>306</v>
          </cell>
        </row>
        <row r="9198">
          <cell r="F9198" t="str">
            <v xml:space="preserve">7305728        </v>
          </cell>
          <cell r="O9198">
            <v>90</v>
          </cell>
        </row>
        <row r="9199">
          <cell r="F9199" t="str">
            <v xml:space="preserve">1093217151     </v>
          </cell>
          <cell r="O9199">
            <v>450</v>
          </cell>
        </row>
        <row r="9200">
          <cell r="F9200" t="str">
            <v xml:space="preserve">1097404034     </v>
          </cell>
          <cell r="O9200">
            <v>45</v>
          </cell>
        </row>
        <row r="9201">
          <cell r="F9201" t="str">
            <v xml:space="preserve">1097404034     </v>
          </cell>
          <cell r="O9201">
            <v>18</v>
          </cell>
        </row>
        <row r="9202">
          <cell r="F9202" t="str">
            <v xml:space="preserve">7545517        </v>
          </cell>
          <cell r="O9202">
            <v>105</v>
          </cell>
        </row>
        <row r="9203">
          <cell r="F9203" t="str">
            <v xml:space="preserve">7545517        </v>
          </cell>
          <cell r="O9203">
            <v>198</v>
          </cell>
        </row>
        <row r="9204">
          <cell r="F9204" t="str">
            <v xml:space="preserve">94071517       </v>
          </cell>
          <cell r="O9204">
            <v>600</v>
          </cell>
        </row>
        <row r="9205">
          <cell r="F9205" t="str">
            <v xml:space="preserve">94071517       </v>
          </cell>
          <cell r="O9205">
            <v>54</v>
          </cell>
        </row>
        <row r="9206">
          <cell r="F9206" t="str">
            <v xml:space="preserve">71174894       </v>
          </cell>
          <cell r="O9206">
            <v>2430</v>
          </cell>
        </row>
        <row r="9207">
          <cell r="F9207" t="str">
            <v xml:space="preserve">71174894       </v>
          </cell>
          <cell r="O9207">
            <v>54</v>
          </cell>
        </row>
        <row r="9208">
          <cell r="F9208" t="str">
            <v xml:space="preserve">1101440685     </v>
          </cell>
          <cell r="O9208">
            <v>240</v>
          </cell>
        </row>
        <row r="9209">
          <cell r="F9209" t="str">
            <v xml:space="preserve">1101440685     </v>
          </cell>
          <cell r="O9209">
            <v>792</v>
          </cell>
        </row>
        <row r="9210">
          <cell r="F9210" t="str">
            <v xml:space="preserve">901269856      </v>
          </cell>
          <cell r="O9210">
            <v>360</v>
          </cell>
        </row>
        <row r="9211">
          <cell r="F9211" t="str">
            <v xml:space="preserve">1023722736     </v>
          </cell>
          <cell r="O9211">
            <v>900</v>
          </cell>
        </row>
        <row r="9212">
          <cell r="F9212" t="str">
            <v xml:space="preserve">1039696881     </v>
          </cell>
          <cell r="O9212">
            <v>1314</v>
          </cell>
        </row>
        <row r="9213">
          <cell r="F9213" t="str">
            <v xml:space="preserve">1039696881     </v>
          </cell>
          <cell r="O9213">
            <v>270</v>
          </cell>
        </row>
        <row r="9214">
          <cell r="F9214" t="str">
            <v xml:space="preserve">16553709       </v>
          </cell>
          <cell r="O9214">
            <v>180</v>
          </cell>
        </row>
        <row r="9215">
          <cell r="F9215" t="str">
            <v xml:space="preserve">16553709       </v>
          </cell>
          <cell r="O9215">
            <v>150</v>
          </cell>
        </row>
        <row r="9216">
          <cell r="F9216" t="str">
            <v xml:space="preserve">16553709       </v>
          </cell>
          <cell r="O9216">
            <v>180</v>
          </cell>
        </row>
        <row r="9217">
          <cell r="F9217" t="str">
            <v xml:space="preserve">16553709       </v>
          </cell>
          <cell r="O9217">
            <v>225</v>
          </cell>
        </row>
        <row r="9218">
          <cell r="F9218" t="str">
            <v xml:space="preserve">1070329625     </v>
          </cell>
          <cell r="O9218">
            <v>1944</v>
          </cell>
        </row>
        <row r="9219">
          <cell r="F9219" t="str">
            <v xml:space="preserve">1070329625     </v>
          </cell>
          <cell r="O9219">
            <v>126</v>
          </cell>
        </row>
        <row r="9220">
          <cell r="F9220" t="str">
            <v xml:space="preserve">1070329625     </v>
          </cell>
          <cell r="O9220">
            <v>1800</v>
          </cell>
        </row>
        <row r="9221">
          <cell r="F9221" t="str">
            <v xml:space="preserve">1070329625     </v>
          </cell>
          <cell r="O9221">
            <v>675</v>
          </cell>
        </row>
        <row r="9222">
          <cell r="F9222" t="str">
            <v xml:space="preserve">1092154547     </v>
          </cell>
          <cell r="O9222">
            <v>4.5</v>
          </cell>
        </row>
        <row r="9223">
          <cell r="F9223" t="str">
            <v xml:space="preserve">1092154547     </v>
          </cell>
          <cell r="O9223">
            <v>15</v>
          </cell>
        </row>
        <row r="9224">
          <cell r="F9224" t="str">
            <v xml:space="preserve">1092154547     </v>
          </cell>
          <cell r="O9224">
            <v>450</v>
          </cell>
        </row>
        <row r="9225">
          <cell r="F9225" t="str">
            <v xml:space="preserve">900079384      </v>
          </cell>
          <cell r="O9225">
            <v>18</v>
          </cell>
        </row>
        <row r="9226">
          <cell r="F9226" t="str">
            <v xml:space="preserve">901299892      </v>
          </cell>
          <cell r="O9226">
            <v>1350</v>
          </cell>
        </row>
        <row r="9227">
          <cell r="F9227" t="str">
            <v xml:space="preserve">901299892      </v>
          </cell>
          <cell r="O9227">
            <v>8700</v>
          </cell>
        </row>
        <row r="9228">
          <cell r="F9228" t="str">
            <v xml:space="preserve">15342410       </v>
          </cell>
          <cell r="O9228">
            <v>396</v>
          </cell>
        </row>
        <row r="9229">
          <cell r="F9229" t="str">
            <v xml:space="preserve">15342410       </v>
          </cell>
          <cell r="O9229">
            <v>360</v>
          </cell>
        </row>
        <row r="9230">
          <cell r="F9230" t="str">
            <v xml:space="preserve">15342410       </v>
          </cell>
          <cell r="O9230">
            <v>2190</v>
          </cell>
        </row>
        <row r="9231">
          <cell r="F9231" t="str">
            <v xml:space="preserve">6802563        </v>
          </cell>
          <cell r="O9231">
            <v>45</v>
          </cell>
        </row>
        <row r="9232">
          <cell r="F9232" t="str">
            <v xml:space="preserve">6802563        </v>
          </cell>
          <cell r="O9232">
            <v>45</v>
          </cell>
        </row>
        <row r="9233">
          <cell r="F9233" t="str">
            <v xml:space="preserve">6802563        </v>
          </cell>
          <cell r="O9233">
            <v>405</v>
          </cell>
        </row>
        <row r="9234">
          <cell r="F9234" t="str">
            <v xml:space="preserve">6802563        </v>
          </cell>
          <cell r="O9234">
            <v>45</v>
          </cell>
        </row>
        <row r="9235">
          <cell r="F9235" t="str">
            <v xml:space="preserve">1105671149     </v>
          </cell>
          <cell r="O9235">
            <v>790</v>
          </cell>
        </row>
        <row r="9236">
          <cell r="F9236" t="str">
            <v xml:space="preserve">1105671149     </v>
          </cell>
          <cell r="O9236">
            <v>99</v>
          </cell>
        </row>
        <row r="9237">
          <cell r="F9237" t="str">
            <v xml:space="preserve">1105671149     </v>
          </cell>
          <cell r="O9237">
            <v>120</v>
          </cell>
        </row>
        <row r="9238">
          <cell r="F9238" t="str">
            <v xml:space="preserve">1105671149     </v>
          </cell>
          <cell r="O9238">
            <v>315</v>
          </cell>
        </row>
        <row r="9239">
          <cell r="F9239" t="str">
            <v xml:space="preserve">88273778       </v>
          </cell>
          <cell r="O9239">
            <v>75</v>
          </cell>
        </row>
        <row r="9240">
          <cell r="F9240" t="str">
            <v xml:space="preserve">88273778       </v>
          </cell>
          <cell r="O9240">
            <v>15</v>
          </cell>
        </row>
        <row r="9241">
          <cell r="F9241" t="str">
            <v xml:space="preserve">10174892       </v>
          </cell>
          <cell r="O9241">
            <v>75</v>
          </cell>
        </row>
        <row r="9242">
          <cell r="F9242" t="str">
            <v xml:space="preserve">10174892       </v>
          </cell>
          <cell r="O9242">
            <v>900</v>
          </cell>
        </row>
        <row r="9243">
          <cell r="F9243" t="str">
            <v xml:space="preserve">10174892       </v>
          </cell>
          <cell r="O9243">
            <v>90</v>
          </cell>
        </row>
        <row r="9244">
          <cell r="F9244" t="str">
            <v xml:space="preserve">13476066       </v>
          </cell>
          <cell r="O9244">
            <v>18</v>
          </cell>
        </row>
        <row r="9245">
          <cell r="F9245" t="str">
            <v xml:space="preserve">13476066       </v>
          </cell>
          <cell r="O9245">
            <v>45</v>
          </cell>
        </row>
        <row r="9246">
          <cell r="F9246" t="str">
            <v xml:space="preserve">13476066       </v>
          </cell>
          <cell r="O9246">
            <v>390</v>
          </cell>
        </row>
        <row r="9247">
          <cell r="F9247" t="str">
            <v xml:space="preserve">13476066       </v>
          </cell>
          <cell r="O9247">
            <v>72</v>
          </cell>
        </row>
        <row r="9248">
          <cell r="F9248" t="str">
            <v xml:space="preserve">13476066       </v>
          </cell>
          <cell r="O9248">
            <v>45</v>
          </cell>
        </row>
        <row r="9249">
          <cell r="F9249" t="str">
            <v xml:space="preserve">98763233       </v>
          </cell>
          <cell r="O9249">
            <v>9</v>
          </cell>
        </row>
        <row r="9250">
          <cell r="F9250" t="str">
            <v xml:space="preserve">98763233       </v>
          </cell>
          <cell r="O9250">
            <v>9</v>
          </cell>
        </row>
        <row r="9251">
          <cell r="F9251" t="str">
            <v xml:space="preserve">98763233       </v>
          </cell>
          <cell r="O9251">
            <v>15</v>
          </cell>
        </row>
        <row r="9252">
          <cell r="F9252" t="str">
            <v xml:space="preserve">98763233       </v>
          </cell>
          <cell r="O9252">
            <v>1044</v>
          </cell>
        </row>
        <row r="9253">
          <cell r="F9253" t="str">
            <v xml:space="preserve">98763233       </v>
          </cell>
          <cell r="O9253">
            <v>126</v>
          </cell>
        </row>
        <row r="9254">
          <cell r="F9254" t="str">
            <v xml:space="preserve">98711342       </v>
          </cell>
          <cell r="O9254">
            <v>4.5</v>
          </cell>
        </row>
        <row r="9255">
          <cell r="F9255" t="str">
            <v xml:space="preserve">98711342       </v>
          </cell>
          <cell r="O9255">
            <v>18</v>
          </cell>
        </row>
        <row r="9256">
          <cell r="F9256" t="str">
            <v xml:space="preserve">98711342       </v>
          </cell>
          <cell r="O9256">
            <v>15</v>
          </cell>
        </row>
        <row r="9257">
          <cell r="F9257" t="str">
            <v xml:space="preserve">98711342       </v>
          </cell>
          <cell r="O9257">
            <v>882</v>
          </cell>
        </row>
        <row r="9258">
          <cell r="F9258" t="str">
            <v xml:space="preserve">901301637      </v>
          </cell>
          <cell r="O9258">
            <v>1455</v>
          </cell>
        </row>
        <row r="9259">
          <cell r="F9259" t="str">
            <v xml:space="preserve">901301637      </v>
          </cell>
          <cell r="O9259">
            <v>45</v>
          </cell>
        </row>
        <row r="9260">
          <cell r="F9260" t="str">
            <v xml:space="preserve">901301637      </v>
          </cell>
          <cell r="O9260">
            <v>6768</v>
          </cell>
        </row>
        <row r="9261">
          <cell r="F9261" t="str">
            <v xml:space="preserve">94420654       </v>
          </cell>
          <cell r="O9261">
            <v>180</v>
          </cell>
        </row>
        <row r="9262">
          <cell r="F9262" t="str">
            <v xml:space="preserve">94420654       </v>
          </cell>
          <cell r="O9262">
            <v>45</v>
          </cell>
        </row>
        <row r="9263">
          <cell r="F9263" t="str">
            <v xml:space="preserve">1090397527     </v>
          </cell>
          <cell r="O9263">
            <v>300</v>
          </cell>
        </row>
        <row r="9264">
          <cell r="F9264" t="str">
            <v xml:space="preserve">1090397527     </v>
          </cell>
          <cell r="O9264">
            <v>45</v>
          </cell>
        </row>
        <row r="9265">
          <cell r="F9265" t="str">
            <v xml:space="preserve">1090397527     </v>
          </cell>
          <cell r="O9265">
            <v>165</v>
          </cell>
        </row>
        <row r="9266">
          <cell r="F9266" t="str">
            <v xml:space="preserve">1090397527     </v>
          </cell>
          <cell r="O9266">
            <v>855</v>
          </cell>
        </row>
        <row r="9267">
          <cell r="F9267" t="str">
            <v xml:space="preserve">1090397527     </v>
          </cell>
          <cell r="O9267">
            <v>300</v>
          </cell>
        </row>
        <row r="9268">
          <cell r="F9268" t="str">
            <v xml:space="preserve">1090397527     </v>
          </cell>
          <cell r="O9268">
            <v>900</v>
          </cell>
        </row>
        <row r="9269">
          <cell r="F9269" t="str">
            <v xml:space="preserve">73126502       </v>
          </cell>
          <cell r="O9269">
            <v>135</v>
          </cell>
        </row>
        <row r="9270">
          <cell r="F9270" t="str">
            <v xml:space="preserve">73126502       </v>
          </cell>
          <cell r="O9270">
            <v>72</v>
          </cell>
        </row>
        <row r="9271">
          <cell r="F9271" t="str">
            <v xml:space="preserve">73126502       </v>
          </cell>
          <cell r="O9271">
            <v>45</v>
          </cell>
        </row>
        <row r="9272">
          <cell r="F9272" t="str">
            <v xml:space="preserve">83221998       </v>
          </cell>
          <cell r="O9272">
            <v>0</v>
          </cell>
        </row>
        <row r="9273">
          <cell r="F9273" t="str">
            <v xml:space="preserve">83221998       </v>
          </cell>
          <cell r="O9273">
            <v>0</v>
          </cell>
        </row>
        <row r="9274">
          <cell r="F9274" t="str">
            <v xml:space="preserve">83221998       </v>
          </cell>
          <cell r="O9274">
            <v>0</v>
          </cell>
        </row>
        <row r="9275">
          <cell r="F9275" t="str">
            <v xml:space="preserve">1054554487     </v>
          </cell>
          <cell r="O9275">
            <v>396</v>
          </cell>
        </row>
        <row r="9276">
          <cell r="F9276" t="str">
            <v xml:space="preserve">71142360       </v>
          </cell>
          <cell r="O9276">
            <v>90</v>
          </cell>
        </row>
        <row r="9277">
          <cell r="F9277" t="str">
            <v xml:space="preserve">71142360       </v>
          </cell>
          <cell r="O9277">
            <v>576</v>
          </cell>
        </row>
        <row r="9278">
          <cell r="F9278" t="str">
            <v xml:space="preserve">71142360       </v>
          </cell>
          <cell r="O9278">
            <v>795</v>
          </cell>
        </row>
        <row r="9279">
          <cell r="F9279" t="str">
            <v xml:space="preserve">71142360       </v>
          </cell>
          <cell r="O9279">
            <v>576</v>
          </cell>
        </row>
        <row r="9280">
          <cell r="F9280" t="str">
            <v xml:space="preserve">71142360       </v>
          </cell>
          <cell r="O9280">
            <v>45</v>
          </cell>
        </row>
        <row r="9281">
          <cell r="F9281" t="str">
            <v xml:space="preserve">71142360       </v>
          </cell>
          <cell r="O9281">
            <v>918</v>
          </cell>
        </row>
        <row r="9282">
          <cell r="F9282" t="str">
            <v xml:space="preserve">71142360       </v>
          </cell>
          <cell r="O9282">
            <v>45</v>
          </cell>
        </row>
        <row r="9283">
          <cell r="F9283" t="str">
            <v xml:space="preserve">43656575       </v>
          </cell>
          <cell r="O9283">
            <v>360</v>
          </cell>
        </row>
        <row r="9284">
          <cell r="F9284" t="str">
            <v xml:space="preserve">43656575       </v>
          </cell>
          <cell r="O9284">
            <v>270</v>
          </cell>
        </row>
        <row r="9285">
          <cell r="F9285" t="str">
            <v xml:space="preserve">16836063       </v>
          </cell>
          <cell r="O9285">
            <v>30</v>
          </cell>
        </row>
        <row r="9286">
          <cell r="F9286" t="str">
            <v xml:space="preserve">16836063       </v>
          </cell>
          <cell r="O9286">
            <v>180</v>
          </cell>
        </row>
        <row r="9287">
          <cell r="F9287" t="str">
            <v xml:space="preserve">16836063       </v>
          </cell>
          <cell r="O9287">
            <v>90</v>
          </cell>
        </row>
        <row r="9288">
          <cell r="F9288" t="str">
            <v xml:space="preserve">91180797       </v>
          </cell>
          <cell r="O9288">
            <v>315</v>
          </cell>
        </row>
        <row r="9289">
          <cell r="F9289" t="str">
            <v xml:space="preserve">91180797       </v>
          </cell>
          <cell r="O9289">
            <v>180</v>
          </cell>
        </row>
        <row r="9290">
          <cell r="F9290" t="str">
            <v xml:space="preserve">91180797       </v>
          </cell>
          <cell r="O9290">
            <v>90</v>
          </cell>
        </row>
        <row r="9291">
          <cell r="F9291" t="str">
            <v xml:space="preserve">73559455       </v>
          </cell>
          <cell r="O9291">
            <v>45</v>
          </cell>
        </row>
        <row r="9292">
          <cell r="F9292" t="str">
            <v xml:space="preserve">73559455       </v>
          </cell>
          <cell r="O9292">
            <v>144</v>
          </cell>
        </row>
        <row r="9293">
          <cell r="F9293" t="str">
            <v xml:space="preserve">73559455       </v>
          </cell>
          <cell r="O9293">
            <v>54</v>
          </cell>
        </row>
        <row r="9294">
          <cell r="F9294" t="str">
            <v xml:space="preserve">73559455       </v>
          </cell>
          <cell r="O9294">
            <v>30</v>
          </cell>
        </row>
        <row r="9295">
          <cell r="F9295" t="str">
            <v xml:space="preserve">890406520      </v>
          </cell>
          <cell r="O9295">
            <v>30</v>
          </cell>
        </row>
        <row r="9296">
          <cell r="F9296" t="str">
            <v xml:space="preserve">860001697      </v>
          </cell>
          <cell r="O9296">
            <v>249.13</v>
          </cell>
        </row>
        <row r="9297">
          <cell r="F9297" t="str">
            <v xml:space="preserve">860001697      </v>
          </cell>
          <cell r="O9297">
            <v>429.39</v>
          </cell>
        </row>
        <row r="9298">
          <cell r="F9298" t="str">
            <v xml:space="preserve">1214745372     </v>
          </cell>
          <cell r="O9298">
            <v>22.5</v>
          </cell>
        </row>
        <row r="9299">
          <cell r="F9299" t="str">
            <v xml:space="preserve">1214745372     </v>
          </cell>
          <cell r="O9299">
            <v>666</v>
          </cell>
        </row>
        <row r="9300">
          <cell r="F9300" t="str">
            <v xml:space="preserve">860001697      </v>
          </cell>
          <cell r="O9300">
            <v>180.14</v>
          </cell>
        </row>
        <row r="9301">
          <cell r="F9301" t="str">
            <v xml:space="preserve">860005265      </v>
          </cell>
          <cell r="O9301">
            <v>996</v>
          </cell>
        </row>
        <row r="9302">
          <cell r="F9302" t="str">
            <v xml:space="preserve">860005265      </v>
          </cell>
          <cell r="O9302">
            <v>631.69000000000005</v>
          </cell>
        </row>
        <row r="9303">
          <cell r="F9303" t="str">
            <v xml:space="preserve">860047066      </v>
          </cell>
          <cell r="O9303">
            <v>40</v>
          </cell>
        </row>
        <row r="9304">
          <cell r="F9304" t="str">
            <v xml:space="preserve">007            </v>
          </cell>
          <cell r="O9304">
            <v>540</v>
          </cell>
        </row>
        <row r="9305">
          <cell r="F9305" t="str">
            <v xml:space="preserve">6766031        </v>
          </cell>
          <cell r="O9305">
            <v>180</v>
          </cell>
        </row>
        <row r="9306">
          <cell r="F9306" t="str">
            <v xml:space="preserve">800052377      </v>
          </cell>
          <cell r="O9306">
            <v>90</v>
          </cell>
        </row>
        <row r="9307">
          <cell r="F9307" t="str">
            <v xml:space="preserve">800150267      </v>
          </cell>
          <cell r="O9307">
            <v>36</v>
          </cell>
        </row>
        <row r="9308">
          <cell r="F9308" t="str">
            <v xml:space="preserve">815002042      </v>
          </cell>
          <cell r="O9308">
            <v>90</v>
          </cell>
        </row>
        <row r="9309">
          <cell r="F9309" t="str">
            <v xml:space="preserve">821000169      </v>
          </cell>
          <cell r="O9309">
            <v>86</v>
          </cell>
        </row>
        <row r="9310">
          <cell r="F9310" t="str">
            <v xml:space="preserve">890302594      </v>
          </cell>
          <cell r="O9310">
            <v>0</v>
          </cell>
        </row>
        <row r="9311">
          <cell r="F9311" t="str">
            <v xml:space="preserve">890903939      </v>
          </cell>
          <cell r="O9311">
            <v>76</v>
          </cell>
        </row>
        <row r="9312">
          <cell r="F9312" t="str">
            <v xml:space="preserve">900836780      </v>
          </cell>
          <cell r="O9312">
            <v>234</v>
          </cell>
        </row>
        <row r="9313">
          <cell r="F9313" t="str">
            <v xml:space="preserve">901547329      </v>
          </cell>
          <cell r="O9313">
            <v>675</v>
          </cell>
        </row>
        <row r="9314">
          <cell r="F9314" t="str">
            <v xml:space="preserve">800032071      </v>
          </cell>
          <cell r="O9314">
            <v>80</v>
          </cell>
        </row>
        <row r="9315">
          <cell r="F9315" t="str">
            <v xml:space="preserve">800032071      </v>
          </cell>
          <cell r="O9315">
            <v>120</v>
          </cell>
        </row>
        <row r="9316">
          <cell r="F9316" t="str">
            <v xml:space="preserve">800226901      </v>
          </cell>
          <cell r="O9316">
            <v>160</v>
          </cell>
        </row>
        <row r="9317">
          <cell r="F9317" t="str">
            <v xml:space="preserve">811020038      </v>
          </cell>
          <cell r="O9317">
            <v>96</v>
          </cell>
        </row>
        <row r="9318">
          <cell r="F9318" t="str">
            <v xml:space="preserve">860001697      </v>
          </cell>
          <cell r="O9318">
            <v>309.55</v>
          </cell>
        </row>
        <row r="9319">
          <cell r="F9319" t="str">
            <v xml:space="preserve">901079460      </v>
          </cell>
          <cell r="O9319">
            <v>362.7</v>
          </cell>
        </row>
        <row r="9320">
          <cell r="F9320" t="str">
            <v xml:space="preserve">101            </v>
          </cell>
          <cell r="O9320">
            <v>15</v>
          </cell>
        </row>
        <row r="9321">
          <cell r="F9321" t="str">
            <v xml:space="preserve">101            </v>
          </cell>
          <cell r="O9321">
            <v>90</v>
          </cell>
        </row>
        <row r="9322">
          <cell r="F9322" t="str">
            <v xml:space="preserve">101            </v>
          </cell>
          <cell r="O9322">
            <v>45</v>
          </cell>
        </row>
        <row r="9323">
          <cell r="F9323" t="str">
            <v xml:space="preserve">101            </v>
          </cell>
          <cell r="O9323">
            <v>18</v>
          </cell>
        </row>
        <row r="9324">
          <cell r="F9324" t="str">
            <v xml:space="preserve">800098983      </v>
          </cell>
          <cell r="O9324">
            <v>90</v>
          </cell>
        </row>
        <row r="9325">
          <cell r="F9325" t="str">
            <v xml:space="preserve">102            </v>
          </cell>
          <cell r="O9325">
            <v>36</v>
          </cell>
        </row>
        <row r="9326">
          <cell r="F9326" t="str">
            <v xml:space="preserve">30305213       </v>
          </cell>
          <cell r="O9326">
            <v>63</v>
          </cell>
        </row>
        <row r="9327">
          <cell r="F9327" t="str">
            <v xml:space="preserve">800044807      </v>
          </cell>
          <cell r="O9327">
            <v>108</v>
          </cell>
        </row>
        <row r="9328">
          <cell r="F9328" t="str">
            <v xml:space="preserve">800090890      </v>
          </cell>
          <cell r="O9328">
            <v>36</v>
          </cell>
        </row>
        <row r="9329">
          <cell r="F9329" t="str">
            <v xml:space="preserve">800185306      </v>
          </cell>
          <cell r="O9329">
            <v>18</v>
          </cell>
        </row>
        <row r="9330">
          <cell r="F9330" t="str">
            <v xml:space="preserve">810006197      </v>
          </cell>
          <cell r="O9330">
            <v>45</v>
          </cell>
        </row>
        <row r="9331">
          <cell r="F9331" t="str">
            <v xml:space="preserve">900204935      </v>
          </cell>
          <cell r="O9331">
            <v>54</v>
          </cell>
        </row>
        <row r="9332">
          <cell r="F9332" t="str">
            <v xml:space="preserve">900543878      </v>
          </cell>
          <cell r="O9332">
            <v>18</v>
          </cell>
        </row>
        <row r="9333">
          <cell r="F9333" t="str">
            <v xml:space="preserve">901555731      </v>
          </cell>
          <cell r="O9333">
            <v>45</v>
          </cell>
        </row>
        <row r="9334">
          <cell r="F9334" t="str">
            <v xml:space="preserve">800005260      </v>
          </cell>
          <cell r="O9334">
            <v>36</v>
          </cell>
        </row>
        <row r="9335">
          <cell r="F9335" t="str">
            <v xml:space="preserve">830006735      </v>
          </cell>
          <cell r="O9335">
            <v>425</v>
          </cell>
        </row>
        <row r="9336">
          <cell r="F9336" t="str">
            <v xml:space="preserve">860001697      </v>
          </cell>
          <cell r="O9336">
            <v>457.5</v>
          </cell>
        </row>
        <row r="9337">
          <cell r="F9337" t="str">
            <v xml:space="preserve">860020382      </v>
          </cell>
          <cell r="O9337">
            <v>60</v>
          </cell>
        </row>
        <row r="9338">
          <cell r="F9338" t="str">
            <v xml:space="preserve">890908649      </v>
          </cell>
          <cell r="O9338">
            <v>120</v>
          </cell>
        </row>
        <row r="9339">
          <cell r="F9339" t="str">
            <v xml:space="preserve">900049818      </v>
          </cell>
          <cell r="O9339">
            <v>32</v>
          </cell>
        </row>
        <row r="9340">
          <cell r="F9340" t="str">
            <v xml:space="preserve">1104405256     </v>
          </cell>
          <cell r="O9340">
            <v>1200</v>
          </cell>
        </row>
        <row r="9341">
          <cell r="F9341" t="str">
            <v xml:space="preserve">1104405256     </v>
          </cell>
          <cell r="O9341">
            <v>22.5</v>
          </cell>
        </row>
        <row r="9342">
          <cell r="F9342" t="str">
            <v xml:space="preserve">1104405256     </v>
          </cell>
          <cell r="O9342">
            <v>900</v>
          </cell>
        </row>
        <row r="9343">
          <cell r="F9343" t="str">
            <v xml:space="preserve">800090890      </v>
          </cell>
          <cell r="O9343">
            <v>76</v>
          </cell>
        </row>
        <row r="9344">
          <cell r="F9344" t="str">
            <v xml:space="preserve">800090890      </v>
          </cell>
          <cell r="O9344">
            <v>19</v>
          </cell>
        </row>
        <row r="9345">
          <cell r="F9345" t="str">
            <v xml:space="preserve">811014849      </v>
          </cell>
          <cell r="O9345">
            <v>216</v>
          </cell>
        </row>
        <row r="9346">
          <cell r="F9346" t="str">
            <v xml:space="preserve">811014849      </v>
          </cell>
          <cell r="O9346">
            <v>126</v>
          </cell>
        </row>
        <row r="9347">
          <cell r="F9347" t="str">
            <v xml:space="preserve">890903939      </v>
          </cell>
          <cell r="O9347">
            <v>1190.55</v>
          </cell>
        </row>
        <row r="9348">
          <cell r="F9348" t="str">
            <v xml:space="preserve">890903939      </v>
          </cell>
          <cell r="O9348">
            <v>218.1</v>
          </cell>
        </row>
        <row r="9349">
          <cell r="F9349" t="str">
            <v xml:space="preserve">890903939      </v>
          </cell>
          <cell r="O9349">
            <v>0</v>
          </cell>
        </row>
        <row r="9350">
          <cell r="F9350" t="str">
            <v xml:space="preserve">890903939      </v>
          </cell>
          <cell r="O9350">
            <v>181.5</v>
          </cell>
        </row>
        <row r="9351">
          <cell r="F9351" t="str">
            <v xml:space="preserve">211            </v>
          </cell>
          <cell r="O9351">
            <v>450</v>
          </cell>
        </row>
        <row r="9352">
          <cell r="F9352" t="str">
            <v xml:space="preserve">211            </v>
          </cell>
          <cell r="O9352">
            <v>558</v>
          </cell>
        </row>
        <row r="9353">
          <cell r="F9353" t="str">
            <v xml:space="preserve">211            </v>
          </cell>
          <cell r="O9353">
            <v>90</v>
          </cell>
        </row>
        <row r="9354">
          <cell r="F9354" t="str">
            <v xml:space="preserve">860001697      </v>
          </cell>
          <cell r="O9354">
            <v>281.2</v>
          </cell>
        </row>
        <row r="9355">
          <cell r="F9355" t="str">
            <v xml:space="preserve">860001697      </v>
          </cell>
          <cell r="O9355">
            <v>157.56</v>
          </cell>
        </row>
        <row r="9356">
          <cell r="F9356" t="str">
            <v xml:space="preserve">802015827      </v>
          </cell>
          <cell r="O9356">
            <v>75</v>
          </cell>
        </row>
        <row r="9357">
          <cell r="F9357" t="str">
            <v xml:space="preserve">806008873      </v>
          </cell>
          <cell r="O9357">
            <v>360</v>
          </cell>
        </row>
        <row r="9358">
          <cell r="F9358" t="str">
            <v xml:space="preserve">811032699      </v>
          </cell>
          <cell r="O9358">
            <v>18</v>
          </cell>
        </row>
        <row r="9359">
          <cell r="F9359" t="str">
            <v xml:space="preserve">830095213      </v>
          </cell>
          <cell r="O9359">
            <v>216</v>
          </cell>
        </row>
        <row r="9360">
          <cell r="F9360" t="str">
            <v xml:space="preserve">830095213      </v>
          </cell>
          <cell r="O9360">
            <v>45</v>
          </cell>
        </row>
        <row r="9361">
          <cell r="F9361" t="str">
            <v xml:space="preserve">830095213      </v>
          </cell>
          <cell r="O9361">
            <v>234</v>
          </cell>
        </row>
        <row r="9362">
          <cell r="F9362" t="str">
            <v xml:space="preserve">890903939      </v>
          </cell>
          <cell r="O9362">
            <v>341.18</v>
          </cell>
        </row>
        <row r="9363">
          <cell r="F9363" t="str">
            <v xml:space="preserve">900557954      </v>
          </cell>
          <cell r="O9363">
            <v>60</v>
          </cell>
        </row>
        <row r="9364">
          <cell r="F9364" t="str">
            <v xml:space="preserve">900749094      </v>
          </cell>
          <cell r="O9364">
            <v>90</v>
          </cell>
        </row>
        <row r="9365">
          <cell r="F9365" t="str">
            <v xml:space="preserve">900820045      </v>
          </cell>
          <cell r="O9365">
            <v>18</v>
          </cell>
        </row>
        <row r="9366">
          <cell r="F9366" t="str">
            <v xml:space="preserve">901000237      </v>
          </cell>
          <cell r="O9366">
            <v>72</v>
          </cell>
        </row>
        <row r="9367">
          <cell r="F9367" t="str">
            <v xml:space="preserve">830009573      </v>
          </cell>
          <cell r="O9367">
            <v>20</v>
          </cell>
        </row>
        <row r="9368">
          <cell r="F9368" t="str">
            <v xml:space="preserve">830010908      </v>
          </cell>
          <cell r="O9368">
            <v>60</v>
          </cell>
        </row>
        <row r="9369">
          <cell r="F9369" t="str">
            <v xml:space="preserve">860001697      </v>
          </cell>
          <cell r="O9369">
            <v>959.5</v>
          </cell>
        </row>
        <row r="9370">
          <cell r="F9370" t="str">
            <v xml:space="preserve">800229035      </v>
          </cell>
          <cell r="O9370">
            <v>45</v>
          </cell>
        </row>
        <row r="9371">
          <cell r="F9371" t="str">
            <v xml:space="preserve">800229035      </v>
          </cell>
          <cell r="O9371">
            <v>75</v>
          </cell>
        </row>
        <row r="9372">
          <cell r="F9372" t="str">
            <v xml:space="preserve">901496667      </v>
          </cell>
          <cell r="O9372">
            <v>274.7</v>
          </cell>
        </row>
        <row r="9373">
          <cell r="F9373" t="str">
            <v xml:space="preserve">806007578      </v>
          </cell>
          <cell r="O9373">
            <v>194.6</v>
          </cell>
        </row>
        <row r="9374">
          <cell r="F9374" t="str">
            <v xml:space="preserve">830094679      </v>
          </cell>
          <cell r="O9374">
            <v>644.29999999999995</v>
          </cell>
        </row>
        <row r="9375">
          <cell r="F9375" t="str">
            <v xml:space="preserve">10215830       </v>
          </cell>
          <cell r="O9375">
            <v>192.2</v>
          </cell>
        </row>
        <row r="9376">
          <cell r="F9376" t="str">
            <v xml:space="preserve">10227058       </v>
          </cell>
          <cell r="O9376">
            <v>148.9</v>
          </cell>
        </row>
        <row r="9377">
          <cell r="F9377" t="str">
            <v xml:space="preserve">24326680       </v>
          </cell>
          <cell r="O9377">
            <v>215.7</v>
          </cell>
        </row>
        <row r="9378">
          <cell r="F9378" t="str">
            <v xml:space="preserve">24326680       </v>
          </cell>
          <cell r="O9378">
            <v>72.400000000000006</v>
          </cell>
        </row>
        <row r="9379">
          <cell r="F9379" t="str">
            <v xml:space="preserve">30281441       </v>
          </cell>
          <cell r="O9379">
            <v>59.4</v>
          </cell>
        </row>
        <row r="9380">
          <cell r="F9380" t="str">
            <v xml:space="preserve">30310943       </v>
          </cell>
          <cell r="O9380">
            <v>81.5</v>
          </cell>
        </row>
        <row r="9381">
          <cell r="F9381" t="str">
            <v xml:space="preserve">30396478       </v>
          </cell>
          <cell r="O9381">
            <v>164.5</v>
          </cell>
        </row>
        <row r="9382">
          <cell r="F9382" t="str">
            <v xml:space="preserve">800175108      </v>
          </cell>
          <cell r="O9382">
            <v>33.200000000000003</v>
          </cell>
        </row>
        <row r="9383">
          <cell r="F9383" t="str">
            <v xml:space="preserve">810006197      </v>
          </cell>
          <cell r="O9383">
            <v>1104</v>
          </cell>
        </row>
        <row r="9384">
          <cell r="F9384" t="str">
            <v xml:space="preserve">830512556      </v>
          </cell>
          <cell r="O9384">
            <v>232.5</v>
          </cell>
        </row>
        <row r="9385">
          <cell r="F9385" t="str">
            <v xml:space="preserve">900129832      </v>
          </cell>
          <cell r="O9385">
            <v>203.5</v>
          </cell>
        </row>
        <row r="9386">
          <cell r="F9386" t="str">
            <v xml:space="preserve">900145557      </v>
          </cell>
          <cell r="O9386">
            <v>150.30000000000001</v>
          </cell>
        </row>
        <row r="9387">
          <cell r="F9387" t="str">
            <v xml:space="preserve">900870666      </v>
          </cell>
          <cell r="O9387">
            <v>653.79999999999995</v>
          </cell>
        </row>
        <row r="9388">
          <cell r="F9388" t="str">
            <v xml:space="preserve">900959486      </v>
          </cell>
          <cell r="O9388">
            <v>1641.8</v>
          </cell>
        </row>
        <row r="9389">
          <cell r="F9389" t="str">
            <v xml:space="preserve">19231886       </v>
          </cell>
          <cell r="O9389">
            <v>138.9</v>
          </cell>
        </row>
        <row r="9390">
          <cell r="F9390" t="str">
            <v xml:space="preserve">60251658       </v>
          </cell>
          <cell r="O9390">
            <v>59.9</v>
          </cell>
        </row>
        <row r="9391">
          <cell r="F9391" t="str">
            <v xml:space="preserve">7128297        </v>
          </cell>
          <cell r="O9391">
            <v>358</v>
          </cell>
        </row>
        <row r="9392">
          <cell r="F9392" t="str">
            <v xml:space="preserve">860058831      </v>
          </cell>
          <cell r="O9392">
            <v>955.1</v>
          </cell>
        </row>
        <row r="9393">
          <cell r="F9393" t="str">
            <v xml:space="preserve">860058831      </v>
          </cell>
          <cell r="O9393">
            <v>903.1</v>
          </cell>
        </row>
        <row r="9394">
          <cell r="F9394" t="str">
            <v xml:space="preserve">860065656      </v>
          </cell>
          <cell r="O9394">
            <v>6746.4</v>
          </cell>
        </row>
        <row r="9395">
          <cell r="F9395" t="str">
            <v xml:space="preserve">860039884      </v>
          </cell>
          <cell r="O9395">
            <v>929.6</v>
          </cell>
        </row>
        <row r="9396">
          <cell r="F9396" t="str">
            <v xml:space="preserve">860065656      </v>
          </cell>
          <cell r="O9396">
            <v>4520.6000000000004</v>
          </cell>
        </row>
        <row r="9397">
          <cell r="F9397" t="str">
            <v xml:space="preserve">860065656      </v>
          </cell>
          <cell r="O9397">
            <v>6731.1</v>
          </cell>
        </row>
        <row r="9398">
          <cell r="F9398" t="str">
            <v xml:space="preserve">900327148      </v>
          </cell>
          <cell r="O9398">
            <v>369.9</v>
          </cell>
        </row>
        <row r="9399">
          <cell r="F9399" t="str">
            <v xml:space="preserve">860001697      </v>
          </cell>
          <cell r="O9399">
            <v>160.82</v>
          </cell>
        </row>
        <row r="9400">
          <cell r="F9400" t="str">
            <v xml:space="preserve">890903939      </v>
          </cell>
          <cell r="O9400">
            <v>201.18</v>
          </cell>
        </row>
        <row r="9401">
          <cell r="F9401" t="str">
            <v xml:space="preserve">212            </v>
          </cell>
          <cell r="O9401">
            <v>4.5</v>
          </cell>
        </row>
        <row r="9402">
          <cell r="F9402" t="str">
            <v xml:space="preserve">212            </v>
          </cell>
          <cell r="O9402">
            <v>15</v>
          </cell>
        </row>
        <row r="9403">
          <cell r="F9403" t="str">
            <v xml:space="preserve">212            </v>
          </cell>
          <cell r="O9403">
            <v>72</v>
          </cell>
        </row>
        <row r="9404">
          <cell r="F9404" t="str">
            <v xml:space="preserve">212            </v>
          </cell>
          <cell r="O9404">
            <v>180</v>
          </cell>
        </row>
        <row r="9405">
          <cell r="F9405" t="str">
            <v xml:space="preserve">900084859      </v>
          </cell>
          <cell r="O9405">
            <v>18</v>
          </cell>
        </row>
        <row r="9406">
          <cell r="F9406" t="str">
            <v xml:space="preserve">900084859      </v>
          </cell>
          <cell r="O9406">
            <v>36</v>
          </cell>
        </row>
        <row r="9407">
          <cell r="F9407" t="str">
            <v xml:space="preserve">210            </v>
          </cell>
          <cell r="O9407">
            <v>1800</v>
          </cell>
        </row>
        <row r="9408">
          <cell r="F9408" t="str">
            <v xml:space="preserve">210            </v>
          </cell>
          <cell r="O9408">
            <v>450</v>
          </cell>
        </row>
        <row r="9409">
          <cell r="F9409" t="str">
            <v xml:space="preserve">101            </v>
          </cell>
          <cell r="O9409">
            <v>72</v>
          </cell>
        </row>
        <row r="9410">
          <cell r="F9410" t="str">
            <v xml:space="preserve">101            </v>
          </cell>
          <cell r="O9410">
            <v>9</v>
          </cell>
        </row>
        <row r="9411">
          <cell r="F9411" t="str">
            <v xml:space="preserve">101            </v>
          </cell>
          <cell r="O9411">
            <v>36</v>
          </cell>
        </row>
        <row r="9412">
          <cell r="F9412" t="str">
            <v xml:space="preserve">900342435      </v>
          </cell>
          <cell r="O9412">
            <v>4.5</v>
          </cell>
        </row>
        <row r="9413">
          <cell r="F9413" t="str">
            <v xml:space="preserve">210            </v>
          </cell>
          <cell r="O9413">
            <v>4.5</v>
          </cell>
        </row>
        <row r="9414">
          <cell r="F9414" t="str">
            <v xml:space="preserve">210            </v>
          </cell>
          <cell r="O9414">
            <v>18</v>
          </cell>
        </row>
        <row r="9415">
          <cell r="F9415" t="str">
            <v xml:space="preserve">210            </v>
          </cell>
          <cell r="O9415">
            <v>15</v>
          </cell>
        </row>
        <row r="9416">
          <cell r="F9416" t="str">
            <v xml:space="preserve">210            </v>
          </cell>
          <cell r="O9416">
            <v>162</v>
          </cell>
        </row>
        <row r="9417">
          <cell r="F9417" t="str">
            <v xml:space="preserve">800068285      </v>
          </cell>
          <cell r="O9417">
            <v>18</v>
          </cell>
        </row>
        <row r="9418">
          <cell r="F9418" t="str">
            <v xml:space="preserve">800115720      </v>
          </cell>
          <cell r="O9418">
            <v>18</v>
          </cell>
        </row>
        <row r="9419">
          <cell r="F9419" t="str">
            <v xml:space="preserve">805026018      </v>
          </cell>
          <cell r="O9419">
            <v>36</v>
          </cell>
        </row>
        <row r="9420">
          <cell r="F9420" t="str">
            <v xml:space="preserve">811020038      </v>
          </cell>
          <cell r="O9420">
            <v>18</v>
          </cell>
        </row>
        <row r="9421">
          <cell r="F9421" t="str">
            <v xml:space="preserve">811047008      </v>
          </cell>
          <cell r="O9421">
            <v>54</v>
          </cell>
        </row>
        <row r="9422">
          <cell r="F9422" t="str">
            <v xml:space="preserve">890301602      </v>
          </cell>
          <cell r="O9422">
            <v>306</v>
          </cell>
        </row>
        <row r="9423">
          <cell r="F9423" t="str">
            <v xml:space="preserve">890302609      </v>
          </cell>
          <cell r="O9423">
            <v>171</v>
          </cell>
        </row>
        <row r="9424">
          <cell r="F9424" t="str">
            <v xml:space="preserve">890304607      </v>
          </cell>
          <cell r="O9424">
            <v>90</v>
          </cell>
        </row>
        <row r="9425">
          <cell r="F9425" t="str">
            <v xml:space="preserve">890321924      </v>
          </cell>
          <cell r="O9425">
            <v>36</v>
          </cell>
        </row>
        <row r="9426">
          <cell r="F9426" t="str">
            <v xml:space="preserve">890903939      </v>
          </cell>
          <cell r="O9426">
            <v>168</v>
          </cell>
        </row>
        <row r="9427">
          <cell r="F9427" t="str">
            <v xml:space="preserve">890903939      </v>
          </cell>
          <cell r="O9427">
            <v>356</v>
          </cell>
        </row>
        <row r="9428">
          <cell r="F9428" t="str">
            <v xml:space="preserve">901167377      </v>
          </cell>
          <cell r="O9428">
            <v>84</v>
          </cell>
        </row>
        <row r="9429">
          <cell r="F9429" t="str">
            <v xml:space="preserve">407            </v>
          </cell>
          <cell r="O9429">
            <v>0</v>
          </cell>
        </row>
        <row r="9430">
          <cell r="F9430" t="str">
            <v xml:space="preserve">407            </v>
          </cell>
          <cell r="O9430">
            <v>0</v>
          </cell>
        </row>
        <row r="9431">
          <cell r="F9431" t="str">
            <v xml:space="preserve">900392835      </v>
          </cell>
          <cell r="O9431">
            <v>105</v>
          </cell>
        </row>
        <row r="9432">
          <cell r="F9432" t="str">
            <v xml:space="preserve">900392835      </v>
          </cell>
          <cell r="O9432">
            <v>468</v>
          </cell>
        </row>
        <row r="9433">
          <cell r="F9433" t="str">
            <v xml:space="preserve">860000794      </v>
          </cell>
          <cell r="O9433">
            <v>643.79999999999995</v>
          </cell>
        </row>
        <row r="9434">
          <cell r="F9434" t="str">
            <v xml:space="preserve">52790620       </v>
          </cell>
          <cell r="O9434">
            <v>2628</v>
          </cell>
        </row>
        <row r="9435">
          <cell r="F9435" t="str">
            <v xml:space="preserve">110            </v>
          </cell>
          <cell r="O9435">
            <v>414</v>
          </cell>
        </row>
        <row r="9436">
          <cell r="F9436" t="str">
            <v xml:space="preserve">212            </v>
          </cell>
          <cell r="O9436">
            <v>162</v>
          </cell>
        </row>
        <row r="9437">
          <cell r="F9437" t="str">
            <v xml:space="preserve">39538743       </v>
          </cell>
          <cell r="O9437">
            <v>40.6</v>
          </cell>
        </row>
        <row r="9438">
          <cell r="F9438" t="str">
            <v xml:space="preserve">65823154       </v>
          </cell>
          <cell r="O9438">
            <v>86.5</v>
          </cell>
        </row>
        <row r="9439">
          <cell r="F9439" t="str">
            <v xml:space="preserve">75056610       </v>
          </cell>
          <cell r="O9439">
            <v>128</v>
          </cell>
        </row>
        <row r="9440">
          <cell r="F9440" t="str">
            <v xml:space="preserve">808001557      </v>
          </cell>
          <cell r="O9440">
            <v>300.8</v>
          </cell>
        </row>
        <row r="9441">
          <cell r="F9441" t="str">
            <v xml:space="preserve">808001557      </v>
          </cell>
          <cell r="O9441">
            <v>300.7</v>
          </cell>
        </row>
        <row r="9442">
          <cell r="F9442" t="str">
            <v xml:space="preserve">900974484      </v>
          </cell>
          <cell r="O9442">
            <v>4001.5</v>
          </cell>
        </row>
        <row r="9443">
          <cell r="F9443" t="str">
            <v xml:space="preserve">79095204       </v>
          </cell>
          <cell r="O9443">
            <v>828</v>
          </cell>
        </row>
        <row r="9444">
          <cell r="F9444" t="str">
            <v xml:space="preserve">79095204       </v>
          </cell>
          <cell r="O9444">
            <v>315</v>
          </cell>
        </row>
        <row r="9445">
          <cell r="F9445" t="str">
            <v xml:space="preserve">212            </v>
          </cell>
          <cell r="O9445">
            <v>15</v>
          </cell>
        </row>
        <row r="9446">
          <cell r="F9446" t="str">
            <v xml:space="preserve">805011264      </v>
          </cell>
          <cell r="O9446">
            <v>36</v>
          </cell>
        </row>
        <row r="9447">
          <cell r="F9447" t="str">
            <v xml:space="preserve">805012977      </v>
          </cell>
          <cell r="O9447">
            <v>90</v>
          </cell>
        </row>
        <row r="9448">
          <cell r="F9448" t="str">
            <v xml:space="preserve">860020382      </v>
          </cell>
          <cell r="O9448">
            <v>54</v>
          </cell>
        </row>
        <row r="9449">
          <cell r="F9449" t="str">
            <v xml:space="preserve">890300534      </v>
          </cell>
          <cell r="O9449">
            <v>135</v>
          </cell>
        </row>
        <row r="9450">
          <cell r="F9450" t="str">
            <v xml:space="preserve">890311251      </v>
          </cell>
          <cell r="O9450">
            <v>36</v>
          </cell>
        </row>
        <row r="9451">
          <cell r="F9451" t="str">
            <v xml:space="preserve">890312630      </v>
          </cell>
          <cell r="O9451">
            <v>81</v>
          </cell>
        </row>
        <row r="9452">
          <cell r="F9452" t="str">
            <v xml:space="preserve">900234565      </v>
          </cell>
          <cell r="O9452">
            <v>18</v>
          </cell>
        </row>
        <row r="9453">
          <cell r="F9453" t="str">
            <v xml:space="preserve">900818921      </v>
          </cell>
          <cell r="O9453">
            <v>425</v>
          </cell>
        </row>
        <row r="9454">
          <cell r="F9454" t="str">
            <v xml:space="preserve">900896300      </v>
          </cell>
          <cell r="O9454">
            <v>126</v>
          </cell>
        </row>
        <row r="9455">
          <cell r="F9455" t="str">
            <v xml:space="preserve">901026262      </v>
          </cell>
          <cell r="O9455">
            <v>18</v>
          </cell>
        </row>
        <row r="9456">
          <cell r="F9456" t="str">
            <v xml:space="preserve">212            </v>
          </cell>
          <cell r="O9456">
            <v>15</v>
          </cell>
        </row>
        <row r="9457">
          <cell r="F9457" t="str">
            <v xml:space="preserve">212            </v>
          </cell>
          <cell r="O9457">
            <v>45</v>
          </cell>
        </row>
        <row r="9458">
          <cell r="F9458" t="str">
            <v xml:space="preserve">212            </v>
          </cell>
          <cell r="O9458">
            <v>30</v>
          </cell>
        </row>
        <row r="9459">
          <cell r="F9459" t="str">
            <v xml:space="preserve">212            </v>
          </cell>
          <cell r="O9459">
            <v>72</v>
          </cell>
        </row>
        <row r="9460">
          <cell r="F9460" t="str">
            <v xml:space="preserve">203            </v>
          </cell>
          <cell r="O9460">
            <v>4.5</v>
          </cell>
        </row>
        <row r="9461">
          <cell r="F9461" t="str">
            <v xml:space="preserve">203            </v>
          </cell>
          <cell r="O9461">
            <v>18</v>
          </cell>
        </row>
        <row r="9462">
          <cell r="F9462" t="str">
            <v xml:space="preserve">203            </v>
          </cell>
          <cell r="O9462">
            <v>54</v>
          </cell>
        </row>
        <row r="9463">
          <cell r="F9463" t="str">
            <v xml:space="preserve">203            </v>
          </cell>
          <cell r="O9463">
            <v>45</v>
          </cell>
        </row>
        <row r="9464">
          <cell r="F9464" t="str">
            <v xml:space="preserve">43730353       </v>
          </cell>
          <cell r="O9464">
            <v>180</v>
          </cell>
        </row>
        <row r="9465">
          <cell r="F9465" t="str">
            <v xml:space="preserve">811029282      </v>
          </cell>
          <cell r="O9465">
            <v>45</v>
          </cell>
        </row>
        <row r="9466">
          <cell r="F9466" t="str">
            <v xml:space="preserve">811029282      </v>
          </cell>
          <cell r="O9466">
            <v>45</v>
          </cell>
        </row>
        <row r="9467">
          <cell r="F9467" t="str">
            <v xml:space="preserve">890905179      </v>
          </cell>
          <cell r="O9467">
            <v>54</v>
          </cell>
        </row>
        <row r="9468">
          <cell r="F9468" t="str">
            <v xml:space="preserve">900445736      </v>
          </cell>
          <cell r="O9468">
            <v>45</v>
          </cell>
        </row>
        <row r="9469">
          <cell r="F9469" t="str">
            <v xml:space="preserve">900445736      </v>
          </cell>
          <cell r="O9469">
            <v>45</v>
          </cell>
        </row>
        <row r="9470">
          <cell r="F9470" t="str">
            <v xml:space="preserve">900445736      </v>
          </cell>
          <cell r="O9470">
            <v>45</v>
          </cell>
        </row>
        <row r="9471">
          <cell r="F9471" t="str">
            <v xml:space="preserve">900445736      </v>
          </cell>
          <cell r="O9471">
            <v>45</v>
          </cell>
        </row>
        <row r="9472">
          <cell r="F9472" t="str">
            <v xml:space="preserve">900445736      </v>
          </cell>
          <cell r="O9472">
            <v>45</v>
          </cell>
        </row>
        <row r="9473">
          <cell r="F9473" t="str">
            <v xml:space="preserve">900445736      </v>
          </cell>
          <cell r="O9473">
            <v>45</v>
          </cell>
        </row>
        <row r="9474">
          <cell r="F9474" t="str">
            <v xml:space="preserve">860065656      </v>
          </cell>
          <cell r="O9474">
            <v>6559.5</v>
          </cell>
        </row>
        <row r="9475">
          <cell r="F9475" t="str">
            <v xml:space="preserve">900974484      </v>
          </cell>
          <cell r="O9475">
            <v>2129</v>
          </cell>
        </row>
        <row r="9476">
          <cell r="F9476" t="str">
            <v xml:space="preserve">900974484      </v>
          </cell>
          <cell r="O9476">
            <v>1902.9</v>
          </cell>
        </row>
        <row r="9477">
          <cell r="F9477" t="str">
            <v xml:space="preserve">1037572101     </v>
          </cell>
          <cell r="O9477">
            <v>105.5</v>
          </cell>
        </row>
        <row r="9478">
          <cell r="F9478" t="str">
            <v xml:space="preserve">75080026       </v>
          </cell>
          <cell r="O9478">
            <v>307.39999999999998</v>
          </cell>
        </row>
        <row r="9479">
          <cell r="F9479" t="str">
            <v xml:space="preserve">830010738      </v>
          </cell>
          <cell r="O9479">
            <v>116.2</v>
          </cell>
        </row>
        <row r="9480">
          <cell r="F9480" t="str">
            <v xml:space="preserve">900280406      </v>
          </cell>
          <cell r="O9480">
            <v>91.2</v>
          </cell>
        </row>
        <row r="9481">
          <cell r="F9481" t="str">
            <v xml:space="preserve">900280406      </v>
          </cell>
          <cell r="O9481">
            <v>92.7</v>
          </cell>
        </row>
        <row r="9482">
          <cell r="F9482" t="str">
            <v xml:space="preserve">901038325      </v>
          </cell>
          <cell r="O9482">
            <v>101.6</v>
          </cell>
        </row>
        <row r="9483">
          <cell r="F9483" t="str">
            <v xml:space="preserve">830107012      </v>
          </cell>
          <cell r="O9483">
            <v>36</v>
          </cell>
        </row>
        <row r="9484">
          <cell r="F9484" t="str">
            <v xml:space="preserve">70900706       </v>
          </cell>
          <cell r="O9484">
            <v>90</v>
          </cell>
        </row>
        <row r="9485">
          <cell r="F9485" t="str">
            <v xml:space="preserve">39813103       </v>
          </cell>
          <cell r="O9485">
            <v>226.6</v>
          </cell>
        </row>
        <row r="9486">
          <cell r="F9486" t="str">
            <v xml:space="preserve">860403972      </v>
          </cell>
          <cell r="O9486">
            <v>1552.5</v>
          </cell>
        </row>
        <row r="9487">
          <cell r="F9487" t="str">
            <v xml:space="preserve">860403972      </v>
          </cell>
          <cell r="O9487">
            <v>2500.5</v>
          </cell>
        </row>
        <row r="9488">
          <cell r="F9488" t="str">
            <v xml:space="preserve">52790620       </v>
          </cell>
          <cell r="O9488">
            <v>45</v>
          </cell>
        </row>
        <row r="9489">
          <cell r="F9489" t="str">
            <v xml:space="preserve">52790620       </v>
          </cell>
          <cell r="O9489">
            <v>225</v>
          </cell>
        </row>
        <row r="9490">
          <cell r="F9490" t="str">
            <v xml:space="preserve">52790620       </v>
          </cell>
          <cell r="O9490">
            <v>2895</v>
          </cell>
        </row>
        <row r="9491">
          <cell r="F9491" t="str">
            <v xml:space="preserve">52790620       </v>
          </cell>
          <cell r="O9491">
            <v>1575</v>
          </cell>
        </row>
        <row r="9492">
          <cell r="F9492" t="str">
            <v xml:space="preserve">52790620       </v>
          </cell>
          <cell r="O9492">
            <v>360</v>
          </cell>
        </row>
        <row r="9493">
          <cell r="F9493" t="str">
            <v xml:space="preserve">1123306260     </v>
          </cell>
          <cell r="O9493">
            <v>90</v>
          </cell>
        </row>
        <row r="9494">
          <cell r="F9494" t="str">
            <v xml:space="preserve">900166217      </v>
          </cell>
          <cell r="O9494">
            <v>738.5</v>
          </cell>
        </row>
        <row r="9495">
          <cell r="F9495" t="str">
            <v xml:space="preserve">901370493      </v>
          </cell>
          <cell r="O9495">
            <v>569.20000000000005</v>
          </cell>
        </row>
        <row r="9496">
          <cell r="F9496" t="str">
            <v xml:space="preserve">830016868      </v>
          </cell>
          <cell r="O9496">
            <v>270</v>
          </cell>
        </row>
        <row r="9497">
          <cell r="F9497" t="str">
            <v xml:space="preserve">16632894       </v>
          </cell>
          <cell r="O9497">
            <v>964.8</v>
          </cell>
        </row>
        <row r="9498">
          <cell r="F9498" t="str">
            <v xml:space="preserve">29538550       </v>
          </cell>
          <cell r="O9498">
            <v>1316.8</v>
          </cell>
        </row>
        <row r="9499">
          <cell r="F9499" t="str">
            <v xml:space="preserve">890320250      </v>
          </cell>
          <cell r="O9499">
            <v>1052</v>
          </cell>
        </row>
        <row r="9500">
          <cell r="F9500" t="str">
            <v xml:space="preserve">900018975      </v>
          </cell>
          <cell r="O9500">
            <v>3000</v>
          </cell>
        </row>
        <row r="9501">
          <cell r="F9501" t="str">
            <v xml:space="preserve">900133796      </v>
          </cell>
          <cell r="O9501">
            <v>375.4</v>
          </cell>
        </row>
        <row r="9502">
          <cell r="F9502" t="str">
            <v xml:space="preserve">900133796      </v>
          </cell>
          <cell r="O9502">
            <v>375.1</v>
          </cell>
        </row>
        <row r="9503">
          <cell r="F9503" t="str">
            <v xml:space="preserve">900133796      </v>
          </cell>
          <cell r="O9503">
            <v>294</v>
          </cell>
        </row>
        <row r="9504">
          <cell r="F9504" t="str">
            <v xml:space="preserve">900133796      </v>
          </cell>
          <cell r="O9504">
            <v>375.4</v>
          </cell>
        </row>
        <row r="9505">
          <cell r="F9505" t="str">
            <v xml:space="preserve">900497719      </v>
          </cell>
          <cell r="O9505">
            <v>177.6</v>
          </cell>
        </row>
        <row r="9506">
          <cell r="F9506" t="str">
            <v xml:space="preserve">900695374      </v>
          </cell>
          <cell r="O9506">
            <v>1204.2</v>
          </cell>
        </row>
        <row r="9507">
          <cell r="F9507" t="str">
            <v xml:space="preserve">901037565      </v>
          </cell>
          <cell r="O9507">
            <v>3000.5</v>
          </cell>
        </row>
        <row r="9508">
          <cell r="F9508" t="str">
            <v xml:space="preserve">811014849      </v>
          </cell>
          <cell r="O9508">
            <v>661.53</v>
          </cell>
        </row>
        <row r="9509">
          <cell r="F9509" t="str">
            <v xml:space="preserve">830026277      </v>
          </cell>
          <cell r="O9509">
            <v>1101.6400000000001</v>
          </cell>
        </row>
        <row r="9510">
          <cell r="F9510" t="str">
            <v xml:space="preserve">860518994      </v>
          </cell>
          <cell r="O9510">
            <v>85.45</v>
          </cell>
        </row>
        <row r="9511">
          <cell r="F9511" t="str">
            <v xml:space="preserve">891300382      </v>
          </cell>
          <cell r="O9511">
            <v>43.95</v>
          </cell>
        </row>
        <row r="9512">
          <cell r="F9512" t="str">
            <v xml:space="preserve">891300382      </v>
          </cell>
          <cell r="O9512">
            <v>43.03</v>
          </cell>
        </row>
        <row r="9513">
          <cell r="F9513" t="str">
            <v xml:space="preserve">891300382      </v>
          </cell>
          <cell r="O9513">
            <v>49.78</v>
          </cell>
        </row>
        <row r="9514">
          <cell r="F9514" t="str">
            <v xml:space="preserve">830010738      </v>
          </cell>
          <cell r="O9514">
            <v>180.7</v>
          </cell>
        </row>
        <row r="9515">
          <cell r="F9515" t="str">
            <v xml:space="preserve">900474647      </v>
          </cell>
          <cell r="O9515">
            <v>1055.0999999999999</v>
          </cell>
        </row>
        <row r="9516">
          <cell r="F9516" t="str">
            <v xml:space="preserve">800006785      </v>
          </cell>
          <cell r="O9516">
            <v>18</v>
          </cell>
        </row>
        <row r="9517">
          <cell r="F9517" t="str">
            <v xml:space="preserve">800006785      </v>
          </cell>
          <cell r="O9517">
            <v>18</v>
          </cell>
        </row>
        <row r="9518">
          <cell r="F9518" t="str">
            <v xml:space="preserve">805005148      </v>
          </cell>
          <cell r="O9518">
            <v>54</v>
          </cell>
        </row>
        <row r="9519">
          <cell r="F9519" t="str">
            <v xml:space="preserve">805005148      </v>
          </cell>
          <cell r="O9519">
            <v>105</v>
          </cell>
        </row>
        <row r="9520">
          <cell r="F9520" t="str">
            <v xml:space="preserve">805005148      </v>
          </cell>
          <cell r="O9520">
            <v>1584</v>
          </cell>
        </row>
        <row r="9521">
          <cell r="F9521" t="str">
            <v xml:space="preserve">805005148      </v>
          </cell>
          <cell r="O9521">
            <v>540</v>
          </cell>
        </row>
        <row r="9522">
          <cell r="F9522" t="str">
            <v xml:space="preserve">805005148      </v>
          </cell>
          <cell r="O9522">
            <v>1044</v>
          </cell>
        </row>
        <row r="9523">
          <cell r="F9523" t="str">
            <v xml:space="preserve">805005148      </v>
          </cell>
          <cell r="O9523">
            <v>135</v>
          </cell>
        </row>
        <row r="9524">
          <cell r="F9524" t="str">
            <v xml:space="preserve">805005148      </v>
          </cell>
          <cell r="O9524">
            <v>4.5</v>
          </cell>
        </row>
        <row r="9525">
          <cell r="F9525" t="str">
            <v xml:space="preserve">805005148      </v>
          </cell>
          <cell r="O9525">
            <v>144</v>
          </cell>
        </row>
        <row r="9526">
          <cell r="F9526" t="str">
            <v xml:space="preserve">805005148      </v>
          </cell>
          <cell r="O9526">
            <v>450</v>
          </cell>
        </row>
        <row r="9527">
          <cell r="F9527" t="str">
            <v xml:space="preserve">805005148      </v>
          </cell>
          <cell r="O9527">
            <v>972</v>
          </cell>
        </row>
        <row r="9528">
          <cell r="F9528" t="str">
            <v xml:space="preserve">805005148      </v>
          </cell>
          <cell r="O9528">
            <v>270</v>
          </cell>
        </row>
        <row r="9529">
          <cell r="F9529" t="str">
            <v xml:space="preserve">805005148      </v>
          </cell>
          <cell r="O9529">
            <v>144</v>
          </cell>
        </row>
        <row r="9530">
          <cell r="F9530" t="str">
            <v xml:space="preserve">805005148      </v>
          </cell>
          <cell r="O9530">
            <v>3060</v>
          </cell>
        </row>
        <row r="9531">
          <cell r="F9531" t="str">
            <v xml:space="preserve">805005148      </v>
          </cell>
          <cell r="O9531">
            <v>2088</v>
          </cell>
        </row>
        <row r="9532">
          <cell r="F9532" t="str">
            <v xml:space="preserve">1130605276     </v>
          </cell>
          <cell r="O9532">
            <v>810</v>
          </cell>
        </row>
        <row r="9533">
          <cell r="F9533" t="str">
            <v xml:space="preserve">1130605276     </v>
          </cell>
          <cell r="O9533">
            <v>135</v>
          </cell>
        </row>
        <row r="9534">
          <cell r="F9534" t="str">
            <v xml:space="preserve">815003963      </v>
          </cell>
          <cell r="O9534">
            <v>0</v>
          </cell>
        </row>
        <row r="9535">
          <cell r="F9535" t="str">
            <v xml:space="preserve">815003963      </v>
          </cell>
          <cell r="O9535">
            <v>9</v>
          </cell>
        </row>
        <row r="9536">
          <cell r="F9536" t="str">
            <v xml:space="preserve">88275315       </v>
          </cell>
          <cell r="O9536">
            <v>9</v>
          </cell>
        </row>
        <row r="9537">
          <cell r="F9537" t="str">
            <v xml:space="preserve">88275315       </v>
          </cell>
          <cell r="O9537">
            <v>45</v>
          </cell>
        </row>
        <row r="9538">
          <cell r="F9538" t="str">
            <v xml:space="preserve">88275315       </v>
          </cell>
          <cell r="O9538">
            <v>60</v>
          </cell>
        </row>
        <row r="9539">
          <cell r="F9539" t="str">
            <v xml:space="preserve">88275315       </v>
          </cell>
          <cell r="O9539">
            <v>1764</v>
          </cell>
        </row>
        <row r="9540">
          <cell r="F9540" t="str">
            <v xml:space="preserve">88275315       </v>
          </cell>
          <cell r="O9540">
            <v>180</v>
          </cell>
        </row>
        <row r="9541">
          <cell r="F9541" t="str">
            <v xml:space="preserve">900136052      </v>
          </cell>
          <cell r="O9541">
            <v>54</v>
          </cell>
        </row>
        <row r="9542">
          <cell r="F9542" t="str">
            <v xml:space="preserve">900424768      </v>
          </cell>
          <cell r="O9542">
            <v>18</v>
          </cell>
        </row>
        <row r="9543">
          <cell r="F9543" t="str">
            <v xml:space="preserve">900446063      </v>
          </cell>
          <cell r="O9543">
            <v>18</v>
          </cell>
        </row>
        <row r="9544">
          <cell r="F9544" t="str">
            <v xml:space="preserve">901040860      </v>
          </cell>
          <cell r="O9544">
            <v>36</v>
          </cell>
        </row>
        <row r="9545">
          <cell r="F9545" t="str">
            <v xml:space="preserve">901040860      </v>
          </cell>
          <cell r="O9545">
            <v>36</v>
          </cell>
        </row>
        <row r="9546">
          <cell r="F9546" t="str">
            <v xml:space="preserve">901040860      </v>
          </cell>
          <cell r="O9546">
            <v>36</v>
          </cell>
        </row>
        <row r="9547">
          <cell r="F9547" t="str">
            <v xml:space="preserve">94464104       </v>
          </cell>
          <cell r="O9547">
            <v>360</v>
          </cell>
        </row>
        <row r="9548">
          <cell r="F9548" t="str">
            <v xml:space="preserve">94464104       </v>
          </cell>
          <cell r="O9548">
            <v>234</v>
          </cell>
        </row>
        <row r="9549">
          <cell r="F9549" t="str">
            <v xml:space="preserve">16458005       </v>
          </cell>
          <cell r="O9549">
            <v>4.5</v>
          </cell>
        </row>
        <row r="9550">
          <cell r="F9550" t="str">
            <v xml:space="preserve">16458005       </v>
          </cell>
          <cell r="O9550">
            <v>9</v>
          </cell>
        </row>
        <row r="9551">
          <cell r="F9551" t="str">
            <v xml:space="preserve">16458005       </v>
          </cell>
          <cell r="O9551">
            <v>270</v>
          </cell>
        </row>
        <row r="9552">
          <cell r="F9552" t="str">
            <v xml:space="preserve">16458005       </v>
          </cell>
          <cell r="O9552">
            <v>45</v>
          </cell>
        </row>
        <row r="9553">
          <cell r="F9553" t="str">
            <v xml:space="preserve">16669313       </v>
          </cell>
          <cell r="O9553">
            <v>4.5</v>
          </cell>
        </row>
        <row r="9554">
          <cell r="F9554" t="str">
            <v xml:space="preserve">16669313       </v>
          </cell>
          <cell r="O9554">
            <v>36</v>
          </cell>
        </row>
        <row r="9555">
          <cell r="F9555" t="str">
            <v xml:space="preserve">16669313       </v>
          </cell>
          <cell r="O9555">
            <v>60</v>
          </cell>
        </row>
        <row r="9556">
          <cell r="F9556" t="str">
            <v xml:space="preserve">16669313       </v>
          </cell>
          <cell r="O9556">
            <v>828</v>
          </cell>
        </row>
        <row r="9557">
          <cell r="F9557" t="str">
            <v xml:space="preserve">16669313       </v>
          </cell>
          <cell r="O9557">
            <v>45</v>
          </cell>
        </row>
        <row r="9558">
          <cell r="F9558" t="str">
            <v xml:space="preserve">900034686      </v>
          </cell>
          <cell r="O9558">
            <v>135</v>
          </cell>
        </row>
        <row r="9559">
          <cell r="F9559" t="str">
            <v xml:space="preserve">900034686      </v>
          </cell>
          <cell r="O9559">
            <v>72</v>
          </cell>
        </row>
        <row r="9560">
          <cell r="F9560" t="str">
            <v xml:space="preserve">900034686      </v>
          </cell>
          <cell r="O9560">
            <v>90</v>
          </cell>
        </row>
        <row r="9561">
          <cell r="F9561" t="str">
            <v xml:space="preserve">16460421       </v>
          </cell>
          <cell r="O9561">
            <v>9</v>
          </cell>
        </row>
        <row r="9562">
          <cell r="F9562" t="str">
            <v xml:space="preserve">16460421       </v>
          </cell>
          <cell r="O9562">
            <v>45</v>
          </cell>
        </row>
        <row r="9563">
          <cell r="F9563" t="str">
            <v xml:space="preserve">16460421       </v>
          </cell>
          <cell r="O9563">
            <v>756</v>
          </cell>
        </row>
        <row r="9564">
          <cell r="F9564" t="str">
            <v xml:space="preserve">16460421       </v>
          </cell>
          <cell r="O9564">
            <v>135</v>
          </cell>
        </row>
        <row r="9565">
          <cell r="F9565" t="str">
            <v xml:space="preserve">9696643        </v>
          </cell>
          <cell r="O9565">
            <v>3360</v>
          </cell>
        </row>
        <row r="9566">
          <cell r="F9566" t="str">
            <v xml:space="preserve">10237057       </v>
          </cell>
          <cell r="O9566">
            <v>18</v>
          </cell>
        </row>
        <row r="9567">
          <cell r="F9567" t="str">
            <v xml:space="preserve">10237057       </v>
          </cell>
          <cell r="O9567">
            <v>150</v>
          </cell>
        </row>
        <row r="9568">
          <cell r="F9568" t="str">
            <v xml:space="preserve">10237057       </v>
          </cell>
          <cell r="O9568">
            <v>18</v>
          </cell>
        </row>
        <row r="9569">
          <cell r="F9569" t="str">
            <v xml:space="preserve">901555731      </v>
          </cell>
          <cell r="O9569">
            <v>90</v>
          </cell>
        </row>
        <row r="9570">
          <cell r="F9570" t="str">
            <v xml:space="preserve">16456104       </v>
          </cell>
          <cell r="O9570">
            <v>450</v>
          </cell>
        </row>
        <row r="9571">
          <cell r="F9571" t="str">
            <v xml:space="preserve">16479359       </v>
          </cell>
          <cell r="O9571">
            <v>240</v>
          </cell>
        </row>
        <row r="9572">
          <cell r="F9572" t="str">
            <v xml:space="preserve">16479359       </v>
          </cell>
          <cell r="O9572">
            <v>135</v>
          </cell>
        </row>
        <row r="9573">
          <cell r="F9573" t="str">
            <v xml:space="preserve">16214926       </v>
          </cell>
          <cell r="O9573">
            <v>180</v>
          </cell>
        </row>
        <row r="9574">
          <cell r="F9574" t="str">
            <v xml:space="preserve">29233836       </v>
          </cell>
          <cell r="O9574">
            <v>4.5</v>
          </cell>
        </row>
        <row r="9575">
          <cell r="F9575" t="str">
            <v xml:space="preserve">29233836       </v>
          </cell>
          <cell r="O9575">
            <v>300</v>
          </cell>
        </row>
        <row r="9576">
          <cell r="F9576" t="str">
            <v xml:space="preserve">29233836       </v>
          </cell>
          <cell r="O9576">
            <v>45</v>
          </cell>
        </row>
        <row r="9577">
          <cell r="F9577" t="str">
            <v xml:space="preserve">10007888       </v>
          </cell>
          <cell r="O9577">
            <v>120</v>
          </cell>
        </row>
        <row r="9578">
          <cell r="F9578" t="str">
            <v xml:space="preserve">10007888       </v>
          </cell>
          <cell r="O9578">
            <v>18</v>
          </cell>
        </row>
        <row r="9579">
          <cell r="F9579" t="str">
            <v xml:space="preserve">1088256267     </v>
          </cell>
          <cell r="O9579">
            <v>75</v>
          </cell>
        </row>
        <row r="9580">
          <cell r="F9580" t="str">
            <v xml:space="preserve">1088256267     </v>
          </cell>
          <cell r="O9580">
            <v>36</v>
          </cell>
        </row>
        <row r="9581">
          <cell r="F9581" t="str">
            <v xml:space="preserve">1088256267     </v>
          </cell>
          <cell r="O9581">
            <v>90</v>
          </cell>
        </row>
        <row r="9582">
          <cell r="F9582" t="str">
            <v xml:space="preserve">94228120       </v>
          </cell>
          <cell r="O9582">
            <v>117</v>
          </cell>
        </row>
        <row r="9583">
          <cell r="F9583" t="str">
            <v xml:space="preserve">94228120       </v>
          </cell>
          <cell r="O9583">
            <v>75</v>
          </cell>
        </row>
        <row r="9584">
          <cell r="F9584" t="str">
            <v xml:space="preserve">94228120       </v>
          </cell>
          <cell r="O9584">
            <v>612</v>
          </cell>
        </row>
        <row r="9585">
          <cell r="F9585" t="str">
            <v xml:space="preserve">94228120       </v>
          </cell>
          <cell r="O9585">
            <v>180</v>
          </cell>
        </row>
        <row r="9586">
          <cell r="F9586" t="str">
            <v xml:space="preserve">4527357        </v>
          </cell>
          <cell r="O9586">
            <v>525</v>
          </cell>
        </row>
        <row r="9587">
          <cell r="F9587" t="str">
            <v xml:space="preserve">4527357        </v>
          </cell>
          <cell r="O9587">
            <v>252</v>
          </cell>
        </row>
        <row r="9588">
          <cell r="F9588" t="str">
            <v xml:space="preserve">16225682       </v>
          </cell>
          <cell r="O9588">
            <v>345</v>
          </cell>
        </row>
        <row r="9589">
          <cell r="F9589" t="str">
            <v xml:space="preserve">16225682       </v>
          </cell>
          <cell r="O9589">
            <v>72</v>
          </cell>
        </row>
        <row r="9590">
          <cell r="F9590" t="str">
            <v xml:space="preserve">16225682       </v>
          </cell>
          <cell r="O9590">
            <v>90</v>
          </cell>
        </row>
        <row r="9591">
          <cell r="F9591" t="str">
            <v xml:space="preserve">10144092       </v>
          </cell>
          <cell r="O9591">
            <v>9</v>
          </cell>
        </row>
        <row r="9592">
          <cell r="F9592" t="str">
            <v xml:space="preserve">10144092       </v>
          </cell>
          <cell r="O9592">
            <v>195</v>
          </cell>
        </row>
        <row r="9593">
          <cell r="F9593" t="str">
            <v xml:space="preserve">10144092       </v>
          </cell>
          <cell r="O9593">
            <v>45</v>
          </cell>
        </row>
        <row r="9594">
          <cell r="F9594" t="str">
            <v xml:space="preserve">16225675       </v>
          </cell>
          <cell r="O9594">
            <v>9</v>
          </cell>
        </row>
        <row r="9595">
          <cell r="F9595" t="str">
            <v xml:space="preserve">16225675       </v>
          </cell>
          <cell r="O9595">
            <v>195</v>
          </cell>
        </row>
        <row r="9596">
          <cell r="F9596" t="str">
            <v xml:space="preserve">16225675       </v>
          </cell>
          <cell r="O9596">
            <v>18</v>
          </cell>
        </row>
        <row r="9597">
          <cell r="F9597" t="str">
            <v xml:space="preserve">18596221       </v>
          </cell>
          <cell r="O9597">
            <v>195</v>
          </cell>
        </row>
        <row r="9598">
          <cell r="F9598" t="str">
            <v xml:space="preserve">18596221       </v>
          </cell>
          <cell r="O9598">
            <v>36</v>
          </cell>
        </row>
        <row r="9599">
          <cell r="F9599" t="str">
            <v xml:space="preserve">805005148      </v>
          </cell>
          <cell r="O9599">
            <v>150</v>
          </cell>
        </row>
        <row r="9600">
          <cell r="F9600" t="str">
            <v xml:space="preserve">805005148      </v>
          </cell>
          <cell r="O9600">
            <v>1296</v>
          </cell>
        </row>
        <row r="9601">
          <cell r="F9601" t="str">
            <v xml:space="preserve">805005148      </v>
          </cell>
          <cell r="O9601">
            <v>450</v>
          </cell>
        </row>
        <row r="9602">
          <cell r="F9602" t="str">
            <v xml:space="preserve">805005148      </v>
          </cell>
          <cell r="O9602">
            <v>1512</v>
          </cell>
        </row>
        <row r="9603">
          <cell r="F9603" t="str">
            <v xml:space="preserve">94373864       </v>
          </cell>
          <cell r="O9603">
            <v>180</v>
          </cell>
        </row>
        <row r="9604">
          <cell r="F9604" t="str">
            <v xml:space="preserve">94373864       </v>
          </cell>
          <cell r="O9604">
            <v>324</v>
          </cell>
        </row>
        <row r="9605">
          <cell r="F9605" t="str">
            <v xml:space="preserve">12168724       </v>
          </cell>
          <cell r="O9605">
            <v>30</v>
          </cell>
        </row>
        <row r="9606">
          <cell r="F9606" t="str">
            <v xml:space="preserve">12168724       </v>
          </cell>
          <cell r="O9606">
            <v>630</v>
          </cell>
        </row>
        <row r="9607">
          <cell r="F9607" t="str">
            <v xml:space="preserve">76211412       </v>
          </cell>
          <cell r="O9607">
            <v>144</v>
          </cell>
        </row>
        <row r="9608">
          <cell r="F9608" t="str">
            <v xml:space="preserve">10292388       </v>
          </cell>
          <cell r="O9608">
            <v>90</v>
          </cell>
        </row>
        <row r="9609">
          <cell r="F9609" t="str">
            <v xml:space="preserve">10292388       </v>
          </cell>
          <cell r="O9609">
            <v>342</v>
          </cell>
        </row>
        <row r="9610">
          <cell r="F9610" t="str">
            <v xml:space="preserve">76331539       </v>
          </cell>
          <cell r="O9610">
            <v>60</v>
          </cell>
        </row>
        <row r="9611">
          <cell r="F9611" t="str">
            <v xml:space="preserve">76331539       </v>
          </cell>
          <cell r="O9611">
            <v>594</v>
          </cell>
        </row>
        <row r="9612">
          <cell r="F9612" t="str">
            <v xml:space="preserve">9900047        </v>
          </cell>
          <cell r="O9612">
            <v>9</v>
          </cell>
        </row>
        <row r="9613">
          <cell r="F9613" t="str">
            <v xml:space="preserve">9900047        </v>
          </cell>
          <cell r="O9613">
            <v>45</v>
          </cell>
        </row>
        <row r="9614">
          <cell r="F9614" t="str">
            <v xml:space="preserve">9900047        </v>
          </cell>
          <cell r="O9614">
            <v>90</v>
          </cell>
        </row>
        <row r="9615">
          <cell r="F9615" t="str">
            <v xml:space="preserve">18416624       </v>
          </cell>
          <cell r="O9615">
            <v>9</v>
          </cell>
        </row>
        <row r="9616">
          <cell r="F9616" t="str">
            <v xml:space="preserve">18416624       </v>
          </cell>
          <cell r="O9616">
            <v>60</v>
          </cell>
        </row>
        <row r="9617">
          <cell r="F9617" t="str">
            <v xml:space="preserve">18416624       </v>
          </cell>
          <cell r="O9617">
            <v>144</v>
          </cell>
        </row>
        <row r="9618">
          <cell r="F9618" t="str">
            <v xml:space="preserve">18416624       </v>
          </cell>
          <cell r="O9618">
            <v>45</v>
          </cell>
        </row>
        <row r="9619">
          <cell r="F9619" t="str">
            <v xml:space="preserve">4613715        </v>
          </cell>
          <cell r="O9619">
            <v>81</v>
          </cell>
        </row>
        <row r="9620">
          <cell r="F9620" t="str">
            <v xml:space="preserve">4613715        </v>
          </cell>
          <cell r="O9620">
            <v>1155</v>
          </cell>
        </row>
        <row r="9621">
          <cell r="F9621" t="str">
            <v xml:space="preserve">4613715        </v>
          </cell>
          <cell r="O9621">
            <v>1080</v>
          </cell>
        </row>
        <row r="9622">
          <cell r="F9622" t="str">
            <v xml:space="preserve">4613715        </v>
          </cell>
          <cell r="O9622">
            <v>270</v>
          </cell>
        </row>
        <row r="9623">
          <cell r="F9623" t="str">
            <v xml:space="preserve">4613715        </v>
          </cell>
          <cell r="O9623">
            <v>216</v>
          </cell>
        </row>
        <row r="9624">
          <cell r="F9624" t="str">
            <v xml:space="preserve">4613715        </v>
          </cell>
          <cell r="O9624">
            <v>135</v>
          </cell>
        </row>
        <row r="9625">
          <cell r="F9625" t="str">
            <v xml:space="preserve">4613715        </v>
          </cell>
          <cell r="O9625">
            <v>225</v>
          </cell>
        </row>
        <row r="9626">
          <cell r="F9626" t="str">
            <v xml:space="preserve">4613715        </v>
          </cell>
          <cell r="O9626">
            <v>252</v>
          </cell>
        </row>
        <row r="9627">
          <cell r="F9627" t="str">
            <v xml:space="preserve">9805400        </v>
          </cell>
          <cell r="O9627">
            <v>60</v>
          </cell>
        </row>
        <row r="9628">
          <cell r="F9628" t="str">
            <v xml:space="preserve">9805400        </v>
          </cell>
          <cell r="O9628">
            <v>108</v>
          </cell>
        </row>
        <row r="9629">
          <cell r="F9629" t="str">
            <v xml:space="preserve">6110295        </v>
          </cell>
          <cell r="O9629">
            <v>18</v>
          </cell>
        </row>
        <row r="9630">
          <cell r="F9630" t="str">
            <v xml:space="preserve">6110295        </v>
          </cell>
          <cell r="O9630">
            <v>330</v>
          </cell>
        </row>
        <row r="9631">
          <cell r="F9631" t="str">
            <v xml:space="preserve">6110295        </v>
          </cell>
          <cell r="O9631">
            <v>198</v>
          </cell>
        </row>
        <row r="9632">
          <cell r="F9632" t="str">
            <v xml:space="preserve">6110295        </v>
          </cell>
          <cell r="O9632">
            <v>90</v>
          </cell>
        </row>
        <row r="9633">
          <cell r="F9633" t="str">
            <v xml:space="preserve">805005148      </v>
          </cell>
          <cell r="O9633">
            <v>27</v>
          </cell>
        </row>
        <row r="9634">
          <cell r="F9634" t="str">
            <v xml:space="preserve">805005148      </v>
          </cell>
          <cell r="O9634">
            <v>144</v>
          </cell>
        </row>
        <row r="9635">
          <cell r="F9635" t="str">
            <v xml:space="preserve">805005148      </v>
          </cell>
          <cell r="O9635">
            <v>135</v>
          </cell>
        </row>
        <row r="9636">
          <cell r="F9636" t="str">
            <v xml:space="preserve">10488839       </v>
          </cell>
          <cell r="O9636">
            <v>4.5</v>
          </cell>
        </row>
        <row r="9637">
          <cell r="F9637" t="str">
            <v xml:space="preserve">10488839       </v>
          </cell>
          <cell r="O9637">
            <v>15</v>
          </cell>
        </row>
        <row r="9638">
          <cell r="F9638" t="str">
            <v xml:space="preserve">10488839       </v>
          </cell>
          <cell r="O9638">
            <v>900</v>
          </cell>
        </row>
        <row r="9639">
          <cell r="F9639" t="str">
            <v xml:space="preserve">16843578       </v>
          </cell>
          <cell r="O9639">
            <v>954</v>
          </cell>
        </row>
        <row r="9640">
          <cell r="F9640" t="str">
            <v xml:space="preserve">900034686      </v>
          </cell>
          <cell r="O9640">
            <v>45</v>
          </cell>
        </row>
        <row r="9641">
          <cell r="F9641" t="str">
            <v xml:space="preserve">900034686      </v>
          </cell>
          <cell r="O9641">
            <v>18</v>
          </cell>
        </row>
        <row r="9642">
          <cell r="F9642" t="str">
            <v xml:space="preserve">900034686      </v>
          </cell>
          <cell r="O9642">
            <v>90</v>
          </cell>
        </row>
        <row r="9643">
          <cell r="F9643" t="str">
            <v xml:space="preserve">10484782       </v>
          </cell>
          <cell r="O9643">
            <v>2736</v>
          </cell>
        </row>
        <row r="9644">
          <cell r="F9644" t="str">
            <v xml:space="preserve">16849293       </v>
          </cell>
          <cell r="O9644">
            <v>54</v>
          </cell>
        </row>
        <row r="9645">
          <cell r="F9645" t="str">
            <v xml:space="preserve">16849293       </v>
          </cell>
          <cell r="O9645">
            <v>90</v>
          </cell>
        </row>
        <row r="9646">
          <cell r="F9646" t="str">
            <v xml:space="preserve">16849293       </v>
          </cell>
          <cell r="O9646">
            <v>162</v>
          </cell>
        </row>
        <row r="9647">
          <cell r="F9647" t="str">
            <v xml:space="preserve">16849293       </v>
          </cell>
          <cell r="O9647">
            <v>135</v>
          </cell>
        </row>
        <row r="9648">
          <cell r="F9648" t="str">
            <v xml:space="preserve">14229215       </v>
          </cell>
          <cell r="O9648">
            <v>450</v>
          </cell>
        </row>
        <row r="9649">
          <cell r="F9649" t="str">
            <v xml:space="preserve">79736632       </v>
          </cell>
          <cell r="O9649">
            <v>1746</v>
          </cell>
        </row>
        <row r="9650">
          <cell r="F9650" t="str">
            <v xml:space="preserve">26050336       </v>
          </cell>
          <cell r="O9650">
            <v>18</v>
          </cell>
        </row>
        <row r="9651">
          <cell r="F9651" t="str">
            <v xml:space="preserve">26050336       </v>
          </cell>
          <cell r="O9651">
            <v>45</v>
          </cell>
        </row>
        <row r="9652">
          <cell r="F9652" t="str">
            <v xml:space="preserve">26050336       </v>
          </cell>
          <cell r="O9652">
            <v>144</v>
          </cell>
        </row>
        <row r="9653">
          <cell r="F9653" t="str">
            <v xml:space="preserve">7163709        </v>
          </cell>
          <cell r="O9653">
            <v>450</v>
          </cell>
        </row>
        <row r="9654">
          <cell r="F9654" t="str">
            <v xml:space="preserve">7163709        </v>
          </cell>
          <cell r="O9654">
            <v>1260</v>
          </cell>
        </row>
        <row r="9655">
          <cell r="F9655" t="str">
            <v xml:space="preserve">7163709        </v>
          </cell>
          <cell r="O9655">
            <v>450</v>
          </cell>
        </row>
        <row r="9656">
          <cell r="F9656" t="str">
            <v xml:space="preserve">860001697      </v>
          </cell>
          <cell r="O9656">
            <v>18</v>
          </cell>
        </row>
        <row r="9657">
          <cell r="F9657" t="str">
            <v xml:space="preserve">900459366      </v>
          </cell>
          <cell r="O9657">
            <v>270</v>
          </cell>
        </row>
        <row r="9658">
          <cell r="F9658" t="str">
            <v xml:space="preserve">900459366      </v>
          </cell>
          <cell r="O9658">
            <v>15</v>
          </cell>
        </row>
        <row r="9659">
          <cell r="F9659" t="str">
            <v xml:space="preserve">900459366      </v>
          </cell>
          <cell r="O9659">
            <v>72</v>
          </cell>
        </row>
        <row r="9660">
          <cell r="F9660" t="str">
            <v xml:space="preserve">900459366      </v>
          </cell>
          <cell r="O9660">
            <v>2520</v>
          </cell>
        </row>
        <row r="9661">
          <cell r="F9661" t="str">
            <v xml:space="preserve">900459366      </v>
          </cell>
          <cell r="O9661">
            <v>30</v>
          </cell>
        </row>
        <row r="9662">
          <cell r="F9662" t="str">
            <v xml:space="preserve">22087503       </v>
          </cell>
          <cell r="O9662">
            <v>36</v>
          </cell>
        </row>
        <row r="9663">
          <cell r="F9663" t="str">
            <v xml:space="preserve">22087503       </v>
          </cell>
          <cell r="O9663">
            <v>18</v>
          </cell>
        </row>
        <row r="9664">
          <cell r="F9664" t="str">
            <v xml:space="preserve">22087503       </v>
          </cell>
          <cell r="O9664">
            <v>855</v>
          </cell>
        </row>
        <row r="9665">
          <cell r="F9665" t="str">
            <v xml:space="preserve">71747063       </v>
          </cell>
          <cell r="O9665">
            <v>4.5</v>
          </cell>
        </row>
        <row r="9666">
          <cell r="F9666" t="str">
            <v xml:space="preserve">71747063       </v>
          </cell>
          <cell r="O9666">
            <v>1530</v>
          </cell>
        </row>
        <row r="9667">
          <cell r="F9667" t="str">
            <v xml:space="preserve">71215358       </v>
          </cell>
          <cell r="O9667">
            <v>45</v>
          </cell>
        </row>
        <row r="9668">
          <cell r="F9668" t="str">
            <v xml:space="preserve">71215358       </v>
          </cell>
          <cell r="O9668">
            <v>120</v>
          </cell>
        </row>
        <row r="9669">
          <cell r="F9669" t="str">
            <v xml:space="preserve">71215358       </v>
          </cell>
          <cell r="O9669">
            <v>468</v>
          </cell>
        </row>
        <row r="9670">
          <cell r="F9670" t="str">
            <v xml:space="preserve">71215358       </v>
          </cell>
          <cell r="O9670">
            <v>270</v>
          </cell>
        </row>
        <row r="9671">
          <cell r="F9671" t="str">
            <v xml:space="preserve">91179385       </v>
          </cell>
          <cell r="O9671">
            <v>234</v>
          </cell>
        </row>
        <row r="9672">
          <cell r="F9672" t="str">
            <v xml:space="preserve">91179385       </v>
          </cell>
          <cell r="O9672">
            <v>90</v>
          </cell>
        </row>
        <row r="9673">
          <cell r="F9673" t="str">
            <v xml:space="preserve">91179385       </v>
          </cell>
          <cell r="O9673">
            <v>450</v>
          </cell>
        </row>
        <row r="9674">
          <cell r="F9674" t="str">
            <v xml:space="preserve">91179385       </v>
          </cell>
          <cell r="O9674">
            <v>270</v>
          </cell>
        </row>
        <row r="9675">
          <cell r="F9675" t="str">
            <v xml:space="preserve">88157654       </v>
          </cell>
          <cell r="O9675">
            <v>450</v>
          </cell>
        </row>
        <row r="9676">
          <cell r="F9676" t="str">
            <v xml:space="preserve">88157654       </v>
          </cell>
          <cell r="O9676">
            <v>27</v>
          </cell>
        </row>
        <row r="9677">
          <cell r="F9677" t="str">
            <v xml:space="preserve">88157654       </v>
          </cell>
          <cell r="O9677">
            <v>765</v>
          </cell>
        </row>
        <row r="9678">
          <cell r="F9678" t="str">
            <v xml:space="preserve">88157654       </v>
          </cell>
          <cell r="O9678">
            <v>432</v>
          </cell>
        </row>
        <row r="9679">
          <cell r="F9679" t="str">
            <v xml:space="preserve">88158577       </v>
          </cell>
          <cell r="O9679">
            <v>750</v>
          </cell>
        </row>
        <row r="9680">
          <cell r="F9680" t="str">
            <v xml:space="preserve">88158577       </v>
          </cell>
          <cell r="O9680">
            <v>900</v>
          </cell>
        </row>
        <row r="9681">
          <cell r="F9681" t="str">
            <v xml:space="preserve">88158577       </v>
          </cell>
          <cell r="O9681">
            <v>900</v>
          </cell>
        </row>
        <row r="9682">
          <cell r="F9682" t="str">
            <v xml:space="preserve">13458443       </v>
          </cell>
          <cell r="O9682">
            <v>105</v>
          </cell>
        </row>
        <row r="9683">
          <cell r="F9683" t="str">
            <v xml:space="preserve">13458443       </v>
          </cell>
          <cell r="O9683">
            <v>18</v>
          </cell>
        </row>
        <row r="9684">
          <cell r="F9684" t="str">
            <v xml:space="preserve">13494934       </v>
          </cell>
          <cell r="O9684">
            <v>165</v>
          </cell>
        </row>
        <row r="9685">
          <cell r="F9685" t="str">
            <v xml:space="preserve">13494934       </v>
          </cell>
          <cell r="O9685">
            <v>90</v>
          </cell>
        </row>
        <row r="9686">
          <cell r="F9686" t="str">
            <v xml:space="preserve">13494934       </v>
          </cell>
          <cell r="O9686">
            <v>45</v>
          </cell>
        </row>
        <row r="9687">
          <cell r="F9687" t="str">
            <v xml:space="preserve">13494934       </v>
          </cell>
          <cell r="O9687">
            <v>180</v>
          </cell>
        </row>
        <row r="9688">
          <cell r="F9688" t="str">
            <v xml:space="preserve">88188644       </v>
          </cell>
          <cell r="O9688">
            <v>690</v>
          </cell>
        </row>
        <row r="9689">
          <cell r="F9689" t="str">
            <v xml:space="preserve">88188644       </v>
          </cell>
          <cell r="O9689">
            <v>270</v>
          </cell>
        </row>
        <row r="9690">
          <cell r="F9690" t="str">
            <v xml:space="preserve">901449776      </v>
          </cell>
          <cell r="O9690">
            <v>45</v>
          </cell>
        </row>
        <row r="9691">
          <cell r="F9691" t="str">
            <v xml:space="preserve">1117502076     </v>
          </cell>
          <cell r="O9691">
            <v>4.5</v>
          </cell>
        </row>
        <row r="9692">
          <cell r="F9692" t="str">
            <v xml:space="preserve">1117502076     </v>
          </cell>
          <cell r="O9692">
            <v>615</v>
          </cell>
        </row>
        <row r="9693">
          <cell r="F9693" t="str">
            <v xml:space="preserve">1117502076     </v>
          </cell>
          <cell r="O9693">
            <v>198</v>
          </cell>
        </row>
        <row r="9694">
          <cell r="F9694" t="str">
            <v xml:space="preserve">1117502076     </v>
          </cell>
          <cell r="O9694">
            <v>180</v>
          </cell>
        </row>
        <row r="9695">
          <cell r="F9695" t="str">
            <v xml:space="preserve">1117502076     </v>
          </cell>
          <cell r="O9695">
            <v>9</v>
          </cell>
        </row>
        <row r="9696">
          <cell r="F9696" t="str">
            <v xml:space="preserve">1117502076     </v>
          </cell>
          <cell r="O9696">
            <v>252</v>
          </cell>
        </row>
        <row r="9697">
          <cell r="F9697" t="str">
            <v xml:space="preserve">1117502076     </v>
          </cell>
          <cell r="O9697">
            <v>15</v>
          </cell>
        </row>
        <row r="9698">
          <cell r="F9698" t="str">
            <v xml:space="preserve">1117502076     </v>
          </cell>
          <cell r="O9698">
            <v>198</v>
          </cell>
        </row>
        <row r="9699">
          <cell r="F9699" t="str">
            <v xml:space="preserve">13862691       </v>
          </cell>
          <cell r="O9699">
            <v>864</v>
          </cell>
        </row>
        <row r="9700">
          <cell r="F9700" t="str">
            <v xml:space="preserve">13862691       </v>
          </cell>
          <cell r="O9700">
            <v>90</v>
          </cell>
        </row>
        <row r="9701">
          <cell r="F9701" t="str">
            <v xml:space="preserve">900142547      </v>
          </cell>
          <cell r="O9701">
            <v>135</v>
          </cell>
        </row>
        <row r="9702">
          <cell r="F9702" t="str">
            <v xml:space="preserve">91266362       </v>
          </cell>
          <cell r="O9702">
            <v>216</v>
          </cell>
        </row>
        <row r="9703">
          <cell r="F9703" t="str">
            <v xml:space="preserve">91266362       </v>
          </cell>
          <cell r="O9703">
            <v>45</v>
          </cell>
        </row>
        <row r="9704">
          <cell r="F9704" t="str">
            <v xml:space="preserve">91136131       </v>
          </cell>
          <cell r="O9704">
            <v>1470</v>
          </cell>
        </row>
        <row r="9705">
          <cell r="F9705" t="str">
            <v xml:space="preserve">91136131       </v>
          </cell>
          <cell r="O9705">
            <v>360</v>
          </cell>
        </row>
        <row r="9706">
          <cell r="F9706" t="str">
            <v xml:space="preserve">91136131       </v>
          </cell>
          <cell r="O9706">
            <v>180</v>
          </cell>
        </row>
        <row r="9707">
          <cell r="F9707" t="str">
            <v xml:space="preserve">890503966      </v>
          </cell>
          <cell r="O9707">
            <v>3360</v>
          </cell>
        </row>
        <row r="9708">
          <cell r="F9708" t="str">
            <v xml:space="preserve">890503966      </v>
          </cell>
          <cell r="O9708">
            <v>540</v>
          </cell>
        </row>
        <row r="9709">
          <cell r="F9709" t="str">
            <v xml:space="preserve">890503966      </v>
          </cell>
          <cell r="O9709">
            <v>1170</v>
          </cell>
        </row>
        <row r="9710">
          <cell r="F9710" t="str">
            <v xml:space="preserve">890503966      </v>
          </cell>
          <cell r="O9710">
            <v>45</v>
          </cell>
        </row>
        <row r="9711">
          <cell r="F9711" t="str">
            <v xml:space="preserve">13702886       </v>
          </cell>
          <cell r="O9711">
            <v>270</v>
          </cell>
        </row>
        <row r="9712">
          <cell r="F9712" t="str">
            <v xml:space="preserve">13702886       </v>
          </cell>
          <cell r="O9712">
            <v>270</v>
          </cell>
        </row>
        <row r="9713">
          <cell r="F9713" t="str">
            <v xml:space="preserve">13702886       </v>
          </cell>
          <cell r="O9713">
            <v>225</v>
          </cell>
        </row>
        <row r="9714">
          <cell r="F9714" t="str">
            <v xml:space="preserve">91272730       </v>
          </cell>
          <cell r="O9714">
            <v>135</v>
          </cell>
        </row>
        <row r="9715">
          <cell r="F9715" t="str">
            <v xml:space="preserve">91272730       </v>
          </cell>
          <cell r="O9715">
            <v>108</v>
          </cell>
        </row>
        <row r="9716">
          <cell r="F9716" t="str">
            <v xml:space="preserve">91272730       </v>
          </cell>
          <cell r="O9716">
            <v>180</v>
          </cell>
        </row>
        <row r="9717">
          <cell r="F9717" t="str">
            <v xml:space="preserve">26229305       </v>
          </cell>
          <cell r="O9717">
            <v>1500</v>
          </cell>
        </row>
        <row r="9718">
          <cell r="F9718" t="str">
            <v xml:space="preserve">26229305       </v>
          </cell>
          <cell r="O9718">
            <v>90</v>
          </cell>
        </row>
        <row r="9719">
          <cell r="F9719" t="str">
            <v xml:space="preserve">78112896       </v>
          </cell>
          <cell r="O9719">
            <v>45</v>
          </cell>
        </row>
        <row r="9720">
          <cell r="F9720" t="str">
            <v xml:space="preserve">78033625       </v>
          </cell>
          <cell r="O9720">
            <v>1224</v>
          </cell>
        </row>
        <row r="9721">
          <cell r="F9721" t="str">
            <v xml:space="preserve">901096204      </v>
          </cell>
          <cell r="O9721">
            <v>75</v>
          </cell>
        </row>
        <row r="9722">
          <cell r="F9722" t="str">
            <v xml:space="preserve">901096204      </v>
          </cell>
          <cell r="O9722">
            <v>1890</v>
          </cell>
        </row>
        <row r="9723">
          <cell r="F9723" t="str">
            <v xml:space="preserve">901096204      </v>
          </cell>
          <cell r="O9723">
            <v>180</v>
          </cell>
        </row>
        <row r="9724">
          <cell r="F9724" t="str">
            <v xml:space="preserve">73134768       </v>
          </cell>
          <cell r="O9724">
            <v>660</v>
          </cell>
        </row>
        <row r="9725">
          <cell r="F9725" t="str">
            <v xml:space="preserve">73134768       </v>
          </cell>
          <cell r="O9725">
            <v>468</v>
          </cell>
        </row>
        <row r="9726">
          <cell r="F9726" t="str">
            <v xml:space="preserve">73134768       </v>
          </cell>
          <cell r="O9726">
            <v>90</v>
          </cell>
        </row>
        <row r="9727">
          <cell r="F9727" t="str">
            <v xml:space="preserve">85477397       </v>
          </cell>
          <cell r="O9727">
            <v>1800</v>
          </cell>
        </row>
        <row r="9728">
          <cell r="F9728" t="str">
            <v xml:space="preserve">85477397       </v>
          </cell>
          <cell r="O9728">
            <v>450</v>
          </cell>
        </row>
        <row r="9729">
          <cell r="F9729" t="str">
            <v xml:space="preserve">30853980       </v>
          </cell>
          <cell r="O9729">
            <v>15</v>
          </cell>
        </row>
        <row r="9730">
          <cell r="F9730" t="str">
            <v xml:space="preserve">30853980       </v>
          </cell>
          <cell r="O9730">
            <v>288</v>
          </cell>
        </row>
        <row r="9731">
          <cell r="F9731" t="str">
            <v xml:space="preserve">30853980       </v>
          </cell>
          <cell r="O9731">
            <v>90</v>
          </cell>
        </row>
        <row r="9732">
          <cell r="F9732" t="str">
            <v xml:space="preserve">17842923       </v>
          </cell>
          <cell r="O9732">
            <v>180</v>
          </cell>
        </row>
        <row r="9733">
          <cell r="F9733" t="str">
            <v xml:space="preserve">73238025       </v>
          </cell>
          <cell r="O9733">
            <v>5472</v>
          </cell>
        </row>
        <row r="9734">
          <cell r="F9734" t="str">
            <v xml:space="preserve">77191750       </v>
          </cell>
          <cell r="O9734">
            <v>1080</v>
          </cell>
        </row>
        <row r="9735">
          <cell r="F9735" t="str">
            <v xml:space="preserve">9262987        </v>
          </cell>
          <cell r="O9735">
            <v>90</v>
          </cell>
        </row>
        <row r="9736">
          <cell r="F9736" t="str">
            <v xml:space="preserve">1047231108     </v>
          </cell>
          <cell r="O9736">
            <v>645</v>
          </cell>
        </row>
        <row r="9737">
          <cell r="F9737" t="str">
            <v xml:space="preserve">1047231108     </v>
          </cell>
          <cell r="O9737">
            <v>18</v>
          </cell>
        </row>
        <row r="9738">
          <cell r="F9738" t="str">
            <v xml:space="preserve">1047231108     </v>
          </cell>
          <cell r="O9738">
            <v>135</v>
          </cell>
        </row>
        <row r="9739">
          <cell r="F9739" t="str">
            <v xml:space="preserve">73079740       </v>
          </cell>
          <cell r="O9739">
            <v>594</v>
          </cell>
        </row>
        <row r="9740">
          <cell r="F9740" t="str">
            <v xml:space="preserve">73079740       </v>
          </cell>
          <cell r="O9740">
            <v>15</v>
          </cell>
        </row>
        <row r="9741">
          <cell r="F9741" t="str">
            <v xml:space="preserve">15047548       </v>
          </cell>
          <cell r="O9741">
            <v>288</v>
          </cell>
        </row>
        <row r="9742">
          <cell r="F9742" t="str">
            <v xml:space="preserve">15047548       </v>
          </cell>
          <cell r="O9742">
            <v>30</v>
          </cell>
        </row>
        <row r="9743">
          <cell r="F9743" t="str">
            <v xml:space="preserve">18531333       </v>
          </cell>
          <cell r="O9743">
            <v>225</v>
          </cell>
        </row>
        <row r="9744">
          <cell r="F9744" t="str">
            <v xml:space="preserve">18531333       </v>
          </cell>
          <cell r="O9744">
            <v>450</v>
          </cell>
        </row>
        <row r="9745">
          <cell r="F9745" t="str">
            <v xml:space="preserve">1120352593     </v>
          </cell>
          <cell r="O9745">
            <v>105</v>
          </cell>
        </row>
        <row r="9746">
          <cell r="F9746" t="str">
            <v xml:space="preserve">1120352593     </v>
          </cell>
          <cell r="O9746">
            <v>2592</v>
          </cell>
        </row>
        <row r="9747">
          <cell r="F9747" t="str">
            <v xml:space="preserve">1120352593     </v>
          </cell>
          <cell r="O9747">
            <v>360</v>
          </cell>
        </row>
        <row r="9748">
          <cell r="F9748" t="str">
            <v xml:space="preserve">71172414       </v>
          </cell>
          <cell r="O9748">
            <v>4.5</v>
          </cell>
        </row>
        <row r="9749">
          <cell r="F9749" t="str">
            <v xml:space="preserve">71172414       </v>
          </cell>
          <cell r="O9749">
            <v>1125</v>
          </cell>
        </row>
        <row r="9750">
          <cell r="F9750" t="str">
            <v xml:space="preserve">71172414       </v>
          </cell>
          <cell r="O9750">
            <v>342</v>
          </cell>
        </row>
        <row r="9751">
          <cell r="F9751" t="str">
            <v xml:space="preserve">94479814       </v>
          </cell>
          <cell r="O9751">
            <v>9</v>
          </cell>
        </row>
        <row r="9752">
          <cell r="F9752" t="str">
            <v xml:space="preserve">94479814       </v>
          </cell>
          <cell r="O9752">
            <v>30</v>
          </cell>
        </row>
        <row r="9753">
          <cell r="F9753" t="str">
            <v xml:space="preserve">94479814       </v>
          </cell>
          <cell r="O9753">
            <v>90</v>
          </cell>
        </row>
        <row r="9754">
          <cell r="F9754" t="str">
            <v xml:space="preserve">11255578       </v>
          </cell>
          <cell r="O9754">
            <v>9</v>
          </cell>
        </row>
        <row r="9755">
          <cell r="F9755" t="str">
            <v xml:space="preserve">11255578       </v>
          </cell>
          <cell r="O9755">
            <v>30</v>
          </cell>
        </row>
        <row r="9756">
          <cell r="F9756" t="str">
            <v xml:space="preserve">11255578       </v>
          </cell>
          <cell r="O9756">
            <v>180</v>
          </cell>
        </row>
        <row r="9757">
          <cell r="F9757" t="str">
            <v xml:space="preserve">11255578       </v>
          </cell>
          <cell r="O9757">
            <v>135</v>
          </cell>
        </row>
        <row r="9758">
          <cell r="F9758" t="str">
            <v xml:space="preserve">79827688       </v>
          </cell>
          <cell r="O9758">
            <v>105</v>
          </cell>
        </row>
        <row r="9759">
          <cell r="F9759" t="str">
            <v xml:space="preserve">79827688       </v>
          </cell>
          <cell r="O9759">
            <v>162</v>
          </cell>
        </row>
        <row r="9760">
          <cell r="F9760" t="str">
            <v xml:space="preserve">79827688       </v>
          </cell>
          <cell r="O9760">
            <v>45</v>
          </cell>
        </row>
        <row r="9761">
          <cell r="F9761" t="str">
            <v xml:space="preserve">79827688       </v>
          </cell>
          <cell r="O9761">
            <v>108</v>
          </cell>
        </row>
        <row r="9762">
          <cell r="F9762" t="str">
            <v xml:space="preserve">92520690       </v>
          </cell>
          <cell r="O9762">
            <v>15</v>
          </cell>
        </row>
        <row r="9763">
          <cell r="F9763" t="str">
            <v xml:space="preserve">92520690       </v>
          </cell>
          <cell r="O9763">
            <v>1260</v>
          </cell>
        </row>
        <row r="9764">
          <cell r="F9764" t="str">
            <v xml:space="preserve">92520690       </v>
          </cell>
          <cell r="O9764">
            <v>45</v>
          </cell>
        </row>
        <row r="9765">
          <cell r="F9765" t="str">
            <v xml:space="preserve">80266206       </v>
          </cell>
          <cell r="O9765">
            <v>81</v>
          </cell>
        </row>
        <row r="9766">
          <cell r="F9766" t="str">
            <v xml:space="preserve">80266206       </v>
          </cell>
          <cell r="O9766">
            <v>15</v>
          </cell>
        </row>
        <row r="9767">
          <cell r="F9767" t="str">
            <v xml:space="preserve">80266206       </v>
          </cell>
          <cell r="O9767">
            <v>216</v>
          </cell>
        </row>
        <row r="9768">
          <cell r="F9768" t="str">
            <v xml:space="preserve">80266206       </v>
          </cell>
          <cell r="O9768">
            <v>90</v>
          </cell>
        </row>
        <row r="9769">
          <cell r="F9769" t="str">
            <v xml:space="preserve">1111739602     </v>
          </cell>
          <cell r="O9769">
            <v>750</v>
          </cell>
        </row>
        <row r="9770">
          <cell r="F9770" t="str">
            <v xml:space="preserve">88168843       </v>
          </cell>
          <cell r="O9770">
            <v>9</v>
          </cell>
        </row>
        <row r="9771">
          <cell r="F9771" t="str">
            <v xml:space="preserve">88168843       </v>
          </cell>
          <cell r="O9771">
            <v>30</v>
          </cell>
        </row>
        <row r="9772">
          <cell r="F9772" t="str">
            <v xml:space="preserve">88168843       </v>
          </cell>
          <cell r="O9772">
            <v>360</v>
          </cell>
        </row>
        <row r="9773">
          <cell r="F9773" t="str">
            <v xml:space="preserve">79266522       </v>
          </cell>
          <cell r="O9773">
            <v>90</v>
          </cell>
        </row>
        <row r="9774">
          <cell r="F9774" t="str">
            <v xml:space="preserve">79266522       </v>
          </cell>
          <cell r="O9774">
            <v>225</v>
          </cell>
        </row>
        <row r="9775">
          <cell r="F9775" t="str">
            <v xml:space="preserve">79221604       </v>
          </cell>
          <cell r="O9775">
            <v>9</v>
          </cell>
        </row>
        <row r="9776">
          <cell r="F9776" t="str">
            <v xml:space="preserve">79221604       </v>
          </cell>
          <cell r="O9776">
            <v>15</v>
          </cell>
        </row>
        <row r="9777">
          <cell r="F9777" t="str">
            <v xml:space="preserve">79221604       </v>
          </cell>
          <cell r="O9777">
            <v>270</v>
          </cell>
        </row>
        <row r="9778">
          <cell r="F9778" t="str">
            <v xml:space="preserve">79221604       </v>
          </cell>
          <cell r="O9778">
            <v>90</v>
          </cell>
        </row>
        <row r="9779">
          <cell r="F9779" t="str">
            <v xml:space="preserve">79221604       </v>
          </cell>
          <cell r="O9779">
            <v>18</v>
          </cell>
        </row>
        <row r="9780">
          <cell r="F9780" t="str">
            <v xml:space="preserve">79221604       </v>
          </cell>
          <cell r="O9780">
            <v>27</v>
          </cell>
        </row>
        <row r="9781">
          <cell r="F9781" t="str">
            <v xml:space="preserve">79221604       </v>
          </cell>
          <cell r="O9781">
            <v>15</v>
          </cell>
        </row>
        <row r="9782">
          <cell r="F9782" t="str">
            <v xml:space="preserve">79221604       </v>
          </cell>
          <cell r="O9782">
            <v>180</v>
          </cell>
        </row>
        <row r="9783">
          <cell r="F9783" t="str">
            <v xml:space="preserve">79221604       </v>
          </cell>
          <cell r="O9783">
            <v>45</v>
          </cell>
        </row>
        <row r="9784">
          <cell r="F9784" t="str">
            <v xml:space="preserve">10315862       </v>
          </cell>
          <cell r="O9784">
            <v>144</v>
          </cell>
        </row>
        <row r="9785">
          <cell r="F9785" t="str">
            <v xml:space="preserve">10315862       </v>
          </cell>
          <cell r="O9785">
            <v>45</v>
          </cell>
        </row>
        <row r="9786">
          <cell r="F9786" t="str">
            <v xml:space="preserve">73166349       </v>
          </cell>
          <cell r="O9786">
            <v>180</v>
          </cell>
        </row>
        <row r="9787">
          <cell r="F9787" t="str">
            <v xml:space="preserve">73166349       </v>
          </cell>
          <cell r="O9787">
            <v>30</v>
          </cell>
        </row>
        <row r="9788">
          <cell r="F9788" t="str">
            <v xml:space="preserve">1143374955     </v>
          </cell>
          <cell r="O9788">
            <v>144</v>
          </cell>
        </row>
        <row r="9789">
          <cell r="F9789" t="str">
            <v xml:space="preserve">1143374955     </v>
          </cell>
          <cell r="O9789">
            <v>135</v>
          </cell>
        </row>
        <row r="9790">
          <cell r="F9790" t="str">
            <v xml:space="preserve">74170036       </v>
          </cell>
          <cell r="O9790">
            <v>90</v>
          </cell>
        </row>
        <row r="9791">
          <cell r="F9791" t="str">
            <v xml:space="preserve">74170036       </v>
          </cell>
          <cell r="O9791">
            <v>225</v>
          </cell>
        </row>
        <row r="9792">
          <cell r="F9792" t="str">
            <v xml:space="preserve">7305518        </v>
          </cell>
          <cell r="O9792">
            <v>18</v>
          </cell>
        </row>
        <row r="9793">
          <cell r="F9793" t="str">
            <v xml:space="preserve">7305518        </v>
          </cell>
          <cell r="O9793">
            <v>1980</v>
          </cell>
        </row>
        <row r="9794">
          <cell r="F9794" t="str">
            <v xml:space="preserve">7305518        </v>
          </cell>
          <cell r="O9794">
            <v>720</v>
          </cell>
        </row>
        <row r="9795">
          <cell r="F9795" t="str">
            <v xml:space="preserve">7223456        </v>
          </cell>
          <cell r="O9795">
            <v>90</v>
          </cell>
        </row>
        <row r="9796">
          <cell r="F9796" t="str">
            <v xml:space="preserve">7305425        </v>
          </cell>
          <cell r="O9796">
            <v>9</v>
          </cell>
        </row>
        <row r="9797">
          <cell r="F9797" t="str">
            <v xml:space="preserve">7305425        </v>
          </cell>
          <cell r="O9797">
            <v>450</v>
          </cell>
        </row>
        <row r="9798">
          <cell r="F9798" t="str">
            <v xml:space="preserve">7305425        </v>
          </cell>
          <cell r="O9798">
            <v>135</v>
          </cell>
        </row>
        <row r="9799">
          <cell r="F9799" t="str">
            <v xml:space="preserve">7301411        </v>
          </cell>
          <cell r="O9799">
            <v>270</v>
          </cell>
        </row>
        <row r="9800">
          <cell r="F9800" t="str">
            <v xml:space="preserve">7301411        </v>
          </cell>
          <cell r="O9800">
            <v>180</v>
          </cell>
        </row>
        <row r="9801">
          <cell r="F9801" t="str">
            <v xml:space="preserve">35250577       </v>
          </cell>
          <cell r="O9801">
            <v>108</v>
          </cell>
        </row>
        <row r="9802">
          <cell r="F9802" t="str">
            <v xml:space="preserve">35250577       </v>
          </cell>
          <cell r="O9802">
            <v>18</v>
          </cell>
        </row>
        <row r="9803">
          <cell r="F9803" t="str">
            <v xml:space="preserve">35250577       </v>
          </cell>
          <cell r="O9803">
            <v>225</v>
          </cell>
        </row>
        <row r="9804">
          <cell r="F9804" t="str">
            <v xml:space="preserve">18185538       </v>
          </cell>
          <cell r="O9804">
            <v>795</v>
          </cell>
        </row>
        <row r="9805">
          <cell r="F9805" t="str">
            <v xml:space="preserve">18185538       </v>
          </cell>
          <cell r="O9805">
            <v>216</v>
          </cell>
        </row>
        <row r="9806">
          <cell r="F9806" t="str">
            <v xml:space="preserve">18185538       </v>
          </cell>
          <cell r="O9806">
            <v>90</v>
          </cell>
        </row>
        <row r="9807">
          <cell r="F9807" t="str">
            <v xml:space="preserve">12266504       </v>
          </cell>
          <cell r="O9807">
            <v>285</v>
          </cell>
        </row>
        <row r="9808">
          <cell r="F9808" t="str">
            <v xml:space="preserve">12266504       </v>
          </cell>
          <cell r="O9808">
            <v>45</v>
          </cell>
        </row>
        <row r="9809">
          <cell r="F9809" t="str">
            <v xml:space="preserve">12266504       </v>
          </cell>
          <cell r="O9809">
            <v>45</v>
          </cell>
        </row>
        <row r="9810">
          <cell r="F9810" t="str">
            <v xml:space="preserve">12266504       </v>
          </cell>
          <cell r="O9810">
            <v>450</v>
          </cell>
        </row>
        <row r="9811">
          <cell r="F9811" t="str">
            <v xml:space="preserve">12266504       </v>
          </cell>
          <cell r="O9811">
            <v>150</v>
          </cell>
        </row>
        <row r="9812">
          <cell r="F9812" t="str">
            <v xml:space="preserve">12266504       </v>
          </cell>
          <cell r="O9812">
            <v>54</v>
          </cell>
        </row>
        <row r="9813">
          <cell r="F9813" t="str">
            <v xml:space="preserve">12266504       </v>
          </cell>
          <cell r="O9813">
            <v>90</v>
          </cell>
        </row>
        <row r="9814">
          <cell r="F9814" t="str">
            <v xml:space="preserve">12266504       </v>
          </cell>
          <cell r="O9814">
            <v>345</v>
          </cell>
        </row>
        <row r="9815">
          <cell r="F9815" t="str">
            <v xml:space="preserve">12266504       </v>
          </cell>
          <cell r="O9815">
            <v>54</v>
          </cell>
        </row>
        <row r="9816">
          <cell r="F9816" t="str">
            <v xml:space="preserve">12266504       </v>
          </cell>
          <cell r="O9816">
            <v>180</v>
          </cell>
        </row>
        <row r="9817">
          <cell r="F9817" t="str">
            <v xml:space="preserve">83042067       </v>
          </cell>
          <cell r="O9817">
            <v>120</v>
          </cell>
        </row>
        <row r="9818">
          <cell r="F9818" t="str">
            <v xml:space="preserve">83042067       </v>
          </cell>
          <cell r="O9818">
            <v>360</v>
          </cell>
        </row>
        <row r="9819">
          <cell r="F9819" t="str">
            <v xml:space="preserve">18104078       </v>
          </cell>
          <cell r="O9819">
            <v>795</v>
          </cell>
        </row>
        <row r="9820">
          <cell r="F9820" t="str">
            <v xml:space="preserve">18104078       </v>
          </cell>
          <cell r="O9820">
            <v>36</v>
          </cell>
        </row>
        <row r="9821">
          <cell r="F9821" t="str">
            <v xml:space="preserve">18144684       </v>
          </cell>
          <cell r="O9821">
            <v>270</v>
          </cell>
        </row>
        <row r="9822">
          <cell r="F9822" t="str">
            <v xml:space="preserve">18144684       </v>
          </cell>
          <cell r="O9822">
            <v>18</v>
          </cell>
        </row>
        <row r="9823">
          <cell r="F9823" t="str">
            <v xml:space="preserve">18144684       </v>
          </cell>
          <cell r="O9823">
            <v>45</v>
          </cell>
        </row>
        <row r="9824">
          <cell r="F9824" t="str">
            <v xml:space="preserve">1062292334     </v>
          </cell>
          <cell r="O9824">
            <v>270</v>
          </cell>
        </row>
        <row r="9825">
          <cell r="F9825" t="str">
            <v xml:space="preserve">1062292334     </v>
          </cell>
          <cell r="O9825">
            <v>432</v>
          </cell>
        </row>
        <row r="9826">
          <cell r="F9826" t="str">
            <v xml:space="preserve">1062292334     </v>
          </cell>
          <cell r="O9826">
            <v>135</v>
          </cell>
        </row>
        <row r="9827">
          <cell r="F9827" t="str">
            <v xml:space="preserve">93287188       </v>
          </cell>
          <cell r="O9827">
            <v>540</v>
          </cell>
        </row>
        <row r="9828">
          <cell r="F9828" t="str">
            <v xml:space="preserve">11445090       </v>
          </cell>
          <cell r="O9828">
            <v>30</v>
          </cell>
        </row>
        <row r="9829">
          <cell r="F9829" t="str">
            <v xml:space="preserve">11445090       </v>
          </cell>
          <cell r="O9829">
            <v>45</v>
          </cell>
        </row>
        <row r="9830">
          <cell r="F9830" t="str">
            <v xml:space="preserve">11445090       </v>
          </cell>
          <cell r="O9830">
            <v>216</v>
          </cell>
        </row>
        <row r="9831">
          <cell r="F9831" t="str">
            <v xml:space="preserve">11445090       </v>
          </cell>
          <cell r="O9831">
            <v>360</v>
          </cell>
        </row>
        <row r="9832">
          <cell r="F9832" t="str">
            <v xml:space="preserve">11445090       </v>
          </cell>
          <cell r="O9832">
            <v>225</v>
          </cell>
        </row>
        <row r="9833">
          <cell r="F9833" t="str">
            <v xml:space="preserve">11445090       </v>
          </cell>
          <cell r="O9833">
            <v>135</v>
          </cell>
        </row>
        <row r="9834">
          <cell r="F9834" t="str">
            <v xml:space="preserve">11445090       </v>
          </cell>
          <cell r="O9834">
            <v>810</v>
          </cell>
        </row>
        <row r="9835">
          <cell r="F9835" t="str">
            <v xml:space="preserve">11445090       </v>
          </cell>
          <cell r="O9835">
            <v>153</v>
          </cell>
        </row>
        <row r="9836">
          <cell r="F9836" t="str">
            <v xml:space="preserve">11445090       </v>
          </cell>
          <cell r="O9836">
            <v>150</v>
          </cell>
        </row>
        <row r="9837">
          <cell r="F9837" t="str">
            <v xml:space="preserve">11445090       </v>
          </cell>
          <cell r="O9837">
            <v>2268</v>
          </cell>
        </row>
        <row r="9838">
          <cell r="F9838" t="str">
            <v xml:space="preserve">11445090       </v>
          </cell>
          <cell r="O9838">
            <v>405</v>
          </cell>
        </row>
        <row r="9839">
          <cell r="F9839" t="str">
            <v xml:space="preserve">11445090       </v>
          </cell>
          <cell r="O9839">
            <v>36</v>
          </cell>
        </row>
        <row r="9840">
          <cell r="F9840" t="str">
            <v xml:space="preserve">1068972221     </v>
          </cell>
          <cell r="O9840">
            <v>225</v>
          </cell>
        </row>
        <row r="9841">
          <cell r="F9841" t="str">
            <v xml:space="preserve">1010164223     </v>
          </cell>
          <cell r="O9841">
            <v>486</v>
          </cell>
        </row>
        <row r="9842">
          <cell r="F9842" t="str">
            <v xml:space="preserve">1015995477     </v>
          </cell>
          <cell r="O9842">
            <v>99</v>
          </cell>
        </row>
        <row r="9843">
          <cell r="F9843" t="str">
            <v xml:space="preserve">1015995477     </v>
          </cell>
          <cell r="O9843">
            <v>45</v>
          </cell>
        </row>
        <row r="9844">
          <cell r="F9844" t="str">
            <v xml:space="preserve">80351964       </v>
          </cell>
          <cell r="O9844">
            <v>18</v>
          </cell>
        </row>
        <row r="9845">
          <cell r="F9845" t="str">
            <v xml:space="preserve">80351964       </v>
          </cell>
          <cell r="O9845">
            <v>15</v>
          </cell>
        </row>
        <row r="9846">
          <cell r="F9846" t="str">
            <v xml:space="preserve">80351964       </v>
          </cell>
          <cell r="O9846">
            <v>180</v>
          </cell>
        </row>
        <row r="9847">
          <cell r="F9847" t="str">
            <v xml:space="preserve">23624338       </v>
          </cell>
          <cell r="O9847">
            <v>126</v>
          </cell>
        </row>
        <row r="9848">
          <cell r="F9848" t="str">
            <v xml:space="preserve">4090572        </v>
          </cell>
          <cell r="O9848">
            <v>252</v>
          </cell>
        </row>
        <row r="9849">
          <cell r="F9849" t="str">
            <v xml:space="preserve">79210220       </v>
          </cell>
          <cell r="O9849">
            <v>27</v>
          </cell>
        </row>
        <row r="9850">
          <cell r="F9850" t="str">
            <v xml:space="preserve">79210220       </v>
          </cell>
          <cell r="O9850">
            <v>60</v>
          </cell>
        </row>
        <row r="9851">
          <cell r="F9851" t="str">
            <v xml:space="preserve">79210220       </v>
          </cell>
          <cell r="O9851">
            <v>360</v>
          </cell>
        </row>
        <row r="9852">
          <cell r="F9852" t="str">
            <v xml:space="preserve">79589699       </v>
          </cell>
          <cell r="O9852">
            <v>90</v>
          </cell>
        </row>
        <row r="9853">
          <cell r="F9853" t="str">
            <v xml:space="preserve">80024551       </v>
          </cell>
          <cell r="O9853">
            <v>81</v>
          </cell>
        </row>
        <row r="9854">
          <cell r="F9854" t="str">
            <v xml:space="preserve">80024551       </v>
          </cell>
          <cell r="O9854">
            <v>1332</v>
          </cell>
        </row>
        <row r="9855">
          <cell r="F9855" t="str">
            <v xml:space="preserve">80024551       </v>
          </cell>
          <cell r="O9855">
            <v>450</v>
          </cell>
        </row>
        <row r="9856">
          <cell r="F9856" t="str">
            <v xml:space="preserve">830073592      </v>
          </cell>
          <cell r="O9856">
            <v>54</v>
          </cell>
        </row>
        <row r="9857">
          <cell r="F9857" t="str">
            <v xml:space="preserve">860519235      </v>
          </cell>
          <cell r="O9857">
            <v>90</v>
          </cell>
        </row>
        <row r="9858">
          <cell r="F9858" t="str">
            <v xml:space="preserve">4198272        </v>
          </cell>
          <cell r="O9858">
            <v>75</v>
          </cell>
        </row>
        <row r="9859">
          <cell r="F9859" t="str">
            <v xml:space="preserve">4198272        </v>
          </cell>
          <cell r="O9859">
            <v>900</v>
          </cell>
        </row>
        <row r="9860">
          <cell r="F9860" t="str">
            <v xml:space="preserve">4198272        </v>
          </cell>
          <cell r="O9860">
            <v>45</v>
          </cell>
        </row>
        <row r="9861">
          <cell r="F9861" t="str">
            <v xml:space="preserve">4198272        </v>
          </cell>
          <cell r="O9861">
            <v>90</v>
          </cell>
        </row>
        <row r="9862">
          <cell r="F9862" t="str">
            <v xml:space="preserve">4090806        </v>
          </cell>
          <cell r="O9862">
            <v>126</v>
          </cell>
        </row>
        <row r="9863">
          <cell r="F9863" t="str">
            <v xml:space="preserve">4090806        </v>
          </cell>
          <cell r="O9863">
            <v>60</v>
          </cell>
        </row>
        <row r="9864">
          <cell r="F9864" t="str">
            <v xml:space="preserve">4090806        </v>
          </cell>
          <cell r="O9864">
            <v>774</v>
          </cell>
        </row>
        <row r="9865">
          <cell r="F9865" t="str">
            <v xml:space="preserve">4090806        </v>
          </cell>
          <cell r="O9865">
            <v>540</v>
          </cell>
        </row>
        <row r="9866">
          <cell r="F9866" t="str">
            <v xml:space="preserve">4090806        </v>
          </cell>
          <cell r="O9866">
            <v>126</v>
          </cell>
        </row>
        <row r="9867">
          <cell r="F9867" t="str">
            <v xml:space="preserve">1049794120     </v>
          </cell>
          <cell r="O9867">
            <v>1584</v>
          </cell>
        </row>
        <row r="9868">
          <cell r="F9868" t="str">
            <v xml:space="preserve">1049794120     </v>
          </cell>
          <cell r="O9868">
            <v>225</v>
          </cell>
        </row>
        <row r="9869">
          <cell r="F9869" t="str">
            <v xml:space="preserve">79339314       </v>
          </cell>
          <cell r="O9869">
            <v>90</v>
          </cell>
        </row>
        <row r="9870">
          <cell r="F9870" t="str">
            <v xml:space="preserve">79339314       </v>
          </cell>
          <cell r="O9870">
            <v>108</v>
          </cell>
        </row>
        <row r="9871">
          <cell r="F9871" t="str">
            <v xml:space="preserve">79339314       </v>
          </cell>
          <cell r="O9871">
            <v>135</v>
          </cell>
        </row>
        <row r="9872">
          <cell r="F9872" t="str">
            <v xml:space="preserve">3171403        </v>
          </cell>
          <cell r="O9872">
            <v>15</v>
          </cell>
        </row>
        <row r="9873">
          <cell r="F9873" t="str">
            <v xml:space="preserve">3171403        </v>
          </cell>
          <cell r="O9873">
            <v>378</v>
          </cell>
        </row>
        <row r="9874">
          <cell r="F9874" t="str">
            <v xml:space="preserve">3171403        </v>
          </cell>
          <cell r="O9874">
            <v>315</v>
          </cell>
        </row>
        <row r="9875">
          <cell r="F9875" t="str">
            <v xml:space="preserve">83218584       </v>
          </cell>
          <cell r="O9875">
            <v>75</v>
          </cell>
        </row>
        <row r="9876">
          <cell r="F9876" t="str">
            <v xml:space="preserve">83218584       </v>
          </cell>
          <cell r="O9876">
            <v>72</v>
          </cell>
        </row>
        <row r="9877">
          <cell r="F9877" t="str">
            <v xml:space="preserve">83218584       </v>
          </cell>
          <cell r="O9877">
            <v>90</v>
          </cell>
        </row>
        <row r="9878">
          <cell r="F9878" t="str">
            <v xml:space="preserve">7305728        </v>
          </cell>
          <cell r="O9878">
            <v>255</v>
          </cell>
        </row>
        <row r="9879">
          <cell r="F9879" t="str">
            <v xml:space="preserve">7305728        </v>
          </cell>
          <cell r="O9879">
            <v>306</v>
          </cell>
        </row>
        <row r="9880">
          <cell r="F9880" t="str">
            <v xml:space="preserve">1114887745     </v>
          </cell>
          <cell r="O9880">
            <v>900</v>
          </cell>
        </row>
        <row r="9881">
          <cell r="F9881" t="str">
            <v xml:space="preserve">8435389        </v>
          </cell>
          <cell r="O9881">
            <v>660</v>
          </cell>
        </row>
        <row r="9882">
          <cell r="F9882" t="str">
            <v xml:space="preserve">8435389        </v>
          </cell>
          <cell r="O9882">
            <v>1350</v>
          </cell>
        </row>
        <row r="9883">
          <cell r="F9883" t="str">
            <v xml:space="preserve">8458310        </v>
          </cell>
          <cell r="O9883">
            <v>180</v>
          </cell>
        </row>
        <row r="9884">
          <cell r="F9884" t="str">
            <v xml:space="preserve">8458310        </v>
          </cell>
          <cell r="O9884">
            <v>90</v>
          </cell>
        </row>
        <row r="9885">
          <cell r="F9885" t="str">
            <v xml:space="preserve">8101796        </v>
          </cell>
          <cell r="O9885">
            <v>150</v>
          </cell>
        </row>
        <row r="9886">
          <cell r="F9886" t="str">
            <v xml:space="preserve">8101796        </v>
          </cell>
          <cell r="O9886">
            <v>2160</v>
          </cell>
        </row>
        <row r="9887">
          <cell r="F9887" t="str">
            <v xml:space="preserve">8101796        </v>
          </cell>
          <cell r="O9887">
            <v>180</v>
          </cell>
        </row>
        <row r="9888">
          <cell r="F9888" t="str">
            <v xml:space="preserve">1023722736     </v>
          </cell>
          <cell r="O9888">
            <v>9</v>
          </cell>
        </row>
        <row r="9889">
          <cell r="F9889" t="str">
            <v xml:space="preserve">1023722736     </v>
          </cell>
          <cell r="O9889">
            <v>450</v>
          </cell>
        </row>
        <row r="9890">
          <cell r="F9890" t="str">
            <v xml:space="preserve">1023722736     </v>
          </cell>
          <cell r="O9890">
            <v>72</v>
          </cell>
        </row>
        <row r="9891">
          <cell r="F9891" t="str">
            <v xml:space="preserve">1023722736     </v>
          </cell>
          <cell r="O9891">
            <v>126</v>
          </cell>
        </row>
        <row r="9892">
          <cell r="F9892" t="str">
            <v xml:space="preserve">1039696881     </v>
          </cell>
          <cell r="O9892">
            <v>612</v>
          </cell>
        </row>
        <row r="9893">
          <cell r="F9893" t="str">
            <v xml:space="preserve">1039696881     </v>
          </cell>
          <cell r="O9893">
            <v>45</v>
          </cell>
        </row>
        <row r="9894">
          <cell r="F9894" t="str">
            <v xml:space="preserve">1039696881     </v>
          </cell>
          <cell r="O9894">
            <v>954</v>
          </cell>
        </row>
        <row r="9895">
          <cell r="F9895" t="str">
            <v xml:space="preserve">1039696881     </v>
          </cell>
          <cell r="O9895">
            <v>135</v>
          </cell>
        </row>
        <row r="9896">
          <cell r="F9896" t="str">
            <v xml:space="preserve">1039696881     </v>
          </cell>
          <cell r="O9896">
            <v>1044</v>
          </cell>
        </row>
        <row r="9897">
          <cell r="F9897" t="str">
            <v xml:space="preserve">1039696881     </v>
          </cell>
          <cell r="O9897">
            <v>45</v>
          </cell>
        </row>
        <row r="9898">
          <cell r="F9898" t="str">
            <v xml:space="preserve">1039696881     </v>
          </cell>
          <cell r="O9898">
            <v>1260</v>
          </cell>
        </row>
        <row r="9899">
          <cell r="F9899" t="str">
            <v xml:space="preserve">1039696881     </v>
          </cell>
          <cell r="O9899">
            <v>45</v>
          </cell>
        </row>
        <row r="9900">
          <cell r="F9900" t="str">
            <v xml:space="preserve">16186973       </v>
          </cell>
          <cell r="O9900">
            <v>36</v>
          </cell>
        </row>
        <row r="9901">
          <cell r="F9901" t="str">
            <v xml:space="preserve">16186973       </v>
          </cell>
          <cell r="O9901">
            <v>450</v>
          </cell>
        </row>
        <row r="9902">
          <cell r="F9902" t="str">
            <v xml:space="preserve">16186973       </v>
          </cell>
          <cell r="O9902">
            <v>180</v>
          </cell>
        </row>
        <row r="9903">
          <cell r="F9903" t="str">
            <v xml:space="preserve">1092154547     </v>
          </cell>
          <cell r="O9903">
            <v>558</v>
          </cell>
        </row>
        <row r="9904">
          <cell r="F9904" t="str">
            <v xml:space="preserve">1092154547     </v>
          </cell>
          <cell r="O9904">
            <v>90</v>
          </cell>
        </row>
        <row r="9905">
          <cell r="F9905" t="str">
            <v xml:space="preserve">15342410       </v>
          </cell>
          <cell r="O9905">
            <v>468</v>
          </cell>
        </row>
        <row r="9906">
          <cell r="F9906" t="str">
            <v xml:space="preserve">15342410       </v>
          </cell>
          <cell r="O9906">
            <v>1620</v>
          </cell>
        </row>
        <row r="9907">
          <cell r="F9907" t="str">
            <v xml:space="preserve">91352291       </v>
          </cell>
          <cell r="O9907">
            <v>135</v>
          </cell>
        </row>
        <row r="9908">
          <cell r="F9908" t="str">
            <v xml:space="preserve">91352291       </v>
          </cell>
          <cell r="O9908">
            <v>198</v>
          </cell>
        </row>
        <row r="9909">
          <cell r="F9909" t="str">
            <v xml:space="preserve">91352291       </v>
          </cell>
          <cell r="O9909">
            <v>180</v>
          </cell>
        </row>
        <row r="9910">
          <cell r="F9910" t="str">
            <v xml:space="preserve">91352291       </v>
          </cell>
          <cell r="O9910">
            <v>9</v>
          </cell>
        </row>
        <row r="9911">
          <cell r="F9911" t="str">
            <v xml:space="preserve">91352291       </v>
          </cell>
          <cell r="O9911">
            <v>315</v>
          </cell>
        </row>
        <row r="9912">
          <cell r="F9912" t="str">
            <v xml:space="preserve">91352291       </v>
          </cell>
          <cell r="O9912">
            <v>135</v>
          </cell>
        </row>
        <row r="9913">
          <cell r="F9913" t="str">
            <v xml:space="preserve">91352291       </v>
          </cell>
          <cell r="O9913">
            <v>162</v>
          </cell>
        </row>
        <row r="9914">
          <cell r="F9914" t="str">
            <v xml:space="preserve">15381508       </v>
          </cell>
          <cell r="O9914">
            <v>225</v>
          </cell>
        </row>
        <row r="9915">
          <cell r="F9915" t="str">
            <v xml:space="preserve">15381508       </v>
          </cell>
          <cell r="O9915">
            <v>414</v>
          </cell>
        </row>
        <row r="9916">
          <cell r="F9916" t="str">
            <v xml:space="preserve">15381508       </v>
          </cell>
          <cell r="O9916">
            <v>9</v>
          </cell>
        </row>
        <row r="9917">
          <cell r="F9917" t="str">
            <v xml:space="preserve">1104069879     </v>
          </cell>
          <cell r="O9917">
            <v>825</v>
          </cell>
        </row>
        <row r="9918">
          <cell r="F9918" t="str">
            <v xml:space="preserve">1104069879     </v>
          </cell>
          <cell r="O9918">
            <v>540</v>
          </cell>
        </row>
        <row r="9919">
          <cell r="F9919" t="str">
            <v xml:space="preserve">1105671149     </v>
          </cell>
          <cell r="O9919">
            <v>180</v>
          </cell>
        </row>
        <row r="9920">
          <cell r="F9920" t="str">
            <v xml:space="preserve">1105671149     </v>
          </cell>
          <cell r="O9920">
            <v>15</v>
          </cell>
        </row>
        <row r="9921">
          <cell r="F9921" t="str">
            <v xml:space="preserve">1105671149     </v>
          </cell>
          <cell r="O9921">
            <v>90</v>
          </cell>
        </row>
        <row r="9922">
          <cell r="F9922" t="str">
            <v xml:space="preserve">1105671149     </v>
          </cell>
          <cell r="O9922">
            <v>300</v>
          </cell>
        </row>
        <row r="9923">
          <cell r="F9923" t="str">
            <v xml:space="preserve">88273778       </v>
          </cell>
          <cell r="O9923">
            <v>15</v>
          </cell>
        </row>
        <row r="9924">
          <cell r="F9924" t="str">
            <v xml:space="preserve">88273778       </v>
          </cell>
          <cell r="O9924">
            <v>165</v>
          </cell>
        </row>
        <row r="9925">
          <cell r="F9925" t="str">
            <v xml:space="preserve">7250220        </v>
          </cell>
          <cell r="O9925">
            <v>90</v>
          </cell>
        </row>
        <row r="9926">
          <cell r="F9926" t="str">
            <v xml:space="preserve">7250220        </v>
          </cell>
          <cell r="O9926">
            <v>126</v>
          </cell>
        </row>
        <row r="9927">
          <cell r="F9927" t="str">
            <v xml:space="preserve">7250220        </v>
          </cell>
          <cell r="O9927">
            <v>234</v>
          </cell>
        </row>
        <row r="9928">
          <cell r="F9928" t="str">
            <v xml:space="preserve">7250220        </v>
          </cell>
          <cell r="O9928">
            <v>90</v>
          </cell>
        </row>
        <row r="9929">
          <cell r="F9929" t="str">
            <v xml:space="preserve">13476066       </v>
          </cell>
          <cell r="O9929">
            <v>210</v>
          </cell>
        </row>
        <row r="9930">
          <cell r="F9930" t="str">
            <v xml:space="preserve">13476066       </v>
          </cell>
          <cell r="O9930">
            <v>90</v>
          </cell>
        </row>
        <row r="9931">
          <cell r="F9931" t="str">
            <v xml:space="preserve">98763233       </v>
          </cell>
          <cell r="O9931">
            <v>9</v>
          </cell>
        </row>
        <row r="9932">
          <cell r="F9932" t="str">
            <v xml:space="preserve">98763233       </v>
          </cell>
          <cell r="O9932">
            <v>1386</v>
          </cell>
        </row>
        <row r="9933">
          <cell r="F9933" t="str">
            <v xml:space="preserve">10180926       </v>
          </cell>
          <cell r="O9933">
            <v>468</v>
          </cell>
        </row>
        <row r="9934">
          <cell r="F9934" t="str">
            <v xml:space="preserve">10180926       </v>
          </cell>
          <cell r="O9934">
            <v>90</v>
          </cell>
        </row>
        <row r="9935">
          <cell r="F9935" t="str">
            <v xml:space="preserve">94265425       </v>
          </cell>
          <cell r="O9935">
            <v>648</v>
          </cell>
        </row>
        <row r="9936">
          <cell r="F9936" t="str">
            <v xml:space="preserve">94265425       </v>
          </cell>
          <cell r="O9936">
            <v>180</v>
          </cell>
        </row>
        <row r="9937">
          <cell r="F9937" t="str">
            <v xml:space="preserve">98711342       </v>
          </cell>
          <cell r="O9937">
            <v>13.5</v>
          </cell>
        </row>
        <row r="9938">
          <cell r="F9938" t="str">
            <v xml:space="preserve">98711342       </v>
          </cell>
          <cell r="O9938">
            <v>15</v>
          </cell>
        </row>
        <row r="9939">
          <cell r="F9939" t="str">
            <v xml:space="preserve">98711342       </v>
          </cell>
          <cell r="O9939">
            <v>468</v>
          </cell>
        </row>
        <row r="9940">
          <cell r="F9940" t="str">
            <v xml:space="preserve">98711342       </v>
          </cell>
          <cell r="O9940">
            <v>45</v>
          </cell>
        </row>
        <row r="9941">
          <cell r="F9941" t="str">
            <v xml:space="preserve">37726719       </v>
          </cell>
          <cell r="O9941">
            <v>420</v>
          </cell>
        </row>
        <row r="9942">
          <cell r="F9942" t="str">
            <v xml:space="preserve">37726719       </v>
          </cell>
          <cell r="O9942">
            <v>576</v>
          </cell>
        </row>
        <row r="9943">
          <cell r="F9943" t="str">
            <v xml:space="preserve">1036942800     </v>
          </cell>
          <cell r="O9943">
            <v>4.5</v>
          </cell>
        </row>
        <row r="9944">
          <cell r="F9944" t="str">
            <v xml:space="preserve">1036942800     </v>
          </cell>
          <cell r="O9944">
            <v>180</v>
          </cell>
        </row>
        <row r="9945">
          <cell r="F9945" t="str">
            <v xml:space="preserve">1036942800     </v>
          </cell>
          <cell r="O9945">
            <v>90</v>
          </cell>
        </row>
        <row r="9946">
          <cell r="F9946" t="str">
            <v xml:space="preserve">1036942800     </v>
          </cell>
          <cell r="O9946">
            <v>180</v>
          </cell>
        </row>
        <row r="9947">
          <cell r="F9947" t="str">
            <v xml:space="preserve">1090397527     </v>
          </cell>
          <cell r="O9947">
            <v>390</v>
          </cell>
        </row>
        <row r="9948">
          <cell r="F9948" t="str">
            <v xml:space="preserve">1090397527     </v>
          </cell>
          <cell r="O9948">
            <v>225</v>
          </cell>
        </row>
        <row r="9949">
          <cell r="F9949" t="str">
            <v xml:space="preserve">1090397527     </v>
          </cell>
          <cell r="O9949">
            <v>840</v>
          </cell>
        </row>
        <row r="9950">
          <cell r="F9950" t="str">
            <v xml:space="preserve">1090397527     </v>
          </cell>
          <cell r="O9950">
            <v>54</v>
          </cell>
        </row>
        <row r="9951">
          <cell r="F9951" t="str">
            <v xml:space="preserve">1090397527     </v>
          </cell>
          <cell r="O9951">
            <v>360</v>
          </cell>
        </row>
        <row r="9952">
          <cell r="F9952" t="str">
            <v xml:space="preserve">1090397527     </v>
          </cell>
          <cell r="O9952">
            <v>27</v>
          </cell>
        </row>
        <row r="9953">
          <cell r="F9953" t="str">
            <v xml:space="preserve">1090397527     </v>
          </cell>
          <cell r="O9953">
            <v>750</v>
          </cell>
        </row>
        <row r="9954">
          <cell r="F9954" t="str">
            <v xml:space="preserve">1090397527     </v>
          </cell>
          <cell r="O9954">
            <v>90</v>
          </cell>
        </row>
        <row r="9955">
          <cell r="F9955" t="str">
            <v xml:space="preserve">1100623000     </v>
          </cell>
          <cell r="O9955">
            <v>9</v>
          </cell>
        </row>
        <row r="9956">
          <cell r="F9956" t="str">
            <v xml:space="preserve">1100623000     </v>
          </cell>
          <cell r="O9956">
            <v>666</v>
          </cell>
        </row>
        <row r="9957">
          <cell r="F9957" t="str">
            <v xml:space="preserve">1100623000     </v>
          </cell>
          <cell r="O9957">
            <v>90</v>
          </cell>
        </row>
        <row r="9958">
          <cell r="F9958" t="str">
            <v xml:space="preserve">73126502       </v>
          </cell>
          <cell r="O9958">
            <v>300</v>
          </cell>
        </row>
        <row r="9959">
          <cell r="F9959" t="str">
            <v xml:space="preserve">73126502       </v>
          </cell>
          <cell r="O9959">
            <v>108</v>
          </cell>
        </row>
        <row r="9960">
          <cell r="F9960" t="str">
            <v xml:space="preserve">83221998       </v>
          </cell>
          <cell r="O9960">
            <v>225</v>
          </cell>
        </row>
        <row r="9961">
          <cell r="F9961" t="str">
            <v xml:space="preserve">83221998       </v>
          </cell>
          <cell r="O9961">
            <v>225</v>
          </cell>
        </row>
        <row r="9962">
          <cell r="F9962" t="str">
            <v xml:space="preserve">83221998       </v>
          </cell>
          <cell r="O9962">
            <v>324</v>
          </cell>
        </row>
        <row r="9963">
          <cell r="F9963" t="str">
            <v xml:space="preserve">71142360       </v>
          </cell>
          <cell r="O9963">
            <v>9</v>
          </cell>
        </row>
        <row r="9964">
          <cell r="F9964" t="str">
            <v xml:space="preserve">71142360       </v>
          </cell>
          <cell r="O9964">
            <v>1050</v>
          </cell>
        </row>
        <row r="9965">
          <cell r="F9965" t="str">
            <v xml:space="preserve">71142360       </v>
          </cell>
          <cell r="O9965">
            <v>18</v>
          </cell>
        </row>
        <row r="9966">
          <cell r="F9966" t="str">
            <v xml:space="preserve">71142360       </v>
          </cell>
          <cell r="O9966">
            <v>270</v>
          </cell>
        </row>
        <row r="9967">
          <cell r="F9967" t="str">
            <v xml:space="preserve">71142360       </v>
          </cell>
          <cell r="O9967">
            <v>165</v>
          </cell>
        </row>
        <row r="9968">
          <cell r="F9968" t="str">
            <v xml:space="preserve">71142360       </v>
          </cell>
          <cell r="O9968">
            <v>306</v>
          </cell>
        </row>
        <row r="9969">
          <cell r="F9969" t="str">
            <v xml:space="preserve">71142360       </v>
          </cell>
          <cell r="O9969">
            <v>45</v>
          </cell>
        </row>
        <row r="9970">
          <cell r="F9970" t="str">
            <v xml:space="preserve">71142360       </v>
          </cell>
          <cell r="O9970">
            <v>135</v>
          </cell>
        </row>
        <row r="9971">
          <cell r="F9971" t="str">
            <v xml:space="preserve">71142360       </v>
          </cell>
          <cell r="O9971">
            <v>1080</v>
          </cell>
        </row>
        <row r="9972">
          <cell r="F9972" t="str">
            <v xml:space="preserve">71142360       </v>
          </cell>
          <cell r="O9972">
            <v>90</v>
          </cell>
        </row>
        <row r="9973">
          <cell r="F9973" t="str">
            <v xml:space="preserve">24341063       </v>
          </cell>
          <cell r="O9973">
            <v>330</v>
          </cell>
        </row>
        <row r="9974">
          <cell r="F9974" t="str">
            <v xml:space="preserve">24341063       </v>
          </cell>
          <cell r="O9974">
            <v>36</v>
          </cell>
        </row>
        <row r="9975">
          <cell r="F9975" t="str">
            <v xml:space="preserve">24341063       </v>
          </cell>
          <cell r="O9975">
            <v>45</v>
          </cell>
        </row>
        <row r="9976">
          <cell r="F9976" t="str">
            <v xml:space="preserve">24341063       </v>
          </cell>
          <cell r="O9976">
            <v>72</v>
          </cell>
        </row>
        <row r="9977">
          <cell r="F9977" t="str">
            <v xml:space="preserve">24341063       </v>
          </cell>
          <cell r="O9977">
            <v>135</v>
          </cell>
        </row>
        <row r="9978">
          <cell r="F9978" t="str">
            <v xml:space="preserve">24341063       </v>
          </cell>
          <cell r="O9978">
            <v>720</v>
          </cell>
        </row>
        <row r="9979">
          <cell r="F9979" t="str">
            <v xml:space="preserve">24341063       </v>
          </cell>
          <cell r="O9979">
            <v>810</v>
          </cell>
        </row>
        <row r="9980">
          <cell r="F9980" t="str">
            <v xml:space="preserve">24341063       </v>
          </cell>
          <cell r="O9980">
            <v>144</v>
          </cell>
        </row>
        <row r="9981">
          <cell r="F9981" t="str">
            <v xml:space="preserve">24341063       </v>
          </cell>
          <cell r="O9981">
            <v>90</v>
          </cell>
        </row>
        <row r="9982">
          <cell r="F9982" t="str">
            <v xml:space="preserve">901021497      </v>
          </cell>
          <cell r="O9982">
            <v>18</v>
          </cell>
        </row>
        <row r="9983">
          <cell r="F9983" t="str">
            <v xml:space="preserve">901178932      </v>
          </cell>
          <cell r="O9983">
            <v>72</v>
          </cell>
        </row>
        <row r="9984">
          <cell r="F9984" t="str">
            <v xml:space="preserve">43656575       </v>
          </cell>
          <cell r="O9984">
            <v>18</v>
          </cell>
        </row>
        <row r="9985">
          <cell r="F9985" t="str">
            <v xml:space="preserve">43656575       </v>
          </cell>
          <cell r="O9985">
            <v>9</v>
          </cell>
        </row>
        <row r="9986">
          <cell r="F9986" t="str">
            <v xml:space="preserve">43656575       </v>
          </cell>
          <cell r="O9986">
            <v>1620</v>
          </cell>
        </row>
        <row r="9987">
          <cell r="F9987" t="str">
            <v xml:space="preserve">43656575       </v>
          </cell>
          <cell r="O9987">
            <v>225</v>
          </cell>
        </row>
        <row r="9988">
          <cell r="F9988" t="str">
            <v xml:space="preserve">43656575       </v>
          </cell>
          <cell r="O9988">
            <v>720</v>
          </cell>
        </row>
        <row r="9989">
          <cell r="F9989" t="str">
            <v xml:space="preserve">16836063       </v>
          </cell>
          <cell r="O9989">
            <v>270</v>
          </cell>
        </row>
        <row r="9990">
          <cell r="F9990" t="str">
            <v xml:space="preserve">860001697      </v>
          </cell>
          <cell r="O9990">
            <v>206</v>
          </cell>
        </row>
        <row r="9991">
          <cell r="F9991" t="str">
            <v xml:space="preserve">1214745372     </v>
          </cell>
          <cell r="O9991">
            <v>31.5</v>
          </cell>
        </row>
        <row r="9992">
          <cell r="F9992" t="str">
            <v xml:space="preserve">1214745372     </v>
          </cell>
          <cell r="O9992">
            <v>342</v>
          </cell>
        </row>
        <row r="9993">
          <cell r="F9993" t="str">
            <v xml:space="preserve">860002523      </v>
          </cell>
          <cell r="O9993">
            <v>160</v>
          </cell>
        </row>
        <row r="9994">
          <cell r="F9994" t="str">
            <v xml:space="preserve">860005265      </v>
          </cell>
          <cell r="O9994">
            <v>889</v>
          </cell>
        </row>
        <row r="9995">
          <cell r="F9995" t="str">
            <v xml:space="preserve">860005265      </v>
          </cell>
          <cell r="O9995">
            <v>577.6</v>
          </cell>
        </row>
        <row r="9996">
          <cell r="F9996" t="str">
            <v xml:space="preserve">203            </v>
          </cell>
          <cell r="O9996">
            <v>18</v>
          </cell>
        </row>
        <row r="9997">
          <cell r="F9997" t="str">
            <v xml:space="preserve">203            </v>
          </cell>
          <cell r="O9997">
            <v>4.5</v>
          </cell>
        </row>
        <row r="9998">
          <cell r="F9998" t="str">
            <v xml:space="preserve">203            </v>
          </cell>
          <cell r="O9998">
            <v>180</v>
          </cell>
        </row>
        <row r="9999">
          <cell r="F9999" t="str">
            <v xml:space="preserve">800216499      </v>
          </cell>
          <cell r="O9999">
            <v>18</v>
          </cell>
        </row>
        <row r="10000">
          <cell r="F10000" t="str">
            <v xml:space="preserve">830513291      </v>
          </cell>
          <cell r="O10000">
            <v>45</v>
          </cell>
        </row>
        <row r="10001">
          <cell r="F10001" t="str">
            <v xml:space="preserve">900084859      </v>
          </cell>
          <cell r="O10001">
            <v>45</v>
          </cell>
        </row>
        <row r="10002">
          <cell r="F10002" t="str">
            <v xml:space="preserve">901485271      </v>
          </cell>
          <cell r="O10002">
            <v>18</v>
          </cell>
        </row>
        <row r="10003">
          <cell r="F10003" t="str">
            <v xml:space="preserve">901485271      </v>
          </cell>
          <cell r="O10003">
            <v>45</v>
          </cell>
        </row>
        <row r="10004">
          <cell r="F10004" t="str">
            <v xml:space="preserve">901485271      </v>
          </cell>
          <cell r="O10004">
            <v>45</v>
          </cell>
        </row>
        <row r="10005">
          <cell r="F10005" t="str">
            <v xml:space="preserve">901485271      </v>
          </cell>
          <cell r="O10005">
            <v>90</v>
          </cell>
        </row>
        <row r="10006">
          <cell r="F10006" t="str">
            <v xml:space="preserve">800012375      </v>
          </cell>
          <cell r="O10006">
            <v>162</v>
          </cell>
        </row>
        <row r="10007">
          <cell r="F10007" t="str">
            <v xml:space="preserve">800052377      </v>
          </cell>
          <cell r="O10007">
            <v>54</v>
          </cell>
        </row>
        <row r="10008">
          <cell r="F10008" t="str">
            <v xml:space="preserve">805018495      </v>
          </cell>
          <cell r="O10008">
            <v>180</v>
          </cell>
        </row>
        <row r="10009">
          <cell r="F10009" t="str">
            <v xml:space="preserve">821000169      </v>
          </cell>
          <cell r="O10009">
            <v>64</v>
          </cell>
        </row>
        <row r="10010">
          <cell r="F10010" t="str">
            <v xml:space="preserve">830107617      </v>
          </cell>
          <cell r="O10010">
            <v>126</v>
          </cell>
        </row>
        <row r="10011">
          <cell r="F10011" t="str">
            <v xml:space="preserve">890903939      </v>
          </cell>
          <cell r="O10011">
            <v>95</v>
          </cell>
        </row>
        <row r="10012">
          <cell r="F10012" t="str">
            <v xml:space="preserve">891301549      </v>
          </cell>
          <cell r="O10012">
            <v>54</v>
          </cell>
        </row>
        <row r="10013">
          <cell r="F10013" t="str">
            <v xml:space="preserve">891301549      </v>
          </cell>
          <cell r="O10013">
            <v>180</v>
          </cell>
        </row>
        <row r="10014">
          <cell r="F10014" t="str">
            <v xml:space="preserve">800067861      </v>
          </cell>
          <cell r="O10014">
            <v>277.2</v>
          </cell>
        </row>
        <row r="10015">
          <cell r="F10015" t="str">
            <v xml:space="preserve">811020038      </v>
          </cell>
          <cell r="O10015">
            <v>64</v>
          </cell>
        </row>
        <row r="10016">
          <cell r="F10016" t="str">
            <v xml:space="preserve">860001697      </v>
          </cell>
          <cell r="O10016">
            <v>473</v>
          </cell>
        </row>
        <row r="10017">
          <cell r="F10017" t="str">
            <v xml:space="preserve">860001697      </v>
          </cell>
          <cell r="O10017">
            <v>491.35</v>
          </cell>
        </row>
        <row r="10018">
          <cell r="F10018" t="str">
            <v xml:space="preserve">860001697      </v>
          </cell>
          <cell r="O10018">
            <v>208.88</v>
          </cell>
        </row>
        <row r="10019">
          <cell r="F10019" t="str">
            <v xml:space="preserve">860020382      </v>
          </cell>
          <cell r="O10019">
            <v>60</v>
          </cell>
        </row>
        <row r="10020">
          <cell r="F10020" t="str">
            <v xml:space="preserve">101            </v>
          </cell>
          <cell r="O10020">
            <v>45</v>
          </cell>
        </row>
        <row r="10021">
          <cell r="F10021" t="str">
            <v xml:space="preserve">101            </v>
          </cell>
          <cell r="O10021">
            <v>4.5</v>
          </cell>
        </row>
        <row r="10022">
          <cell r="F10022" t="str">
            <v xml:space="preserve">101            </v>
          </cell>
          <cell r="O10022">
            <v>18</v>
          </cell>
        </row>
        <row r="10023">
          <cell r="F10023" t="str">
            <v xml:space="preserve">101            </v>
          </cell>
          <cell r="O10023">
            <v>4.5</v>
          </cell>
        </row>
        <row r="10024">
          <cell r="F10024" t="str">
            <v xml:space="preserve">101            </v>
          </cell>
          <cell r="O10024">
            <v>126</v>
          </cell>
        </row>
        <row r="10025">
          <cell r="F10025" t="str">
            <v xml:space="preserve">32772122       </v>
          </cell>
          <cell r="O10025">
            <v>300</v>
          </cell>
        </row>
        <row r="10026">
          <cell r="F10026" t="str">
            <v xml:space="preserve">32772122       </v>
          </cell>
          <cell r="O10026">
            <v>18</v>
          </cell>
        </row>
        <row r="10027">
          <cell r="F10027" t="str">
            <v xml:space="preserve">73186091       </v>
          </cell>
          <cell r="O10027">
            <v>450</v>
          </cell>
        </row>
        <row r="10028">
          <cell r="F10028" t="str">
            <v xml:space="preserve">212            </v>
          </cell>
          <cell r="O10028">
            <v>750</v>
          </cell>
        </row>
        <row r="10029">
          <cell r="F10029" t="str">
            <v xml:space="preserve">212            </v>
          </cell>
          <cell r="O10029">
            <v>450</v>
          </cell>
        </row>
        <row r="10030">
          <cell r="F10030" t="str">
            <v xml:space="preserve">212            </v>
          </cell>
          <cell r="O10030">
            <v>135</v>
          </cell>
        </row>
        <row r="10031">
          <cell r="F10031" t="str">
            <v xml:space="preserve">800244560      </v>
          </cell>
          <cell r="O10031">
            <v>54</v>
          </cell>
        </row>
        <row r="10032">
          <cell r="F10032" t="str">
            <v xml:space="preserve">811014849      </v>
          </cell>
          <cell r="O10032">
            <v>134.5</v>
          </cell>
        </row>
        <row r="10033">
          <cell r="F10033" t="str">
            <v xml:space="preserve">811047008      </v>
          </cell>
          <cell r="O10033">
            <v>90</v>
          </cell>
        </row>
        <row r="10034">
          <cell r="F10034" t="str">
            <v xml:space="preserve">830006735      </v>
          </cell>
          <cell r="O10034">
            <v>543.79999999999995</v>
          </cell>
        </row>
        <row r="10035">
          <cell r="F10035" t="str">
            <v xml:space="preserve">830011337      </v>
          </cell>
          <cell r="O10035">
            <v>54</v>
          </cell>
        </row>
        <row r="10036">
          <cell r="F10036" t="str">
            <v xml:space="preserve">830054444      </v>
          </cell>
          <cell r="O10036">
            <v>18</v>
          </cell>
        </row>
        <row r="10037">
          <cell r="F10037" t="str">
            <v xml:space="preserve">830118404      </v>
          </cell>
          <cell r="O10037">
            <v>18</v>
          </cell>
        </row>
        <row r="10038">
          <cell r="F10038" t="str">
            <v xml:space="preserve">860001300      </v>
          </cell>
          <cell r="O10038">
            <v>36</v>
          </cell>
        </row>
        <row r="10039">
          <cell r="F10039" t="str">
            <v xml:space="preserve">860002536      </v>
          </cell>
          <cell r="O10039">
            <v>60</v>
          </cell>
        </row>
        <row r="10040">
          <cell r="F10040" t="str">
            <v xml:space="preserve">860002536      </v>
          </cell>
          <cell r="O10040">
            <v>30</v>
          </cell>
        </row>
        <row r="10041">
          <cell r="F10041" t="str">
            <v xml:space="preserve">860070770      </v>
          </cell>
          <cell r="O10041">
            <v>18</v>
          </cell>
        </row>
        <row r="10042">
          <cell r="F10042" t="str">
            <v xml:space="preserve">899999049      </v>
          </cell>
          <cell r="O10042">
            <v>54</v>
          </cell>
        </row>
        <row r="10043">
          <cell r="F10043" t="str">
            <v xml:space="preserve">900049818      </v>
          </cell>
          <cell r="O10043">
            <v>16</v>
          </cell>
        </row>
        <row r="10044">
          <cell r="F10044" t="str">
            <v xml:space="preserve">900239671      </v>
          </cell>
          <cell r="O10044">
            <v>144</v>
          </cell>
        </row>
        <row r="10045">
          <cell r="F10045" t="str">
            <v xml:space="preserve">900603554      </v>
          </cell>
          <cell r="O10045">
            <v>198</v>
          </cell>
        </row>
        <row r="10046">
          <cell r="F10046" t="str">
            <v xml:space="preserve">900603554      </v>
          </cell>
          <cell r="O10046">
            <v>198</v>
          </cell>
        </row>
        <row r="10047">
          <cell r="F10047" t="str">
            <v xml:space="preserve">900896246      </v>
          </cell>
          <cell r="O10047">
            <v>36</v>
          </cell>
        </row>
        <row r="10048">
          <cell r="F10048" t="str">
            <v xml:space="preserve">901507934      </v>
          </cell>
          <cell r="O10048">
            <v>60</v>
          </cell>
        </row>
        <row r="10049">
          <cell r="F10049" t="str">
            <v xml:space="preserve">800090890      </v>
          </cell>
          <cell r="O10049">
            <v>16</v>
          </cell>
        </row>
        <row r="10050">
          <cell r="F10050" t="str">
            <v xml:space="preserve">800090890      </v>
          </cell>
          <cell r="O10050">
            <v>19</v>
          </cell>
        </row>
        <row r="10051">
          <cell r="F10051" t="str">
            <v xml:space="preserve">800090890      </v>
          </cell>
          <cell r="O10051">
            <v>57</v>
          </cell>
        </row>
        <row r="10052">
          <cell r="F10052" t="str">
            <v xml:space="preserve">811014849      </v>
          </cell>
          <cell r="O10052">
            <v>90</v>
          </cell>
        </row>
        <row r="10053">
          <cell r="F10053" t="str">
            <v xml:space="preserve">811014849      </v>
          </cell>
          <cell r="O10053">
            <v>162</v>
          </cell>
        </row>
        <row r="10054">
          <cell r="F10054" t="str">
            <v xml:space="preserve">890903939      </v>
          </cell>
          <cell r="O10054">
            <v>1255.95</v>
          </cell>
        </row>
        <row r="10055">
          <cell r="F10055" t="str">
            <v xml:space="preserve">890903939      </v>
          </cell>
          <cell r="O10055">
            <v>224.04</v>
          </cell>
        </row>
        <row r="10056">
          <cell r="F10056" t="str">
            <v xml:space="preserve">890903939      </v>
          </cell>
          <cell r="O10056">
            <v>164.45</v>
          </cell>
        </row>
        <row r="10057">
          <cell r="F10057" t="str">
            <v xml:space="preserve">211            </v>
          </cell>
          <cell r="O10057">
            <v>150</v>
          </cell>
        </row>
        <row r="10058">
          <cell r="F10058" t="str">
            <v xml:space="preserve">211            </v>
          </cell>
          <cell r="O10058">
            <v>990</v>
          </cell>
        </row>
        <row r="10059">
          <cell r="F10059" t="str">
            <v xml:space="preserve">211            </v>
          </cell>
          <cell r="O10059">
            <v>135</v>
          </cell>
        </row>
        <row r="10060">
          <cell r="F10060" t="str">
            <v xml:space="preserve">211            </v>
          </cell>
          <cell r="O10060">
            <v>45</v>
          </cell>
        </row>
        <row r="10061">
          <cell r="F10061" t="str">
            <v xml:space="preserve">211            </v>
          </cell>
          <cell r="O10061">
            <v>900</v>
          </cell>
        </row>
        <row r="10062">
          <cell r="F10062" t="str">
            <v xml:space="preserve">211            </v>
          </cell>
          <cell r="O10062">
            <v>135</v>
          </cell>
        </row>
        <row r="10063">
          <cell r="F10063" t="str">
            <v xml:space="preserve">800220041      </v>
          </cell>
          <cell r="O10063">
            <v>75</v>
          </cell>
        </row>
        <row r="10064">
          <cell r="F10064" t="str">
            <v xml:space="preserve">802015827      </v>
          </cell>
          <cell r="O10064">
            <v>30</v>
          </cell>
        </row>
        <row r="10065">
          <cell r="F10065" t="str">
            <v xml:space="preserve">806004274      </v>
          </cell>
          <cell r="O10065">
            <v>180</v>
          </cell>
        </row>
        <row r="10066">
          <cell r="F10066" t="str">
            <v xml:space="preserve">811032699      </v>
          </cell>
          <cell r="O10066">
            <v>18</v>
          </cell>
        </row>
        <row r="10067">
          <cell r="F10067" t="str">
            <v xml:space="preserve">830076368      </v>
          </cell>
          <cell r="O10067">
            <v>90</v>
          </cell>
        </row>
        <row r="10068">
          <cell r="F10068" t="str">
            <v xml:space="preserve">830095213      </v>
          </cell>
          <cell r="O10068">
            <v>216</v>
          </cell>
        </row>
        <row r="10069">
          <cell r="F10069" t="str">
            <v xml:space="preserve">890903939      </v>
          </cell>
          <cell r="O10069">
            <v>322.20999999999998</v>
          </cell>
        </row>
        <row r="10070">
          <cell r="F10070" t="str">
            <v xml:space="preserve">900302144      </v>
          </cell>
          <cell r="O10070">
            <v>36</v>
          </cell>
        </row>
        <row r="10071">
          <cell r="F10071" t="str">
            <v xml:space="preserve">900820045      </v>
          </cell>
          <cell r="O10071">
            <v>15</v>
          </cell>
        </row>
        <row r="10072">
          <cell r="F10072" t="str">
            <v xml:space="preserve">900820045      </v>
          </cell>
          <cell r="O10072">
            <v>108</v>
          </cell>
        </row>
        <row r="10073">
          <cell r="F10073" t="str">
            <v xml:space="preserve">900820045      </v>
          </cell>
          <cell r="O10073">
            <v>18</v>
          </cell>
        </row>
        <row r="10074">
          <cell r="F10074" t="str">
            <v xml:space="preserve">900820045      </v>
          </cell>
          <cell r="O10074">
            <v>36</v>
          </cell>
        </row>
        <row r="10075">
          <cell r="F10075" t="str">
            <v xml:space="preserve">901196694      </v>
          </cell>
          <cell r="O10075">
            <v>36</v>
          </cell>
        </row>
        <row r="10076">
          <cell r="F10076" t="str">
            <v xml:space="preserve">830036921      </v>
          </cell>
          <cell r="O10076">
            <v>303.35000000000002</v>
          </cell>
        </row>
        <row r="10077">
          <cell r="F10077" t="str">
            <v xml:space="preserve">860001697      </v>
          </cell>
          <cell r="O10077">
            <v>950.55</v>
          </cell>
        </row>
        <row r="10078">
          <cell r="F10078" t="str">
            <v xml:space="preserve">860048371      </v>
          </cell>
          <cell r="O10078">
            <v>18</v>
          </cell>
        </row>
        <row r="10079">
          <cell r="F10079" t="str">
            <v xml:space="preserve">860048371      </v>
          </cell>
          <cell r="O10079">
            <v>40</v>
          </cell>
        </row>
        <row r="10080">
          <cell r="F10080" t="str">
            <v xml:space="preserve">800229035      </v>
          </cell>
          <cell r="O10080">
            <v>150</v>
          </cell>
        </row>
        <row r="10081">
          <cell r="F10081" t="str">
            <v xml:space="preserve">800229035      </v>
          </cell>
          <cell r="O10081">
            <v>30</v>
          </cell>
        </row>
        <row r="10082">
          <cell r="F10082" t="str">
            <v xml:space="preserve">860020382      </v>
          </cell>
          <cell r="O10082">
            <v>135</v>
          </cell>
        </row>
        <row r="10083">
          <cell r="F10083" t="str">
            <v xml:space="preserve">901008538      </v>
          </cell>
          <cell r="O10083">
            <v>126</v>
          </cell>
        </row>
        <row r="10084">
          <cell r="F10084" t="str">
            <v xml:space="preserve">830085642      </v>
          </cell>
          <cell r="O10084">
            <v>1367.8</v>
          </cell>
        </row>
        <row r="10085">
          <cell r="F10085" t="str">
            <v xml:space="preserve">16222743       </v>
          </cell>
          <cell r="O10085">
            <v>90.1</v>
          </cell>
        </row>
        <row r="10086">
          <cell r="F10086" t="str">
            <v xml:space="preserve">30305213       </v>
          </cell>
          <cell r="O10086">
            <v>33.700000000000003</v>
          </cell>
        </row>
        <row r="10087">
          <cell r="F10087" t="str">
            <v xml:space="preserve">53070701       </v>
          </cell>
          <cell r="O10087">
            <v>92.8</v>
          </cell>
        </row>
        <row r="10088">
          <cell r="F10088" t="str">
            <v xml:space="preserve">700022216      </v>
          </cell>
          <cell r="O10088">
            <v>326.7</v>
          </cell>
        </row>
        <row r="10089">
          <cell r="F10089" t="str">
            <v xml:space="preserve">800110749      </v>
          </cell>
          <cell r="O10089">
            <v>184.5</v>
          </cell>
        </row>
        <row r="10090">
          <cell r="F10090" t="str">
            <v xml:space="preserve">810006204      </v>
          </cell>
          <cell r="O10090">
            <v>106.2</v>
          </cell>
        </row>
        <row r="10091">
          <cell r="F10091" t="str">
            <v xml:space="preserve">890907163      </v>
          </cell>
          <cell r="O10091">
            <v>540</v>
          </cell>
        </row>
        <row r="10092">
          <cell r="F10092" t="str">
            <v xml:space="preserve">1061529988     </v>
          </cell>
          <cell r="O10092">
            <v>246.3</v>
          </cell>
        </row>
        <row r="10093">
          <cell r="F10093" t="str">
            <v xml:space="preserve">1107085525     </v>
          </cell>
          <cell r="O10093">
            <v>57.6</v>
          </cell>
        </row>
        <row r="10094">
          <cell r="F10094" t="str">
            <v xml:space="preserve">1144138380     </v>
          </cell>
          <cell r="O10094">
            <v>120.6</v>
          </cell>
        </row>
        <row r="10095">
          <cell r="F10095" t="str">
            <v xml:space="preserve">1144138380     </v>
          </cell>
          <cell r="O10095">
            <v>215.1</v>
          </cell>
        </row>
        <row r="10096">
          <cell r="F10096" t="str">
            <v xml:space="preserve">29229813       </v>
          </cell>
          <cell r="O10096">
            <v>64.7</v>
          </cell>
        </row>
        <row r="10097">
          <cell r="F10097" t="str">
            <v xml:space="preserve">41916620       </v>
          </cell>
          <cell r="O10097">
            <v>80.400000000000006</v>
          </cell>
        </row>
        <row r="10098">
          <cell r="F10098" t="str">
            <v xml:space="preserve">805017257      </v>
          </cell>
          <cell r="O10098">
            <v>261.7</v>
          </cell>
        </row>
        <row r="10099">
          <cell r="F10099" t="str">
            <v xml:space="preserve">890300431      </v>
          </cell>
          <cell r="O10099">
            <v>1051.7</v>
          </cell>
        </row>
        <row r="10100">
          <cell r="F10100" t="str">
            <v xml:space="preserve">890904713      </v>
          </cell>
          <cell r="O10100">
            <v>54.4</v>
          </cell>
        </row>
        <row r="10101">
          <cell r="F10101" t="str">
            <v xml:space="preserve">900700313      </v>
          </cell>
          <cell r="O10101">
            <v>176.4</v>
          </cell>
        </row>
        <row r="10102">
          <cell r="F10102" t="str">
            <v xml:space="preserve">901425768      </v>
          </cell>
          <cell r="O10102">
            <v>1047.9000000000001</v>
          </cell>
        </row>
        <row r="10103">
          <cell r="F10103" t="str">
            <v xml:space="preserve">94399362       </v>
          </cell>
          <cell r="O10103">
            <v>93.1</v>
          </cell>
        </row>
        <row r="10104">
          <cell r="F10104" t="str">
            <v xml:space="preserve">1014246982     </v>
          </cell>
          <cell r="O10104">
            <v>345.9</v>
          </cell>
        </row>
        <row r="10105">
          <cell r="F10105" t="str">
            <v xml:space="preserve">1014246982     </v>
          </cell>
          <cell r="O10105">
            <v>307.2</v>
          </cell>
        </row>
        <row r="10106">
          <cell r="F10106" t="str">
            <v xml:space="preserve">23498319       </v>
          </cell>
          <cell r="O10106">
            <v>88.4</v>
          </cell>
        </row>
        <row r="10107">
          <cell r="F10107" t="str">
            <v xml:space="preserve">3267641        </v>
          </cell>
          <cell r="O10107">
            <v>61.1</v>
          </cell>
        </row>
        <row r="10108">
          <cell r="F10108" t="str">
            <v xml:space="preserve">37627220       </v>
          </cell>
          <cell r="O10108">
            <v>147.80000000000001</v>
          </cell>
        </row>
        <row r="10109">
          <cell r="F10109" t="str">
            <v xml:space="preserve">7120547        </v>
          </cell>
          <cell r="O10109">
            <v>65.900000000000006</v>
          </cell>
        </row>
        <row r="10110">
          <cell r="F10110" t="str">
            <v xml:space="preserve">79981193       </v>
          </cell>
          <cell r="O10110">
            <v>115</v>
          </cell>
        </row>
        <row r="10111">
          <cell r="F10111" t="str">
            <v xml:space="preserve">820005385      </v>
          </cell>
          <cell r="O10111">
            <v>2651.1</v>
          </cell>
        </row>
        <row r="10112">
          <cell r="F10112" t="str">
            <v xml:space="preserve">901392542      </v>
          </cell>
          <cell r="O10112">
            <v>246.5</v>
          </cell>
        </row>
        <row r="10113">
          <cell r="F10113" t="str">
            <v xml:space="preserve">901488798      </v>
          </cell>
          <cell r="O10113">
            <v>250.7</v>
          </cell>
        </row>
        <row r="10114">
          <cell r="F10114" t="str">
            <v xml:space="preserve">860403972      </v>
          </cell>
          <cell r="O10114">
            <v>2257.1</v>
          </cell>
        </row>
        <row r="10115">
          <cell r="F10115" t="str">
            <v xml:space="preserve">900913855      </v>
          </cell>
          <cell r="O10115">
            <v>600</v>
          </cell>
        </row>
        <row r="10116">
          <cell r="F10116" t="str">
            <v xml:space="preserve">830095563      </v>
          </cell>
          <cell r="O10116">
            <v>360</v>
          </cell>
        </row>
        <row r="10117">
          <cell r="F10117" t="str">
            <v xml:space="preserve">890905179      </v>
          </cell>
          <cell r="O10117">
            <v>0</v>
          </cell>
        </row>
        <row r="10118">
          <cell r="F10118" t="str">
            <v xml:space="preserve">212            </v>
          </cell>
          <cell r="O10118">
            <v>405</v>
          </cell>
        </row>
        <row r="10119">
          <cell r="F10119" t="str">
            <v xml:space="preserve">212            </v>
          </cell>
          <cell r="O10119">
            <v>306</v>
          </cell>
        </row>
        <row r="10120">
          <cell r="F10120" t="str">
            <v xml:space="preserve">212            </v>
          </cell>
          <cell r="O10120">
            <v>45</v>
          </cell>
        </row>
        <row r="10121">
          <cell r="F10121" t="str">
            <v xml:space="preserve">900084859      </v>
          </cell>
          <cell r="O10121">
            <v>15</v>
          </cell>
        </row>
        <row r="10122">
          <cell r="F10122" t="str">
            <v xml:space="preserve">203            </v>
          </cell>
          <cell r="O10122">
            <v>15</v>
          </cell>
        </row>
        <row r="10123">
          <cell r="F10123" t="str">
            <v xml:space="preserve">203            </v>
          </cell>
          <cell r="O10123">
            <v>90</v>
          </cell>
        </row>
        <row r="10124">
          <cell r="F10124" t="str">
            <v xml:space="preserve">203            </v>
          </cell>
          <cell r="O10124">
            <v>4.5</v>
          </cell>
        </row>
        <row r="10125">
          <cell r="F10125" t="str">
            <v xml:space="preserve">21650387       </v>
          </cell>
          <cell r="O10125">
            <v>72</v>
          </cell>
        </row>
        <row r="10126">
          <cell r="F10126" t="str">
            <v xml:space="preserve">70052771       </v>
          </cell>
          <cell r="O10126">
            <v>162</v>
          </cell>
        </row>
        <row r="10127">
          <cell r="F10127" t="str">
            <v xml:space="preserve">811037915      </v>
          </cell>
          <cell r="O10127">
            <v>198</v>
          </cell>
        </row>
        <row r="10128">
          <cell r="F10128" t="str">
            <v xml:space="preserve">900084859      </v>
          </cell>
          <cell r="O10128">
            <v>45</v>
          </cell>
        </row>
        <row r="10129">
          <cell r="F10129" t="str">
            <v xml:space="preserve">900445736      </v>
          </cell>
          <cell r="O10129">
            <v>90</v>
          </cell>
        </row>
        <row r="10130">
          <cell r="F10130" t="str">
            <v xml:space="preserve">900445736      </v>
          </cell>
          <cell r="O10130">
            <v>90</v>
          </cell>
        </row>
        <row r="10131">
          <cell r="F10131" t="str">
            <v xml:space="preserve">900880568      </v>
          </cell>
          <cell r="O10131">
            <v>72</v>
          </cell>
        </row>
        <row r="10132">
          <cell r="F10132" t="str">
            <v xml:space="preserve">213            </v>
          </cell>
          <cell r="O10132">
            <v>450</v>
          </cell>
        </row>
        <row r="10133">
          <cell r="F10133" t="str">
            <v xml:space="preserve">213            </v>
          </cell>
          <cell r="O10133">
            <v>360</v>
          </cell>
        </row>
        <row r="10134">
          <cell r="F10134" t="str">
            <v xml:space="preserve">213            </v>
          </cell>
          <cell r="O10134">
            <v>135</v>
          </cell>
        </row>
        <row r="10135">
          <cell r="F10135" t="str">
            <v xml:space="preserve">890903939      </v>
          </cell>
          <cell r="O10135">
            <v>315.06</v>
          </cell>
        </row>
        <row r="10136">
          <cell r="F10136" t="str">
            <v xml:space="preserve">70052771       </v>
          </cell>
          <cell r="O10136">
            <v>15</v>
          </cell>
        </row>
        <row r="10137">
          <cell r="F10137" t="str">
            <v xml:space="preserve">70052771       </v>
          </cell>
          <cell r="O10137">
            <v>30</v>
          </cell>
        </row>
        <row r="10138">
          <cell r="F10138" t="str">
            <v xml:space="preserve">70052771       </v>
          </cell>
          <cell r="O10138">
            <v>72</v>
          </cell>
        </row>
        <row r="10139">
          <cell r="F10139" t="str">
            <v xml:space="preserve">800092723      </v>
          </cell>
          <cell r="O10139">
            <v>75</v>
          </cell>
        </row>
        <row r="10140">
          <cell r="F10140" t="str">
            <v xml:space="preserve">800147650      </v>
          </cell>
          <cell r="O10140">
            <v>90</v>
          </cell>
        </row>
        <row r="10141">
          <cell r="F10141" t="str">
            <v xml:space="preserve">811014849      </v>
          </cell>
          <cell r="O10141">
            <v>54</v>
          </cell>
        </row>
        <row r="10142">
          <cell r="F10142" t="str">
            <v xml:space="preserve">811014849      </v>
          </cell>
          <cell r="O10142">
            <v>54</v>
          </cell>
        </row>
        <row r="10143">
          <cell r="F10143" t="str">
            <v xml:space="preserve">811014849      </v>
          </cell>
          <cell r="O10143">
            <v>108</v>
          </cell>
        </row>
        <row r="10144">
          <cell r="F10144" t="str">
            <v xml:space="preserve">811020038      </v>
          </cell>
          <cell r="O10144">
            <v>18</v>
          </cell>
        </row>
        <row r="10145">
          <cell r="F10145" t="str">
            <v xml:space="preserve">811022351      </v>
          </cell>
          <cell r="O10145">
            <v>126</v>
          </cell>
        </row>
        <row r="10146">
          <cell r="F10146" t="str">
            <v xml:space="preserve">811035741      </v>
          </cell>
          <cell r="O10146">
            <v>45</v>
          </cell>
        </row>
        <row r="10147">
          <cell r="F10147" t="str">
            <v xml:space="preserve">811035741      </v>
          </cell>
          <cell r="O10147">
            <v>72</v>
          </cell>
        </row>
        <row r="10148">
          <cell r="F10148" t="str">
            <v xml:space="preserve">860013809      </v>
          </cell>
          <cell r="O10148">
            <v>180</v>
          </cell>
        </row>
        <row r="10149">
          <cell r="F10149" t="str">
            <v xml:space="preserve">860013809      </v>
          </cell>
          <cell r="O10149">
            <v>162</v>
          </cell>
        </row>
        <row r="10150">
          <cell r="F10150" t="str">
            <v xml:space="preserve">890900424      </v>
          </cell>
          <cell r="O10150">
            <v>60</v>
          </cell>
        </row>
        <row r="10151">
          <cell r="F10151" t="str">
            <v xml:space="preserve">890904713      </v>
          </cell>
          <cell r="O10151">
            <v>45</v>
          </cell>
        </row>
        <row r="10152">
          <cell r="F10152" t="str">
            <v xml:space="preserve">890906407      </v>
          </cell>
          <cell r="O10152">
            <v>54</v>
          </cell>
        </row>
        <row r="10153">
          <cell r="F10153" t="str">
            <v xml:space="preserve">890921463      </v>
          </cell>
          <cell r="O10153">
            <v>15</v>
          </cell>
        </row>
        <row r="10154">
          <cell r="F10154" t="str">
            <v xml:space="preserve">890921463      </v>
          </cell>
          <cell r="O10154">
            <v>18</v>
          </cell>
        </row>
        <row r="10155">
          <cell r="F10155" t="str">
            <v xml:space="preserve">899999049      </v>
          </cell>
          <cell r="O10155">
            <v>15</v>
          </cell>
        </row>
        <row r="10156">
          <cell r="F10156" t="str">
            <v xml:space="preserve">899999049      </v>
          </cell>
          <cell r="O10156">
            <v>90</v>
          </cell>
        </row>
        <row r="10157">
          <cell r="F10157" t="str">
            <v xml:space="preserve">899999049      </v>
          </cell>
          <cell r="O10157">
            <v>30</v>
          </cell>
        </row>
        <row r="10158">
          <cell r="F10158" t="str">
            <v xml:space="preserve">899999049      </v>
          </cell>
          <cell r="O10158">
            <v>36</v>
          </cell>
        </row>
        <row r="10159">
          <cell r="F10159" t="str">
            <v xml:space="preserve">900049818      </v>
          </cell>
          <cell r="O10159">
            <v>30</v>
          </cell>
        </row>
        <row r="10160">
          <cell r="F10160" t="str">
            <v xml:space="preserve">900671066      </v>
          </cell>
          <cell r="O10160">
            <v>36</v>
          </cell>
        </row>
        <row r="10161">
          <cell r="F10161" t="str">
            <v xml:space="preserve">900671066      </v>
          </cell>
          <cell r="O10161">
            <v>18</v>
          </cell>
        </row>
        <row r="10162">
          <cell r="F10162" t="str">
            <v xml:space="preserve">901436775      </v>
          </cell>
          <cell r="O10162">
            <v>75</v>
          </cell>
        </row>
        <row r="10163">
          <cell r="F10163" t="str">
            <v xml:space="preserve">901436775      </v>
          </cell>
          <cell r="O10163">
            <v>165</v>
          </cell>
        </row>
        <row r="10164">
          <cell r="F10164" t="str">
            <v xml:space="preserve">210            </v>
          </cell>
          <cell r="O10164">
            <v>1296</v>
          </cell>
        </row>
        <row r="10165">
          <cell r="F10165" t="str">
            <v xml:space="preserve">210            </v>
          </cell>
          <cell r="O10165">
            <v>30</v>
          </cell>
        </row>
        <row r="10166">
          <cell r="F10166" t="str">
            <v xml:space="preserve">210            </v>
          </cell>
          <cell r="O10166">
            <v>2250</v>
          </cell>
        </row>
        <row r="10167">
          <cell r="F10167" t="str">
            <v xml:space="preserve">210            </v>
          </cell>
          <cell r="O10167">
            <v>90</v>
          </cell>
        </row>
        <row r="10168">
          <cell r="F10168" t="str">
            <v xml:space="preserve">101            </v>
          </cell>
          <cell r="O10168">
            <v>4.5</v>
          </cell>
        </row>
        <row r="10169">
          <cell r="F10169" t="str">
            <v xml:space="preserve">101            </v>
          </cell>
          <cell r="O10169">
            <v>4.5</v>
          </cell>
        </row>
        <row r="10170">
          <cell r="F10170" t="str">
            <v xml:space="preserve">101            </v>
          </cell>
          <cell r="O10170">
            <v>15</v>
          </cell>
        </row>
        <row r="10171">
          <cell r="F10171" t="str">
            <v xml:space="preserve">101            </v>
          </cell>
          <cell r="O10171">
            <v>90</v>
          </cell>
        </row>
        <row r="10172">
          <cell r="F10172" t="str">
            <v xml:space="preserve">210            </v>
          </cell>
          <cell r="O10172">
            <v>1440</v>
          </cell>
        </row>
        <row r="10173">
          <cell r="F10173" t="str">
            <v xml:space="preserve">890903939      </v>
          </cell>
          <cell r="O10173">
            <v>74</v>
          </cell>
        </row>
        <row r="10174">
          <cell r="F10174" t="str">
            <v xml:space="preserve">210            </v>
          </cell>
          <cell r="O10174">
            <v>126</v>
          </cell>
        </row>
        <row r="10175">
          <cell r="F10175" t="str">
            <v xml:space="preserve">210            </v>
          </cell>
          <cell r="O10175">
            <v>90</v>
          </cell>
        </row>
        <row r="10176">
          <cell r="F10176" t="str">
            <v xml:space="preserve">210            </v>
          </cell>
          <cell r="O10176">
            <v>9</v>
          </cell>
        </row>
        <row r="10177">
          <cell r="F10177" t="str">
            <v xml:space="preserve">800003267      </v>
          </cell>
          <cell r="O10177">
            <v>162</v>
          </cell>
        </row>
        <row r="10178">
          <cell r="F10178" t="str">
            <v xml:space="preserve">800161451      </v>
          </cell>
          <cell r="O10178">
            <v>36</v>
          </cell>
        </row>
        <row r="10179">
          <cell r="F10179" t="str">
            <v xml:space="preserve">800230447      </v>
          </cell>
          <cell r="O10179">
            <v>90</v>
          </cell>
        </row>
        <row r="10180">
          <cell r="F10180" t="str">
            <v xml:space="preserve">817004766      </v>
          </cell>
          <cell r="O10180">
            <v>45</v>
          </cell>
        </row>
        <row r="10181">
          <cell r="F10181" t="str">
            <v xml:space="preserve">817004766      </v>
          </cell>
          <cell r="O10181">
            <v>126</v>
          </cell>
        </row>
        <row r="10182">
          <cell r="F10182" t="str">
            <v xml:space="preserve">890301602      </v>
          </cell>
          <cell r="O10182">
            <v>72</v>
          </cell>
        </row>
        <row r="10183">
          <cell r="F10183" t="str">
            <v xml:space="preserve">890302609      </v>
          </cell>
          <cell r="O10183">
            <v>153</v>
          </cell>
        </row>
        <row r="10184">
          <cell r="F10184" t="str">
            <v xml:space="preserve">890302955      </v>
          </cell>
          <cell r="O10184">
            <v>54</v>
          </cell>
        </row>
        <row r="10185">
          <cell r="F10185" t="str">
            <v xml:space="preserve">890304607      </v>
          </cell>
          <cell r="O10185">
            <v>36</v>
          </cell>
        </row>
        <row r="10186">
          <cell r="F10186" t="str">
            <v xml:space="preserve">890304611      </v>
          </cell>
          <cell r="O10186">
            <v>30</v>
          </cell>
        </row>
        <row r="10187">
          <cell r="F10187" t="str">
            <v xml:space="preserve">890903939      </v>
          </cell>
          <cell r="O10187">
            <v>262</v>
          </cell>
        </row>
        <row r="10188">
          <cell r="F10188" t="str">
            <v xml:space="preserve">890903939      </v>
          </cell>
          <cell r="O10188">
            <v>283</v>
          </cell>
        </row>
        <row r="10189">
          <cell r="F10189" t="str">
            <v xml:space="preserve">891303109      </v>
          </cell>
          <cell r="O10189">
            <v>18</v>
          </cell>
        </row>
        <row r="10190">
          <cell r="F10190" t="str">
            <v xml:space="preserve">900233101      </v>
          </cell>
          <cell r="O10190">
            <v>72</v>
          </cell>
        </row>
        <row r="10191">
          <cell r="F10191" t="str">
            <v xml:space="preserve">900555944      </v>
          </cell>
          <cell r="O10191">
            <v>18</v>
          </cell>
        </row>
        <row r="10192">
          <cell r="F10192" t="str">
            <v xml:space="preserve">901149931      </v>
          </cell>
          <cell r="O10192">
            <v>108</v>
          </cell>
        </row>
        <row r="10193">
          <cell r="F10193" t="str">
            <v xml:space="preserve">901167377      </v>
          </cell>
          <cell r="O10193">
            <v>190.5</v>
          </cell>
        </row>
        <row r="10194">
          <cell r="F10194" t="str">
            <v xml:space="preserve">1066184116     </v>
          </cell>
          <cell r="O10194">
            <v>72</v>
          </cell>
        </row>
        <row r="10195">
          <cell r="F10195" t="str">
            <v xml:space="preserve">407            </v>
          </cell>
          <cell r="O10195">
            <v>0</v>
          </cell>
        </row>
        <row r="10196">
          <cell r="F10196" t="str">
            <v xml:space="preserve">407            </v>
          </cell>
          <cell r="O10196">
            <v>0</v>
          </cell>
        </row>
        <row r="10197">
          <cell r="F10197" t="str">
            <v xml:space="preserve">830095563      </v>
          </cell>
          <cell r="O10197">
            <v>18</v>
          </cell>
        </row>
        <row r="10198">
          <cell r="F10198" t="str">
            <v xml:space="preserve">900859482      </v>
          </cell>
          <cell r="O10198">
            <v>285</v>
          </cell>
        </row>
        <row r="10199">
          <cell r="F10199" t="str">
            <v xml:space="preserve">900859482      </v>
          </cell>
          <cell r="O10199">
            <v>432</v>
          </cell>
        </row>
        <row r="10200">
          <cell r="F10200" t="str">
            <v xml:space="preserve">22011939       </v>
          </cell>
          <cell r="O10200">
            <v>120</v>
          </cell>
        </row>
        <row r="10201">
          <cell r="F10201" t="str">
            <v xml:space="preserve">22011939       </v>
          </cell>
          <cell r="O10201">
            <v>270</v>
          </cell>
        </row>
        <row r="10202">
          <cell r="F10202" t="str">
            <v xml:space="preserve">70900706       </v>
          </cell>
          <cell r="O10202">
            <v>45</v>
          </cell>
        </row>
        <row r="10203">
          <cell r="F10203" t="str">
            <v xml:space="preserve">830016868      </v>
          </cell>
          <cell r="O10203">
            <v>151.6</v>
          </cell>
        </row>
        <row r="10204">
          <cell r="F10204" t="str">
            <v xml:space="preserve">832001844      </v>
          </cell>
          <cell r="O10204">
            <v>657.4</v>
          </cell>
        </row>
        <row r="10205">
          <cell r="F10205" t="str">
            <v xml:space="preserve">860029445      </v>
          </cell>
          <cell r="O10205">
            <v>3329.4</v>
          </cell>
        </row>
        <row r="10206">
          <cell r="F10206" t="str">
            <v xml:space="preserve">860029445      </v>
          </cell>
          <cell r="O10206">
            <v>702.5</v>
          </cell>
        </row>
        <row r="10207">
          <cell r="F10207" t="str">
            <v xml:space="preserve">98866037       </v>
          </cell>
          <cell r="O10207">
            <v>540.79999999999995</v>
          </cell>
        </row>
        <row r="10208">
          <cell r="F10208" t="str">
            <v xml:space="preserve">98866037       </v>
          </cell>
          <cell r="O10208">
            <v>138.69999999999999</v>
          </cell>
        </row>
        <row r="10209">
          <cell r="F10209" t="str">
            <v xml:space="preserve">800028446      </v>
          </cell>
          <cell r="O10209">
            <v>1002.9</v>
          </cell>
        </row>
        <row r="10210">
          <cell r="F10210" t="str">
            <v xml:space="preserve">860032450      </v>
          </cell>
          <cell r="O10210">
            <v>67</v>
          </cell>
        </row>
        <row r="10211">
          <cell r="F10211" t="str">
            <v xml:space="preserve">860523887      </v>
          </cell>
          <cell r="O10211">
            <v>152.9</v>
          </cell>
        </row>
        <row r="10212">
          <cell r="F10212" t="str">
            <v xml:space="preserve">860001697      </v>
          </cell>
          <cell r="O10212">
            <v>227.15</v>
          </cell>
        </row>
        <row r="10213">
          <cell r="F10213" t="str">
            <v xml:space="preserve">800140625      </v>
          </cell>
          <cell r="O10213">
            <v>45</v>
          </cell>
        </row>
        <row r="10214">
          <cell r="F10214" t="str">
            <v xml:space="preserve">800141632      </v>
          </cell>
          <cell r="O10214">
            <v>98.8</v>
          </cell>
        </row>
        <row r="10215">
          <cell r="F10215" t="str">
            <v xml:space="preserve">800141632      </v>
          </cell>
          <cell r="O10215">
            <v>106.2</v>
          </cell>
        </row>
        <row r="10216">
          <cell r="F10216" t="str">
            <v xml:space="preserve">808001557      </v>
          </cell>
          <cell r="O10216">
            <v>451.7</v>
          </cell>
        </row>
        <row r="10217">
          <cell r="F10217" t="str">
            <v xml:space="preserve">860032450      </v>
          </cell>
          <cell r="O10217">
            <v>1523.9</v>
          </cell>
        </row>
        <row r="10218">
          <cell r="F10218" t="str">
            <v xml:space="preserve">860524772      </v>
          </cell>
          <cell r="O10218">
            <v>680.3</v>
          </cell>
        </row>
        <row r="10219">
          <cell r="F10219" t="str">
            <v xml:space="preserve">900464792      </v>
          </cell>
          <cell r="O10219">
            <v>502</v>
          </cell>
        </row>
        <row r="10220">
          <cell r="F10220" t="str">
            <v xml:space="preserve">42795633       </v>
          </cell>
          <cell r="O10220">
            <v>147.80000000000001</v>
          </cell>
        </row>
        <row r="10221">
          <cell r="F10221" t="str">
            <v xml:space="preserve">811014849      </v>
          </cell>
          <cell r="O10221">
            <v>651.20000000000005</v>
          </cell>
        </row>
        <row r="10222">
          <cell r="F10222" t="str">
            <v xml:space="preserve">811014849      </v>
          </cell>
          <cell r="O10222">
            <v>1006</v>
          </cell>
        </row>
        <row r="10223">
          <cell r="F10223" t="str">
            <v xml:space="preserve">890910131      </v>
          </cell>
          <cell r="O10223">
            <v>197.4</v>
          </cell>
        </row>
        <row r="10224">
          <cell r="F10224" t="str">
            <v xml:space="preserve">890910131      </v>
          </cell>
          <cell r="O10224">
            <v>652.29999999999995</v>
          </cell>
        </row>
        <row r="10225">
          <cell r="F10225" t="str">
            <v xml:space="preserve">900984355      </v>
          </cell>
          <cell r="O10225">
            <v>861.6</v>
          </cell>
        </row>
        <row r="10226">
          <cell r="F10226" t="str">
            <v xml:space="preserve">901008628      </v>
          </cell>
          <cell r="O10226">
            <v>272.3</v>
          </cell>
        </row>
        <row r="10227">
          <cell r="F10227" t="str">
            <v xml:space="preserve">212            </v>
          </cell>
          <cell r="O10227">
            <v>9</v>
          </cell>
        </row>
        <row r="10228">
          <cell r="F10228" t="str">
            <v xml:space="preserve">212            </v>
          </cell>
          <cell r="O10228">
            <v>15</v>
          </cell>
        </row>
        <row r="10229">
          <cell r="F10229" t="str">
            <v xml:space="preserve">212            </v>
          </cell>
          <cell r="O10229">
            <v>18</v>
          </cell>
        </row>
        <row r="10230">
          <cell r="F10230" t="str">
            <v xml:space="preserve">900569044      </v>
          </cell>
          <cell r="O10230">
            <v>45</v>
          </cell>
        </row>
        <row r="10231">
          <cell r="F10231" t="str">
            <v xml:space="preserve">900569044      </v>
          </cell>
          <cell r="O10231">
            <v>45</v>
          </cell>
        </row>
        <row r="10232">
          <cell r="F10232" t="str">
            <v xml:space="preserve">811014849      </v>
          </cell>
          <cell r="O10232">
            <v>36</v>
          </cell>
        </row>
        <row r="10233">
          <cell r="F10233" t="str">
            <v xml:space="preserve">811014849      </v>
          </cell>
          <cell r="O10233">
            <v>90</v>
          </cell>
        </row>
        <row r="10234">
          <cell r="F10234" t="str">
            <v xml:space="preserve">890900161      </v>
          </cell>
          <cell r="O10234">
            <v>180</v>
          </cell>
        </row>
        <row r="10235">
          <cell r="F10235" t="str">
            <v xml:space="preserve">890900161      </v>
          </cell>
          <cell r="O10235">
            <v>105</v>
          </cell>
        </row>
        <row r="10236">
          <cell r="F10236" t="str">
            <v xml:space="preserve">900313945      </v>
          </cell>
          <cell r="O10236">
            <v>135</v>
          </cell>
        </row>
        <row r="10237">
          <cell r="F10237" t="str">
            <v xml:space="preserve">900599145      </v>
          </cell>
          <cell r="O10237">
            <v>54</v>
          </cell>
        </row>
        <row r="10238">
          <cell r="F10238" t="str">
            <v xml:space="preserve">805012977      </v>
          </cell>
          <cell r="O10238">
            <v>126</v>
          </cell>
        </row>
        <row r="10239">
          <cell r="F10239" t="str">
            <v xml:space="preserve">860020382      </v>
          </cell>
          <cell r="O10239">
            <v>54</v>
          </cell>
        </row>
        <row r="10240">
          <cell r="F10240" t="str">
            <v xml:space="preserve">860020382      </v>
          </cell>
          <cell r="O10240">
            <v>54</v>
          </cell>
        </row>
        <row r="10241">
          <cell r="F10241" t="str">
            <v xml:space="preserve">860047066      </v>
          </cell>
          <cell r="O10241">
            <v>72</v>
          </cell>
        </row>
        <row r="10242">
          <cell r="F10242" t="str">
            <v xml:space="preserve">890106278      </v>
          </cell>
          <cell r="O10242">
            <v>36</v>
          </cell>
        </row>
        <row r="10243">
          <cell r="F10243" t="str">
            <v xml:space="preserve">890307885      </v>
          </cell>
          <cell r="O10243">
            <v>135</v>
          </cell>
        </row>
        <row r="10244">
          <cell r="F10244" t="str">
            <v xml:space="preserve">890311251      </v>
          </cell>
          <cell r="O10244">
            <v>18</v>
          </cell>
        </row>
        <row r="10245">
          <cell r="F10245" t="str">
            <v xml:space="preserve">900818921      </v>
          </cell>
          <cell r="O10245">
            <v>339</v>
          </cell>
        </row>
        <row r="10246">
          <cell r="F10246" t="str">
            <v xml:space="preserve">901026262      </v>
          </cell>
          <cell r="O10246">
            <v>72</v>
          </cell>
        </row>
        <row r="10247">
          <cell r="F10247" t="str">
            <v xml:space="preserve">212            </v>
          </cell>
          <cell r="O10247">
            <v>30</v>
          </cell>
        </row>
        <row r="10248">
          <cell r="F10248" t="str">
            <v xml:space="preserve">212            </v>
          </cell>
          <cell r="O10248">
            <v>36</v>
          </cell>
        </row>
        <row r="10249">
          <cell r="F10249" t="str">
            <v xml:space="preserve">212            </v>
          </cell>
          <cell r="O10249">
            <v>15</v>
          </cell>
        </row>
        <row r="10250">
          <cell r="F10250" t="str">
            <v xml:space="preserve">212            </v>
          </cell>
          <cell r="O10250">
            <v>126</v>
          </cell>
        </row>
        <row r="10251">
          <cell r="F10251" t="str">
            <v xml:space="preserve">890903939      </v>
          </cell>
          <cell r="O10251">
            <v>96.8</v>
          </cell>
        </row>
        <row r="10252">
          <cell r="F10252" t="str">
            <v xml:space="preserve">860065656      </v>
          </cell>
          <cell r="O10252">
            <v>399.7</v>
          </cell>
        </row>
        <row r="10253">
          <cell r="F10253" t="str">
            <v xml:space="preserve">860065656      </v>
          </cell>
          <cell r="O10253">
            <v>601.70000000000005</v>
          </cell>
        </row>
        <row r="10254">
          <cell r="F10254" t="str">
            <v xml:space="preserve">1090445467     </v>
          </cell>
          <cell r="O10254">
            <v>40.9</v>
          </cell>
        </row>
        <row r="10255">
          <cell r="F10255" t="str">
            <v xml:space="preserve">1126706884     </v>
          </cell>
          <cell r="O10255">
            <v>95.9</v>
          </cell>
        </row>
        <row r="10256">
          <cell r="F10256" t="str">
            <v xml:space="preserve">19314075       </v>
          </cell>
          <cell r="O10256">
            <v>53.6</v>
          </cell>
        </row>
        <row r="10257">
          <cell r="F10257" t="str">
            <v xml:space="preserve">1979329        </v>
          </cell>
          <cell r="O10257">
            <v>88.9</v>
          </cell>
        </row>
        <row r="10258">
          <cell r="F10258" t="str">
            <v xml:space="preserve">27680860       </v>
          </cell>
          <cell r="O10258">
            <v>84</v>
          </cell>
        </row>
        <row r="10259">
          <cell r="F10259" t="str">
            <v xml:space="preserve">27681345       </v>
          </cell>
          <cell r="O10259">
            <v>130.1</v>
          </cell>
        </row>
        <row r="10260">
          <cell r="F10260" t="str">
            <v xml:space="preserve">37369604       </v>
          </cell>
          <cell r="O10260">
            <v>103.5</v>
          </cell>
        </row>
        <row r="10261">
          <cell r="F10261" t="str">
            <v xml:space="preserve">60268289       </v>
          </cell>
          <cell r="O10261">
            <v>90.6</v>
          </cell>
        </row>
        <row r="10262">
          <cell r="F10262" t="str">
            <v xml:space="preserve">74243324       </v>
          </cell>
          <cell r="O10262">
            <v>92.4</v>
          </cell>
        </row>
        <row r="10263">
          <cell r="F10263" t="str">
            <v xml:space="preserve">800235371      </v>
          </cell>
          <cell r="O10263">
            <v>35.700000000000003</v>
          </cell>
        </row>
        <row r="10264">
          <cell r="F10264" t="str">
            <v xml:space="preserve">88001149       </v>
          </cell>
          <cell r="O10264">
            <v>82.1</v>
          </cell>
        </row>
        <row r="10265">
          <cell r="F10265" t="str">
            <v xml:space="preserve">88001654       </v>
          </cell>
          <cell r="O10265">
            <v>58.4</v>
          </cell>
        </row>
        <row r="10266">
          <cell r="F10266" t="str">
            <v xml:space="preserve">890500446      </v>
          </cell>
          <cell r="O10266">
            <v>88.3</v>
          </cell>
        </row>
        <row r="10267">
          <cell r="F10267" t="str">
            <v xml:space="preserve">901488458      </v>
          </cell>
          <cell r="O10267">
            <v>157.80000000000001</v>
          </cell>
        </row>
        <row r="10268">
          <cell r="F10268" t="str">
            <v xml:space="preserve">900193996      </v>
          </cell>
          <cell r="O10268">
            <v>1001.9</v>
          </cell>
        </row>
        <row r="10269">
          <cell r="F10269" t="str">
            <v xml:space="preserve">37900917       </v>
          </cell>
          <cell r="O10269">
            <v>71</v>
          </cell>
        </row>
        <row r="10270">
          <cell r="F10270" t="str">
            <v xml:space="preserve">900257211      </v>
          </cell>
          <cell r="O10270">
            <v>127</v>
          </cell>
        </row>
        <row r="10271">
          <cell r="F10271" t="str">
            <v xml:space="preserve">900870022      </v>
          </cell>
          <cell r="O10271">
            <v>81.099999999999994</v>
          </cell>
        </row>
        <row r="10272">
          <cell r="F10272" t="str">
            <v xml:space="preserve">901113026      </v>
          </cell>
          <cell r="O10272">
            <v>80.099999999999994</v>
          </cell>
        </row>
        <row r="10273">
          <cell r="F10273" t="str">
            <v xml:space="preserve">91080609       </v>
          </cell>
          <cell r="O10273">
            <v>59.3</v>
          </cell>
        </row>
        <row r="10274">
          <cell r="F10274" t="str">
            <v xml:space="preserve">91106959       </v>
          </cell>
          <cell r="O10274">
            <v>43.2</v>
          </cell>
        </row>
        <row r="10275">
          <cell r="F10275" t="str">
            <v xml:space="preserve">91515845       </v>
          </cell>
          <cell r="O10275">
            <v>82.8</v>
          </cell>
        </row>
        <row r="10276">
          <cell r="F10276" t="str">
            <v xml:space="preserve">800041723      </v>
          </cell>
          <cell r="O10276">
            <v>525.29999999999995</v>
          </cell>
        </row>
        <row r="10277">
          <cell r="F10277" t="str">
            <v xml:space="preserve">800154428      </v>
          </cell>
          <cell r="O10277">
            <v>143.30000000000001</v>
          </cell>
        </row>
        <row r="10278">
          <cell r="F10278" t="str">
            <v xml:space="preserve">830073592      </v>
          </cell>
          <cell r="O10278">
            <v>749.4</v>
          </cell>
        </row>
        <row r="10279">
          <cell r="F10279" t="str">
            <v xml:space="preserve">830086392      </v>
          </cell>
          <cell r="O10279">
            <v>122.2</v>
          </cell>
        </row>
        <row r="10280">
          <cell r="F10280" t="str">
            <v xml:space="preserve">830091965      </v>
          </cell>
          <cell r="O10280">
            <v>1300</v>
          </cell>
        </row>
        <row r="10281">
          <cell r="F10281" t="str">
            <v xml:space="preserve">900436352      </v>
          </cell>
          <cell r="O10281">
            <v>1244.0999999999999</v>
          </cell>
        </row>
        <row r="10282">
          <cell r="F10282" t="str">
            <v xml:space="preserve">1040046614     </v>
          </cell>
          <cell r="O10282">
            <v>217.9</v>
          </cell>
        </row>
        <row r="10283">
          <cell r="F10283" t="str">
            <v xml:space="preserve">800039849      </v>
          </cell>
          <cell r="O10283">
            <v>2123.6</v>
          </cell>
        </row>
        <row r="10284">
          <cell r="F10284" t="str">
            <v xml:space="preserve">811014849      </v>
          </cell>
          <cell r="O10284">
            <v>858.5</v>
          </cell>
        </row>
        <row r="10285">
          <cell r="F10285" t="str">
            <v xml:space="preserve">890900161      </v>
          </cell>
          <cell r="O10285">
            <v>866.2</v>
          </cell>
        </row>
        <row r="10286">
          <cell r="F10286" t="str">
            <v xml:space="preserve">890910131      </v>
          </cell>
          <cell r="O10286">
            <v>1135.0999999999999</v>
          </cell>
        </row>
        <row r="10287">
          <cell r="F10287" t="str">
            <v xml:space="preserve">900316481      </v>
          </cell>
          <cell r="O10287">
            <v>2092.1999999999998</v>
          </cell>
        </row>
        <row r="10288">
          <cell r="F10288" t="str">
            <v xml:space="preserve">900652958      </v>
          </cell>
          <cell r="O10288">
            <v>169.1</v>
          </cell>
        </row>
        <row r="10289">
          <cell r="F10289" t="str">
            <v xml:space="preserve">901107328      </v>
          </cell>
          <cell r="O10289">
            <v>60.3</v>
          </cell>
        </row>
        <row r="10290">
          <cell r="F10290" t="str">
            <v xml:space="preserve">901142147      </v>
          </cell>
          <cell r="O10290">
            <v>336.5</v>
          </cell>
        </row>
        <row r="10291">
          <cell r="F10291" t="str">
            <v xml:space="preserve">800167200      </v>
          </cell>
          <cell r="O10291">
            <v>1277.5</v>
          </cell>
        </row>
        <row r="10292">
          <cell r="F10292" t="str">
            <v xml:space="preserve">830106563      </v>
          </cell>
          <cell r="O10292">
            <v>832.1</v>
          </cell>
        </row>
        <row r="10293">
          <cell r="F10293" t="str">
            <v xml:space="preserve">830128434      </v>
          </cell>
          <cell r="O10293">
            <v>2202.1999999999998</v>
          </cell>
        </row>
        <row r="10294">
          <cell r="F10294" t="str">
            <v xml:space="preserve">860002119      </v>
          </cell>
          <cell r="O10294">
            <v>1756</v>
          </cell>
        </row>
        <row r="10295">
          <cell r="F10295" t="str">
            <v xml:space="preserve">860052989      </v>
          </cell>
          <cell r="O10295">
            <v>150.80000000000001</v>
          </cell>
        </row>
        <row r="10296">
          <cell r="F10296" t="str">
            <v xml:space="preserve">901123983      </v>
          </cell>
          <cell r="O10296">
            <v>1311</v>
          </cell>
        </row>
        <row r="10297">
          <cell r="F10297" t="str">
            <v xml:space="preserve">901392009      </v>
          </cell>
          <cell r="O10297">
            <v>4972.8999999999996</v>
          </cell>
        </row>
        <row r="10298">
          <cell r="F10298" t="str">
            <v xml:space="preserve">213            </v>
          </cell>
          <cell r="O10298">
            <v>225</v>
          </cell>
        </row>
        <row r="10299">
          <cell r="F10299" t="str">
            <v xml:space="preserve">70900706       </v>
          </cell>
          <cell r="O10299">
            <v>1050</v>
          </cell>
        </row>
        <row r="10300">
          <cell r="F10300" t="str">
            <v xml:space="preserve">70900706       </v>
          </cell>
          <cell r="O10300">
            <v>360</v>
          </cell>
        </row>
        <row r="10301">
          <cell r="F10301" t="str">
            <v xml:space="preserve">900067125      </v>
          </cell>
          <cell r="O10301">
            <v>45</v>
          </cell>
        </row>
        <row r="10302">
          <cell r="F10302" t="str">
            <v xml:space="preserve">890312630      </v>
          </cell>
          <cell r="O10302">
            <v>5485.7</v>
          </cell>
        </row>
        <row r="10303">
          <cell r="F10303" t="str">
            <v xml:space="preserve">890319254      </v>
          </cell>
          <cell r="O10303">
            <v>116.1</v>
          </cell>
        </row>
        <row r="10304">
          <cell r="F10304" t="str">
            <v xml:space="preserve">900018975      </v>
          </cell>
          <cell r="O10304">
            <v>3000</v>
          </cell>
        </row>
        <row r="10305">
          <cell r="F10305" t="str">
            <v xml:space="preserve">860001697      </v>
          </cell>
          <cell r="O10305">
            <v>442.42</v>
          </cell>
        </row>
        <row r="10306">
          <cell r="F10306" t="str">
            <v xml:space="preserve">860001697      </v>
          </cell>
          <cell r="O10306">
            <v>143.9</v>
          </cell>
        </row>
        <row r="10307">
          <cell r="F10307" t="str">
            <v xml:space="preserve">860001697      </v>
          </cell>
          <cell r="O10307">
            <v>171</v>
          </cell>
        </row>
        <row r="10308">
          <cell r="F10308" t="str">
            <v xml:space="preserve">51793568       </v>
          </cell>
          <cell r="O10308">
            <v>61.17</v>
          </cell>
        </row>
        <row r="10309">
          <cell r="F10309" t="str">
            <v xml:space="preserve">79434442       </v>
          </cell>
          <cell r="O10309">
            <v>119.03</v>
          </cell>
        </row>
        <row r="10310">
          <cell r="F10310" t="str">
            <v xml:space="preserve">79686344       </v>
          </cell>
          <cell r="O10310">
            <v>33.450000000000003</v>
          </cell>
        </row>
        <row r="10311">
          <cell r="F10311" t="str">
            <v xml:space="preserve">830029703      </v>
          </cell>
          <cell r="O10311">
            <v>444.91</v>
          </cell>
        </row>
        <row r="10312">
          <cell r="F10312" t="str">
            <v xml:space="preserve">830086392      </v>
          </cell>
          <cell r="O10312">
            <v>87.14</v>
          </cell>
        </row>
        <row r="10313">
          <cell r="F10313" t="str">
            <v xml:space="preserve">830086392      </v>
          </cell>
          <cell r="O10313">
            <v>87.12</v>
          </cell>
        </row>
        <row r="10314">
          <cell r="F10314" t="str">
            <v xml:space="preserve">830505410      </v>
          </cell>
          <cell r="O10314">
            <v>1792.5</v>
          </cell>
        </row>
        <row r="10315">
          <cell r="F10315" t="str">
            <v xml:space="preserve">41737020       </v>
          </cell>
          <cell r="O10315">
            <v>45.9</v>
          </cell>
        </row>
        <row r="10316">
          <cell r="F10316" t="str">
            <v xml:space="preserve">800134497      </v>
          </cell>
          <cell r="O10316">
            <v>791.9</v>
          </cell>
        </row>
        <row r="10317">
          <cell r="F10317" t="str">
            <v xml:space="preserve">860001930      </v>
          </cell>
          <cell r="O10317">
            <v>1319.9</v>
          </cell>
        </row>
        <row r="10318">
          <cell r="F10318" t="str">
            <v xml:space="preserve">860019021      </v>
          </cell>
          <cell r="O10318">
            <v>321.39999999999998</v>
          </cell>
        </row>
        <row r="10319">
          <cell r="F10319" t="str">
            <v xml:space="preserve">860032450      </v>
          </cell>
          <cell r="O10319">
            <v>470.3</v>
          </cell>
        </row>
        <row r="10320">
          <cell r="F10320" t="str">
            <v xml:space="preserve">860041952      </v>
          </cell>
          <cell r="O10320">
            <v>179.1</v>
          </cell>
        </row>
        <row r="10321">
          <cell r="F10321" t="str">
            <v xml:space="preserve">900389206      </v>
          </cell>
          <cell r="O10321">
            <v>358.4</v>
          </cell>
        </row>
        <row r="10322">
          <cell r="F10322" t="str">
            <v xml:space="preserve">830010738      </v>
          </cell>
          <cell r="O10322">
            <v>2427.1999999999998</v>
          </cell>
        </row>
        <row r="10323">
          <cell r="F10323" t="str">
            <v xml:space="preserve">900343005      </v>
          </cell>
          <cell r="O10323">
            <v>984.7</v>
          </cell>
        </row>
        <row r="10324">
          <cell r="F10324" t="str">
            <v xml:space="preserve">900343005      </v>
          </cell>
          <cell r="O10324">
            <v>1585.3</v>
          </cell>
        </row>
        <row r="10325">
          <cell r="F10325" t="str">
            <v xml:space="preserve">805005148      </v>
          </cell>
          <cell r="O10325">
            <v>1854</v>
          </cell>
        </row>
        <row r="10326">
          <cell r="F10326" t="str">
            <v xml:space="preserve">805005148      </v>
          </cell>
          <cell r="O10326">
            <v>54</v>
          </cell>
        </row>
        <row r="10327">
          <cell r="F10327" t="str">
            <v xml:space="preserve">805005148      </v>
          </cell>
          <cell r="O10327">
            <v>15</v>
          </cell>
        </row>
        <row r="10328">
          <cell r="F10328" t="str">
            <v xml:space="preserve">805005148      </v>
          </cell>
          <cell r="O10328">
            <v>1476</v>
          </cell>
        </row>
        <row r="10329">
          <cell r="F10329" t="str">
            <v xml:space="preserve">805005148      </v>
          </cell>
          <cell r="O10329">
            <v>225</v>
          </cell>
        </row>
        <row r="10330">
          <cell r="F10330" t="str">
            <v xml:space="preserve">805005148      </v>
          </cell>
          <cell r="O10330">
            <v>1116</v>
          </cell>
        </row>
        <row r="10331">
          <cell r="F10331" t="str">
            <v xml:space="preserve">805005148      </v>
          </cell>
          <cell r="O10331">
            <v>90</v>
          </cell>
        </row>
        <row r="10332">
          <cell r="F10332" t="str">
            <v xml:space="preserve">1130605276     </v>
          </cell>
          <cell r="O10332">
            <v>165</v>
          </cell>
        </row>
        <row r="10333">
          <cell r="F10333" t="str">
            <v xml:space="preserve">1130605276     </v>
          </cell>
          <cell r="O10333">
            <v>1260</v>
          </cell>
        </row>
        <row r="10334">
          <cell r="F10334" t="str">
            <v xml:space="preserve">1130605276     </v>
          </cell>
          <cell r="O10334">
            <v>90</v>
          </cell>
        </row>
        <row r="10335">
          <cell r="F10335" t="str">
            <v xml:space="preserve">94050412       </v>
          </cell>
          <cell r="O10335">
            <v>540</v>
          </cell>
        </row>
        <row r="10336">
          <cell r="F10336" t="str">
            <v xml:space="preserve">94050412       </v>
          </cell>
          <cell r="O10336">
            <v>90</v>
          </cell>
        </row>
        <row r="10337">
          <cell r="F10337" t="str">
            <v xml:space="preserve">88275315       </v>
          </cell>
          <cell r="O10337">
            <v>13.5</v>
          </cell>
        </row>
        <row r="10338">
          <cell r="F10338" t="str">
            <v xml:space="preserve">88275315       </v>
          </cell>
          <cell r="O10338">
            <v>9</v>
          </cell>
        </row>
        <row r="10339">
          <cell r="F10339" t="str">
            <v xml:space="preserve">88275315       </v>
          </cell>
          <cell r="O10339">
            <v>1782</v>
          </cell>
        </row>
        <row r="10340">
          <cell r="F10340" t="str">
            <v xml:space="preserve">88275315       </v>
          </cell>
          <cell r="O10340">
            <v>180</v>
          </cell>
        </row>
        <row r="10341">
          <cell r="F10341" t="str">
            <v xml:space="preserve">88275315       </v>
          </cell>
          <cell r="O10341">
            <v>72</v>
          </cell>
        </row>
        <row r="10342">
          <cell r="F10342" t="str">
            <v xml:space="preserve">94464104       </v>
          </cell>
          <cell r="O10342">
            <v>9</v>
          </cell>
        </row>
        <row r="10343">
          <cell r="F10343" t="str">
            <v xml:space="preserve">94464104       </v>
          </cell>
          <cell r="O10343">
            <v>63</v>
          </cell>
        </row>
        <row r="10344">
          <cell r="F10344" t="str">
            <v xml:space="preserve">94464104       </v>
          </cell>
          <cell r="O10344">
            <v>180</v>
          </cell>
        </row>
        <row r="10345">
          <cell r="F10345" t="str">
            <v xml:space="preserve">94464104       </v>
          </cell>
          <cell r="O10345">
            <v>2448</v>
          </cell>
        </row>
        <row r="10346">
          <cell r="F10346" t="str">
            <v xml:space="preserve">94464104       </v>
          </cell>
          <cell r="O10346">
            <v>225</v>
          </cell>
        </row>
        <row r="10347">
          <cell r="F10347" t="str">
            <v xml:space="preserve">94464104       </v>
          </cell>
          <cell r="O10347">
            <v>180</v>
          </cell>
        </row>
        <row r="10348">
          <cell r="F10348" t="str">
            <v xml:space="preserve">94464104       </v>
          </cell>
          <cell r="O10348">
            <v>162</v>
          </cell>
        </row>
        <row r="10349">
          <cell r="F10349" t="str">
            <v xml:space="preserve">16458005       </v>
          </cell>
          <cell r="O10349">
            <v>432</v>
          </cell>
        </row>
        <row r="10350">
          <cell r="F10350" t="str">
            <v xml:space="preserve">94419930       </v>
          </cell>
          <cell r="O10350">
            <v>540</v>
          </cell>
        </row>
        <row r="10351">
          <cell r="F10351" t="str">
            <v xml:space="preserve">94419930       </v>
          </cell>
          <cell r="O10351">
            <v>90</v>
          </cell>
        </row>
        <row r="10352">
          <cell r="F10352" t="str">
            <v xml:space="preserve">94419930       </v>
          </cell>
          <cell r="O10352">
            <v>15</v>
          </cell>
        </row>
        <row r="10353">
          <cell r="F10353" t="str">
            <v xml:space="preserve">94419930       </v>
          </cell>
          <cell r="O10353">
            <v>540</v>
          </cell>
        </row>
        <row r="10354">
          <cell r="F10354" t="str">
            <v xml:space="preserve">94419930       </v>
          </cell>
          <cell r="O10354">
            <v>90</v>
          </cell>
        </row>
        <row r="10355">
          <cell r="F10355" t="str">
            <v xml:space="preserve">94420019       </v>
          </cell>
          <cell r="O10355">
            <v>15</v>
          </cell>
        </row>
        <row r="10356">
          <cell r="F10356" t="str">
            <v xml:space="preserve">94420019       </v>
          </cell>
          <cell r="O10356">
            <v>216</v>
          </cell>
        </row>
        <row r="10357">
          <cell r="F10357" t="str">
            <v xml:space="preserve">16669313       </v>
          </cell>
          <cell r="O10357">
            <v>15</v>
          </cell>
        </row>
        <row r="10358">
          <cell r="F10358" t="str">
            <v xml:space="preserve">16669313       </v>
          </cell>
          <cell r="O10358">
            <v>396</v>
          </cell>
        </row>
        <row r="10359">
          <cell r="F10359" t="str">
            <v xml:space="preserve">16669313       </v>
          </cell>
          <cell r="O10359">
            <v>135</v>
          </cell>
        </row>
        <row r="10360">
          <cell r="F10360" t="str">
            <v xml:space="preserve">901551934      </v>
          </cell>
          <cell r="O10360">
            <v>18</v>
          </cell>
        </row>
        <row r="10361">
          <cell r="F10361" t="str">
            <v xml:space="preserve">75074760       </v>
          </cell>
          <cell r="O10361">
            <v>9</v>
          </cell>
        </row>
        <row r="10362">
          <cell r="F10362" t="str">
            <v xml:space="preserve">75074760       </v>
          </cell>
          <cell r="O10362">
            <v>255</v>
          </cell>
        </row>
        <row r="10363">
          <cell r="F10363" t="str">
            <v xml:space="preserve">15961063       </v>
          </cell>
          <cell r="O10363">
            <v>1260</v>
          </cell>
        </row>
        <row r="10364">
          <cell r="F10364" t="str">
            <v xml:space="preserve">15961063       </v>
          </cell>
          <cell r="O10364">
            <v>90</v>
          </cell>
        </row>
        <row r="10365">
          <cell r="F10365" t="str">
            <v xml:space="preserve">75099432       </v>
          </cell>
          <cell r="O10365">
            <v>27</v>
          </cell>
        </row>
        <row r="10366">
          <cell r="F10366" t="str">
            <v xml:space="preserve">75099432       </v>
          </cell>
          <cell r="O10366">
            <v>600</v>
          </cell>
        </row>
        <row r="10367">
          <cell r="F10367" t="str">
            <v xml:space="preserve">75099432       </v>
          </cell>
          <cell r="O10367">
            <v>180</v>
          </cell>
        </row>
        <row r="10368">
          <cell r="F10368" t="str">
            <v xml:space="preserve">75099432       </v>
          </cell>
          <cell r="O10368">
            <v>90</v>
          </cell>
        </row>
        <row r="10369">
          <cell r="F10369" t="str">
            <v xml:space="preserve">75099432       </v>
          </cell>
          <cell r="O10369">
            <v>18</v>
          </cell>
        </row>
        <row r="10370">
          <cell r="F10370" t="str">
            <v xml:space="preserve">75099432       </v>
          </cell>
          <cell r="O10370">
            <v>600</v>
          </cell>
        </row>
        <row r="10371">
          <cell r="F10371" t="str">
            <v xml:space="preserve">75099432       </v>
          </cell>
          <cell r="O10371">
            <v>216</v>
          </cell>
        </row>
        <row r="10372">
          <cell r="F10372" t="str">
            <v xml:space="preserve">75099432       </v>
          </cell>
          <cell r="O10372">
            <v>180</v>
          </cell>
        </row>
        <row r="10373">
          <cell r="F10373" t="str">
            <v xml:space="preserve">9696643        </v>
          </cell>
          <cell r="O10373">
            <v>1920</v>
          </cell>
        </row>
        <row r="10374">
          <cell r="F10374" t="str">
            <v xml:space="preserve">9696643        </v>
          </cell>
          <cell r="O10374">
            <v>1044</v>
          </cell>
        </row>
        <row r="10375">
          <cell r="F10375" t="str">
            <v xml:space="preserve">9696643        </v>
          </cell>
          <cell r="O10375">
            <v>540</v>
          </cell>
        </row>
        <row r="10376">
          <cell r="F10376" t="str">
            <v xml:space="preserve">10237057       </v>
          </cell>
          <cell r="O10376">
            <v>120</v>
          </cell>
        </row>
        <row r="10377">
          <cell r="F10377" t="str">
            <v xml:space="preserve">10237057       </v>
          </cell>
          <cell r="O10377">
            <v>18</v>
          </cell>
        </row>
        <row r="10378">
          <cell r="F10378" t="str">
            <v xml:space="preserve">901555731      </v>
          </cell>
          <cell r="O10378">
            <v>90</v>
          </cell>
        </row>
        <row r="10379">
          <cell r="F10379" t="str">
            <v xml:space="preserve">6157942        </v>
          </cell>
          <cell r="O10379">
            <v>15</v>
          </cell>
        </row>
        <row r="10380">
          <cell r="F10380" t="str">
            <v xml:space="preserve">6157942        </v>
          </cell>
          <cell r="O10380">
            <v>225</v>
          </cell>
        </row>
        <row r="10381">
          <cell r="F10381" t="str">
            <v xml:space="preserve">6157942        </v>
          </cell>
          <cell r="O10381">
            <v>705</v>
          </cell>
        </row>
        <row r="10382">
          <cell r="F10382" t="str">
            <v xml:space="preserve">1111745154     </v>
          </cell>
          <cell r="O10382">
            <v>360</v>
          </cell>
        </row>
        <row r="10383">
          <cell r="F10383" t="str">
            <v xml:space="preserve">1111745154     </v>
          </cell>
          <cell r="O10383">
            <v>270</v>
          </cell>
        </row>
        <row r="10384">
          <cell r="F10384" t="str">
            <v xml:space="preserve">16456104       </v>
          </cell>
          <cell r="O10384">
            <v>300</v>
          </cell>
        </row>
        <row r="10385">
          <cell r="F10385" t="str">
            <v xml:space="preserve">16456104       </v>
          </cell>
          <cell r="O10385">
            <v>90</v>
          </cell>
        </row>
        <row r="10386">
          <cell r="F10386" t="str">
            <v xml:space="preserve">71734502       </v>
          </cell>
          <cell r="O10386">
            <v>195</v>
          </cell>
        </row>
        <row r="10387">
          <cell r="F10387" t="str">
            <v xml:space="preserve">71734502       </v>
          </cell>
          <cell r="O10387">
            <v>45</v>
          </cell>
        </row>
        <row r="10388">
          <cell r="F10388" t="str">
            <v xml:space="preserve">16479359       </v>
          </cell>
          <cell r="O10388">
            <v>120</v>
          </cell>
        </row>
        <row r="10389">
          <cell r="F10389" t="str">
            <v xml:space="preserve">16479359       </v>
          </cell>
          <cell r="O10389">
            <v>108</v>
          </cell>
        </row>
        <row r="10390">
          <cell r="F10390" t="str">
            <v xml:space="preserve">16479359       </v>
          </cell>
          <cell r="O10390">
            <v>90</v>
          </cell>
        </row>
        <row r="10391">
          <cell r="F10391" t="str">
            <v xml:space="preserve">29233836       </v>
          </cell>
          <cell r="O10391">
            <v>9</v>
          </cell>
        </row>
        <row r="10392">
          <cell r="F10392" t="str">
            <v xml:space="preserve">29233836       </v>
          </cell>
          <cell r="O10392">
            <v>345</v>
          </cell>
        </row>
        <row r="10393">
          <cell r="F10393" t="str">
            <v xml:space="preserve">10007888       </v>
          </cell>
          <cell r="O10393">
            <v>210</v>
          </cell>
        </row>
        <row r="10394">
          <cell r="F10394" t="str">
            <v xml:space="preserve">10007888       </v>
          </cell>
          <cell r="O10394">
            <v>18</v>
          </cell>
        </row>
        <row r="10395">
          <cell r="F10395" t="str">
            <v xml:space="preserve">10007888       </v>
          </cell>
          <cell r="O10395">
            <v>45</v>
          </cell>
        </row>
        <row r="10396">
          <cell r="F10396" t="str">
            <v xml:space="preserve">1088256267     </v>
          </cell>
          <cell r="O10396">
            <v>90</v>
          </cell>
        </row>
        <row r="10397">
          <cell r="F10397" t="str">
            <v xml:space="preserve">1088256267     </v>
          </cell>
          <cell r="O10397">
            <v>180</v>
          </cell>
        </row>
        <row r="10398">
          <cell r="F10398" t="str">
            <v xml:space="preserve">1088256267     </v>
          </cell>
          <cell r="O10398">
            <v>180</v>
          </cell>
        </row>
        <row r="10399">
          <cell r="F10399" t="str">
            <v xml:space="preserve">66676270       </v>
          </cell>
          <cell r="O10399">
            <v>225</v>
          </cell>
        </row>
        <row r="10400">
          <cell r="F10400" t="str">
            <v xml:space="preserve">15896671       </v>
          </cell>
          <cell r="O10400">
            <v>450</v>
          </cell>
        </row>
        <row r="10401">
          <cell r="F10401" t="str">
            <v xml:space="preserve">15896671       </v>
          </cell>
          <cell r="O10401">
            <v>90</v>
          </cell>
        </row>
        <row r="10402">
          <cell r="F10402" t="str">
            <v xml:space="preserve">66679645       </v>
          </cell>
          <cell r="O10402">
            <v>75</v>
          </cell>
        </row>
        <row r="10403">
          <cell r="F10403" t="str">
            <v xml:space="preserve">66679645       </v>
          </cell>
          <cell r="O10403">
            <v>180</v>
          </cell>
        </row>
        <row r="10404">
          <cell r="F10404" t="str">
            <v xml:space="preserve">66679645       </v>
          </cell>
          <cell r="O10404">
            <v>45</v>
          </cell>
        </row>
        <row r="10405">
          <cell r="F10405" t="str">
            <v xml:space="preserve">16225682       </v>
          </cell>
          <cell r="O10405">
            <v>135</v>
          </cell>
        </row>
        <row r="10406">
          <cell r="F10406" t="str">
            <v xml:space="preserve">16225682       </v>
          </cell>
          <cell r="O10406">
            <v>72</v>
          </cell>
        </row>
        <row r="10407">
          <cell r="F10407" t="str">
            <v xml:space="preserve">16225682       </v>
          </cell>
          <cell r="O10407">
            <v>270</v>
          </cell>
        </row>
        <row r="10408">
          <cell r="F10408" t="str">
            <v xml:space="preserve">10144092       </v>
          </cell>
          <cell r="O10408">
            <v>450</v>
          </cell>
        </row>
        <row r="10409">
          <cell r="F10409" t="str">
            <v xml:space="preserve">10144092       </v>
          </cell>
          <cell r="O10409">
            <v>72</v>
          </cell>
        </row>
        <row r="10410">
          <cell r="F10410" t="str">
            <v xml:space="preserve">10144092       </v>
          </cell>
          <cell r="O10410">
            <v>45</v>
          </cell>
        </row>
        <row r="10411">
          <cell r="F10411" t="str">
            <v xml:space="preserve">16225675       </v>
          </cell>
          <cell r="O10411">
            <v>750</v>
          </cell>
        </row>
        <row r="10412">
          <cell r="F10412" t="str">
            <v xml:space="preserve">16225675       </v>
          </cell>
          <cell r="O10412">
            <v>162</v>
          </cell>
        </row>
        <row r="10413">
          <cell r="F10413" t="str">
            <v xml:space="preserve">16225675       </v>
          </cell>
          <cell r="O10413">
            <v>135</v>
          </cell>
        </row>
        <row r="10414">
          <cell r="F10414" t="str">
            <v xml:space="preserve">805005148      </v>
          </cell>
          <cell r="O10414">
            <v>15</v>
          </cell>
        </row>
        <row r="10415">
          <cell r="F10415" t="str">
            <v xml:space="preserve">805005148      </v>
          </cell>
          <cell r="O10415">
            <v>1242</v>
          </cell>
        </row>
        <row r="10416">
          <cell r="F10416" t="str">
            <v xml:space="preserve">805005148      </v>
          </cell>
          <cell r="O10416">
            <v>1080</v>
          </cell>
        </row>
        <row r="10417">
          <cell r="F10417" t="str">
            <v xml:space="preserve">805005148      </v>
          </cell>
          <cell r="O10417">
            <v>1494</v>
          </cell>
        </row>
        <row r="10418">
          <cell r="F10418" t="str">
            <v xml:space="preserve">805005148      </v>
          </cell>
          <cell r="O10418">
            <v>360</v>
          </cell>
        </row>
        <row r="10419">
          <cell r="F10419" t="str">
            <v xml:space="preserve">76336108       </v>
          </cell>
          <cell r="O10419">
            <v>30</v>
          </cell>
        </row>
        <row r="10420">
          <cell r="F10420" t="str">
            <v xml:space="preserve">76336108       </v>
          </cell>
          <cell r="O10420">
            <v>324</v>
          </cell>
        </row>
        <row r="10421">
          <cell r="F10421" t="str">
            <v xml:space="preserve">76336108       </v>
          </cell>
          <cell r="O10421">
            <v>45</v>
          </cell>
        </row>
        <row r="10422">
          <cell r="F10422" t="str">
            <v xml:space="preserve">10532222       </v>
          </cell>
          <cell r="O10422">
            <v>15</v>
          </cell>
        </row>
        <row r="10423">
          <cell r="F10423" t="str">
            <v xml:space="preserve">10532222       </v>
          </cell>
          <cell r="O10423">
            <v>180</v>
          </cell>
        </row>
        <row r="10424">
          <cell r="F10424" t="str">
            <v xml:space="preserve">10532222       </v>
          </cell>
          <cell r="O10424">
            <v>45</v>
          </cell>
        </row>
        <row r="10425">
          <cell r="F10425" t="str">
            <v xml:space="preserve">12168724       </v>
          </cell>
          <cell r="O10425">
            <v>45</v>
          </cell>
        </row>
        <row r="10426">
          <cell r="F10426" t="str">
            <v xml:space="preserve">12168724       </v>
          </cell>
          <cell r="O10426">
            <v>540</v>
          </cell>
        </row>
        <row r="10427">
          <cell r="F10427" t="str">
            <v xml:space="preserve">76211412       </v>
          </cell>
          <cell r="O10427">
            <v>198</v>
          </cell>
        </row>
        <row r="10428">
          <cell r="F10428" t="str">
            <v xml:space="preserve">76211412       </v>
          </cell>
          <cell r="O10428">
            <v>45</v>
          </cell>
        </row>
        <row r="10429">
          <cell r="F10429" t="str">
            <v xml:space="preserve">10755493       </v>
          </cell>
          <cell r="O10429">
            <v>630</v>
          </cell>
        </row>
        <row r="10430">
          <cell r="F10430" t="str">
            <v xml:space="preserve">10292388       </v>
          </cell>
          <cell r="O10430">
            <v>630</v>
          </cell>
        </row>
        <row r="10431">
          <cell r="F10431" t="str">
            <v xml:space="preserve">76331539       </v>
          </cell>
          <cell r="O10431">
            <v>60</v>
          </cell>
        </row>
        <row r="10432">
          <cell r="F10432" t="str">
            <v xml:space="preserve">76331539       </v>
          </cell>
          <cell r="O10432">
            <v>900</v>
          </cell>
        </row>
        <row r="10433">
          <cell r="F10433" t="str">
            <v xml:space="preserve">76331539       </v>
          </cell>
          <cell r="O10433">
            <v>45</v>
          </cell>
        </row>
        <row r="10434">
          <cell r="F10434" t="str">
            <v xml:space="preserve">89009557       </v>
          </cell>
          <cell r="O10434">
            <v>30</v>
          </cell>
        </row>
        <row r="10435">
          <cell r="F10435" t="str">
            <v xml:space="preserve">89009557       </v>
          </cell>
          <cell r="O10435">
            <v>72</v>
          </cell>
        </row>
        <row r="10436">
          <cell r="F10436" t="str">
            <v xml:space="preserve">89009557       </v>
          </cell>
          <cell r="O10436">
            <v>90</v>
          </cell>
        </row>
        <row r="10437">
          <cell r="F10437" t="str">
            <v xml:space="preserve">9900047        </v>
          </cell>
          <cell r="O10437">
            <v>75</v>
          </cell>
        </row>
        <row r="10438">
          <cell r="F10438" t="str">
            <v xml:space="preserve">9900047        </v>
          </cell>
          <cell r="O10438">
            <v>108</v>
          </cell>
        </row>
        <row r="10439">
          <cell r="F10439" t="str">
            <v xml:space="preserve">9900047        </v>
          </cell>
          <cell r="O10439">
            <v>45</v>
          </cell>
        </row>
        <row r="10440">
          <cell r="F10440" t="str">
            <v xml:space="preserve">18416624       </v>
          </cell>
          <cell r="O10440">
            <v>45</v>
          </cell>
        </row>
        <row r="10441">
          <cell r="F10441" t="str">
            <v xml:space="preserve">18416624       </v>
          </cell>
          <cell r="O10441">
            <v>180</v>
          </cell>
        </row>
        <row r="10442">
          <cell r="F10442" t="str">
            <v xml:space="preserve">18416624       </v>
          </cell>
          <cell r="O10442">
            <v>45</v>
          </cell>
        </row>
        <row r="10443">
          <cell r="F10443" t="str">
            <v xml:space="preserve">805027024      </v>
          </cell>
          <cell r="O10443">
            <v>15</v>
          </cell>
        </row>
        <row r="10444">
          <cell r="F10444" t="str">
            <v xml:space="preserve">4613715        </v>
          </cell>
          <cell r="O10444">
            <v>45</v>
          </cell>
        </row>
        <row r="10445">
          <cell r="F10445" t="str">
            <v xml:space="preserve">9805400        </v>
          </cell>
          <cell r="O10445">
            <v>105</v>
          </cell>
        </row>
        <row r="10446">
          <cell r="F10446" t="str">
            <v xml:space="preserve">9805400        </v>
          </cell>
          <cell r="O10446">
            <v>144</v>
          </cell>
        </row>
        <row r="10447">
          <cell r="F10447" t="str">
            <v xml:space="preserve">6110295        </v>
          </cell>
          <cell r="O10447">
            <v>18</v>
          </cell>
        </row>
        <row r="10448">
          <cell r="F10448" t="str">
            <v xml:space="preserve">6110295        </v>
          </cell>
          <cell r="O10448">
            <v>225</v>
          </cell>
        </row>
        <row r="10449">
          <cell r="F10449" t="str">
            <v xml:space="preserve">6110295        </v>
          </cell>
          <cell r="O10449">
            <v>180</v>
          </cell>
        </row>
        <row r="10450">
          <cell r="F10450" t="str">
            <v xml:space="preserve">6110295        </v>
          </cell>
          <cell r="O10450">
            <v>90</v>
          </cell>
        </row>
        <row r="10451">
          <cell r="F10451" t="str">
            <v xml:space="preserve">805005148      </v>
          </cell>
          <cell r="O10451">
            <v>144</v>
          </cell>
        </row>
        <row r="10452">
          <cell r="F10452" t="str">
            <v xml:space="preserve">805005148      </v>
          </cell>
          <cell r="O10452">
            <v>108</v>
          </cell>
        </row>
        <row r="10453">
          <cell r="F10453" t="str">
            <v xml:space="preserve">805005148      </v>
          </cell>
          <cell r="O10453">
            <v>792</v>
          </cell>
        </row>
        <row r="10454">
          <cell r="F10454" t="str">
            <v xml:space="preserve">805005148      </v>
          </cell>
          <cell r="O10454">
            <v>522</v>
          </cell>
        </row>
        <row r="10455">
          <cell r="F10455" t="str">
            <v xml:space="preserve">805005148      </v>
          </cell>
          <cell r="O10455">
            <v>1206</v>
          </cell>
        </row>
        <row r="10456">
          <cell r="F10456" t="str">
            <v xml:space="preserve">805005148      </v>
          </cell>
          <cell r="O10456">
            <v>270</v>
          </cell>
        </row>
        <row r="10457">
          <cell r="F10457" t="str">
            <v xml:space="preserve">10488839       </v>
          </cell>
          <cell r="O10457">
            <v>4.5</v>
          </cell>
        </row>
        <row r="10458">
          <cell r="F10458" t="str">
            <v xml:space="preserve">10488839       </v>
          </cell>
          <cell r="O10458">
            <v>1260</v>
          </cell>
        </row>
        <row r="10459">
          <cell r="F10459" t="str">
            <v xml:space="preserve">10488839       </v>
          </cell>
          <cell r="O10459">
            <v>90</v>
          </cell>
        </row>
        <row r="10460">
          <cell r="F10460" t="str">
            <v xml:space="preserve">16843578       </v>
          </cell>
          <cell r="O10460">
            <v>1692</v>
          </cell>
        </row>
        <row r="10461">
          <cell r="F10461" t="str">
            <v xml:space="preserve">16849293       </v>
          </cell>
          <cell r="O10461">
            <v>15</v>
          </cell>
        </row>
        <row r="10462">
          <cell r="F10462" t="str">
            <v xml:space="preserve">16849293       </v>
          </cell>
          <cell r="O10462">
            <v>180</v>
          </cell>
        </row>
        <row r="10463">
          <cell r="F10463" t="str">
            <v xml:space="preserve">16849293       </v>
          </cell>
          <cell r="O10463">
            <v>135</v>
          </cell>
        </row>
        <row r="10464">
          <cell r="F10464" t="str">
            <v xml:space="preserve">10555516       </v>
          </cell>
          <cell r="O10464">
            <v>432</v>
          </cell>
        </row>
        <row r="10465">
          <cell r="F10465" t="str">
            <v xml:space="preserve">10555516       </v>
          </cell>
          <cell r="O10465">
            <v>135</v>
          </cell>
        </row>
        <row r="10466">
          <cell r="F10466" t="str">
            <v xml:space="preserve">900444531      </v>
          </cell>
          <cell r="O10466">
            <v>108</v>
          </cell>
        </row>
        <row r="10467">
          <cell r="F10467" t="str">
            <v xml:space="preserve">79736632       </v>
          </cell>
          <cell r="O10467">
            <v>1224</v>
          </cell>
        </row>
        <row r="10468">
          <cell r="F10468" t="str">
            <v xml:space="preserve">79736632       </v>
          </cell>
          <cell r="O10468">
            <v>270</v>
          </cell>
        </row>
        <row r="10469">
          <cell r="F10469" t="str">
            <v xml:space="preserve">13701412       </v>
          </cell>
          <cell r="O10469">
            <v>900</v>
          </cell>
        </row>
        <row r="10470">
          <cell r="F10470" t="str">
            <v xml:space="preserve">79448203       </v>
          </cell>
          <cell r="O10470">
            <v>1080</v>
          </cell>
        </row>
        <row r="10471">
          <cell r="F10471" t="str">
            <v xml:space="preserve">79448203       </v>
          </cell>
          <cell r="O10471">
            <v>450</v>
          </cell>
        </row>
        <row r="10472">
          <cell r="F10472" t="str">
            <v xml:space="preserve">26050336       </v>
          </cell>
          <cell r="O10472">
            <v>27</v>
          </cell>
        </row>
        <row r="10473">
          <cell r="F10473" t="str">
            <v xml:space="preserve">26050336       </v>
          </cell>
          <cell r="O10473">
            <v>54</v>
          </cell>
        </row>
        <row r="10474">
          <cell r="F10474" t="str">
            <v xml:space="preserve">26050336       </v>
          </cell>
          <cell r="O10474">
            <v>225</v>
          </cell>
        </row>
        <row r="10475">
          <cell r="F10475" t="str">
            <v xml:space="preserve">900033271      </v>
          </cell>
          <cell r="O10475">
            <v>15</v>
          </cell>
        </row>
        <row r="10476">
          <cell r="F10476" t="str">
            <v xml:space="preserve">80397293       </v>
          </cell>
          <cell r="O10476">
            <v>150</v>
          </cell>
        </row>
        <row r="10477">
          <cell r="F10477" t="str">
            <v xml:space="preserve">80397293       </v>
          </cell>
          <cell r="O10477">
            <v>360</v>
          </cell>
        </row>
        <row r="10478">
          <cell r="F10478" t="str">
            <v xml:space="preserve">80397293       </v>
          </cell>
          <cell r="O10478">
            <v>135</v>
          </cell>
        </row>
        <row r="10479">
          <cell r="F10479" t="str">
            <v xml:space="preserve">93152963       </v>
          </cell>
          <cell r="O10479">
            <v>900</v>
          </cell>
        </row>
        <row r="10480">
          <cell r="F10480" t="str">
            <v xml:space="preserve">93152963       </v>
          </cell>
          <cell r="O10480">
            <v>540</v>
          </cell>
        </row>
        <row r="10481">
          <cell r="F10481" t="str">
            <v xml:space="preserve">93152963       </v>
          </cell>
          <cell r="O10481">
            <v>225</v>
          </cell>
        </row>
        <row r="10482">
          <cell r="F10482" t="str">
            <v xml:space="preserve">91360601       </v>
          </cell>
          <cell r="O10482">
            <v>810</v>
          </cell>
        </row>
        <row r="10483">
          <cell r="F10483" t="str">
            <v xml:space="preserve">91360601       </v>
          </cell>
          <cell r="O10483">
            <v>75</v>
          </cell>
        </row>
        <row r="10484">
          <cell r="F10484" t="str">
            <v xml:space="preserve">91360601       </v>
          </cell>
          <cell r="O10484">
            <v>1656</v>
          </cell>
        </row>
        <row r="10485">
          <cell r="F10485" t="str">
            <v xml:space="preserve">1074130475     </v>
          </cell>
          <cell r="O10485">
            <v>900</v>
          </cell>
        </row>
        <row r="10486">
          <cell r="F10486" t="str">
            <v xml:space="preserve">1074130475     </v>
          </cell>
          <cell r="O10486">
            <v>270</v>
          </cell>
        </row>
        <row r="10487">
          <cell r="F10487" t="str">
            <v xml:space="preserve">71312536       </v>
          </cell>
          <cell r="O10487">
            <v>216</v>
          </cell>
        </row>
        <row r="10488">
          <cell r="F10488" t="str">
            <v xml:space="preserve">71215358       </v>
          </cell>
          <cell r="O10488">
            <v>18</v>
          </cell>
        </row>
        <row r="10489">
          <cell r="F10489" t="str">
            <v xml:space="preserve">71215358       </v>
          </cell>
          <cell r="O10489">
            <v>144</v>
          </cell>
        </row>
        <row r="10490">
          <cell r="F10490" t="str">
            <v xml:space="preserve">71215358       </v>
          </cell>
          <cell r="O10490">
            <v>135</v>
          </cell>
        </row>
        <row r="10491">
          <cell r="F10491" t="str">
            <v xml:space="preserve">91179385       </v>
          </cell>
          <cell r="O10491">
            <v>234</v>
          </cell>
        </row>
        <row r="10492">
          <cell r="F10492" t="str">
            <v xml:space="preserve">91179385       </v>
          </cell>
          <cell r="O10492">
            <v>180</v>
          </cell>
        </row>
        <row r="10493">
          <cell r="F10493" t="str">
            <v xml:space="preserve">91179385       </v>
          </cell>
          <cell r="O10493">
            <v>15</v>
          </cell>
        </row>
        <row r="10494">
          <cell r="F10494" t="str">
            <v xml:space="preserve">91179385       </v>
          </cell>
          <cell r="O10494">
            <v>414</v>
          </cell>
        </row>
        <row r="10495">
          <cell r="F10495" t="str">
            <v xml:space="preserve">91179385       </v>
          </cell>
          <cell r="O10495">
            <v>180</v>
          </cell>
        </row>
        <row r="10496">
          <cell r="F10496" t="str">
            <v xml:space="preserve">88275004       </v>
          </cell>
          <cell r="O10496">
            <v>18</v>
          </cell>
        </row>
        <row r="10497">
          <cell r="F10497" t="str">
            <v xml:space="preserve">88275004       </v>
          </cell>
          <cell r="O10497">
            <v>1200</v>
          </cell>
        </row>
        <row r="10498">
          <cell r="F10498" t="str">
            <v xml:space="preserve">88275004       </v>
          </cell>
          <cell r="O10498">
            <v>720</v>
          </cell>
        </row>
        <row r="10499">
          <cell r="F10499" t="str">
            <v xml:space="preserve">88275004       </v>
          </cell>
          <cell r="O10499">
            <v>135</v>
          </cell>
        </row>
        <row r="10500">
          <cell r="F10500" t="str">
            <v xml:space="preserve">1117502076     </v>
          </cell>
          <cell r="O10500">
            <v>216</v>
          </cell>
        </row>
        <row r="10501">
          <cell r="F10501" t="str">
            <v xml:space="preserve">1117502076     </v>
          </cell>
          <cell r="O10501">
            <v>252</v>
          </cell>
        </row>
        <row r="10502">
          <cell r="F10502" t="str">
            <v xml:space="preserve">91451576       </v>
          </cell>
          <cell r="O10502">
            <v>180</v>
          </cell>
        </row>
        <row r="10503">
          <cell r="F10503" t="str">
            <v xml:space="preserve">91451576       </v>
          </cell>
          <cell r="O10503">
            <v>270</v>
          </cell>
        </row>
        <row r="10504">
          <cell r="F10504" t="str">
            <v xml:space="preserve">13862691       </v>
          </cell>
          <cell r="O10504">
            <v>666</v>
          </cell>
        </row>
        <row r="10505">
          <cell r="F10505" t="str">
            <v xml:space="preserve">91266362       </v>
          </cell>
          <cell r="O10505">
            <v>180</v>
          </cell>
        </row>
        <row r="10506">
          <cell r="F10506" t="str">
            <v xml:space="preserve">91266362       </v>
          </cell>
          <cell r="O10506">
            <v>90</v>
          </cell>
        </row>
        <row r="10507">
          <cell r="F10507" t="str">
            <v xml:space="preserve">91179643       </v>
          </cell>
          <cell r="O10507">
            <v>90</v>
          </cell>
        </row>
        <row r="10508">
          <cell r="F10508" t="str">
            <v xml:space="preserve">91179643       </v>
          </cell>
          <cell r="O10508">
            <v>90</v>
          </cell>
        </row>
        <row r="10509">
          <cell r="F10509" t="str">
            <v xml:space="preserve">91067422       </v>
          </cell>
          <cell r="O10509">
            <v>225</v>
          </cell>
        </row>
        <row r="10510">
          <cell r="F10510" t="str">
            <v xml:space="preserve">91067422       </v>
          </cell>
          <cell r="O10510">
            <v>30</v>
          </cell>
        </row>
        <row r="10511">
          <cell r="F10511" t="str">
            <v xml:space="preserve">91067422       </v>
          </cell>
          <cell r="O10511">
            <v>225</v>
          </cell>
        </row>
        <row r="10512">
          <cell r="F10512" t="str">
            <v xml:space="preserve">91067422       </v>
          </cell>
          <cell r="O10512">
            <v>150</v>
          </cell>
        </row>
        <row r="10513">
          <cell r="F10513" t="str">
            <v xml:space="preserve">91067422       </v>
          </cell>
          <cell r="O10513">
            <v>54</v>
          </cell>
        </row>
        <row r="10514">
          <cell r="F10514" t="str">
            <v xml:space="preserve">91272730       </v>
          </cell>
          <cell r="O10514">
            <v>120</v>
          </cell>
        </row>
        <row r="10515">
          <cell r="F10515" t="str">
            <v xml:space="preserve">91272730       </v>
          </cell>
          <cell r="O10515">
            <v>108</v>
          </cell>
        </row>
        <row r="10516">
          <cell r="F10516" t="str">
            <v xml:space="preserve">91272730       </v>
          </cell>
          <cell r="O10516">
            <v>90</v>
          </cell>
        </row>
        <row r="10517">
          <cell r="F10517" t="str">
            <v xml:space="preserve">91272730       </v>
          </cell>
          <cell r="O10517">
            <v>285</v>
          </cell>
        </row>
        <row r="10518">
          <cell r="F10518" t="str">
            <v xml:space="preserve">91272730       </v>
          </cell>
          <cell r="O10518">
            <v>36</v>
          </cell>
        </row>
        <row r="10519">
          <cell r="F10519" t="str">
            <v xml:space="preserve">91272730       </v>
          </cell>
          <cell r="O10519">
            <v>180</v>
          </cell>
        </row>
        <row r="10520">
          <cell r="F10520" t="str">
            <v xml:space="preserve">26229305       </v>
          </cell>
          <cell r="O10520">
            <v>1005</v>
          </cell>
        </row>
        <row r="10521">
          <cell r="F10521" t="str">
            <v xml:space="preserve">26229305       </v>
          </cell>
          <cell r="O10521">
            <v>180</v>
          </cell>
        </row>
        <row r="10522">
          <cell r="F10522" t="str">
            <v xml:space="preserve">78033625       </v>
          </cell>
          <cell r="O10522">
            <v>954</v>
          </cell>
        </row>
        <row r="10523">
          <cell r="F10523" t="str">
            <v xml:space="preserve">901096204      </v>
          </cell>
          <cell r="O10523">
            <v>2106</v>
          </cell>
        </row>
        <row r="10524">
          <cell r="F10524" t="str">
            <v xml:space="preserve">73134768       </v>
          </cell>
          <cell r="O10524">
            <v>45</v>
          </cell>
        </row>
        <row r="10525">
          <cell r="F10525" t="str">
            <v xml:space="preserve">73134768       </v>
          </cell>
          <cell r="O10525">
            <v>450</v>
          </cell>
        </row>
        <row r="10526">
          <cell r="F10526" t="str">
            <v xml:space="preserve">73134768       </v>
          </cell>
          <cell r="O10526">
            <v>240</v>
          </cell>
        </row>
        <row r="10527">
          <cell r="F10527" t="str">
            <v xml:space="preserve">30853980       </v>
          </cell>
          <cell r="O10527">
            <v>30</v>
          </cell>
        </row>
        <row r="10528">
          <cell r="F10528" t="str">
            <v xml:space="preserve">30853980       </v>
          </cell>
          <cell r="O10528">
            <v>360</v>
          </cell>
        </row>
        <row r="10529">
          <cell r="F10529" t="str">
            <v xml:space="preserve">30853980       </v>
          </cell>
          <cell r="O10529">
            <v>90</v>
          </cell>
        </row>
        <row r="10530">
          <cell r="F10530" t="str">
            <v xml:space="preserve">72137594       </v>
          </cell>
          <cell r="O10530">
            <v>375</v>
          </cell>
        </row>
        <row r="10531">
          <cell r="F10531" t="str">
            <v xml:space="preserve">72137594       </v>
          </cell>
          <cell r="O10531">
            <v>360</v>
          </cell>
        </row>
        <row r="10532">
          <cell r="F10532" t="str">
            <v xml:space="preserve">73238025       </v>
          </cell>
          <cell r="O10532">
            <v>900</v>
          </cell>
        </row>
        <row r="10533">
          <cell r="F10533" t="str">
            <v xml:space="preserve">73238025       </v>
          </cell>
          <cell r="O10533">
            <v>4320</v>
          </cell>
        </row>
        <row r="10534">
          <cell r="F10534" t="str">
            <v xml:space="preserve">77191750       </v>
          </cell>
          <cell r="O10534">
            <v>1044</v>
          </cell>
        </row>
        <row r="10535">
          <cell r="F10535" t="str">
            <v xml:space="preserve">9262987        </v>
          </cell>
          <cell r="O10535">
            <v>108</v>
          </cell>
        </row>
        <row r="10536">
          <cell r="F10536" t="str">
            <v xml:space="preserve">73079740       </v>
          </cell>
          <cell r="O10536">
            <v>450</v>
          </cell>
        </row>
        <row r="10537">
          <cell r="F10537" t="str">
            <v xml:space="preserve">73079740       </v>
          </cell>
          <cell r="O10537">
            <v>135</v>
          </cell>
        </row>
        <row r="10538">
          <cell r="F10538" t="str">
            <v xml:space="preserve">15047548       </v>
          </cell>
          <cell r="O10538">
            <v>234</v>
          </cell>
        </row>
        <row r="10539">
          <cell r="F10539" t="str">
            <v xml:space="preserve">15047548       </v>
          </cell>
          <cell r="O10539">
            <v>75</v>
          </cell>
        </row>
        <row r="10540">
          <cell r="F10540" t="str">
            <v xml:space="preserve">860001697      </v>
          </cell>
          <cell r="O10540">
            <v>166.28</v>
          </cell>
        </row>
        <row r="10541">
          <cell r="F10541" t="str">
            <v xml:space="preserve">79827688       </v>
          </cell>
          <cell r="O10541">
            <v>9</v>
          </cell>
        </row>
        <row r="10542">
          <cell r="F10542" t="str">
            <v xml:space="preserve">79827688       </v>
          </cell>
          <cell r="O10542">
            <v>195</v>
          </cell>
        </row>
        <row r="10543">
          <cell r="F10543" t="str">
            <v xml:space="preserve">79827688       </v>
          </cell>
          <cell r="O10543">
            <v>360</v>
          </cell>
        </row>
        <row r="10544">
          <cell r="F10544" t="str">
            <v xml:space="preserve">79827688       </v>
          </cell>
          <cell r="O10544">
            <v>45</v>
          </cell>
        </row>
        <row r="10545">
          <cell r="F10545" t="str">
            <v xml:space="preserve">79827688       </v>
          </cell>
          <cell r="O10545">
            <v>45</v>
          </cell>
        </row>
        <row r="10546">
          <cell r="F10546" t="str">
            <v xml:space="preserve">79827688       </v>
          </cell>
          <cell r="O10546">
            <v>180</v>
          </cell>
        </row>
        <row r="10547">
          <cell r="F10547" t="str">
            <v xml:space="preserve">92520690       </v>
          </cell>
          <cell r="O10547">
            <v>420</v>
          </cell>
        </row>
        <row r="10548">
          <cell r="F10548" t="str">
            <v xml:space="preserve">92520690       </v>
          </cell>
          <cell r="O10548">
            <v>1224</v>
          </cell>
        </row>
        <row r="10549">
          <cell r="F10549" t="str">
            <v xml:space="preserve">80266206       </v>
          </cell>
          <cell r="O10549">
            <v>36</v>
          </cell>
        </row>
        <row r="10550">
          <cell r="F10550" t="str">
            <v xml:space="preserve">80266206       </v>
          </cell>
          <cell r="O10550">
            <v>270</v>
          </cell>
        </row>
        <row r="10551">
          <cell r="F10551" t="str">
            <v xml:space="preserve">80266206       </v>
          </cell>
          <cell r="O10551">
            <v>45</v>
          </cell>
        </row>
        <row r="10552">
          <cell r="F10552" t="str">
            <v xml:space="preserve">79119755       </v>
          </cell>
          <cell r="O10552">
            <v>54</v>
          </cell>
        </row>
        <row r="10553">
          <cell r="F10553" t="str">
            <v xml:space="preserve">79119755       </v>
          </cell>
          <cell r="O10553">
            <v>150</v>
          </cell>
        </row>
        <row r="10554">
          <cell r="F10554" t="str">
            <v xml:space="preserve">79119755       </v>
          </cell>
          <cell r="O10554">
            <v>540</v>
          </cell>
        </row>
        <row r="10555">
          <cell r="F10555" t="str">
            <v xml:space="preserve">1111739602     </v>
          </cell>
          <cell r="O10555">
            <v>90</v>
          </cell>
        </row>
        <row r="10556">
          <cell r="F10556" t="str">
            <v xml:space="preserve">1111739602     </v>
          </cell>
          <cell r="O10556">
            <v>1185</v>
          </cell>
        </row>
        <row r="10557">
          <cell r="F10557" t="str">
            <v xml:space="preserve">1111739602     </v>
          </cell>
          <cell r="O10557">
            <v>135</v>
          </cell>
        </row>
        <row r="10558">
          <cell r="F10558" t="str">
            <v xml:space="preserve">1111739602     </v>
          </cell>
          <cell r="O10558">
            <v>225</v>
          </cell>
        </row>
        <row r="10559">
          <cell r="F10559" t="str">
            <v xml:space="preserve">88168843       </v>
          </cell>
          <cell r="O10559">
            <v>18</v>
          </cell>
        </row>
        <row r="10560">
          <cell r="F10560" t="str">
            <v xml:space="preserve">88168843       </v>
          </cell>
          <cell r="O10560">
            <v>15</v>
          </cell>
        </row>
        <row r="10561">
          <cell r="F10561" t="str">
            <v xml:space="preserve">88168843       </v>
          </cell>
          <cell r="O10561">
            <v>198</v>
          </cell>
        </row>
        <row r="10562">
          <cell r="F10562" t="str">
            <v xml:space="preserve">88168843       </v>
          </cell>
          <cell r="O10562">
            <v>90</v>
          </cell>
        </row>
        <row r="10563">
          <cell r="F10563" t="str">
            <v xml:space="preserve">79266522       </v>
          </cell>
          <cell r="O10563">
            <v>90</v>
          </cell>
        </row>
        <row r="10564">
          <cell r="F10564" t="str">
            <v xml:space="preserve">9867640        </v>
          </cell>
          <cell r="O10564">
            <v>9</v>
          </cell>
        </row>
        <row r="10565">
          <cell r="F10565" t="str">
            <v xml:space="preserve">9867640        </v>
          </cell>
          <cell r="O10565">
            <v>225</v>
          </cell>
        </row>
        <row r="10566">
          <cell r="F10566" t="str">
            <v xml:space="preserve">9867640        </v>
          </cell>
          <cell r="O10566">
            <v>144</v>
          </cell>
        </row>
        <row r="10567">
          <cell r="F10567" t="str">
            <v xml:space="preserve">9867640        </v>
          </cell>
          <cell r="O10567">
            <v>90</v>
          </cell>
        </row>
        <row r="10568">
          <cell r="F10568" t="str">
            <v xml:space="preserve">10315862       </v>
          </cell>
          <cell r="O10568">
            <v>360</v>
          </cell>
        </row>
        <row r="10569">
          <cell r="F10569" t="str">
            <v xml:space="preserve">10315862       </v>
          </cell>
          <cell r="O10569">
            <v>90</v>
          </cell>
        </row>
        <row r="10570">
          <cell r="F10570" t="str">
            <v xml:space="preserve">1103101503     </v>
          </cell>
          <cell r="O10570">
            <v>45</v>
          </cell>
        </row>
        <row r="10571">
          <cell r="F10571" t="str">
            <v xml:space="preserve">1103101503     </v>
          </cell>
          <cell r="O10571">
            <v>180</v>
          </cell>
        </row>
        <row r="10572">
          <cell r="F10572" t="str">
            <v xml:space="preserve">1103101503     </v>
          </cell>
          <cell r="O10572">
            <v>432</v>
          </cell>
        </row>
        <row r="10573">
          <cell r="F10573" t="str">
            <v xml:space="preserve">92260572       </v>
          </cell>
          <cell r="O10573">
            <v>9</v>
          </cell>
        </row>
        <row r="10574">
          <cell r="F10574" t="str">
            <v xml:space="preserve">92260572       </v>
          </cell>
          <cell r="O10574">
            <v>306</v>
          </cell>
        </row>
        <row r="10575">
          <cell r="F10575" t="str">
            <v xml:space="preserve">94429458       </v>
          </cell>
          <cell r="O10575">
            <v>81</v>
          </cell>
        </row>
        <row r="10576">
          <cell r="F10576" t="str">
            <v xml:space="preserve">94429458       </v>
          </cell>
          <cell r="O10576">
            <v>2760</v>
          </cell>
        </row>
        <row r="10577">
          <cell r="F10577" t="str">
            <v xml:space="preserve">94429458       </v>
          </cell>
          <cell r="O10577">
            <v>350</v>
          </cell>
        </row>
        <row r="10578">
          <cell r="F10578" t="str">
            <v xml:space="preserve">94429458       </v>
          </cell>
          <cell r="O10578">
            <v>1845</v>
          </cell>
        </row>
        <row r="10579">
          <cell r="F10579" t="str">
            <v xml:space="preserve">94429458       </v>
          </cell>
          <cell r="O10579">
            <v>405</v>
          </cell>
        </row>
        <row r="10580">
          <cell r="F10580" t="str">
            <v xml:space="preserve">4252280        </v>
          </cell>
          <cell r="O10580">
            <v>15</v>
          </cell>
        </row>
        <row r="10581">
          <cell r="F10581" t="str">
            <v xml:space="preserve">4252280        </v>
          </cell>
          <cell r="O10581">
            <v>720</v>
          </cell>
        </row>
        <row r="10582">
          <cell r="F10582" t="str">
            <v xml:space="preserve">4252280        </v>
          </cell>
          <cell r="O10582">
            <v>360</v>
          </cell>
        </row>
        <row r="10583">
          <cell r="F10583" t="str">
            <v xml:space="preserve">17783299       </v>
          </cell>
          <cell r="O10583">
            <v>2100</v>
          </cell>
        </row>
        <row r="10584">
          <cell r="F10584" t="str">
            <v xml:space="preserve">17783299       </v>
          </cell>
          <cell r="O10584">
            <v>585</v>
          </cell>
        </row>
        <row r="10585">
          <cell r="F10585" t="str">
            <v xml:space="preserve">17655129       </v>
          </cell>
          <cell r="O10585">
            <v>450</v>
          </cell>
        </row>
        <row r="10586">
          <cell r="F10586" t="str">
            <v xml:space="preserve">17655129       </v>
          </cell>
          <cell r="O10586">
            <v>35</v>
          </cell>
        </row>
        <row r="10587">
          <cell r="F10587" t="str">
            <v xml:space="preserve">17655129       </v>
          </cell>
          <cell r="O10587">
            <v>135</v>
          </cell>
        </row>
        <row r="10588">
          <cell r="F10588" t="str">
            <v xml:space="preserve">1083686504     </v>
          </cell>
          <cell r="O10588">
            <v>450</v>
          </cell>
        </row>
        <row r="10589">
          <cell r="F10589" t="str">
            <v xml:space="preserve">1083686504     </v>
          </cell>
          <cell r="O10589">
            <v>35</v>
          </cell>
        </row>
        <row r="10590">
          <cell r="F10590" t="str">
            <v xml:space="preserve">1083686504     </v>
          </cell>
          <cell r="O10590">
            <v>270</v>
          </cell>
        </row>
        <row r="10591">
          <cell r="F10591" t="str">
            <v xml:space="preserve">16191524       </v>
          </cell>
          <cell r="O10591">
            <v>300</v>
          </cell>
        </row>
        <row r="10592">
          <cell r="F10592" t="str">
            <v xml:space="preserve">3024873        </v>
          </cell>
          <cell r="O10592">
            <v>270</v>
          </cell>
        </row>
        <row r="10593">
          <cell r="F10593" t="str">
            <v xml:space="preserve">3024873        </v>
          </cell>
          <cell r="O10593">
            <v>225</v>
          </cell>
        </row>
        <row r="10594">
          <cell r="F10594" t="str">
            <v xml:space="preserve">11320273       </v>
          </cell>
          <cell r="O10594">
            <v>828</v>
          </cell>
        </row>
        <row r="10595">
          <cell r="F10595" t="str">
            <v xml:space="preserve">11320273       </v>
          </cell>
          <cell r="O10595">
            <v>630</v>
          </cell>
        </row>
        <row r="10596">
          <cell r="F10596" t="str">
            <v xml:space="preserve">5348905        </v>
          </cell>
          <cell r="O10596">
            <v>1650</v>
          </cell>
        </row>
        <row r="10597">
          <cell r="F10597" t="str">
            <v xml:space="preserve">5348905        </v>
          </cell>
          <cell r="O10597">
            <v>540</v>
          </cell>
        </row>
        <row r="10598">
          <cell r="F10598" t="str">
            <v xml:space="preserve">83226520       </v>
          </cell>
          <cell r="O10598">
            <v>180</v>
          </cell>
        </row>
        <row r="10599">
          <cell r="F10599" t="str">
            <v xml:space="preserve">83226520       </v>
          </cell>
          <cell r="O10599">
            <v>306</v>
          </cell>
        </row>
        <row r="10600">
          <cell r="F10600" t="str">
            <v xml:space="preserve">83226520       </v>
          </cell>
          <cell r="O10600">
            <v>1008</v>
          </cell>
        </row>
        <row r="10601">
          <cell r="F10601" t="str">
            <v xml:space="preserve">12266504       </v>
          </cell>
          <cell r="O10601">
            <v>195</v>
          </cell>
        </row>
        <row r="10602">
          <cell r="F10602" t="str">
            <v xml:space="preserve">12266504       </v>
          </cell>
          <cell r="O10602">
            <v>45</v>
          </cell>
        </row>
        <row r="10603">
          <cell r="F10603" t="str">
            <v xml:space="preserve">12266504       </v>
          </cell>
          <cell r="O10603">
            <v>225</v>
          </cell>
        </row>
        <row r="10604">
          <cell r="F10604" t="str">
            <v xml:space="preserve">12266504       </v>
          </cell>
          <cell r="O10604">
            <v>18</v>
          </cell>
        </row>
        <row r="10605">
          <cell r="F10605" t="str">
            <v xml:space="preserve">12266504       </v>
          </cell>
          <cell r="O10605">
            <v>45</v>
          </cell>
        </row>
        <row r="10606">
          <cell r="F10606" t="str">
            <v xml:space="preserve">12231586       </v>
          </cell>
          <cell r="O10606">
            <v>300</v>
          </cell>
        </row>
        <row r="10607">
          <cell r="F10607" t="str">
            <v xml:space="preserve">12231586       </v>
          </cell>
          <cell r="O10607">
            <v>36</v>
          </cell>
        </row>
        <row r="10608">
          <cell r="F10608" t="str">
            <v xml:space="preserve">12231586       </v>
          </cell>
          <cell r="O10608">
            <v>180</v>
          </cell>
        </row>
        <row r="10609">
          <cell r="F10609" t="str">
            <v xml:space="preserve">83042067       </v>
          </cell>
          <cell r="O10609">
            <v>150</v>
          </cell>
        </row>
        <row r="10610">
          <cell r="F10610" t="str">
            <v xml:space="preserve">83042067       </v>
          </cell>
          <cell r="O10610">
            <v>36</v>
          </cell>
        </row>
        <row r="10611">
          <cell r="F10611" t="str">
            <v xml:space="preserve">83042067       </v>
          </cell>
          <cell r="O10611">
            <v>360</v>
          </cell>
        </row>
        <row r="10612">
          <cell r="F10612" t="str">
            <v xml:space="preserve">83042067       </v>
          </cell>
          <cell r="O10612">
            <v>165</v>
          </cell>
        </row>
        <row r="10613">
          <cell r="F10613" t="str">
            <v xml:space="preserve">83042067       </v>
          </cell>
          <cell r="O10613">
            <v>45</v>
          </cell>
        </row>
        <row r="10614">
          <cell r="F10614" t="str">
            <v xml:space="preserve">16864143       </v>
          </cell>
          <cell r="O10614">
            <v>465</v>
          </cell>
        </row>
        <row r="10615">
          <cell r="F10615" t="str">
            <v xml:space="preserve">16864143       </v>
          </cell>
          <cell r="O10615">
            <v>234</v>
          </cell>
        </row>
        <row r="10616">
          <cell r="F10616" t="str">
            <v xml:space="preserve">16864143       </v>
          </cell>
          <cell r="O10616">
            <v>45</v>
          </cell>
        </row>
        <row r="10617">
          <cell r="F10617" t="str">
            <v xml:space="preserve">1062292334     </v>
          </cell>
          <cell r="O10617">
            <v>75</v>
          </cell>
        </row>
        <row r="10618">
          <cell r="F10618" t="str">
            <v xml:space="preserve">1062292334     </v>
          </cell>
          <cell r="O10618">
            <v>720</v>
          </cell>
        </row>
        <row r="10619">
          <cell r="F10619" t="str">
            <v xml:space="preserve">1062292334     </v>
          </cell>
          <cell r="O10619">
            <v>225</v>
          </cell>
        </row>
        <row r="10620">
          <cell r="F10620" t="str">
            <v xml:space="preserve">79004412       </v>
          </cell>
          <cell r="O10620">
            <v>75</v>
          </cell>
        </row>
        <row r="10621">
          <cell r="F10621" t="str">
            <v xml:space="preserve">79004412       </v>
          </cell>
          <cell r="O10621">
            <v>270</v>
          </cell>
        </row>
        <row r="10622">
          <cell r="F10622" t="str">
            <v xml:space="preserve">79004412       </v>
          </cell>
          <cell r="O10622">
            <v>270</v>
          </cell>
        </row>
        <row r="10623">
          <cell r="F10623" t="str">
            <v xml:space="preserve">79004412       </v>
          </cell>
          <cell r="O10623">
            <v>75</v>
          </cell>
        </row>
        <row r="10624">
          <cell r="F10624" t="str">
            <v xml:space="preserve">79004412       </v>
          </cell>
          <cell r="O10624">
            <v>270</v>
          </cell>
        </row>
        <row r="10625">
          <cell r="F10625" t="str">
            <v xml:space="preserve">79004412       </v>
          </cell>
          <cell r="O10625">
            <v>270</v>
          </cell>
        </row>
        <row r="10626">
          <cell r="F10626" t="str">
            <v xml:space="preserve">93287188       </v>
          </cell>
          <cell r="O10626">
            <v>630</v>
          </cell>
        </row>
        <row r="10627">
          <cell r="F10627" t="str">
            <v xml:space="preserve">93287188       </v>
          </cell>
          <cell r="O10627">
            <v>180</v>
          </cell>
        </row>
        <row r="10628">
          <cell r="F10628" t="str">
            <v xml:space="preserve">11445090       </v>
          </cell>
          <cell r="O10628">
            <v>36</v>
          </cell>
        </row>
        <row r="10629">
          <cell r="F10629" t="str">
            <v xml:space="preserve">11445090       </v>
          </cell>
          <cell r="O10629">
            <v>36</v>
          </cell>
        </row>
        <row r="10630">
          <cell r="F10630" t="str">
            <v xml:space="preserve">11445090       </v>
          </cell>
          <cell r="O10630">
            <v>60</v>
          </cell>
        </row>
        <row r="10631">
          <cell r="F10631" t="str">
            <v xml:space="preserve">11445090       </v>
          </cell>
          <cell r="O10631">
            <v>450</v>
          </cell>
        </row>
        <row r="10632">
          <cell r="F10632" t="str">
            <v xml:space="preserve">11445090       </v>
          </cell>
          <cell r="O10632">
            <v>15</v>
          </cell>
        </row>
        <row r="10633">
          <cell r="F10633" t="str">
            <v xml:space="preserve">11445090       </v>
          </cell>
          <cell r="O10633">
            <v>324</v>
          </cell>
        </row>
        <row r="10634">
          <cell r="F10634" t="str">
            <v xml:space="preserve">11445090       </v>
          </cell>
          <cell r="O10634">
            <v>225</v>
          </cell>
        </row>
        <row r="10635">
          <cell r="F10635" t="str">
            <v xml:space="preserve">11445090       </v>
          </cell>
          <cell r="O10635">
            <v>162</v>
          </cell>
        </row>
        <row r="10636">
          <cell r="F10636" t="str">
            <v xml:space="preserve">11445090       </v>
          </cell>
          <cell r="O10636">
            <v>30</v>
          </cell>
        </row>
        <row r="10637">
          <cell r="F10637" t="str">
            <v xml:space="preserve">11445090       </v>
          </cell>
          <cell r="O10637">
            <v>828</v>
          </cell>
        </row>
        <row r="10638">
          <cell r="F10638" t="str">
            <v xml:space="preserve">11445090       </v>
          </cell>
          <cell r="O10638">
            <v>36</v>
          </cell>
        </row>
        <row r="10639">
          <cell r="F10639" t="str">
            <v xml:space="preserve">11445090       </v>
          </cell>
          <cell r="O10639">
            <v>54</v>
          </cell>
        </row>
        <row r="10640">
          <cell r="F10640" t="str">
            <v xml:space="preserve">11445090       </v>
          </cell>
          <cell r="O10640">
            <v>630</v>
          </cell>
        </row>
        <row r="10641">
          <cell r="F10641" t="str">
            <v xml:space="preserve">375997         </v>
          </cell>
          <cell r="O10641">
            <v>315</v>
          </cell>
        </row>
        <row r="10642">
          <cell r="F10642" t="str">
            <v xml:space="preserve">3158780        </v>
          </cell>
          <cell r="O10642">
            <v>216</v>
          </cell>
        </row>
        <row r="10643">
          <cell r="F10643" t="str">
            <v xml:space="preserve">3158780        </v>
          </cell>
          <cell r="O10643">
            <v>90</v>
          </cell>
        </row>
        <row r="10644">
          <cell r="F10644" t="str">
            <v xml:space="preserve">3158780        </v>
          </cell>
          <cell r="O10644">
            <v>315</v>
          </cell>
        </row>
        <row r="10645">
          <cell r="F10645" t="str">
            <v xml:space="preserve">1010164223     </v>
          </cell>
          <cell r="O10645">
            <v>378</v>
          </cell>
        </row>
        <row r="10646">
          <cell r="F10646" t="str">
            <v xml:space="preserve">3159567        </v>
          </cell>
          <cell r="O10646">
            <v>1170</v>
          </cell>
        </row>
        <row r="10647">
          <cell r="F10647" t="str">
            <v xml:space="preserve">3159567        </v>
          </cell>
          <cell r="O10647">
            <v>270</v>
          </cell>
        </row>
        <row r="10648">
          <cell r="F10648" t="str">
            <v xml:space="preserve">80351964       </v>
          </cell>
          <cell r="O10648">
            <v>108</v>
          </cell>
        </row>
        <row r="10649">
          <cell r="F10649" t="str">
            <v xml:space="preserve">80351964       </v>
          </cell>
          <cell r="O10649">
            <v>15</v>
          </cell>
        </row>
        <row r="10650">
          <cell r="F10650" t="str">
            <v xml:space="preserve">80351964       </v>
          </cell>
          <cell r="O10650">
            <v>180</v>
          </cell>
        </row>
        <row r="10651">
          <cell r="F10651" t="str">
            <v xml:space="preserve">80283261       </v>
          </cell>
          <cell r="O10651">
            <v>9</v>
          </cell>
        </row>
        <row r="10652">
          <cell r="F10652" t="str">
            <v xml:space="preserve">80283261       </v>
          </cell>
          <cell r="O10652">
            <v>15</v>
          </cell>
        </row>
        <row r="10653">
          <cell r="F10653" t="str">
            <v xml:space="preserve">80283261       </v>
          </cell>
          <cell r="O10653">
            <v>396</v>
          </cell>
        </row>
        <row r="10654">
          <cell r="F10654" t="str">
            <v xml:space="preserve">80283261       </v>
          </cell>
          <cell r="O10654">
            <v>360</v>
          </cell>
        </row>
        <row r="10655">
          <cell r="F10655" t="str">
            <v xml:space="preserve">3090329        </v>
          </cell>
          <cell r="O10655">
            <v>540</v>
          </cell>
        </row>
        <row r="10656">
          <cell r="F10656" t="str">
            <v xml:space="preserve">3090329        </v>
          </cell>
          <cell r="O10656">
            <v>180</v>
          </cell>
        </row>
        <row r="10657">
          <cell r="F10657" t="str">
            <v xml:space="preserve">4090572        </v>
          </cell>
          <cell r="O10657">
            <v>63</v>
          </cell>
        </row>
        <row r="10658">
          <cell r="F10658" t="str">
            <v xml:space="preserve">4090572        </v>
          </cell>
          <cell r="O10658">
            <v>15</v>
          </cell>
        </row>
        <row r="10659">
          <cell r="F10659" t="str">
            <v xml:space="preserve">4090572        </v>
          </cell>
          <cell r="O10659">
            <v>288</v>
          </cell>
        </row>
        <row r="10660">
          <cell r="F10660" t="str">
            <v xml:space="preserve">80024551       </v>
          </cell>
          <cell r="O10660">
            <v>27</v>
          </cell>
        </row>
        <row r="10661">
          <cell r="F10661" t="str">
            <v xml:space="preserve">80024551       </v>
          </cell>
          <cell r="O10661">
            <v>75</v>
          </cell>
        </row>
        <row r="10662">
          <cell r="F10662" t="str">
            <v xml:space="preserve">80024551       </v>
          </cell>
          <cell r="O10662">
            <v>918</v>
          </cell>
        </row>
        <row r="10663">
          <cell r="F10663" t="str">
            <v xml:space="preserve">80024551       </v>
          </cell>
          <cell r="O10663">
            <v>180</v>
          </cell>
        </row>
        <row r="10664">
          <cell r="F10664" t="str">
            <v xml:space="preserve">4198272        </v>
          </cell>
          <cell r="O10664">
            <v>900</v>
          </cell>
        </row>
        <row r="10665">
          <cell r="F10665" t="str">
            <v xml:space="preserve">79339314       </v>
          </cell>
          <cell r="O10665">
            <v>135</v>
          </cell>
        </row>
        <row r="10666">
          <cell r="F10666" t="str">
            <v xml:space="preserve">79339314       </v>
          </cell>
          <cell r="O10666">
            <v>90</v>
          </cell>
        </row>
        <row r="10667">
          <cell r="F10667" t="str">
            <v xml:space="preserve">83218584       </v>
          </cell>
          <cell r="O10667">
            <v>540</v>
          </cell>
        </row>
        <row r="10668">
          <cell r="F10668" t="str">
            <v xml:space="preserve">83218584       </v>
          </cell>
          <cell r="O10668">
            <v>396</v>
          </cell>
        </row>
        <row r="10669">
          <cell r="F10669" t="str">
            <v xml:space="preserve">83218584       </v>
          </cell>
          <cell r="O10669">
            <v>45</v>
          </cell>
        </row>
        <row r="10670">
          <cell r="F10670" t="str">
            <v xml:space="preserve">83218584       </v>
          </cell>
          <cell r="O10670">
            <v>225</v>
          </cell>
        </row>
        <row r="10671">
          <cell r="F10671" t="str">
            <v xml:space="preserve">83218584       </v>
          </cell>
          <cell r="O10671">
            <v>36</v>
          </cell>
        </row>
        <row r="10672">
          <cell r="F10672" t="str">
            <v xml:space="preserve">83218584       </v>
          </cell>
          <cell r="O10672">
            <v>90</v>
          </cell>
        </row>
        <row r="10673">
          <cell r="F10673" t="str">
            <v xml:space="preserve">16186421       </v>
          </cell>
          <cell r="O10673">
            <v>1050</v>
          </cell>
        </row>
        <row r="10674">
          <cell r="F10674" t="str">
            <v xml:space="preserve">16186421       </v>
          </cell>
          <cell r="O10674">
            <v>180</v>
          </cell>
        </row>
        <row r="10675">
          <cell r="F10675" t="str">
            <v xml:space="preserve">63316163       </v>
          </cell>
          <cell r="O10675">
            <v>1440</v>
          </cell>
        </row>
        <row r="10676">
          <cell r="F10676" t="str">
            <v xml:space="preserve">63316163       </v>
          </cell>
          <cell r="O10676">
            <v>270</v>
          </cell>
        </row>
        <row r="10677">
          <cell r="F10677" t="str">
            <v xml:space="preserve">1114887745     </v>
          </cell>
          <cell r="O10677">
            <v>828</v>
          </cell>
        </row>
        <row r="10678">
          <cell r="F10678" t="str">
            <v xml:space="preserve">1093217151     </v>
          </cell>
          <cell r="O10678">
            <v>150</v>
          </cell>
        </row>
        <row r="10679">
          <cell r="F10679" t="str">
            <v xml:space="preserve">7545517        </v>
          </cell>
          <cell r="O10679">
            <v>18</v>
          </cell>
        </row>
        <row r="10680">
          <cell r="F10680" t="str">
            <v xml:space="preserve">7545517        </v>
          </cell>
          <cell r="O10680">
            <v>285</v>
          </cell>
        </row>
        <row r="10681">
          <cell r="F10681" t="str">
            <v xml:space="preserve">7545517        </v>
          </cell>
          <cell r="O10681">
            <v>342</v>
          </cell>
        </row>
        <row r="10682">
          <cell r="F10682" t="str">
            <v xml:space="preserve">10185600       </v>
          </cell>
          <cell r="O10682">
            <v>45</v>
          </cell>
        </row>
        <row r="10683">
          <cell r="F10683" t="str">
            <v xml:space="preserve">10185600       </v>
          </cell>
          <cell r="O10683">
            <v>144</v>
          </cell>
        </row>
        <row r="10684">
          <cell r="F10684" t="str">
            <v xml:space="preserve">10185600       </v>
          </cell>
          <cell r="O10684">
            <v>270</v>
          </cell>
        </row>
        <row r="10685">
          <cell r="F10685" t="str">
            <v xml:space="preserve">10185600       </v>
          </cell>
          <cell r="O10685">
            <v>270</v>
          </cell>
        </row>
        <row r="10686">
          <cell r="F10686" t="str">
            <v xml:space="preserve">94071517       </v>
          </cell>
          <cell r="O10686">
            <v>150</v>
          </cell>
        </row>
        <row r="10687">
          <cell r="F10687" t="str">
            <v xml:space="preserve">94071517       </v>
          </cell>
          <cell r="O10687">
            <v>90</v>
          </cell>
        </row>
        <row r="10688">
          <cell r="F10688" t="str">
            <v xml:space="preserve">71174894       </v>
          </cell>
          <cell r="O10688">
            <v>2790</v>
          </cell>
        </row>
        <row r="10689">
          <cell r="F10689" t="str">
            <v xml:space="preserve">71174894       </v>
          </cell>
          <cell r="O10689">
            <v>18</v>
          </cell>
        </row>
        <row r="10690">
          <cell r="F10690" t="str">
            <v xml:space="preserve">71174894       </v>
          </cell>
          <cell r="O10690">
            <v>90</v>
          </cell>
        </row>
        <row r="10691">
          <cell r="F10691" t="str">
            <v xml:space="preserve">901269856      </v>
          </cell>
          <cell r="O10691">
            <v>360</v>
          </cell>
        </row>
        <row r="10692">
          <cell r="F10692" t="str">
            <v xml:space="preserve">901269856      </v>
          </cell>
          <cell r="O10692">
            <v>90</v>
          </cell>
        </row>
        <row r="10693">
          <cell r="F10693" t="str">
            <v xml:space="preserve">1023722736     </v>
          </cell>
          <cell r="O10693">
            <v>216</v>
          </cell>
        </row>
        <row r="10694">
          <cell r="F10694" t="str">
            <v xml:space="preserve">1039696881     </v>
          </cell>
          <cell r="O10694">
            <v>1440</v>
          </cell>
        </row>
        <row r="10695">
          <cell r="F10695" t="str">
            <v xml:space="preserve">1039696881     </v>
          </cell>
          <cell r="O10695">
            <v>45</v>
          </cell>
        </row>
        <row r="10696">
          <cell r="F10696" t="str">
            <v xml:space="preserve">1039696881     </v>
          </cell>
          <cell r="O10696">
            <v>4.5</v>
          </cell>
        </row>
        <row r="10697">
          <cell r="F10697" t="str">
            <v xml:space="preserve">1039696881     </v>
          </cell>
          <cell r="O10697">
            <v>9</v>
          </cell>
        </row>
        <row r="10698">
          <cell r="F10698" t="str">
            <v xml:space="preserve">1039696881     </v>
          </cell>
          <cell r="O10698">
            <v>1620</v>
          </cell>
        </row>
        <row r="10699">
          <cell r="F10699" t="str">
            <v xml:space="preserve">16186973       </v>
          </cell>
          <cell r="O10699">
            <v>30</v>
          </cell>
        </row>
        <row r="10700">
          <cell r="F10700" t="str">
            <v xml:space="preserve">16186973       </v>
          </cell>
          <cell r="O10700">
            <v>630</v>
          </cell>
        </row>
        <row r="10701">
          <cell r="F10701" t="str">
            <v xml:space="preserve">16186973       </v>
          </cell>
          <cell r="O10701">
            <v>90</v>
          </cell>
        </row>
        <row r="10702">
          <cell r="F10702" t="str">
            <v xml:space="preserve">16553709       </v>
          </cell>
          <cell r="O10702">
            <v>90</v>
          </cell>
        </row>
        <row r="10703">
          <cell r="F10703" t="str">
            <v xml:space="preserve">16553709       </v>
          </cell>
          <cell r="O10703">
            <v>180</v>
          </cell>
        </row>
        <row r="10704">
          <cell r="F10704" t="str">
            <v xml:space="preserve">16553709       </v>
          </cell>
          <cell r="O10704">
            <v>90</v>
          </cell>
        </row>
        <row r="10705">
          <cell r="F10705" t="str">
            <v xml:space="preserve">1092154547     </v>
          </cell>
          <cell r="O10705">
            <v>18</v>
          </cell>
        </row>
        <row r="10706">
          <cell r="F10706" t="str">
            <v xml:space="preserve">1092154547     </v>
          </cell>
          <cell r="O10706">
            <v>30</v>
          </cell>
        </row>
        <row r="10707">
          <cell r="F10707" t="str">
            <v xml:space="preserve">1092154547     </v>
          </cell>
          <cell r="O10707">
            <v>810</v>
          </cell>
        </row>
        <row r="10708">
          <cell r="F10708" t="str">
            <v xml:space="preserve">1092154547     </v>
          </cell>
          <cell r="O10708">
            <v>45</v>
          </cell>
        </row>
        <row r="10709">
          <cell r="F10709" t="str">
            <v xml:space="preserve">6802563        </v>
          </cell>
          <cell r="O10709">
            <v>45</v>
          </cell>
        </row>
        <row r="10710">
          <cell r="F10710" t="str">
            <v xml:space="preserve">6802563        </v>
          </cell>
          <cell r="O10710">
            <v>45</v>
          </cell>
        </row>
        <row r="10711">
          <cell r="F10711" t="str">
            <v xml:space="preserve">6802563        </v>
          </cell>
          <cell r="O10711">
            <v>405</v>
          </cell>
        </row>
        <row r="10712">
          <cell r="F10712" t="str">
            <v xml:space="preserve">6802563        </v>
          </cell>
          <cell r="O10712">
            <v>90</v>
          </cell>
        </row>
        <row r="10713">
          <cell r="F10713" t="str">
            <v xml:space="preserve">98763233       </v>
          </cell>
          <cell r="O10713">
            <v>31.5</v>
          </cell>
        </row>
        <row r="10714">
          <cell r="F10714" t="str">
            <v xml:space="preserve">98763233       </v>
          </cell>
          <cell r="O10714">
            <v>9</v>
          </cell>
        </row>
        <row r="10715">
          <cell r="F10715" t="str">
            <v xml:space="preserve">98763233       </v>
          </cell>
          <cell r="O10715">
            <v>1260</v>
          </cell>
        </row>
        <row r="10716">
          <cell r="F10716" t="str">
            <v xml:space="preserve">10180926       </v>
          </cell>
          <cell r="O10716">
            <v>288</v>
          </cell>
        </row>
        <row r="10717">
          <cell r="F10717" t="str">
            <v xml:space="preserve">901301637      </v>
          </cell>
          <cell r="O10717">
            <v>750</v>
          </cell>
        </row>
        <row r="10718">
          <cell r="F10718" t="str">
            <v xml:space="preserve">901301637      </v>
          </cell>
          <cell r="O10718">
            <v>7290</v>
          </cell>
        </row>
        <row r="10719">
          <cell r="F10719" t="str">
            <v xml:space="preserve">901301637      </v>
          </cell>
          <cell r="O10719">
            <v>360</v>
          </cell>
        </row>
        <row r="10720">
          <cell r="F10720" t="str">
            <v xml:space="preserve">901301637      </v>
          </cell>
          <cell r="O10720">
            <v>90</v>
          </cell>
        </row>
        <row r="10721">
          <cell r="F10721" t="str">
            <v xml:space="preserve">28686722       </v>
          </cell>
          <cell r="O10721">
            <v>1650</v>
          </cell>
        </row>
        <row r="10722">
          <cell r="F10722" t="str">
            <v xml:space="preserve">28686722       </v>
          </cell>
          <cell r="O10722">
            <v>450</v>
          </cell>
        </row>
        <row r="10723">
          <cell r="F10723" t="str">
            <v xml:space="preserve">94420654       </v>
          </cell>
          <cell r="O10723">
            <v>504</v>
          </cell>
        </row>
        <row r="10724">
          <cell r="F10724" t="str">
            <v xml:space="preserve">94420654       </v>
          </cell>
          <cell r="O10724">
            <v>90</v>
          </cell>
        </row>
        <row r="10725">
          <cell r="F10725" t="str">
            <v xml:space="preserve">94420654       </v>
          </cell>
          <cell r="O10725">
            <v>162</v>
          </cell>
        </row>
        <row r="10726">
          <cell r="F10726" t="str">
            <v xml:space="preserve">94420654       </v>
          </cell>
          <cell r="O10726">
            <v>90</v>
          </cell>
        </row>
        <row r="10727">
          <cell r="F10727" t="str">
            <v xml:space="preserve">1100623000     </v>
          </cell>
          <cell r="O10727">
            <v>45</v>
          </cell>
        </row>
        <row r="10728">
          <cell r="F10728" t="str">
            <v xml:space="preserve">1100623000     </v>
          </cell>
          <cell r="O10728">
            <v>162</v>
          </cell>
        </row>
        <row r="10729">
          <cell r="F10729" t="str">
            <v xml:space="preserve">1053331458     </v>
          </cell>
          <cell r="O10729">
            <v>345</v>
          </cell>
        </row>
        <row r="10730">
          <cell r="F10730" t="str">
            <v xml:space="preserve">1053331458     </v>
          </cell>
          <cell r="O10730">
            <v>630</v>
          </cell>
        </row>
        <row r="10731">
          <cell r="F10731" t="str">
            <v xml:space="preserve">1053331458     </v>
          </cell>
          <cell r="O10731">
            <v>270</v>
          </cell>
        </row>
        <row r="10732">
          <cell r="F10732" t="str">
            <v xml:space="preserve">73126502       </v>
          </cell>
          <cell r="O10732">
            <v>165</v>
          </cell>
        </row>
        <row r="10733">
          <cell r="F10733" t="str">
            <v xml:space="preserve">73126502       </v>
          </cell>
          <cell r="O10733">
            <v>144</v>
          </cell>
        </row>
        <row r="10734">
          <cell r="F10734" t="str">
            <v xml:space="preserve">24341063       </v>
          </cell>
          <cell r="O10734">
            <v>1095</v>
          </cell>
        </row>
        <row r="10735">
          <cell r="F10735" t="str">
            <v xml:space="preserve">24341063       </v>
          </cell>
          <cell r="O10735">
            <v>90</v>
          </cell>
        </row>
        <row r="10736">
          <cell r="F10736" t="str">
            <v xml:space="preserve">43656575       </v>
          </cell>
          <cell r="O10736">
            <v>1296</v>
          </cell>
        </row>
        <row r="10737">
          <cell r="F10737" t="str">
            <v xml:space="preserve">43656575       </v>
          </cell>
          <cell r="O10737">
            <v>225</v>
          </cell>
        </row>
        <row r="10738">
          <cell r="F10738" t="str">
            <v xml:space="preserve">91180797       </v>
          </cell>
          <cell r="O10738">
            <v>360</v>
          </cell>
        </row>
        <row r="10739">
          <cell r="F10739" t="str">
            <v xml:space="preserve">91180797       </v>
          </cell>
          <cell r="O10739">
            <v>198</v>
          </cell>
        </row>
        <row r="10740">
          <cell r="F10740" t="str">
            <v xml:space="preserve">17421056       </v>
          </cell>
          <cell r="O10740">
            <v>45</v>
          </cell>
        </row>
        <row r="10741">
          <cell r="F10741" t="str">
            <v xml:space="preserve">73559455       </v>
          </cell>
          <cell r="O10741">
            <v>105</v>
          </cell>
        </row>
        <row r="10742">
          <cell r="F10742" t="str">
            <v xml:space="preserve">73559455       </v>
          </cell>
          <cell r="O10742">
            <v>198</v>
          </cell>
        </row>
        <row r="10743">
          <cell r="F10743" t="str">
            <v xml:space="preserve">73559455       </v>
          </cell>
          <cell r="O10743">
            <v>18</v>
          </cell>
        </row>
        <row r="10744">
          <cell r="F10744" t="str">
            <v xml:space="preserve">806016321      </v>
          </cell>
          <cell r="O10744">
            <v>90</v>
          </cell>
        </row>
        <row r="10745">
          <cell r="F10745" t="str">
            <v xml:space="preserve">94262420       </v>
          </cell>
          <cell r="O10745">
            <v>180</v>
          </cell>
        </row>
        <row r="10746">
          <cell r="F10746" t="str">
            <v xml:space="preserve">94262420       </v>
          </cell>
          <cell r="O10746">
            <v>180</v>
          </cell>
        </row>
        <row r="10747">
          <cell r="F10747" t="str">
            <v xml:space="preserve">94262420       </v>
          </cell>
          <cell r="O10747">
            <v>162</v>
          </cell>
        </row>
        <row r="10748">
          <cell r="F10748" t="str">
            <v xml:space="preserve">94262420       </v>
          </cell>
          <cell r="O10748">
            <v>225</v>
          </cell>
        </row>
        <row r="10749">
          <cell r="F10749" t="str">
            <v xml:space="preserve">94262420       </v>
          </cell>
          <cell r="O10749">
            <v>378</v>
          </cell>
        </row>
        <row r="10750">
          <cell r="F10750" t="str">
            <v xml:space="preserve">94262420       </v>
          </cell>
          <cell r="O10750">
            <v>495</v>
          </cell>
        </row>
        <row r="10751">
          <cell r="F10751" t="str">
            <v xml:space="preserve">94262420       </v>
          </cell>
          <cell r="O10751">
            <v>108</v>
          </cell>
        </row>
        <row r="10752">
          <cell r="F10752" t="str">
            <v xml:space="preserve">94262420       </v>
          </cell>
          <cell r="O10752">
            <v>4.5</v>
          </cell>
        </row>
        <row r="10753">
          <cell r="F10753" t="str">
            <v xml:space="preserve">1214745372     </v>
          </cell>
          <cell r="O10753">
            <v>450</v>
          </cell>
        </row>
        <row r="10754">
          <cell r="F10754" t="str">
            <v xml:space="preserve">860001697      </v>
          </cell>
          <cell r="O10754">
            <v>183.62</v>
          </cell>
        </row>
        <row r="10755">
          <cell r="F10755" t="str">
            <v xml:space="preserve">93419128       </v>
          </cell>
          <cell r="O10755">
            <v>720</v>
          </cell>
        </row>
        <row r="10756">
          <cell r="F10756" t="str">
            <v xml:space="preserve">860005265      </v>
          </cell>
          <cell r="O10756">
            <v>986</v>
          </cell>
        </row>
        <row r="10757">
          <cell r="F10757" t="str">
            <v xml:space="preserve">860005265      </v>
          </cell>
          <cell r="O10757">
            <v>770.87</v>
          </cell>
        </row>
        <row r="10758">
          <cell r="F10758" t="str">
            <v xml:space="preserve">14229053       </v>
          </cell>
          <cell r="O10758">
            <v>150</v>
          </cell>
        </row>
        <row r="10759">
          <cell r="F10759" t="str">
            <v xml:space="preserve">800052377      </v>
          </cell>
          <cell r="O10759">
            <v>36</v>
          </cell>
        </row>
        <row r="10760">
          <cell r="F10760" t="str">
            <v xml:space="preserve">800197463      </v>
          </cell>
          <cell r="O10760">
            <v>36</v>
          </cell>
        </row>
        <row r="10761">
          <cell r="F10761" t="str">
            <v xml:space="preserve">805018495      </v>
          </cell>
          <cell r="O10761">
            <v>54</v>
          </cell>
        </row>
        <row r="10762">
          <cell r="F10762" t="str">
            <v xml:space="preserve">890903939      </v>
          </cell>
          <cell r="O10762">
            <v>76</v>
          </cell>
        </row>
        <row r="10763">
          <cell r="F10763" t="str">
            <v xml:space="preserve">860001697      </v>
          </cell>
          <cell r="O10763">
            <v>343</v>
          </cell>
        </row>
        <row r="10764">
          <cell r="F10764" t="str">
            <v xml:space="preserve">860072172      </v>
          </cell>
          <cell r="O10764">
            <v>60</v>
          </cell>
        </row>
        <row r="10765">
          <cell r="F10765" t="str">
            <v xml:space="preserve">860502509      </v>
          </cell>
          <cell r="O10765">
            <v>429.15</v>
          </cell>
        </row>
        <row r="10766">
          <cell r="F10766" t="str">
            <v xml:space="preserve">900239671      </v>
          </cell>
          <cell r="O10766">
            <v>108</v>
          </cell>
        </row>
        <row r="10767">
          <cell r="F10767" t="str">
            <v xml:space="preserve">901079460      </v>
          </cell>
          <cell r="O10767">
            <v>385.8</v>
          </cell>
        </row>
        <row r="10768">
          <cell r="F10768" t="str">
            <v xml:space="preserve">891300382      </v>
          </cell>
          <cell r="O10768">
            <v>180</v>
          </cell>
        </row>
        <row r="10769">
          <cell r="F10769" t="str">
            <v xml:space="preserve">101            </v>
          </cell>
          <cell r="O10769">
            <v>30</v>
          </cell>
        </row>
        <row r="10770">
          <cell r="F10770" t="str">
            <v xml:space="preserve">101            </v>
          </cell>
          <cell r="O10770">
            <v>144</v>
          </cell>
        </row>
        <row r="10771">
          <cell r="F10771" t="str">
            <v xml:space="preserve">101            </v>
          </cell>
          <cell r="O10771">
            <v>54</v>
          </cell>
        </row>
        <row r="10772">
          <cell r="F10772" t="str">
            <v xml:space="preserve">102            </v>
          </cell>
          <cell r="O10772">
            <v>15</v>
          </cell>
        </row>
        <row r="10773">
          <cell r="F10773" t="str">
            <v xml:space="preserve">811014849      </v>
          </cell>
          <cell r="O10773">
            <v>108</v>
          </cell>
        </row>
        <row r="10774">
          <cell r="F10774" t="str">
            <v xml:space="preserve">890800450      </v>
          </cell>
          <cell r="O10774">
            <v>36</v>
          </cell>
        </row>
        <row r="10775">
          <cell r="F10775" t="str">
            <v xml:space="preserve">890800450      </v>
          </cell>
          <cell r="O10775">
            <v>18</v>
          </cell>
        </row>
        <row r="10776">
          <cell r="F10776" t="str">
            <v xml:space="preserve">890903939      </v>
          </cell>
          <cell r="O10776">
            <v>144</v>
          </cell>
        </row>
        <row r="10777">
          <cell r="F10777" t="str">
            <v xml:space="preserve">900350526      </v>
          </cell>
          <cell r="O10777">
            <v>18</v>
          </cell>
        </row>
        <row r="10778">
          <cell r="F10778" t="str">
            <v xml:space="preserve">900543878      </v>
          </cell>
          <cell r="O10778">
            <v>18</v>
          </cell>
        </row>
        <row r="10779">
          <cell r="F10779" t="str">
            <v xml:space="preserve">901071157      </v>
          </cell>
          <cell r="O10779">
            <v>18</v>
          </cell>
        </row>
        <row r="10780">
          <cell r="F10780" t="str">
            <v xml:space="preserve">901555731      </v>
          </cell>
          <cell r="O10780">
            <v>135</v>
          </cell>
        </row>
        <row r="10781">
          <cell r="F10781" t="str">
            <v xml:space="preserve">32772122       </v>
          </cell>
          <cell r="O10781">
            <v>210</v>
          </cell>
        </row>
        <row r="10782">
          <cell r="F10782" t="str">
            <v xml:space="preserve">32772122       </v>
          </cell>
          <cell r="O10782">
            <v>315</v>
          </cell>
        </row>
        <row r="10783">
          <cell r="F10783" t="str">
            <v xml:space="preserve">1104405256     </v>
          </cell>
          <cell r="O10783">
            <v>9</v>
          </cell>
        </row>
        <row r="10784">
          <cell r="F10784" t="str">
            <v xml:space="preserve">1104405256     </v>
          </cell>
          <cell r="O10784">
            <v>600</v>
          </cell>
        </row>
        <row r="10785">
          <cell r="F10785" t="str">
            <v xml:space="preserve">1104405256     </v>
          </cell>
          <cell r="O10785">
            <v>720</v>
          </cell>
        </row>
        <row r="10786">
          <cell r="F10786" t="str">
            <v xml:space="preserve">800090890      </v>
          </cell>
          <cell r="O10786">
            <v>32</v>
          </cell>
        </row>
        <row r="10787">
          <cell r="F10787" t="str">
            <v xml:space="preserve">800090890      </v>
          </cell>
          <cell r="O10787">
            <v>57</v>
          </cell>
        </row>
        <row r="10788">
          <cell r="F10788" t="str">
            <v xml:space="preserve">800090890      </v>
          </cell>
          <cell r="O10788">
            <v>19</v>
          </cell>
        </row>
        <row r="10789">
          <cell r="F10789" t="str">
            <v xml:space="preserve">811014849      </v>
          </cell>
          <cell r="O10789">
            <v>198</v>
          </cell>
        </row>
        <row r="10790">
          <cell r="F10790" t="str">
            <v xml:space="preserve">811014849      </v>
          </cell>
          <cell r="O10790">
            <v>144</v>
          </cell>
        </row>
        <row r="10791">
          <cell r="F10791" t="str">
            <v xml:space="preserve">890903939      </v>
          </cell>
          <cell r="O10791">
            <v>1128.7</v>
          </cell>
        </row>
        <row r="10792">
          <cell r="F10792" t="str">
            <v xml:space="preserve">890903939      </v>
          </cell>
          <cell r="O10792">
            <v>200.28</v>
          </cell>
        </row>
        <row r="10793">
          <cell r="F10793" t="str">
            <v xml:space="preserve">890903939      </v>
          </cell>
          <cell r="O10793">
            <v>124.95</v>
          </cell>
        </row>
        <row r="10794">
          <cell r="F10794" t="str">
            <v xml:space="preserve">211            </v>
          </cell>
          <cell r="O10794">
            <v>570</v>
          </cell>
        </row>
        <row r="10795">
          <cell r="F10795" t="str">
            <v xml:space="preserve">211            </v>
          </cell>
          <cell r="O10795">
            <v>738</v>
          </cell>
        </row>
        <row r="10796">
          <cell r="F10796" t="str">
            <v xml:space="preserve">211            </v>
          </cell>
          <cell r="O10796">
            <v>180</v>
          </cell>
        </row>
        <row r="10797">
          <cell r="F10797" t="str">
            <v xml:space="preserve">811016729      </v>
          </cell>
          <cell r="O10797">
            <v>36</v>
          </cell>
        </row>
        <row r="10798">
          <cell r="F10798" t="str">
            <v xml:space="preserve">811020038      </v>
          </cell>
          <cell r="O10798">
            <v>105</v>
          </cell>
        </row>
        <row r="10799">
          <cell r="F10799" t="str">
            <v xml:space="preserve">811032699      </v>
          </cell>
          <cell r="O10799">
            <v>54</v>
          </cell>
        </row>
        <row r="10800">
          <cell r="F10800" t="str">
            <v xml:space="preserve">830095213      </v>
          </cell>
          <cell r="O10800">
            <v>180</v>
          </cell>
        </row>
        <row r="10801">
          <cell r="F10801" t="str">
            <v xml:space="preserve">830095213      </v>
          </cell>
          <cell r="O10801">
            <v>135</v>
          </cell>
        </row>
        <row r="10802">
          <cell r="F10802" t="str">
            <v xml:space="preserve">830095213      </v>
          </cell>
          <cell r="O10802">
            <v>90</v>
          </cell>
        </row>
        <row r="10803">
          <cell r="F10803" t="str">
            <v xml:space="preserve">890903939      </v>
          </cell>
          <cell r="O10803">
            <v>416.86</v>
          </cell>
        </row>
        <row r="10804">
          <cell r="F10804" t="str">
            <v xml:space="preserve">900275396      </v>
          </cell>
          <cell r="O10804">
            <v>90</v>
          </cell>
        </row>
        <row r="10805">
          <cell r="F10805" t="str">
            <v xml:space="preserve">900557954      </v>
          </cell>
          <cell r="O10805">
            <v>60</v>
          </cell>
        </row>
        <row r="10806">
          <cell r="F10806" t="str">
            <v xml:space="preserve">900820045      </v>
          </cell>
          <cell r="O10806">
            <v>36</v>
          </cell>
        </row>
        <row r="10807">
          <cell r="F10807" t="str">
            <v xml:space="preserve">900968793      </v>
          </cell>
          <cell r="O10807">
            <v>72</v>
          </cell>
        </row>
        <row r="10808">
          <cell r="F10808" t="str">
            <v xml:space="preserve">900968793      </v>
          </cell>
          <cell r="O10808">
            <v>36</v>
          </cell>
        </row>
        <row r="10809">
          <cell r="F10809" t="str">
            <v xml:space="preserve">860001697      </v>
          </cell>
          <cell r="O10809">
            <v>727.95</v>
          </cell>
        </row>
        <row r="10810">
          <cell r="F10810" t="str">
            <v xml:space="preserve">890322007      </v>
          </cell>
          <cell r="O10810">
            <v>30</v>
          </cell>
        </row>
        <row r="10811">
          <cell r="F10811" t="str">
            <v xml:space="preserve">890903939      </v>
          </cell>
          <cell r="O10811">
            <v>472.35</v>
          </cell>
        </row>
        <row r="10812">
          <cell r="F10812" t="str">
            <v xml:space="preserve">901017528      </v>
          </cell>
          <cell r="O10812">
            <v>465</v>
          </cell>
        </row>
        <row r="10813">
          <cell r="F10813" t="str">
            <v xml:space="preserve">901046830      </v>
          </cell>
          <cell r="O10813">
            <v>465</v>
          </cell>
        </row>
        <row r="10814">
          <cell r="F10814" t="str">
            <v xml:space="preserve">901325847      </v>
          </cell>
          <cell r="O10814">
            <v>150</v>
          </cell>
        </row>
        <row r="10815">
          <cell r="F10815" t="str">
            <v xml:space="preserve">800183430      </v>
          </cell>
          <cell r="O10815">
            <v>342.1</v>
          </cell>
        </row>
        <row r="10816">
          <cell r="F10816" t="str">
            <v xml:space="preserve">29510854       </v>
          </cell>
          <cell r="O10816">
            <v>58.1</v>
          </cell>
        </row>
        <row r="10817">
          <cell r="F10817" t="str">
            <v xml:space="preserve">31949653       </v>
          </cell>
          <cell r="O10817">
            <v>2051.6999999999998</v>
          </cell>
        </row>
        <row r="10818">
          <cell r="F10818" t="str">
            <v xml:space="preserve">837000921      </v>
          </cell>
          <cell r="O10818">
            <v>288</v>
          </cell>
        </row>
        <row r="10819">
          <cell r="F10819" t="str">
            <v xml:space="preserve">901362189      </v>
          </cell>
          <cell r="O10819">
            <v>30.2</v>
          </cell>
        </row>
        <row r="10820">
          <cell r="F10820" t="str">
            <v xml:space="preserve">19132851       </v>
          </cell>
          <cell r="O10820">
            <v>380</v>
          </cell>
        </row>
        <row r="10821">
          <cell r="F10821" t="str">
            <v xml:space="preserve">19132851       </v>
          </cell>
          <cell r="O10821">
            <v>485.1</v>
          </cell>
        </row>
        <row r="10822">
          <cell r="F10822" t="str">
            <v xml:space="preserve">30206395       </v>
          </cell>
          <cell r="O10822">
            <v>243.4</v>
          </cell>
        </row>
        <row r="10823">
          <cell r="F10823" t="str">
            <v xml:space="preserve">30206395       </v>
          </cell>
          <cell r="O10823">
            <v>159.80000000000001</v>
          </cell>
        </row>
        <row r="10824">
          <cell r="F10824" t="str">
            <v xml:space="preserve">30206395       </v>
          </cell>
          <cell r="O10824">
            <v>432.2</v>
          </cell>
        </row>
        <row r="10825">
          <cell r="F10825" t="str">
            <v xml:space="preserve">30206395       </v>
          </cell>
          <cell r="O10825">
            <v>2002</v>
          </cell>
        </row>
        <row r="10826">
          <cell r="F10826" t="str">
            <v xml:space="preserve">30206395       </v>
          </cell>
          <cell r="O10826">
            <v>436.3</v>
          </cell>
        </row>
        <row r="10827">
          <cell r="F10827" t="str">
            <v xml:space="preserve">30206395       </v>
          </cell>
          <cell r="O10827">
            <v>102.1</v>
          </cell>
        </row>
        <row r="10828">
          <cell r="F10828" t="str">
            <v xml:space="preserve">37901149       </v>
          </cell>
          <cell r="O10828">
            <v>260.10000000000002</v>
          </cell>
        </row>
        <row r="10829">
          <cell r="F10829" t="str">
            <v xml:space="preserve">74327671       </v>
          </cell>
          <cell r="O10829">
            <v>100.3</v>
          </cell>
        </row>
        <row r="10830">
          <cell r="F10830" t="str">
            <v xml:space="preserve">800231596      </v>
          </cell>
          <cell r="O10830">
            <v>1181.2</v>
          </cell>
        </row>
        <row r="10831">
          <cell r="F10831" t="str">
            <v xml:space="preserve">1020827373     </v>
          </cell>
          <cell r="O10831">
            <v>146.19999999999999</v>
          </cell>
        </row>
        <row r="10832">
          <cell r="F10832" t="str">
            <v xml:space="preserve">800134497      </v>
          </cell>
          <cell r="O10832">
            <v>2003.4</v>
          </cell>
        </row>
        <row r="10833">
          <cell r="F10833" t="str">
            <v xml:space="preserve">830010738      </v>
          </cell>
          <cell r="O10833">
            <v>1549.1</v>
          </cell>
        </row>
        <row r="10834">
          <cell r="F10834" t="str">
            <v xml:space="preserve">830016868      </v>
          </cell>
          <cell r="O10834">
            <v>301</v>
          </cell>
        </row>
        <row r="10835">
          <cell r="F10835" t="str">
            <v xml:space="preserve">900081723      </v>
          </cell>
          <cell r="O10835">
            <v>429.7</v>
          </cell>
        </row>
        <row r="10836">
          <cell r="F10836" t="str">
            <v xml:space="preserve">101            </v>
          </cell>
          <cell r="O10836">
            <v>4.5</v>
          </cell>
        </row>
        <row r="10837">
          <cell r="F10837" t="str">
            <v xml:space="preserve">101            </v>
          </cell>
          <cell r="O10837">
            <v>270</v>
          </cell>
        </row>
        <row r="10838">
          <cell r="F10838" t="str">
            <v xml:space="preserve">101            </v>
          </cell>
          <cell r="O10838">
            <v>18</v>
          </cell>
        </row>
        <row r="10839">
          <cell r="F10839" t="str">
            <v xml:space="preserve">890903939      </v>
          </cell>
          <cell r="O10839">
            <v>73</v>
          </cell>
        </row>
        <row r="10840">
          <cell r="F10840" t="str">
            <v xml:space="preserve">404            </v>
          </cell>
          <cell r="O10840">
            <v>330</v>
          </cell>
        </row>
        <row r="10841">
          <cell r="F10841" t="str">
            <v xml:space="preserve">404            </v>
          </cell>
          <cell r="O10841">
            <v>18</v>
          </cell>
        </row>
        <row r="10842">
          <cell r="F10842" t="str">
            <v xml:space="preserve">404            </v>
          </cell>
          <cell r="O10842">
            <v>45</v>
          </cell>
        </row>
        <row r="10843">
          <cell r="F10843" t="str">
            <v xml:space="preserve">900247070      </v>
          </cell>
          <cell r="O10843">
            <v>36</v>
          </cell>
        </row>
        <row r="10844">
          <cell r="F10844" t="str">
            <v xml:space="preserve">890302609      </v>
          </cell>
          <cell r="O10844">
            <v>126</v>
          </cell>
        </row>
        <row r="10845">
          <cell r="F10845" t="str">
            <v xml:space="preserve">890302609      </v>
          </cell>
          <cell r="O10845">
            <v>156</v>
          </cell>
        </row>
        <row r="10846">
          <cell r="F10846" t="str">
            <v xml:space="preserve">890304611      </v>
          </cell>
          <cell r="O10846">
            <v>15</v>
          </cell>
        </row>
        <row r="10847">
          <cell r="F10847" t="str">
            <v xml:space="preserve">890903939      </v>
          </cell>
          <cell r="O10847">
            <v>324</v>
          </cell>
        </row>
        <row r="10848">
          <cell r="F10848" t="str">
            <v xml:space="preserve">890903939      </v>
          </cell>
          <cell r="O10848">
            <v>318</v>
          </cell>
        </row>
        <row r="10849">
          <cell r="F10849" t="str">
            <v xml:space="preserve">900233101      </v>
          </cell>
          <cell r="O10849">
            <v>36</v>
          </cell>
        </row>
        <row r="10850">
          <cell r="F10850" t="str">
            <v xml:space="preserve">811020038      </v>
          </cell>
          <cell r="O10850">
            <v>54</v>
          </cell>
        </row>
        <row r="10851">
          <cell r="F10851" t="str">
            <v xml:space="preserve">860001697      </v>
          </cell>
          <cell r="O10851">
            <v>240.27</v>
          </cell>
        </row>
        <row r="10852">
          <cell r="F10852" t="str">
            <v xml:space="preserve">860001697      </v>
          </cell>
          <cell r="O10852">
            <v>535.13</v>
          </cell>
        </row>
        <row r="10853">
          <cell r="F10853" t="str">
            <v xml:space="preserve">70900706       </v>
          </cell>
          <cell r="O10853">
            <v>90</v>
          </cell>
        </row>
        <row r="10854">
          <cell r="F10854" t="str">
            <v xml:space="preserve">860032450      </v>
          </cell>
          <cell r="O10854">
            <v>583</v>
          </cell>
        </row>
        <row r="10855">
          <cell r="F10855" t="str">
            <v xml:space="preserve">110            </v>
          </cell>
          <cell r="O10855">
            <v>864</v>
          </cell>
        </row>
        <row r="10856">
          <cell r="F10856" t="str">
            <v xml:space="preserve">860065656      </v>
          </cell>
          <cell r="O10856">
            <v>3181.3</v>
          </cell>
        </row>
        <row r="10857">
          <cell r="F10857" t="str">
            <v xml:space="preserve">860522164      </v>
          </cell>
          <cell r="O10857">
            <v>1202.8</v>
          </cell>
        </row>
        <row r="10858">
          <cell r="F10858" t="str">
            <v xml:space="preserve">860522164      </v>
          </cell>
          <cell r="O10858">
            <v>451.9</v>
          </cell>
        </row>
        <row r="10859">
          <cell r="F10859" t="str">
            <v xml:space="preserve">900754843      </v>
          </cell>
          <cell r="O10859">
            <v>2891.1</v>
          </cell>
        </row>
        <row r="10860">
          <cell r="F10860" t="str">
            <v xml:space="preserve">811014849      </v>
          </cell>
          <cell r="O10860">
            <v>36</v>
          </cell>
        </row>
        <row r="10861">
          <cell r="F10861" t="str">
            <v xml:space="preserve">811014849      </v>
          </cell>
          <cell r="O10861">
            <v>90</v>
          </cell>
        </row>
        <row r="10862">
          <cell r="F10862" t="str">
            <v xml:space="preserve">890900161      </v>
          </cell>
          <cell r="O10862">
            <v>60</v>
          </cell>
        </row>
        <row r="10863">
          <cell r="F10863" t="str">
            <v xml:space="preserve">890900161      </v>
          </cell>
          <cell r="O10863">
            <v>45</v>
          </cell>
        </row>
        <row r="10864">
          <cell r="F10864" t="str">
            <v xml:space="preserve">900313945      </v>
          </cell>
          <cell r="O10864">
            <v>105</v>
          </cell>
        </row>
        <row r="10865">
          <cell r="F10865" t="str">
            <v xml:space="preserve">900631756      </v>
          </cell>
          <cell r="O10865">
            <v>30</v>
          </cell>
        </row>
        <row r="10866">
          <cell r="F10866" t="str">
            <v xml:space="preserve">860020382      </v>
          </cell>
          <cell r="O10866">
            <v>54</v>
          </cell>
        </row>
        <row r="10867">
          <cell r="F10867" t="str">
            <v xml:space="preserve">890307885      </v>
          </cell>
          <cell r="O10867">
            <v>202.5</v>
          </cell>
        </row>
        <row r="10868">
          <cell r="F10868" t="str">
            <v xml:space="preserve">890311251      </v>
          </cell>
          <cell r="O10868">
            <v>54</v>
          </cell>
        </row>
        <row r="10869">
          <cell r="F10869" t="str">
            <v xml:space="preserve">890311251      </v>
          </cell>
          <cell r="O10869">
            <v>36</v>
          </cell>
        </row>
        <row r="10870">
          <cell r="F10870" t="str">
            <v xml:space="preserve">890316957      </v>
          </cell>
          <cell r="O10870">
            <v>114</v>
          </cell>
        </row>
        <row r="10871">
          <cell r="F10871" t="str">
            <v xml:space="preserve">890322007      </v>
          </cell>
          <cell r="O10871">
            <v>288</v>
          </cell>
        </row>
        <row r="10872">
          <cell r="F10872" t="str">
            <v xml:space="preserve">899999049      </v>
          </cell>
          <cell r="O10872">
            <v>36</v>
          </cell>
        </row>
        <row r="10873">
          <cell r="F10873" t="str">
            <v xml:space="preserve">899999049      </v>
          </cell>
          <cell r="O10873">
            <v>72</v>
          </cell>
        </row>
        <row r="10874">
          <cell r="F10874" t="str">
            <v xml:space="preserve">900454593      </v>
          </cell>
          <cell r="O10874">
            <v>36</v>
          </cell>
        </row>
        <row r="10875">
          <cell r="F10875" t="str">
            <v xml:space="preserve">900818921      </v>
          </cell>
          <cell r="O10875">
            <v>470</v>
          </cell>
        </row>
        <row r="10876">
          <cell r="F10876" t="str">
            <v xml:space="preserve">900818921      </v>
          </cell>
          <cell r="O10876">
            <v>391</v>
          </cell>
        </row>
        <row r="10877">
          <cell r="F10877" t="str">
            <v xml:space="preserve">900896300      </v>
          </cell>
          <cell r="O10877">
            <v>162</v>
          </cell>
        </row>
        <row r="10878">
          <cell r="F10878" t="str">
            <v xml:space="preserve">900896300      </v>
          </cell>
          <cell r="O10878">
            <v>72</v>
          </cell>
        </row>
        <row r="10879">
          <cell r="F10879" t="str">
            <v xml:space="preserve">901026262      </v>
          </cell>
          <cell r="O10879">
            <v>54</v>
          </cell>
        </row>
        <row r="10880">
          <cell r="F10880" t="str">
            <v xml:space="preserve">901286513      </v>
          </cell>
          <cell r="O10880">
            <v>45</v>
          </cell>
        </row>
        <row r="10881">
          <cell r="F10881" t="str">
            <v xml:space="preserve">890304130      </v>
          </cell>
          <cell r="O10881">
            <v>225</v>
          </cell>
        </row>
        <row r="10882">
          <cell r="F10882" t="str">
            <v xml:space="preserve">203            </v>
          </cell>
          <cell r="O10882">
            <v>9</v>
          </cell>
        </row>
        <row r="10883">
          <cell r="F10883" t="str">
            <v xml:space="preserve">203            </v>
          </cell>
          <cell r="O10883">
            <v>90</v>
          </cell>
        </row>
        <row r="10884">
          <cell r="F10884" t="str">
            <v xml:space="preserve">203            </v>
          </cell>
          <cell r="O10884">
            <v>45</v>
          </cell>
        </row>
        <row r="10885">
          <cell r="F10885" t="str">
            <v xml:space="preserve">203            </v>
          </cell>
          <cell r="O10885">
            <v>270</v>
          </cell>
        </row>
        <row r="10886">
          <cell r="F10886" t="str">
            <v xml:space="preserve">890938952      </v>
          </cell>
          <cell r="O10886">
            <v>45</v>
          </cell>
        </row>
        <row r="10887">
          <cell r="F10887" t="str">
            <v xml:space="preserve">900084859      </v>
          </cell>
          <cell r="O10887">
            <v>54</v>
          </cell>
        </row>
        <row r="10888">
          <cell r="F10888" t="str">
            <v xml:space="preserve">900084859      </v>
          </cell>
          <cell r="O10888">
            <v>135</v>
          </cell>
        </row>
        <row r="10889">
          <cell r="F10889" t="str">
            <v xml:space="preserve">900445736      </v>
          </cell>
          <cell r="O10889">
            <v>45</v>
          </cell>
        </row>
        <row r="10890">
          <cell r="F10890" t="str">
            <v xml:space="preserve">16449395       </v>
          </cell>
          <cell r="O10890">
            <v>270</v>
          </cell>
        </row>
        <row r="10891">
          <cell r="F10891" t="str">
            <v xml:space="preserve">16451863       </v>
          </cell>
          <cell r="O10891">
            <v>133.6</v>
          </cell>
        </row>
        <row r="10892">
          <cell r="F10892" t="str">
            <v xml:space="preserve">16723437       </v>
          </cell>
          <cell r="O10892">
            <v>107.1</v>
          </cell>
        </row>
        <row r="10893">
          <cell r="F10893" t="str">
            <v xml:space="preserve">16747436       </v>
          </cell>
          <cell r="O10893">
            <v>80.900000000000006</v>
          </cell>
        </row>
        <row r="10894">
          <cell r="F10894" t="str">
            <v xml:space="preserve">900233101      </v>
          </cell>
          <cell r="O10894">
            <v>1182.3</v>
          </cell>
        </row>
        <row r="10895">
          <cell r="F10895" t="str">
            <v xml:space="preserve">900314134      </v>
          </cell>
          <cell r="O10895">
            <v>1047.3</v>
          </cell>
        </row>
        <row r="10896">
          <cell r="F10896" t="str">
            <v xml:space="preserve">900959486      </v>
          </cell>
          <cell r="O10896">
            <v>4987</v>
          </cell>
        </row>
        <row r="10897">
          <cell r="F10897" t="str">
            <v xml:space="preserve">9013426391     </v>
          </cell>
          <cell r="O10897">
            <v>2520.1</v>
          </cell>
        </row>
        <row r="10898">
          <cell r="F10898" t="str">
            <v xml:space="preserve">1098357433     </v>
          </cell>
          <cell r="O10898">
            <v>1218.7</v>
          </cell>
        </row>
        <row r="10899">
          <cell r="F10899" t="str">
            <v xml:space="preserve">37949467       </v>
          </cell>
          <cell r="O10899">
            <v>508.4</v>
          </cell>
        </row>
        <row r="10900">
          <cell r="F10900" t="str">
            <v xml:space="preserve">5744924        </v>
          </cell>
          <cell r="O10900">
            <v>185</v>
          </cell>
        </row>
        <row r="10901">
          <cell r="F10901" t="str">
            <v xml:space="preserve">901547051      </v>
          </cell>
          <cell r="O10901">
            <v>800.9</v>
          </cell>
        </row>
        <row r="10902">
          <cell r="F10902" t="str">
            <v xml:space="preserve">91068545       </v>
          </cell>
          <cell r="O10902">
            <v>40.6</v>
          </cell>
        </row>
        <row r="10903">
          <cell r="F10903" t="str">
            <v xml:space="preserve">91451694       </v>
          </cell>
          <cell r="O10903">
            <v>350</v>
          </cell>
        </row>
        <row r="10904">
          <cell r="F10904" t="str">
            <v xml:space="preserve">901392009      </v>
          </cell>
          <cell r="O10904">
            <v>6673.6</v>
          </cell>
        </row>
        <row r="10905">
          <cell r="F10905" t="str">
            <v xml:space="preserve">900217771      </v>
          </cell>
          <cell r="O10905">
            <v>164.3</v>
          </cell>
        </row>
        <row r="10906">
          <cell r="F10906" t="str">
            <v xml:space="preserve">900217771      </v>
          </cell>
          <cell r="O10906">
            <v>242.3</v>
          </cell>
        </row>
        <row r="10907">
          <cell r="F10907" t="str">
            <v xml:space="preserve">900217771      </v>
          </cell>
          <cell r="O10907">
            <v>1525.6</v>
          </cell>
        </row>
        <row r="10908">
          <cell r="F10908" t="str">
            <v xml:space="preserve">700194888      </v>
          </cell>
          <cell r="O10908">
            <v>1201.3</v>
          </cell>
        </row>
        <row r="10909">
          <cell r="F10909" t="str">
            <v xml:space="preserve">800154428      </v>
          </cell>
          <cell r="O10909">
            <v>138.4</v>
          </cell>
        </row>
        <row r="10910">
          <cell r="F10910" t="str">
            <v xml:space="preserve">800230447      </v>
          </cell>
          <cell r="O10910">
            <v>500.7</v>
          </cell>
        </row>
        <row r="10911">
          <cell r="F10911" t="str">
            <v xml:space="preserve">900474647      </v>
          </cell>
          <cell r="O10911">
            <v>1543.7</v>
          </cell>
        </row>
        <row r="10912">
          <cell r="F10912" t="str">
            <v xml:space="preserve">800197463      </v>
          </cell>
          <cell r="O10912">
            <v>538.4</v>
          </cell>
        </row>
        <row r="10913">
          <cell r="F10913" t="str">
            <v xml:space="preserve">830107617      </v>
          </cell>
          <cell r="O10913">
            <v>2890</v>
          </cell>
        </row>
        <row r="10914">
          <cell r="F10914" t="str">
            <v xml:space="preserve">900870666      </v>
          </cell>
          <cell r="O10914">
            <v>938.5</v>
          </cell>
        </row>
        <row r="10915">
          <cell r="F10915" t="str">
            <v xml:space="preserve">901247983      </v>
          </cell>
          <cell r="O10915">
            <v>5000</v>
          </cell>
        </row>
        <row r="10916">
          <cell r="F10916" t="str">
            <v xml:space="preserve">901440885      </v>
          </cell>
          <cell r="O10916">
            <v>1541.1</v>
          </cell>
        </row>
        <row r="10917">
          <cell r="F10917" t="str">
            <v xml:space="preserve">830058506      </v>
          </cell>
          <cell r="O10917">
            <v>28982</v>
          </cell>
        </row>
        <row r="10918">
          <cell r="F10918" t="str">
            <v xml:space="preserve">830058506      </v>
          </cell>
          <cell r="O10918">
            <v>28478</v>
          </cell>
        </row>
        <row r="10919">
          <cell r="F10919" t="str">
            <v xml:space="preserve">901230769      </v>
          </cell>
          <cell r="O10919">
            <v>1078.71</v>
          </cell>
        </row>
        <row r="10920">
          <cell r="F10920" t="str">
            <v xml:space="preserve">901230769      </v>
          </cell>
          <cell r="O10920">
            <v>1473.19</v>
          </cell>
        </row>
        <row r="10921">
          <cell r="F10921" t="str">
            <v xml:space="preserve">901230769      </v>
          </cell>
          <cell r="O10921">
            <v>641.17999999999995</v>
          </cell>
        </row>
        <row r="10922">
          <cell r="F10922" t="str">
            <v xml:space="preserve">003            </v>
          </cell>
          <cell r="O10922">
            <v>-11.99</v>
          </cell>
        </row>
        <row r="10923">
          <cell r="F10923" t="str">
            <v xml:space="preserve">860001697      </v>
          </cell>
          <cell r="O10923">
            <v>293.99</v>
          </cell>
        </row>
        <row r="10924">
          <cell r="F10924" t="str">
            <v xml:space="preserve">800242106      </v>
          </cell>
          <cell r="O10924">
            <v>697.47</v>
          </cell>
        </row>
        <row r="10925">
          <cell r="F10925" t="str">
            <v xml:space="preserve">811014849      </v>
          </cell>
          <cell r="O10925">
            <v>547.54999999999995</v>
          </cell>
        </row>
        <row r="10926">
          <cell r="F10926" t="str">
            <v xml:space="preserve">830026277      </v>
          </cell>
          <cell r="O10926">
            <v>1600.84</v>
          </cell>
        </row>
        <row r="10927">
          <cell r="F10927" t="str">
            <v xml:space="preserve">891300382      </v>
          </cell>
          <cell r="O10927">
            <v>60.25</v>
          </cell>
        </row>
        <row r="10928">
          <cell r="F10928" t="str">
            <v xml:space="preserve">891300382      </v>
          </cell>
          <cell r="O10928">
            <v>59.67</v>
          </cell>
        </row>
        <row r="10929">
          <cell r="F10929" t="str">
            <v xml:space="preserve">891300382      </v>
          </cell>
          <cell r="O10929">
            <v>60.27</v>
          </cell>
        </row>
        <row r="10930">
          <cell r="F10930" t="str">
            <v xml:space="preserve">800067353      </v>
          </cell>
          <cell r="O10930">
            <v>819.9</v>
          </cell>
        </row>
        <row r="10931">
          <cell r="F10931" t="str">
            <v xml:space="preserve">830122870      </v>
          </cell>
          <cell r="O10931">
            <v>232.7</v>
          </cell>
        </row>
        <row r="10932">
          <cell r="F10932" t="str">
            <v xml:space="preserve">900361807      </v>
          </cell>
          <cell r="O10932">
            <v>384.9</v>
          </cell>
        </row>
        <row r="10933">
          <cell r="F10933" t="str">
            <v xml:space="preserve">901393860      </v>
          </cell>
          <cell r="O10933">
            <v>371.2</v>
          </cell>
        </row>
        <row r="10934">
          <cell r="F10934" t="str">
            <v xml:space="preserve">860032450      </v>
          </cell>
          <cell r="O10934">
            <v>5301.1</v>
          </cell>
        </row>
        <row r="10935">
          <cell r="F10935" t="str">
            <v xml:space="preserve">860032450      </v>
          </cell>
          <cell r="O10935">
            <v>1502.6</v>
          </cell>
        </row>
        <row r="10936">
          <cell r="F10936" t="str">
            <v xml:space="preserve">901392009      </v>
          </cell>
          <cell r="O10936">
            <v>6768.8</v>
          </cell>
        </row>
        <row r="10937">
          <cell r="F10937" t="str">
            <v xml:space="preserve">800209179      </v>
          </cell>
          <cell r="O10937">
            <v>30</v>
          </cell>
        </row>
        <row r="10938">
          <cell r="F10938" t="str">
            <v xml:space="preserve">800209179      </v>
          </cell>
          <cell r="O10938">
            <v>45</v>
          </cell>
        </row>
        <row r="10939">
          <cell r="F10939" t="str">
            <v xml:space="preserve">805005148      </v>
          </cell>
          <cell r="O10939">
            <v>36</v>
          </cell>
        </row>
        <row r="10940">
          <cell r="F10940" t="str">
            <v xml:space="preserve">805005148      </v>
          </cell>
          <cell r="O10940">
            <v>1836</v>
          </cell>
        </row>
        <row r="10941">
          <cell r="F10941" t="str">
            <v xml:space="preserve">805005148      </v>
          </cell>
          <cell r="O10941">
            <v>630</v>
          </cell>
        </row>
        <row r="10942">
          <cell r="F10942" t="str">
            <v xml:space="preserve">805005148      </v>
          </cell>
          <cell r="O10942">
            <v>18</v>
          </cell>
        </row>
        <row r="10943">
          <cell r="F10943" t="str">
            <v xml:space="preserve">805005148      </v>
          </cell>
          <cell r="O10943">
            <v>1044</v>
          </cell>
        </row>
        <row r="10944">
          <cell r="F10944" t="str">
            <v xml:space="preserve">805005148      </v>
          </cell>
          <cell r="O10944">
            <v>90</v>
          </cell>
        </row>
        <row r="10945">
          <cell r="F10945" t="str">
            <v xml:space="preserve">860033740      </v>
          </cell>
          <cell r="O10945">
            <v>150</v>
          </cell>
        </row>
        <row r="10946">
          <cell r="F10946" t="str">
            <v xml:space="preserve">1130605276     </v>
          </cell>
          <cell r="O10946">
            <v>4.5</v>
          </cell>
        </row>
        <row r="10947">
          <cell r="F10947" t="str">
            <v xml:space="preserve">1130605276     </v>
          </cell>
          <cell r="O10947">
            <v>180</v>
          </cell>
        </row>
        <row r="10948">
          <cell r="F10948" t="str">
            <v xml:space="preserve">1130605276     </v>
          </cell>
          <cell r="O10948">
            <v>1116</v>
          </cell>
        </row>
        <row r="10949">
          <cell r="F10949" t="str">
            <v xml:space="preserve">1130605276     </v>
          </cell>
          <cell r="O10949">
            <v>45</v>
          </cell>
        </row>
        <row r="10950">
          <cell r="F10950" t="str">
            <v xml:space="preserve">1130605276     </v>
          </cell>
          <cell r="O10950">
            <v>9</v>
          </cell>
        </row>
        <row r="10951">
          <cell r="F10951" t="str">
            <v xml:space="preserve">1130605276     </v>
          </cell>
          <cell r="O10951">
            <v>75</v>
          </cell>
        </row>
        <row r="10952">
          <cell r="F10952" t="str">
            <v xml:space="preserve">1130605276     </v>
          </cell>
          <cell r="O10952">
            <v>828</v>
          </cell>
        </row>
        <row r="10953">
          <cell r="F10953" t="str">
            <v xml:space="preserve">1130605276     </v>
          </cell>
          <cell r="O10953">
            <v>45</v>
          </cell>
        </row>
        <row r="10954">
          <cell r="F10954" t="str">
            <v xml:space="preserve">94050412       </v>
          </cell>
          <cell r="O10954">
            <v>30</v>
          </cell>
        </row>
        <row r="10955">
          <cell r="F10955" t="str">
            <v xml:space="preserve">94050412       </v>
          </cell>
          <cell r="O10955">
            <v>450</v>
          </cell>
        </row>
        <row r="10956">
          <cell r="F10956" t="str">
            <v xml:space="preserve">94050412       </v>
          </cell>
          <cell r="O10956">
            <v>90</v>
          </cell>
        </row>
        <row r="10957">
          <cell r="F10957" t="str">
            <v xml:space="preserve">88275315       </v>
          </cell>
          <cell r="O10957">
            <v>9</v>
          </cell>
        </row>
        <row r="10958">
          <cell r="F10958" t="str">
            <v xml:space="preserve">88275315       </v>
          </cell>
          <cell r="O10958">
            <v>36</v>
          </cell>
        </row>
        <row r="10959">
          <cell r="F10959" t="str">
            <v xml:space="preserve">88275315       </v>
          </cell>
          <cell r="O10959">
            <v>1962</v>
          </cell>
        </row>
        <row r="10960">
          <cell r="F10960" t="str">
            <v xml:space="preserve">88275315       </v>
          </cell>
          <cell r="O10960">
            <v>270</v>
          </cell>
        </row>
        <row r="10961">
          <cell r="F10961" t="str">
            <v xml:space="preserve">94464104       </v>
          </cell>
          <cell r="O10961">
            <v>180</v>
          </cell>
        </row>
        <row r="10962">
          <cell r="F10962" t="str">
            <v xml:space="preserve">94464104       </v>
          </cell>
          <cell r="O10962">
            <v>144</v>
          </cell>
        </row>
        <row r="10963">
          <cell r="F10963" t="str">
            <v xml:space="preserve">94464104       </v>
          </cell>
          <cell r="O10963">
            <v>252</v>
          </cell>
        </row>
        <row r="10964">
          <cell r="F10964" t="str">
            <v xml:space="preserve">16458005       </v>
          </cell>
          <cell r="O10964">
            <v>108</v>
          </cell>
        </row>
        <row r="10965">
          <cell r="F10965" t="str">
            <v xml:space="preserve">16458005       </v>
          </cell>
          <cell r="O10965">
            <v>90</v>
          </cell>
        </row>
        <row r="10966">
          <cell r="F10966" t="str">
            <v xml:space="preserve">16458005       </v>
          </cell>
          <cell r="O10966">
            <v>9</v>
          </cell>
        </row>
        <row r="10967">
          <cell r="F10967" t="str">
            <v xml:space="preserve">16458005       </v>
          </cell>
          <cell r="O10967">
            <v>54</v>
          </cell>
        </row>
        <row r="10968">
          <cell r="F10968" t="str">
            <v xml:space="preserve">901204907      </v>
          </cell>
          <cell r="O10968">
            <v>18</v>
          </cell>
        </row>
        <row r="10969">
          <cell r="F10969" t="str">
            <v xml:space="preserve">901204907      </v>
          </cell>
          <cell r="O10969">
            <v>18</v>
          </cell>
        </row>
        <row r="10970">
          <cell r="F10970" t="str">
            <v xml:space="preserve">94419930       </v>
          </cell>
          <cell r="O10970">
            <v>198</v>
          </cell>
        </row>
        <row r="10971">
          <cell r="F10971" t="str">
            <v xml:space="preserve">94420019       </v>
          </cell>
          <cell r="O10971">
            <v>378</v>
          </cell>
        </row>
        <row r="10972">
          <cell r="F10972" t="str">
            <v xml:space="preserve">16669313       </v>
          </cell>
          <cell r="O10972">
            <v>810</v>
          </cell>
        </row>
        <row r="10973">
          <cell r="F10973" t="str">
            <v xml:space="preserve">16669313       </v>
          </cell>
          <cell r="O10973">
            <v>4.5</v>
          </cell>
        </row>
        <row r="10974">
          <cell r="F10974" t="str">
            <v xml:space="preserve">900034686      </v>
          </cell>
          <cell r="O10974">
            <v>15</v>
          </cell>
        </row>
        <row r="10975">
          <cell r="F10975" t="str">
            <v xml:space="preserve">900034686      </v>
          </cell>
          <cell r="O10975">
            <v>54</v>
          </cell>
        </row>
        <row r="10976">
          <cell r="F10976" t="str">
            <v xml:space="preserve">900034686      </v>
          </cell>
          <cell r="O10976">
            <v>180</v>
          </cell>
        </row>
        <row r="10977">
          <cell r="F10977" t="str">
            <v xml:space="preserve">900034686      </v>
          </cell>
          <cell r="O10977">
            <v>36</v>
          </cell>
        </row>
        <row r="10978">
          <cell r="F10978" t="str">
            <v xml:space="preserve">901551934      </v>
          </cell>
          <cell r="O10978">
            <v>90</v>
          </cell>
        </row>
        <row r="10979">
          <cell r="F10979" t="str">
            <v xml:space="preserve">16460421       </v>
          </cell>
          <cell r="O10979">
            <v>9</v>
          </cell>
        </row>
        <row r="10980">
          <cell r="F10980" t="str">
            <v xml:space="preserve">16460421       </v>
          </cell>
          <cell r="O10980">
            <v>45</v>
          </cell>
        </row>
        <row r="10981">
          <cell r="F10981" t="str">
            <v xml:space="preserve">16460421       </v>
          </cell>
          <cell r="O10981">
            <v>60</v>
          </cell>
        </row>
        <row r="10982">
          <cell r="F10982" t="str">
            <v xml:space="preserve">16460421       </v>
          </cell>
          <cell r="O10982">
            <v>1080</v>
          </cell>
        </row>
        <row r="10983">
          <cell r="F10983" t="str">
            <v xml:space="preserve">16460421       </v>
          </cell>
          <cell r="O10983">
            <v>90</v>
          </cell>
        </row>
        <row r="10984">
          <cell r="F10984" t="str">
            <v xml:space="preserve">75074760       </v>
          </cell>
          <cell r="O10984">
            <v>27</v>
          </cell>
        </row>
        <row r="10985">
          <cell r="F10985" t="str">
            <v xml:space="preserve">75074760       </v>
          </cell>
          <cell r="O10985">
            <v>225</v>
          </cell>
        </row>
        <row r="10986">
          <cell r="F10986" t="str">
            <v xml:space="preserve">75074760       </v>
          </cell>
          <cell r="O10986">
            <v>90</v>
          </cell>
        </row>
        <row r="10987">
          <cell r="F10987" t="str">
            <v xml:space="preserve">75099432       </v>
          </cell>
          <cell r="O10987">
            <v>9</v>
          </cell>
        </row>
        <row r="10988">
          <cell r="F10988" t="str">
            <v xml:space="preserve">75099432       </v>
          </cell>
          <cell r="O10988">
            <v>765</v>
          </cell>
        </row>
        <row r="10989">
          <cell r="F10989" t="str">
            <v xml:space="preserve">75099432       </v>
          </cell>
          <cell r="O10989">
            <v>162</v>
          </cell>
        </row>
        <row r="10990">
          <cell r="F10990" t="str">
            <v xml:space="preserve">75099432       </v>
          </cell>
          <cell r="O10990">
            <v>90</v>
          </cell>
        </row>
        <row r="10991">
          <cell r="F10991" t="str">
            <v xml:space="preserve">94406762       </v>
          </cell>
          <cell r="O10991">
            <v>135</v>
          </cell>
        </row>
        <row r="10992">
          <cell r="F10992" t="str">
            <v xml:space="preserve">94406762       </v>
          </cell>
          <cell r="O10992">
            <v>2565</v>
          </cell>
        </row>
        <row r="10993">
          <cell r="F10993" t="str">
            <v xml:space="preserve">6157942        </v>
          </cell>
          <cell r="O10993">
            <v>18</v>
          </cell>
        </row>
        <row r="10994">
          <cell r="F10994" t="str">
            <v xml:space="preserve">6157942        </v>
          </cell>
          <cell r="O10994">
            <v>705</v>
          </cell>
        </row>
        <row r="10995">
          <cell r="F10995" t="str">
            <v xml:space="preserve">6157942        </v>
          </cell>
          <cell r="O10995">
            <v>45</v>
          </cell>
        </row>
        <row r="10996">
          <cell r="F10996" t="str">
            <v xml:space="preserve">1111745154     </v>
          </cell>
          <cell r="O10996">
            <v>540</v>
          </cell>
        </row>
        <row r="10997">
          <cell r="F10997" t="str">
            <v xml:space="preserve">1111745154     </v>
          </cell>
          <cell r="O10997">
            <v>54</v>
          </cell>
        </row>
        <row r="10998">
          <cell r="F10998" t="str">
            <v xml:space="preserve">1111745154     </v>
          </cell>
          <cell r="O10998">
            <v>135</v>
          </cell>
        </row>
        <row r="10999">
          <cell r="F10999" t="str">
            <v xml:space="preserve">16456104       </v>
          </cell>
          <cell r="O10999">
            <v>360</v>
          </cell>
        </row>
        <row r="11000">
          <cell r="F11000" t="str">
            <v xml:space="preserve">71734502       </v>
          </cell>
          <cell r="O11000">
            <v>90</v>
          </cell>
        </row>
        <row r="11001">
          <cell r="F11001" t="str">
            <v xml:space="preserve">71734502       </v>
          </cell>
          <cell r="O11001">
            <v>195</v>
          </cell>
        </row>
        <row r="11002">
          <cell r="F11002" t="str">
            <v xml:space="preserve">14471042       </v>
          </cell>
          <cell r="O11002">
            <v>75</v>
          </cell>
        </row>
        <row r="11003">
          <cell r="F11003" t="str">
            <v xml:space="preserve">14471042       </v>
          </cell>
          <cell r="O11003">
            <v>45</v>
          </cell>
        </row>
        <row r="11004">
          <cell r="F11004" t="str">
            <v xml:space="preserve">16214926       </v>
          </cell>
          <cell r="O11004">
            <v>60</v>
          </cell>
        </row>
        <row r="11005">
          <cell r="F11005" t="str">
            <v xml:space="preserve">16214926       </v>
          </cell>
          <cell r="O11005">
            <v>45</v>
          </cell>
        </row>
        <row r="11006">
          <cell r="F11006" t="str">
            <v xml:space="preserve">29233836       </v>
          </cell>
          <cell r="O11006">
            <v>345</v>
          </cell>
        </row>
        <row r="11007">
          <cell r="F11007" t="str">
            <v xml:space="preserve">10007888       </v>
          </cell>
          <cell r="O11007">
            <v>150</v>
          </cell>
        </row>
        <row r="11008">
          <cell r="F11008" t="str">
            <v xml:space="preserve">10007888       </v>
          </cell>
          <cell r="O11008">
            <v>36</v>
          </cell>
        </row>
        <row r="11009">
          <cell r="F11009" t="str">
            <v xml:space="preserve">10007888       </v>
          </cell>
          <cell r="O11009">
            <v>0</v>
          </cell>
        </row>
        <row r="11010">
          <cell r="F11010" t="str">
            <v xml:space="preserve">10007888       </v>
          </cell>
          <cell r="O11010">
            <v>0</v>
          </cell>
        </row>
        <row r="11011">
          <cell r="F11011" t="str">
            <v xml:space="preserve">66676270       </v>
          </cell>
          <cell r="O11011">
            <v>270</v>
          </cell>
        </row>
        <row r="11012">
          <cell r="F11012" t="str">
            <v xml:space="preserve">66676270       </v>
          </cell>
          <cell r="O11012">
            <v>90</v>
          </cell>
        </row>
        <row r="11013">
          <cell r="F11013" t="str">
            <v xml:space="preserve">94228120       </v>
          </cell>
          <cell r="O11013">
            <v>126</v>
          </cell>
        </row>
        <row r="11014">
          <cell r="F11014" t="str">
            <v xml:space="preserve">94228120       </v>
          </cell>
          <cell r="O11014">
            <v>150</v>
          </cell>
        </row>
        <row r="11015">
          <cell r="F11015" t="str">
            <v xml:space="preserve">94228120       </v>
          </cell>
          <cell r="O11015">
            <v>360</v>
          </cell>
        </row>
        <row r="11016">
          <cell r="F11016" t="str">
            <v xml:space="preserve">94228120       </v>
          </cell>
          <cell r="O11016">
            <v>180</v>
          </cell>
        </row>
        <row r="11017">
          <cell r="F11017" t="str">
            <v xml:space="preserve">18531114       </v>
          </cell>
          <cell r="O11017">
            <v>330</v>
          </cell>
        </row>
        <row r="11018">
          <cell r="F11018" t="str">
            <v xml:space="preserve">18531114       </v>
          </cell>
          <cell r="O11018">
            <v>360</v>
          </cell>
        </row>
        <row r="11019">
          <cell r="F11019" t="str">
            <v xml:space="preserve">15896671       </v>
          </cell>
          <cell r="O11019">
            <v>300</v>
          </cell>
        </row>
        <row r="11020">
          <cell r="F11020" t="str">
            <v xml:space="preserve">15896671       </v>
          </cell>
          <cell r="O11020">
            <v>90</v>
          </cell>
        </row>
        <row r="11021">
          <cell r="F11021" t="str">
            <v xml:space="preserve">16225682       </v>
          </cell>
          <cell r="O11021">
            <v>30</v>
          </cell>
        </row>
        <row r="11022">
          <cell r="F11022" t="str">
            <v xml:space="preserve">16225682       </v>
          </cell>
          <cell r="O11022">
            <v>450</v>
          </cell>
        </row>
        <row r="11023">
          <cell r="F11023" t="str">
            <v xml:space="preserve">16225682       </v>
          </cell>
          <cell r="O11023">
            <v>90</v>
          </cell>
        </row>
        <row r="11024">
          <cell r="F11024" t="str">
            <v xml:space="preserve">10144092       </v>
          </cell>
          <cell r="O11024">
            <v>525</v>
          </cell>
        </row>
        <row r="11025">
          <cell r="F11025" t="str">
            <v xml:space="preserve">24835836       </v>
          </cell>
          <cell r="O11025">
            <v>270</v>
          </cell>
        </row>
        <row r="11026">
          <cell r="F11026" t="str">
            <v xml:space="preserve">24835836       </v>
          </cell>
          <cell r="O11026">
            <v>36</v>
          </cell>
        </row>
        <row r="11027">
          <cell r="F11027" t="str">
            <v xml:space="preserve">16225675       </v>
          </cell>
          <cell r="O11027">
            <v>4.5</v>
          </cell>
        </row>
        <row r="11028">
          <cell r="F11028" t="str">
            <v xml:space="preserve">16225675       </v>
          </cell>
          <cell r="O11028">
            <v>36</v>
          </cell>
        </row>
        <row r="11029">
          <cell r="F11029" t="str">
            <v xml:space="preserve">16225675       </v>
          </cell>
          <cell r="O11029">
            <v>450</v>
          </cell>
        </row>
        <row r="11030">
          <cell r="F11030" t="str">
            <v xml:space="preserve">16225675       </v>
          </cell>
          <cell r="O11030">
            <v>45</v>
          </cell>
        </row>
        <row r="11031">
          <cell r="F11031" t="str">
            <v xml:space="preserve">16225675       </v>
          </cell>
          <cell r="O11031">
            <v>126</v>
          </cell>
        </row>
        <row r="11032">
          <cell r="F11032" t="str">
            <v xml:space="preserve">18596221       </v>
          </cell>
          <cell r="O11032">
            <v>195</v>
          </cell>
        </row>
        <row r="11033">
          <cell r="F11033" t="str">
            <v xml:space="preserve">18596221       </v>
          </cell>
          <cell r="O11033">
            <v>195</v>
          </cell>
        </row>
        <row r="11034">
          <cell r="F11034" t="str">
            <v xml:space="preserve">18596221       </v>
          </cell>
          <cell r="O11034">
            <v>18</v>
          </cell>
        </row>
        <row r="11035">
          <cell r="F11035" t="str">
            <v xml:space="preserve">805005148      </v>
          </cell>
          <cell r="O11035">
            <v>2322</v>
          </cell>
        </row>
        <row r="11036">
          <cell r="F11036" t="str">
            <v xml:space="preserve">805005148      </v>
          </cell>
          <cell r="O11036">
            <v>576</v>
          </cell>
        </row>
        <row r="11037">
          <cell r="F11037" t="str">
            <v xml:space="preserve">805005148      </v>
          </cell>
          <cell r="O11037">
            <v>540</v>
          </cell>
        </row>
        <row r="11038">
          <cell r="F11038" t="str">
            <v xml:space="preserve">76323227       </v>
          </cell>
          <cell r="O11038">
            <v>30</v>
          </cell>
        </row>
        <row r="11039">
          <cell r="F11039" t="str">
            <v xml:space="preserve">76323227       </v>
          </cell>
          <cell r="O11039">
            <v>5292</v>
          </cell>
        </row>
        <row r="11040">
          <cell r="F11040" t="str">
            <v xml:space="preserve">76323227       </v>
          </cell>
          <cell r="O11040">
            <v>765</v>
          </cell>
        </row>
        <row r="11041">
          <cell r="F11041" t="str">
            <v xml:space="preserve">76323227       </v>
          </cell>
          <cell r="O11041">
            <v>45</v>
          </cell>
        </row>
        <row r="11042">
          <cell r="F11042" t="str">
            <v xml:space="preserve">76323227       </v>
          </cell>
          <cell r="O11042">
            <v>450</v>
          </cell>
        </row>
        <row r="11043">
          <cell r="F11043" t="str">
            <v xml:space="preserve">10532222       </v>
          </cell>
          <cell r="O11043">
            <v>15</v>
          </cell>
        </row>
        <row r="11044">
          <cell r="F11044" t="str">
            <v xml:space="preserve">10532222       </v>
          </cell>
          <cell r="O11044">
            <v>45</v>
          </cell>
        </row>
        <row r="11045">
          <cell r="F11045" t="str">
            <v xml:space="preserve">10532222       </v>
          </cell>
          <cell r="O11045">
            <v>270</v>
          </cell>
        </row>
        <row r="11046">
          <cell r="F11046" t="str">
            <v xml:space="preserve">12168724       </v>
          </cell>
          <cell r="O11046">
            <v>720</v>
          </cell>
        </row>
        <row r="11047">
          <cell r="F11047" t="str">
            <v xml:space="preserve">12168724       </v>
          </cell>
          <cell r="O11047">
            <v>45</v>
          </cell>
        </row>
        <row r="11048">
          <cell r="F11048" t="str">
            <v xml:space="preserve">12168724       </v>
          </cell>
          <cell r="O11048">
            <v>1080</v>
          </cell>
        </row>
        <row r="11049">
          <cell r="F11049" t="str">
            <v xml:space="preserve">76211412       </v>
          </cell>
          <cell r="O11049">
            <v>108</v>
          </cell>
        </row>
        <row r="11050">
          <cell r="F11050" t="str">
            <v xml:space="preserve">10755493       </v>
          </cell>
          <cell r="O11050">
            <v>630</v>
          </cell>
        </row>
        <row r="11051">
          <cell r="F11051" t="str">
            <v xml:space="preserve">10292388       </v>
          </cell>
          <cell r="O11051">
            <v>360</v>
          </cell>
        </row>
        <row r="11052">
          <cell r="F11052" t="str">
            <v xml:space="preserve">10292388       </v>
          </cell>
          <cell r="O11052">
            <v>90</v>
          </cell>
        </row>
        <row r="11053">
          <cell r="F11053" t="str">
            <v xml:space="preserve">76331539       </v>
          </cell>
          <cell r="O11053">
            <v>30</v>
          </cell>
        </row>
        <row r="11054">
          <cell r="F11054" t="str">
            <v xml:space="preserve">76331539       </v>
          </cell>
          <cell r="O11054">
            <v>702</v>
          </cell>
        </row>
        <row r="11055">
          <cell r="F11055" t="str">
            <v xml:space="preserve">76331539       </v>
          </cell>
          <cell r="O11055">
            <v>90</v>
          </cell>
        </row>
        <row r="11056">
          <cell r="F11056" t="str">
            <v xml:space="preserve">76331539       </v>
          </cell>
          <cell r="O11056">
            <v>270</v>
          </cell>
        </row>
        <row r="11057">
          <cell r="F11057" t="str">
            <v xml:space="preserve">76331539       </v>
          </cell>
          <cell r="O11057">
            <v>90</v>
          </cell>
        </row>
        <row r="11058">
          <cell r="F11058" t="str">
            <v xml:space="preserve">18389245       </v>
          </cell>
          <cell r="O11058">
            <v>126</v>
          </cell>
        </row>
        <row r="11059">
          <cell r="F11059" t="str">
            <v xml:space="preserve">18389245       </v>
          </cell>
          <cell r="O11059">
            <v>195</v>
          </cell>
        </row>
        <row r="11060">
          <cell r="F11060" t="str">
            <v xml:space="preserve">18416624       </v>
          </cell>
          <cell r="O11060">
            <v>120</v>
          </cell>
        </row>
        <row r="11061">
          <cell r="F11061" t="str">
            <v xml:space="preserve">18416624       </v>
          </cell>
          <cell r="O11061">
            <v>108</v>
          </cell>
        </row>
        <row r="11062">
          <cell r="F11062" t="str">
            <v xml:space="preserve">18416624       </v>
          </cell>
          <cell r="O11062">
            <v>180</v>
          </cell>
        </row>
        <row r="11063">
          <cell r="F11063" t="str">
            <v xml:space="preserve">4613715        </v>
          </cell>
          <cell r="O11063">
            <v>45</v>
          </cell>
        </row>
        <row r="11064">
          <cell r="F11064" t="str">
            <v xml:space="preserve">6110295        </v>
          </cell>
          <cell r="O11064">
            <v>9</v>
          </cell>
        </row>
        <row r="11065">
          <cell r="F11065" t="str">
            <v xml:space="preserve">6110295        </v>
          </cell>
          <cell r="O11065">
            <v>765</v>
          </cell>
        </row>
        <row r="11066">
          <cell r="F11066" t="str">
            <v xml:space="preserve">6110295        </v>
          </cell>
          <cell r="O11066">
            <v>288</v>
          </cell>
        </row>
        <row r="11067">
          <cell r="F11067" t="str">
            <v xml:space="preserve">6110295        </v>
          </cell>
          <cell r="O11067">
            <v>225</v>
          </cell>
        </row>
        <row r="11068">
          <cell r="F11068" t="str">
            <v xml:space="preserve">805005148      </v>
          </cell>
          <cell r="O11068">
            <v>108</v>
          </cell>
        </row>
        <row r="11069">
          <cell r="F11069" t="str">
            <v xml:space="preserve">805005148      </v>
          </cell>
          <cell r="O11069">
            <v>45</v>
          </cell>
        </row>
        <row r="11070">
          <cell r="F11070" t="str">
            <v xml:space="preserve">10488839       </v>
          </cell>
          <cell r="O11070">
            <v>30</v>
          </cell>
        </row>
        <row r="11071">
          <cell r="F11071" t="str">
            <v xml:space="preserve">10488839       </v>
          </cell>
          <cell r="O11071">
            <v>1080</v>
          </cell>
        </row>
        <row r="11072">
          <cell r="F11072" t="str">
            <v xml:space="preserve">10488839       </v>
          </cell>
          <cell r="O11072">
            <v>90</v>
          </cell>
        </row>
        <row r="11073">
          <cell r="F11073" t="str">
            <v xml:space="preserve">16843578       </v>
          </cell>
          <cell r="O11073">
            <v>1350</v>
          </cell>
        </row>
        <row r="11074">
          <cell r="F11074" t="str">
            <v xml:space="preserve">10484782       </v>
          </cell>
          <cell r="O11074">
            <v>2736</v>
          </cell>
        </row>
        <row r="11075">
          <cell r="F11075" t="str">
            <v xml:space="preserve">16849293       </v>
          </cell>
          <cell r="O11075">
            <v>15</v>
          </cell>
        </row>
        <row r="11076">
          <cell r="F11076" t="str">
            <v xml:space="preserve">16849293       </v>
          </cell>
          <cell r="O11076">
            <v>234</v>
          </cell>
        </row>
        <row r="11077">
          <cell r="F11077" t="str">
            <v xml:space="preserve">16849293       </v>
          </cell>
          <cell r="O11077">
            <v>45</v>
          </cell>
        </row>
        <row r="11078">
          <cell r="F11078" t="str">
            <v xml:space="preserve">6009148        </v>
          </cell>
          <cell r="O11078">
            <v>270</v>
          </cell>
        </row>
        <row r="11079">
          <cell r="F11079" t="str">
            <v xml:space="preserve">6009148        </v>
          </cell>
          <cell r="O11079">
            <v>45</v>
          </cell>
        </row>
        <row r="11080">
          <cell r="F11080" t="str">
            <v xml:space="preserve">6009148        </v>
          </cell>
          <cell r="O11080">
            <v>450</v>
          </cell>
        </row>
        <row r="11081">
          <cell r="F11081" t="str">
            <v xml:space="preserve">6009148        </v>
          </cell>
          <cell r="O11081">
            <v>45</v>
          </cell>
        </row>
        <row r="11082">
          <cell r="F11082" t="str">
            <v xml:space="preserve">14229215       </v>
          </cell>
          <cell r="O11082">
            <v>360</v>
          </cell>
        </row>
        <row r="11083">
          <cell r="F11083" t="str">
            <v xml:space="preserve">79736632       </v>
          </cell>
          <cell r="O11083">
            <v>1098</v>
          </cell>
        </row>
        <row r="11084">
          <cell r="F11084" t="str">
            <v xml:space="preserve">79263601       </v>
          </cell>
          <cell r="O11084">
            <v>540</v>
          </cell>
        </row>
        <row r="11085">
          <cell r="F11085" t="str">
            <v xml:space="preserve">79263601       </v>
          </cell>
          <cell r="O11085">
            <v>90</v>
          </cell>
        </row>
        <row r="11086">
          <cell r="F11086" t="str">
            <v xml:space="preserve">26050336       </v>
          </cell>
          <cell r="O11086">
            <v>27</v>
          </cell>
        </row>
        <row r="11087">
          <cell r="F11087" t="str">
            <v xml:space="preserve">26050336       </v>
          </cell>
          <cell r="O11087">
            <v>15</v>
          </cell>
        </row>
        <row r="11088">
          <cell r="F11088" t="str">
            <v xml:space="preserve">26050336       </v>
          </cell>
          <cell r="O11088">
            <v>144</v>
          </cell>
        </row>
        <row r="11089">
          <cell r="F11089" t="str">
            <v xml:space="preserve">830001241      </v>
          </cell>
          <cell r="O11089">
            <v>225</v>
          </cell>
        </row>
        <row r="11090">
          <cell r="F11090" t="str">
            <v xml:space="preserve">93152963       </v>
          </cell>
          <cell r="O11090">
            <v>75</v>
          </cell>
        </row>
        <row r="11091">
          <cell r="F11091" t="str">
            <v xml:space="preserve">91360601       </v>
          </cell>
          <cell r="O11091">
            <v>15</v>
          </cell>
        </row>
        <row r="11092">
          <cell r="F11092" t="str">
            <v xml:space="preserve">91360601       </v>
          </cell>
          <cell r="O11092">
            <v>1008</v>
          </cell>
        </row>
        <row r="11093">
          <cell r="F11093" t="str">
            <v xml:space="preserve">91360601       </v>
          </cell>
          <cell r="O11093">
            <v>360</v>
          </cell>
        </row>
        <row r="11094">
          <cell r="F11094" t="str">
            <v xml:space="preserve">79824837       </v>
          </cell>
          <cell r="O11094">
            <v>486</v>
          </cell>
        </row>
        <row r="11095">
          <cell r="F11095" t="str">
            <v xml:space="preserve">830098375      </v>
          </cell>
          <cell r="O11095">
            <v>90</v>
          </cell>
        </row>
        <row r="11096">
          <cell r="F11096" t="str">
            <v xml:space="preserve">3273085        </v>
          </cell>
          <cell r="O11096">
            <v>75</v>
          </cell>
        </row>
        <row r="11097">
          <cell r="F11097" t="str">
            <v xml:space="preserve">3273085        </v>
          </cell>
          <cell r="O11097">
            <v>1080</v>
          </cell>
        </row>
        <row r="11098">
          <cell r="F11098" t="str">
            <v xml:space="preserve">3273085        </v>
          </cell>
          <cell r="O11098">
            <v>225</v>
          </cell>
        </row>
        <row r="11099">
          <cell r="F11099" t="str">
            <v xml:space="preserve">900459366      </v>
          </cell>
          <cell r="O11099">
            <v>9</v>
          </cell>
        </row>
        <row r="11100">
          <cell r="F11100" t="str">
            <v xml:space="preserve">900459366      </v>
          </cell>
          <cell r="O11100">
            <v>225</v>
          </cell>
        </row>
        <row r="11101">
          <cell r="F11101" t="str">
            <v xml:space="preserve">900459366      </v>
          </cell>
          <cell r="O11101">
            <v>1098</v>
          </cell>
        </row>
        <row r="11102">
          <cell r="F11102" t="str">
            <v xml:space="preserve">900459366      </v>
          </cell>
          <cell r="O11102">
            <v>1305</v>
          </cell>
        </row>
        <row r="11103">
          <cell r="F11103" t="str">
            <v xml:space="preserve">91179385       </v>
          </cell>
          <cell r="O11103">
            <v>9</v>
          </cell>
        </row>
        <row r="11104">
          <cell r="F11104" t="str">
            <v xml:space="preserve">91179385       </v>
          </cell>
          <cell r="O11104">
            <v>15</v>
          </cell>
        </row>
        <row r="11105">
          <cell r="F11105" t="str">
            <v xml:space="preserve">91179385       </v>
          </cell>
          <cell r="O11105">
            <v>360</v>
          </cell>
        </row>
        <row r="11106">
          <cell r="F11106" t="str">
            <v xml:space="preserve">91179385       </v>
          </cell>
          <cell r="O11106">
            <v>180</v>
          </cell>
        </row>
        <row r="11107">
          <cell r="F11107" t="str">
            <v xml:space="preserve">91179385       </v>
          </cell>
          <cell r="O11107">
            <v>15</v>
          </cell>
        </row>
        <row r="11108">
          <cell r="F11108" t="str">
            <v xml:space="preserve">91179385       </v>
          </cell>
          <cell r="O11108">
            <v>648</v>
          </cell>
        </row>
        <row r="11109">
          <cell r="F11109" t="str">
            <v xml:space="preserve">91179385       </v>
          </cell>
          <cell r="O11109">
            <v>90</v>
          </cell>
        </row>
        <row r="11110">
          <cell r="F11110" t="str">
            <v xml:space="preserve">91179385       </v>
          </cell>
          <cell r="O11110">
            <v>15</v>
          </cell>
        </row>
        <row r="11111">
          <cell r="F11111" t="str">
            <v xml:space="preserve">91179385       </v>
          </cell>
          <cell r="O11111">
            <v>306</v>
          </cell>
        </row>
        <row r="11112">
          <cell r="F11112" t="str">
            <v xml:space="preserve">91179385       </v>
          </cell>
          <cell r="O11112">
            <v>180</v>
          </cell>
        </row>
        <row r="11113">
          <cell r="F11113" t="str">
            <v xml:space="preserve">79384689       </v>
          </cell>
          <cell r="O11113">
            <v>150</v>
          </cell>
        </row>
        <row r="11114">
          <cell r="F11114" t="str">
            <v xml:space="preserve">79384689       </v>
          </cell>
          <cell r="O11114">
            <v>225</v>
          </cell>
        </row>
        <row r="11115">
          <cell r="F11115" t="str">
            <v xml:space="preserve">79384689       </v>
          </cell>
          <cell r="O11115">
            <v>45</v>
          </cell>
        </row>
        <row r="11116">
          <cell r="F11116" t="str">
            <v xml:space="preserve">13458443       </v>
          </cell>
          <cell r="O11116">
            <v>120</v>
          </cell>
        </row>
        <row r="11117">
          <cell r="F11117" t="str">
            <v xml:space="preserve">13458443       </v>
          </cell>
          <cell r="O11117">
            <v>45</v>
          </cell>
        </row>
        <row r="11118">
          <cell r="F11118" t="str">
            <v xml:space="preserve">13494934       </v>
          </cell>
          <cell r="O11118">
            <v>510</v>
          </cell>
        </row>
        <row r="11119">
          <cell r="F11119" t="str">
            <v xml:space="preserve">13494934       </v>
          </cell>
          <cell r="O11119">
            <v>36</v>
          </cell>
        </row>
        <row r="11120">
          <cell r="F11120" t="str">
            <v xml:space="preserve">13494934       </v>
          </cell>
          <cell r="O11120">
            <v>225</v>
          </cell>
        </row>
        <row r="11121">
          <cell r="F11121" t="str">
            <v xml:space="preserve">13494934       </v>
          </cell>
          <cell r="O11121">
            <v>90</v>
          </cell>
        </row>
        <row r="11122">
          <cell r="F11122" t="str">
            <v xml:space="preserve">13494934       </v>
          </cell>
          <cell r="O11122">
            <v>90</v>
          </cell>
        </row>
        <row r="11123">
          <cell r="F11123" t="str">
            <v xml:space="preserve">13494934       </v>
          </cell>
          <cell r="O11123">
            <v>45</v>
          </cell>
        </row>
        <row r="11124">
          <cell r="F11124" t="str">
            <v xml:space="preserve">13494934       </v>
          </cell>
          <cell r="O11124">
            <v>750</v>
          </cell>
        </row>
        <row r="11125">
          <cell r="F11125" t="str">
            <v xml:space="preserve">13494934       </v>
          </cell>
          <cell r="O11125">
            <v>225</v>
          </cell>
        </row>
        <row r="11126">
          <cell r="F11126" t="str">
            <v xml:space="preserve">88188644       </v>
          </cell>
          <cell r="O11126">
            <v>135</v>
          </cell>
        </row>
        <row r="11127">
          <cell r="F11127" t="str">
            <v xml:space="preserve">88188644       </v>
          </cell>
          <cell r="O11127">
            <v>9</v>
          </cell>
        </row>
        <row r="11128">
          <cell r="F11128" t="str">
            <v xml:space="preserve">88188644       </v>
          </cell>
          <cell r="O11128">
            <v>675</v>
          </cell>
        </row>
        <row r="11129">
          <cell r="F11129" t="str">
            <v xml:space="preserve">88188644       </v>
          </cell>
          <cell r="O11129">
            <v>720</v>
          </cell>
        </row>
        <row r="11130">
          <cell r="F11130" t="str">
            <v xml:space="preserve">88188644       </v>
          </cell>
          <cell r="O11130">
            <v>90</v>
          </cell>
        </row>
        <row r="11131">
          <cell r="F11131" t="str">
            <v xml:space="preserve">1117502076     </v>
          </cell>
          <cell r="O11131">
            <v>720</v>
          </cell>
        </row>
        <row r="11132">
          <cell r="F11132" t="str">
            <v xml:space="preserve">1117502076     </v>
          </cell>
          <cell r="O11132">
            <v>180</v>
          </cell>
        </row>
        <row r="11133">
          <cell r="F11133" t="str">
            <v xml:space="preserve">1117502076     </v>
          </cell>
          <cell r="O11133">
            <v>288</v>
          </cell>
        </row>
        <row r="11134">
          <cell r="F11134" t="str">
            <v xml:space="preserve">1117502076     </v>
          </cell>
          <cell r="O11134">
            <v>90</v>
          </cell>
        </row>
        <row r="11135">
          <cell r="F11135" t="str">
            <v xml:space="preserve">1117502076     </v>
          </cell>
          <cell r="O11135">
            <v>240</v>
          </cell>
        </row>
        <row r="11136">
          <cell r="F11136" t="str">
            <v xml:space="preserve">1117502076     </v>
          </cell>
          <cell r="O11136">
            <v>36</v>
          </cell>
        </row>
        <row r="11137">
          <cell r="F11137" t="str">
            <v xml:space="preserve">1117502076     </v>
          </cell>
          <cell r="O11137">
            <v>135</v>
          </cell>
        </row>
        <row r="11138">
          <cell r="F11138" t="str">
            <v xml:space="preserve">91451576       </v>
          </cell>
          <cell r="O11138">
            <v>252</v>
          </cell>
        </row>
        <row r="11139">
          <cell r="F11139" t="str">
            <v xml:space="preserve">91451576       </v>
          </cell>
          <cell r="O11139">
            <v>45</v>
          </cell>
        </row>
        <row r="11140">
          <cell r="F11140" t="str">
            <v xml:space="preserve">5689927        </v>
          </cell>
          <cell r="O11140">
            <v>1440</v>
          </cell>
        </row>
        <row r="11141">
          <cell r="F11141" t="str">
            <v xml:space="preserve">5689927        </v>
          </cell>
          <cell r="O11141">
            <v>360</v>
          </cell>
        </row>
        <row r="11142">
          <cell r="F11142" t="str">
            <v xml:space="preserve">91266362       </v>
          </cell>
          <cell r="O11142">
            <v>216</v>
          </cell>
        </row>
        <row r="11143">
          <cell r="F11143" t="str">
            <v xml:space="preserve">13537217       </v>
          </cell>
          <cell r="O11143">
            <v>972</v>
          </cell>
        </row>
        <row r="11144">
          <cell r="F11144" t="str">
            <v xml:space="preserve">13537217       </v>
          </cell>
          <cell r="O11144">
            <v>270</v>
          </cell>
        </row>
        <row r="11145">
          <cell r="F11145" t="str">
            <v xml:space="preserve">91179643       </v>
          </cell>
          <cell r="O11145">
            <v>72</v>
          </cell>
        </row>
        <row r="11146">
          <cell r="F11146" t="str">
            <v xml:space="preserve">91179643       </v>
          </cell>
          <cell r="O11146">
            <v>108</v>
          </cell>
        </row>
        <row r="11147">
          <cell r="F11147" t="str">
            <v xml:space="preserve">91179643       </v>
          </cell>
          <cell r="O11147">
            <v>45</v>
          </cell>
        </row>
        <row r="11148">
          <cell r="F11148" t="str">
            <v xml:space="preserve">91136131       </v>
          </cell>
          <cell r="O11148">
            <v>1500</v>
          </cell>
        </row>
        <row r="11149">
          <cell r="F11149" t="str">
            <v xml:space="preserve">91136131       </v>
          </cell>
          <cell r="O11149">
            <v>450</v>
          </cell>
        </row>
        <row r="11150">
          <cell r="F11150" t="str">
            <v xml:space="preserve">91136131       </v>
          </cell>
          <cell r="O11150">
            <v>90</v>
          </cell>
        </row>
        <row r="11151">
          <cell r="F11151" t="str">
            <v xml:space="preserve">890503966      </v>
          </cell>
          <cell r="O11151">
            <v>3510</v>
          </cell>
        </row>
        <row r="11152">
          <cell r="F11152" t="str">
            <v xml:space="preserve">890503966      </v>
          </cell>
          <cell r="O11152">
            <v>360</v>
          </cell>
        </row>
        <row r="11153">
          <cell r="F11153" t="str">
            <v xml:space="preserve">890503966      </v>
          </cell>
          <cell r="O11153">
            <v>1125</v>
          </cell>
        </row>
        <row r="11154">
          <cell r="F11154" t="str">
            <v xml:space="preserve">890503966      </v>
          </cell>
          <cell r="O11154">
            <v>90</v>
          </cell>
        </row>
        <row r="11155">
          <cell r="F11155" t="str">
            <v xml:space="preserve">91222539       </v>
          </cell>
          <cell r="O11155">
            <v>750</v>
          </cell>
        </row>
        <row r="11156">
          <cell r="F11156" t="str">
            <v xml:space="preserve">91222539       </v>
          </cell>
          <cell r="O11156">
            <v>180</v>
          </cell>
        </row>
        <row r="11157">
          <cell r="F11157" t="str">
            <v xml:space="preserve">91222539       </v>
          </cell>
          <cell r="O11157">
            <v>270</v>
          </cell>
        </row>
        <row r="11158">
          <cell r="F11158" t="str">
            <v xml:space="preserve">13702886       </v>
          </cell>
          <cell r="O11158">
            <v>165</v>
          </cell>
        </row>
        <row r="11159">
          <cell r="F11159" t="str">
            <v xml:space="preserve">13702886       </v>
          </cell>
          <cell r="O11159">
            <v>324</v>
          </cell>
        </row>
        <row r="11160">
          <cell r="F11160" t="str">
            <v xml:space="preserve">13702886       </v>
          </cell>
          <cell r="O11160">
            <v>315</v>
          </cell>
        </row>
        <row r="11161">
          <cell r="F11161" t="str">
            <v xml:space="preserve">13702886       </v>
          </cell>
          <cell r="O11161">
            <v>375</v>
          </cell>
        </row>
        <row r="11162">
          <cell r="F11162" t="str">
            <v xml:space="preserve">13702886       </v>
          </cell>
          <cell r="O11162">
            <v>36</v>
          </cell>
        </row>
        <row r="11163">
          <cell r="F11163" t="str">
            <v xml:space="preserve">13702886       </v>
          </cell>
          <cell r="O11163">
            <v>360</v>
          </cell>
        </row>
        <row r="11164">
          <cell r="F11164" t="str">
            <v xml:space="preserve">91067422       </v>
          </cell>
          <cell r="O11164">
            <v>150</v>
          </cell>
        </row>
        <row r="11165">
          <cell r="F11165" t="str">
            <v xml:space="preserve">91067422       </v>
          </cell>
          <cell r="O11165">
            <v>90</v>
          </cell>
        </row>
        <row r="11166">
          <cell r="F11166" t="str">
            <v xml:space="preserve">91067422       </v>
          </cell>
          <cell r="O11166">
            <v>18</v>
          </cell>
        </row>
        <row r="11167">
          <cell r="F11167" t="str">
            <v xml:space="preserve">91067422       </v>
          </cell>
          <cell r="O11167">
            <v>360</v>
          </cell>
        </row>
        <row r="11168">
          <cell r="F11168" t="str">
            <v xml:space="preserve">91067422       </v>
          </cell>
          <cell r="O11168">
            <v>60</v>
          </cell>
        </row>
        <row r="11169">
          <cell r="F11169" t="str">
            <v xml:space="preserve">13701254       </v>
          </cell>
          <cell r="O11169">
            <v>750</v>
          </cell>
        </row>
        <row r="11170">
          <cell r="F11170" t="str">
            <v xml:space="preserve">13701254       </v>
          </cell>
          <cell r="O11170">
            <v>144</v>
          </cell>
        </row>
        <row r="11171">
          <cell r="F11171" t="str">
            <v xml:space="preserve">13701254       </v>
          </cell>
          <cell r="O11171">
            <v>450</v>
          </cell>
        </row>
        <row r="11172">
          <cell r="F11172" t="str">
            <v xml:space="preserve">92543124       </v>
          </cell>
          <cell r="O11172">
            <v>1050</v>
          </cell>
        </row>
        <row r="11173">
          <cell r="F11173" t="str">
            <v xml:space="preserve">26229305       </v>
          </cell>
          <cell r="O11173">
            <v>1230</v>
          </cell>
        </row>
        <row r="11174">
          <cell r="F11174" t="str">
            <v xml:space="preserve">26229305       </v>
          </cell>
          <cell r="O11174">
            <v>135</v>
          </cell>
        </row>
        <row r="11175">
          <cell r="F11175" t="str">
            <v xml:space="preserve">78112896       </v>
          </cell>
          <cell r="O11175">
            <v>1404</v>
          </cell>
        </row>
        <row r="11176">
          <cell r="F11176" t="str">
            <v xml:space="preserve">78033625       </v>
          </cell>
          <cell r="O11176">
            <v>954</v>
          </cell>
        </row>
        <row r="11177">
          <cell r="F11177" t="str">
            <v xml:space="preserve">85477397       </v>
          </cell>
          <cell r="O11177">
            <v>1650</v>
          </cell>
        </row>
        <row r="11178">
          <cell r="F11178" t="str">
            <v xml:space="preserve">85477397       </v>
          </cell>
          <cell r="O11178">
            <v>450</v>
          </cell>
        </row>
        <row r="11179">
          <cell r="F11179" t="str">
            <v xml:space="preserve">17842923       </v>
          </cell>
          <cell r="O11179">
            <v>1785</v>
          </cell>
        </row>
        <row r="11180">
          <cell r="F11180" t="str">
            <v xml:space="preserve">17842923       </v>
          </cell>
          <cell r="O11180">
            <v>675</v>
          </cell>
        </row>
        <row r="11181">
          <cell r="F11181" t="str">
            <v xml:space="preserve">17842923       </v>
          </cell>
          <cell r="O11181">
            <v>612</v>
          </cell>
        </row>
        <row r="11182">
          <cell r="F11182" t="str">
            <v xml:space="preserve">91288772       </v>
          </cell>
          <cell r="O11182">
            <v>750</v>
          </cell>
        </row>
        <row r="11183">
          <cell r="F11183" t="str">
            <v xml:space="preserve">91288772       </v>
          </cell>
          <cell r="O11183">
            <v>360</v>
          </cell>
        </row>
        <row r="11184">
          <cell r="F11184" t="str">
            <v xml:space="preserve">91288772       </v>
          </cell>
          <cell r="O11184">
            <v>450</v>
          </cell>
        </row>
        <row r="11185">
          <cell r="F11185" t="str">
            <v xml:space="preserve">91288772       </v>
          </cell>
          <cell r="O11185">
            <v>750</v>
          </cell>
        </row>
        <row r="11186">
          <cell r="F11186" t="str">
            <v xml:space="preserve">91288772       </v>
          </cell>
          <cell r="O11186">
            <v>216</v>
          </cell>
        </row>
        <row r="11187">
          <cell r="F11187" t="str">
            <v xml:space="preserve">91288772       </v>
          </cell>
          <cell r="O11187">
            <v>1185</v>
          </cell>
        </row>
        <row r="11188">
          <cell r="F11188" t="str">
            <v xml:space="preserve">91288772       </v>
          </cell>
          <cell r="O11188">
            <v>360</v>
          </cell>
        </row>
        <row r="11189">
          <cell r="F11189" t="str">
            <v xml:space="preserve">91288772       </v>
          </cell>
          <cell r="O11189">
            <v>45</v>
          </cell>
        </row>
        <row r="11190">
          <cell r="F11190" t="str">
            <v xml:space="preserve">77191750       </v>
          </cell>
          <cell r="O11190">
            <v>900</v>
          </cell>
        </row>
        <row r="11191">
          <cell r="F11191" t="str">
            <v xml:space="preserve">91213004       </v>
          </cell>
          <cell r="O11191">
            <v>150</v>
          </cell>
        </row>
        <row r="11192">
          <cell r="F11192" t="str">
            <v xml:space="preserve">91213004       </v>
          </cell>
          <cell r="O11192">
            <v>720</v>
          </cell>
        </row>
        <row r="11193">
          <cell r="F11193" t="str">
            <v xml:space="preserve">72196317       </v>
          </cell>
          <cell r="O11193">
            <v>900</v>
          </cell>
        </row>
        <row r="11194">
          <cell r="F11194" t="str">
            <v xml:space="preserve">72196317       </v>
          </cell>
          <cell r="O11194">
            <v>108</v>
          </cell>
        </row>
        <row r="11195">
          <cell r="F11195" t="str">
            <v xml:space="preserve">72196317       </v>
          </cell>
          <cell r="O11195">
            <v>90</v>
          </cell>
        </row>
        <row r="11196">
          <cell r="F11196" t="str">
            <v xml:space="preserve">72196317       </v>
          </cell>
          <cell r="O11196">
            <v>225</v>
          </cell>
        </row>
        <row r="11197">
          <cell r="F11197" t="str">
            <v xml:space="preserve">72196317       </v>
          </cell>
          <cell r="O11197">
            <v>1050</v>
          </cell>
        </row>
        <row r="11198">
          <cell r="F11198" t="str">
            <v xml:space="preserve">72196317       </v>
          </cell>
          <cell r="O11198">
            <v>180</v>
          </cell>
        </row>
        <row r="11199">
          <cell r="F11199" t="str">
            <v xml:space="preserve">72196317       </v>
          </cell>
          <cell r="O11199">
            <v>180</v>
          </cell>
        </row>
        <row r="11200">
          <cell r="F11200" t="str">
            <v xml:space="preserve">72196317       </v>
          </cell>
          <cell r="O11200">
            <v>90</v>
          </cell>
        </row>
        <row r="11201">
          <cell r="F11201" t="str">
            <v xml:space="preserve">72196317       </v>
          </cell>
          <cell r="O11201">
            <v>36</v>
          </cell>
        </row>
        <row r="11202">
          <cell r="F11202" t="str">
            <v xml:space="preserve">72196317       </v>
          </cell>
          <cell r="O11202">
            <v>36</v>
          </cell>
        </row>
        <row r="11203">
          <cell r="F11203" t="str">
            <v xml:space="preserve">72196317       </v>
          </cell>
          <cell r="O11203">
            <v>150</v>
          </cell>
        </row>
        <row r="11204">
          <cell r="F11204" t="str">
            <v xml:space="preserve">72196317       </v>
          </cell>
          <cell r="O11204">
            <v>36</v>
          </cell>
        </row>
        <row r="11205">
          <cell r="F11205" t="str">
            <v xml:space="preserve">72196317       </v>
          </cell>
          <cell r="O11205">
            <v>195</v>
          </cell>
        </row>
        <row r="11206">
          <cell r="F11206" t="str">
            <v xml:space="preserve">72196317       </v>
          </cell>
          <cell r="O11206">
            <v>36</v>
          </cell>
        </row>
        <row r="11207">
          <cell r="F11207" t="str">
            <v xml:space="preserve">72196317       </v>
          </cell>
          <cell r="O11207">
            <v>330</v>
          </cell>
        </row>
        <row r="11208">
          <cell r="F11208" t="str">
            <v xml:space="preserve">72196317       </v>
          </cell>
          <cell r="O11208">
            <v>54</v>
          </cell>
        </row>
        <row r="11209">
          <cell r="F11209" t="str">
            <v xml:space="preserve">72196317       </v>
          </cell>
          <cell r="O11209">
            <v>45</v>
          </cell>
        </row>
        <row r="11210">
          <cell r="F11210" t="str">
            <v xml:space="preserve">72196317       </v>
          </cell>
          <cell r="O11210">
            <v>30</v>
          </cell>
        </row>
        <row r="11211">
          <cell r="F11211" t="str">
            <v xml:space="preserve">72196317       </v>
          </cell>
          <cell r="O11211">
            <v>36</v>
          </cell>
        </row>
        <row r="11212">
          <cell r="F11212" t="str">
            <v xml:space="preserve">1047231108     </v>
          </cell>
          <cell r="O11212">
            <v>360</v>
          </cell>
        </row>
        <row r="11213">
          <cell r="F11213" t="str">
            <v xml:space="preserve">1047231108     </v>
          </cell>
          <cell r="O11213">
            <v>18</v>
          </cell>
        </row>
        <row r="11214">
          <cell r="F11214" t="str">
            <v xml:space="preserve">1047231108     </v>
          </cell>
          <cell r="O11214">
            <v>225</v>
          </cell>
        </row>
        <row r="11215">
          <cell r="F11215" t="str">
            <v xml:space="preserve">1047349327     </v>
          </cell>
          <cell r="O11215">
            <v>165</v>
          </cell>
        </row>
        <row r="11216">
          <cell r="F11216" t="str">
            <v xml:space="preserve">18531333       </v>
          </cell>
          <cell r="O11216">
            <v>510</v>
          </cell>
        </row>
        <row r="11217">
          <cell r="F11217" t="str">
            <v xml:space="preserve">18531333       </v>
          </cell>
          <cell r="O11217">
            <v>90</v>
          </cell>
        </row>
        <row r="11218">
          <cell r="F11218" t="str">
            <v xml:space="preserve">18531333       </v>
          </cell>
          <cell r="O11218">
            <v>45</v>
          </cell>
        </row>
        <row r="11219">
          <cell r="F11219" t="str">
            <v xml:space="preserve">1120352593     </v>
          </cell>
          <cell r="O11219">
            <v>15</v>
          </cell>
        </row>
        <row r="11220">
          <cell r="F11220" t="str">
            <v xml:space="preserve">1120352593     </v>
          </cell>
          <cell r="O11220">
            <v>2844</v>
          </cell>
        </row>
        <row r="11221">
          <cell r="F11221" t="str">
            <v xml:space="preserve">1120352593     </v>
          </cell>
          <cell r="O11221">
            <v>360</v>
          </cell>
        </row>
        <row r="11222">
          <cell r="F11222" t="str">
            <v xml:space="preserve">71172414       </v>
          </cell>
          <cell r="O11222">
            <v>15</v>
          </cell>
        </row>
        <row r="11223">
          <cell r="F11223" t="str">
            <v xml:space="preserve">94479814       </v>
          </cell>
          <cell r="O11223">
            <v>90</v>
          </cell>
        </row>
        <row r="11224">
          <cell r="F11224" t="str">
            <v xml:space="preserve">94479814       </v>
          </cell>
          <cell r="O11224">
            <v>15</v>
          </cell>
        </row>
        <row r="11225">
          <cell r="F11225" t="str">
            <v xml:space="preserve">94479814       </v>
          </cell>
          <cell r="O11225">
            <v>450</v>
          </cell>
        </row>
        <row r="11226">
          <cell r="F11226" t="str">
            <v xml:space="preserve">1020712348     </v>
          </cell>
          <cell r="O11226">
            <v>900</v>
          </cell>
        </row>
        <row r="11227">
          <cell r="F11227" t="str">
            <v xml:space="preserve">1020712348     </v>
          </cell>
          <cell r="O11227">
            <v>540</v>
          </cell>
        </row>
        <row r="11228">
          <cell r="F11228" t="str">
            <v xml:space="preserve">11255578       </v>
          </cell>
          <cell r="O11228">
            <v>27</v>
          </cell>
        </row>
        <row r="11229">
          <cell r="F11229" t="str">
            <v xml:space="preserve">11255578       </v>
          </cell>
          <cell r="O11229">
            <v>15</v>
          </cell>
        </row>
        <row r="11230">
          <cell r="F11230" t="str">
            <v xml:space="preserve">11255578       </v>
          </cell>
          <cell r="O11230">
            <v>198</v>
          </cell>
        </row>
        <row r="11231">
          <cell r="F11231" t="str">
            <v xml:space="preserve">11255578       </v>
          </cell>
          <cell r="O11231">
            <v>225</v>
          </cell>
        </row>
        <row r="11232">
          <cell r="F11232" t="str">
            <v xml:space="preserve">79827688       </v>
          </cell>
          <cell r="O11232">
            <v>105</v>
          </cell>
        </row>
        <row r="11233">
          <cell r="F11233" t="str">
            <v xml:space="preserve">79827688       </v>
          </cell>
          <cell r="O11233">
            <v>162</v>
          </cell>
        </row>
        <row r="11234">
          <cell r="F11234" t="str">
            <v xml:space="preserve">79827688       </v>
          </cell>
          <cell r="O11234">
            <v>315</v>
          </cell>
        </row>
        <row r="11235">
          <cell r="F11235" t="str">
            <v xml:space="preserve">79827688       </v>
          </cell>
          <cell r="O11235">
            <v>30</v>
          </cell>
        </row>
        <row r="11236">
          <cell r="F11236" t="str">
            <v xml:space="preserve">79827688       </v>
          </cell>
          <cell r="O11236">
            <v>126</v>
          </cell>
        </row>
        <row r="11237">
          <cell r="F11237" t="str">
            <v xml:space="preserve">79827688       </v>
          </cell>
          <cell r="O11237">
            <v>45</v>
          </cell>
        </row>
        <row r="11238">
          <cell r="F11238" t="str">
            <v xml:space="preserve">70752579       </v>
          </cell>
          <cell r="O11238">
            <v>150</v>
          </cell>
        </row>
        <row r="11239">
          <cell r="F11239" t="str">
            <v xml:space="preserve">70752579       </v>
          </cell>
          <cell r="O11239">
            <v>378</v>
          </cell>
        </row>
        <row r="11240">
          <cell r="F11240" t="str">
            <v xml:space="preserve">70752579       </v>
          </cell>
          <cell r="O11240">
            <v>285</v>
          </cell>
        </row>
        <row r="11241">
          <cell r="F11241" t="str">
            <v xml:space="preserve">70752579       </v>
          </cell>
          <cell r="O11241">
            <v>288</v>
          </cell>
        </row>
        <row r="11242">
          <cell r="F11242" t="str">
            <v xml:space="preserve">70752579       </v>
          </cell>
          <cell r="O11242">
            <v>135</v>
          </cell>
        </row>
        <row r="11243">
          <cell r="F11243" t="str">
            <v xml:space="preserve">70752579       </v>
          </cell>
          <cell r="O11243">
            <v>90</v>
          </cell>
        </row>
        <row r="11244">
          <cell r="F11244" t="str">
            <v xml:space="preserve">70752579       </v>
          </cell>
          <cell r="O11244">
            <v>270</v>
          </cell>
        </row>
        <row r="11245">
          <cell r="F11245" t="str">
            <v xml:space="preserve">70752579       </v>
          </cell>
          <cell r="O11245">
            <v>90</v>
          </cell>
        </row>
        <row r="11246">
          <cell r="F11246" t="str">
            <v xml:space="preserve">900732129      </v>
          </cell>
          <cell r="O11246">
            <v>1695</v>
          </cell>
        </row>
        <row r="11247">
          <cell r="F11247" t="str">
            <v xml:space="preserve">80266206       </v>
          </cell>
          <cell r="O11247">
            <v>144</v>
          </cell>
        </row>
        <row r="11248">
          <cell r="F11248" t="str">
            <v xml:space="preserve">80266206       </v>
          </cell>
          <cell r="O11248">
            <v>30</v>
          </cell>
        </row>
        <row r="11249">
          <cell r="F11249" t="str">
            <v xml:space="preserve">80266206       </v>
          </cell>
          <cell r="O11249">
            <v>216</v>
          </cell>
        </row>
        <row r="11250">
          <cell r="F11250" t="str">
            <v xml:space="preserve">80266206       </v>
          </cell>
          <cell r="O11250">
            <v>90</v>
          </cell>
        </row>
        <row r="11251">
          <cell r="F11251" t="str">
            <v xml:space="preserve">1111739602     </v>
          </cell>
          <cell r="O11251">
            <v>750</v>
          </cell>
        </row>
        <row r="11252">
          <cell r="F11252" t="str">
            <v xml:space="preserve">1111739602     </v>
          </cell>
          <cell r="O11252">
            <v>15</v>
          </cell>
        </row>
        <row r="11253">
          <cell r="F11253" t="str">
            <v xml:space="preserve">1111739602     </v>
          </cell>
          <cell r="O11253">
            <v>315</v>
          </cell>
        </row>
        <row r="11254">
          <cell r="F11254" t="str">
            <v xml:space="preserve">1111739602     </v>
          </cell>
          <cell r="O11254">
            <v>1110</v>
          </cell>
        </row>
        <row r="11255">
          <cell r="F11255" t="str">
            <v xml:space="preserve">1111739602     </v>
          </cell>
          <cell r="O11255">
            <v>375</v>
          </cell>
        </row>
        <row r="11256">
          <cell r="F11256" t="str">
            <v xml:space="preserve">1101204909     </v>
          </cell>
          <cell r="O11256">
            <v>15</v>
          </cell>
        </row>
        <row r="11257">
          <cell r="F11257" t="str">
            <v xml:space="preserve">1101204909     </v>
          </cell>
          <cell r="O11257">
            <v>108</v>
          </cell>
        </row>
        <row r="11258">
          <cell r="F11258" t="str">
            <v xml:space="preserve">1101204909     </v>
          </cell>
          <cell r="O11258">
            <v>18</v>
          </cell>
        </row>
        <row r="11259">
          <cell r="F11259" t="str">
            <v xml:space="preserve">1101204909     </v>
          </cell>
          <cell r="O11259">
            <v>405</v>
          </cell>
        </row>
        <row r="11260">
          <cell r="F11260" t="str">
            <v xml:space="preserve">1101204909     </v>
          </cell>
          <cell r="O11260">
            <v>306</v>
          </cell>
        </row>
        <row r="11261">
          <cell r="F11261" t="str">
            <v xml:space="preserve">88168843       </v>
          </cell>
          <cell r="O11261">
            <v>9</v>
          </cell>
        </row>
        <row r="11262">
          <cell r="F11262" t="str">
            <v xml:space="preserve">88168843       </v>
          </cell>
          <cell r="O11262">
            <v>15</v>
          </cell>
        </row>
        <row r="11263">
          <cell r="F11263" t="str">
            <v xml:space="preserve">88168843       </v>
          </cell>
          <cell r="O11263">
            <v>198</v>
          </cell>
        </row>
        <row r="11264">
          <cell r="F11264" t="str">
            <v xml:space="preserve">79266522       </v>
          </cell>
          <cell r="O11264">
            <v>216</v>
          </cell>
        </row>
        <row r="11265">
          <cell r="F11265" t="str">
            <v xml:space="preserve">79221604       </v>
          </cell>
          <cell r="O11265">
            <v>18</v>
          </cell>
        </row>
        <row r="11266">
          <cell r="F11266" t="str">
            <v xml:space="preserve">79221604       </v>
          </cell>
          <cell r="O11266">
            <v>15</v>
          </cell>
        </row>
        <row r="11267">
          <cell r="F11267" t="str">
            <v xml:space="preserve">79221604       </v>
          </cell>
          <cell r="O11267">
            <v>270</v>
          </cell>
        </row>
        <row r="11268">
          <cell r="F11268" t="str">
            <v xml:space="preserve">79221604       </v>
          </cell>
          <cell r="O11268">
            <v>90</v>
          </cell>
        </row>
        <row r="11269">
          <cell r="F11269" t="str">
            <v xml:space="preserve">79221604       </v>
          </cell>
          <cell r="O11269">
            <v>18</v>
          </cell>
        </row>
        <row r="11270">
          <cell r="F11270" t="str">
            <v xml:space="preserve">79221604       </v>
          </cell>
          <cell r="O11270">
            <v>15</v>
          </cell>
        </row>
        <row r="11271">
          <cell r="F11271" t="str">
            <v xml:space="preserve">79221604       </v>
          </cell>
          <cell r="O11271">
            <v>450</v>
          </cell>
        </row>
        <row r="11272">
          <cell r="F11272" t="str">
            <v xml:space="preserve">79221604       </v>
          </cell>
          <cell r="O11272">
            <v>45</v>
          </cell>
        </row>
        <row r="11273">
          <cell r="F11273" t="str">
            <v xml:space="preserve">9867640        </v>
          </cell>
          <cell r="O11273">
            <v>45</v>
          </cell>
        </row>
        <row r="11274">
          <cell r="F11274" t="str">
            <v xml:space="preserve">9867640        </v>
          </cell>
          <cell r="O11274">
            <v>162</v>
          </cell>
        </row>
        <row r="11275">
          <cell r="F11275" t="str">
            <v xml:space="preserve">9867640        </v>
          </cell>
          <cell r="O11275">
            <v>255</v>
          </cell>
        </row>
        <row r="11276">
          <cell r="F11276" t="str">
            <v xml:space="preserve">10315862       </v>
          </cell>
          <cell r="O11276">
            <v>15</v>
          </cell>
        </row>
        <row r="11277">
          <cell r="F11277" t="str">
            <v xml:space="preserve">10315862       </v>
          </cell>
          <cell r="O11277">
            <v>216</v>
          </cell>
        </row>
        <row r="11278">
          <cell r="F11278" t="str">
            <v xml:space="preserve">10315862       </v>
          </cell>
          <cell r="O11278">
            <v>45</v>
          </cell>
        </row>
        <row r="11279">
          <cell r="F11279" t="str">
            <v xml:space="preserve">1103101503     </v>
          </cell>
          <cell r="O11279">
            <v>120</v>
          </cell>
        </row>
        <row r="11280">
          <cell r="F11280" t="str">
            <v xml:space="preserve">1103101503     </v>
          </cell>
          <cell r="O11280">
            <v>522</v>
          </cell>
        </row>
        <row r="11281">
          <cell r="F11281" t="str">
            <v xml:space="preserve">1103101503     </v>
          </cell>
          <cell r="O11281">
            <v>225</v>
          </cell>
        </row>
        <row r="11282">
          <cell r="F11282" t="str">
            <v xml:space="preserve">1103101503     </v>
          </cell>
          <cell r="O11282">
            <v>75</v>
          </cell>
        </row>
        <row r="11283">
          <cell r="F11283" t="str">
            <v xml:space="preserve">1103101503     </v>
          </cell>
          <cell r="O11283">
            <v>432</v>
          </cell>
        </row>
        <row r="11284">
          <cell r="F11284" t="str">
            <v xml:space="preserve">73166349       </v>
          </cell>
          <cell r="O11284">
            <v>90</v>
          </cell>
        </row>
        <row r="11285">
          <cell r="F11285" t="str">
            <v xml:space="preserve">73166349       </v>
          </cell>
          <cell r="O11285">
            <v>414</v>
          </cell>
        </row>
        <row r="11286">
          <cell r="F11286" t="str">
            <v xml:space="preserve">73507193       </v>
          </cell>
          <cell r="O11286">
            <v>330</v>
          </cell>
        </row>
        <row r="11287">
          <cell r="F11287" t="str">
            <v xml:space="preserve">73507193       </v>
          </cell>
          <cell r="O11287">
            <v>522</v>
          </cell>
        </row>
        <row r="11288">
          <cell r="F11288" t="str">
            <v xml:space="preserve">73507193       </v>
          </cell>
          <cell r="O11288">
            <v>135</v>
          </cell>
        </row>
        <row r="11289">
          <cell r="F11289" t="str">
            <v xml:space="preserve">80021718       </v>
          </cell>
          <cell r="O11289">
            <v>720</v>
          </cell>
        </row>
        <row r="11290">
          <cell r="F11290" t="str">
            <v xml:space="preserve">80021718       </v>
          </cell>
          <cell r="O11290">
            <v>225</v>
          </cell>
        </row>
        <row r="11291">
          <cell r="F11291" t="str">
            <v xml:space="preserve">91540489       </v>
          </cell>
          <cell r="O11291">
            <v>975</v>
          </cell>
        </row>
        <row r="11292">
          <cell r="F11292" t="str">
            <v xml:space="preserve">91540489       </v>
          </cell>
          <cell r="O11292">
            <v>72</v>
          </cell>
        </row>
        <row r="11293">
          <cell r="F11293" t="str">
            <v xml:space="preserve">91540489       </v>
          </cell>
          <cell r="O11293">
            <v>45</v>
          </cell>
        </row>
        <row r="11294">
          <cell r="F11294" t="str">
            <v xml:space="preserve">74170036       </v>
          </cell>
          <cell r="O11294">
            <v>504</v>
          </cell>
        </row>
        <row r="11295">
          <cell r="F11295" t="str">
            <v xml:space="preserve">74170036       </v>
          </cell>
          <cell r="O11295">
            <v>135</v>
          </cell>
        </row>
        <row r="11296">
          <cell r="F11296" t="str">
            <v xml:space="preserve">7305518        </v>
          </cell>
          <cell r="O11296">
            <v>18</v>
          </cell>
        </row>
        <row r="11297">
          <cell r="F11297" t="str">
            <v xml:space="preserve">7305518        </v>
          </cell>
          <cell r="O11297">
            <v>1800</v>
          </cell>
        </row>
        <row r="11298">
          <cell r="F11298" t="str">
            <v xml:space="preserve">7305518        </v>
          </cell>
          <cell r="O11298">
            <v>900</v>
          </cell>
        </row>
        <row r="11299">
          <cell r="F11299" t="str">
            <v xml:space="preserve">7305425        </v>
          </cell>
          <cell r="O11299">
            <v>522</v>
          </cell>
        </row>
        <row r="11300">
          <cell r="F11300" t="str">
            <v xml:space="preserve">7301411        </v>
          </cell>
          <cell r="O11300">
            <v>666</v>
          </cell>
        </row>
        <row r="11301">
          <cell r="F11301" t="str">
            <v xml:space="preserve">7301411        </v>
          </cell>
          <cell r="O11301">
            <v>405</v>
          </cell>
        </row>
        <row r="11302">
          <cell r="F11302" t="str">
            <v xml:space="preserve">79734086       </v>
          </cell>
          <cell r="O11302">
            <v>180</v>
          </cell>
        </row>
        <row r="11303">
          <cell r="F11303" t="str">
            <v xml:space="preserve">79734086       </v>
          </cell>
          <cell r="O11303">
            <v>180</v>
          </cell>
        </row>
        <row r="11304">
          <cell r="F11304" t="str">
            <v xml:space="preserve">17783299       </v>
          </cell>
          <cell r="O11304">
            <v>450</v>
          </cell>
        </row>
        <row r="11305">
          <cell r="F11305" t="str">
            <v xml:space="preserve">17783299       </v>
          </cell>
          <cell r="O11305">
            <v>180</v>
          </cell>
        </row>
        <row r="11306">
          <cell r="F11306" t="str">
            <v xml:space="preserve">17783299       </v>
          </cell>
          <cell r="O11306">
            <v>2700</v>
          </cell>
        </row>
        <row r="11307">
          <cell r="F11307" t="str">
            <v xml:space="preserve">17783299       </v>
          </cell>
          <cell r="O11307">
            <v>140</v>
          </cell>
        </row>
        <row r="11308">
          <cell r="F11308" t="str">
            <v xml:space="preserve">17783299       </v>
          </cell>
          <cell r="O11308">
            <v>1035</v>
          </cell>
        </row>
        <row r="11309">
          <cell r="F11309" t="str">
            <v xml:space="preserve">4968703        </v>
          </cell>
          <cell r="O11309">
            <v>1500</v>
          </cell>
        </row>
        <row r="11310">
          <cell r="F11310" t="str">
            <v xml:space="preserve">17655129       </v>
          </cell>
          <cell r="O11310">
            <v>450</v>
          </cell>
        </row>
        <row r="11311">
          <cell r="F11311" t="str">
            <v xml:space="preserve">17655129       </v>
          </cell>
          <cell r="O11311">
            <v>35</v>
          </cell>
        </row>
        <row r="11312">
          <cell r="F11312" t="str">
            <v xml:space="preserve">17655129       </v>
          </cell>
          <cell r="O11312">
            <v>180</v>
          </cell>
        </row>
        <row r="11313">
          <cell r="F11313" t="str">
            <v xml:space="preserve">1083686504     </v>
          </cell>
          <cell r="O11313">
            <v>225</v>
          </cell>
        </row>
        <row r="11314">
          <cell r="F11314" t="str">
            <v xml:space="preserve">1083686504     </v>
          </cell>
          <cell r="O11314">
            <v>135</v>
          </cell>
        </row>
        <row r="11315">
          <cell r="F11315" t="str">
            <v xml:space="preserve">35250577       </v>
          </cell>
          <cell r="O11315">
            <v>30</v>
          </cell>
        </row>
        <row r="11316">
          <cell r="F11316" t="str">
            <v xml:space="preserve">35250577       </v>
          </cell>
          <cell r="O11316">
            <v>180</v>
          </cell>
        </row>
        <row r="11317">
          <cell r="F11317" t="str">
            <v xml:space="preserve">35250577       </v>
          </cell>
          <cell r="O11317">
            <v>225</v>
          </cell>
        </row>
        <row r="11318">
          <cell r="F11318" t="str">
            <v xml:space="preserve">19389409       </v>
          </cell>
          <cell r="O11318">
            <v>360</v>
          </cell>
        </row>
        <row r="11319">
          <cell r="F11319" t="str">
            <v xml:space="preserve">19389409       </v>
          </cell>
          <cell r="O11319">
            <v>45</v>
          </cell>
        </row>
        <row r="11320">
          <cell r="F11320" t="str">
            <v xml:space="preserve">19389409       </v>
          </cell>
          <cell r="O11320">
            <v>45</v>
          </cell>
        </row>
        <row r="11321">
          <cell r="F11321" t="str">
            <v xml:space="preserve">93131041       </v>
          </cell>
          <cell r="O11321">
            <v>900</v>
          </cell>
        </row>
        <row r="11322">
          <cell r="F11322" t="str">
            <v xml:space="preserve">18185538       </v>
          </cell>
          <cell r="O11322">
            <v>1350</v>
          </cell>
        </row>
        <row r="11323">
          <cell r="F11323" t="str">
            <v xml:space="preserve">18185538       </v>
          </cell>
          <cell r="O11323">
            <v>594</v>
          </cell>
        </row>
        <row r="11324">
          <cell r="F11324" t="str">
            <v xml:space="preserve">18185538       </v>
          </cell>
          <cell r="O11324">
            <v>300</v>
          </cell>
        </row>
        <row r="11325">
          <cell r="F11325" t="str">
            <v xml:space="preserve">83226520       </v>
          </cell>
          <cell r="O11325">
            <v>2142</v>
          </cell>
        </row>
        <row r="11326">
          <cell r="F11326" t="str">
            <v xml:space="preserve">83226520       </v>
          </cell>
          <cell r="O11326">
            <v>270</v>
          </cell>
        </row>
        <row r="11327">
          <cell r="F11327" t="str">
            <v xml:space="preserve">12266504       </v>
          </cell>
          <cell r="O11327">
            <v>420</v>
          </cell>
        </row>
        <row r="11328">
          <cell r="F11328" t="str">
            <v xml:space="preserve">12231586       </v>
          </cell>
          <cell r="O11328">
            <v>225</v>
          </cell>
        </row>
        <row r="11329">
          <cell r="F11329" t="str">
            <v xml:space="preserve">12231586       </v>
          </cell>
          <cell r="O11329">
            <v>54</v>
          </cell>
        </row>
        <row r="11330">
          <cell r="F11330" t="str">
            <v xml:space="preserve">12231586       </v>
          </cell>
          <cell r="O11330">
            <v>135</v>
          </cell>
        </row>
        <row r="11331">
          <cell r="F11331" t="str">
            <v xml:space="preserve">83042067       </v>
          </cell>
          <cell r="O11331">
            <v>225</v>
          </cell>
        </row>
        <row r="11332">
          <cell r="F11332" t="str">
            <v xml:space="preserve">83042067       </v>
          </cell>
          <cell r="O11332">
            <v>18</v>
          </cell>
        </row>
        <row r="11333">
          <cell r="F11333" t="str">
            <v xml:space="preserve">83042067       </v>
          </cell>
          <cell r="O11333">
            <v>270</v>
          </cell>
        </row>
        <row r="11334">
          <cell r="F11334" t="str">
            <v xml:space="preserve">18144684       </v>
          </cell>
          <cell r="O11334">
            <v>390</v>
          </cell>
        </row>
        <row r="11335">
          <cell r="F11335" t="str">
            <v xml:space="preserve">18144684       </v>
          </cell>
          <cell r="O11335">
            <v>54</v>
          </cell>
        </row>
        <row r="11336">
          <cell r="F11336" t="str">
            <v xml:space="preserve">18144684       </v>
          </cell>
          <cell r="O11336">
            <v>90</v>
          </cell>
        </row>
        <row r="11337">
          <cell r="F11337" t="str">
            <v xml:space="preserve">18144684       </v>
          </cell>
          <cell r="O11337">
            <v>180</v>
          </cell>
        </row>
        <row r="11338">
          <cell r="F11338" t="str">
            <v xml:space="preserve">16864143       </v>
          </cell>
          <cell r="O11338">
            <v>1065</v>
          </cell>
        </row>
        <row r="11339">
          <cell r="F11339" t="str">
            <v xml:space="preserve">16864143       </v>
          </cell>
          <cell r="O11339">
            <v>162</v>
          </cell>
        </row>
        <row r="11340">
          <cell r="F11340" t="str">
            <v xml:space="preserve">16864143       </v>
          </cell>
          <cell r="O11340">
            <v>90</v>
          </cell>
        </row>
        <row r="11341">
          <cell r="F11341" t="str">
            <v xml:space="preserve">1062292334     </v>
          </cell>
          <cell r="O11341">
            <v>315</v>
          </cell>
        </row>
        <row r="11342">
          <cell r="F11342" t="str">
            <v xml:space="preserve">1062292334     </v>
          </cell>
          <cell r="O11342">
            <v>450</v>
          </cell>
        </row>
        <row r="11343">
          <cell r="F11343" t="str">
            <v xml:space="preserve">1062292334     </v>
          </cell>
          <cell r="O11343">
            <v>135</v>
          </cell>
        </row>
        <row r="11344">
          <cell r="F11344" t="str">
            <v xml:space="preserve">901389829      </v>
          </cell>
          <cell r="O11344">
            <v>675</v>
          </cell>
        </row>
        <row r="11345">
          <cell r="F11345" t="str">
            <v xml:space="preserve">1010164223     </v>
          </cell>
          <cell r="O11345">
            <v>540</v>
          </cell>
        </row>
        <row r="11346">
          <cell r="F11346" t="str">
            <v xml:space="preserve">1015995477     </v>
          </cell>
          <cell r="O11346">
            <v>72</v>
          </cell>
        </row>
        <row r="11347">
          <cell r="F11347" t="str">
            <v xml:space="preserve">1015995477     </v>
          </cell>
          <cell r="O11347">
            <v>30</v>
          </cell>
        </row>
        <row r="11348">
          <cell r="F11348" t="str">
            <v xml:space="preserve">80277771       </v>
          </cell>
          <cell r="O11348">
            <v>9</v>
          </cell>
        </row>
        <row r="11349">
          <cell r="F11349" t="str">
            <v xml:space="preserve">80277771       </v>
          </cell>
          <cell r="O11349">
            <v>702</v>
          </cell>
        </row>
        <row r="11350">
          <cell r="F11350" t="str">
            <v xml:space="preserve">80351964       </v>
          </cell>
          <cell r="O11350">
            <v>234</v>
          </cell>
        </row>
        <row r="11351">
          <cell r="F11351" t="str">
            <v xml:space="preserve">80351964       </v>
          </cell>
          <cell r="O11351">
            <v>90</v>
          </cell>
        </row>
        <row r="11352">
          <cell r="F11352" t="str">
            <v xml:space="preserve">80351964       </v>
          </cell>
          <cell r="O11352">
            <v>81</v>
          </cell>
        </row>
        <row r="11353">
          <cell r="F11353" t="str">
            <v xml:space="preserve">80351964       </v>
          </cell>
          <cell r="O11353">
            <v>30</v>
          </cell>
        </row>
        <row r="11354">
          <cell r="F11354" t="str">
            <v xml:space="preserve">23624338       </v>
          </cell>
          <cell r="O11354">
            <v>1440</v>
          </cell>
        </row>
        <row r="11355">
          <cell r="F11355" t="str">
            <v xml:space="preserve">3085945        </v>
          </cell>
          <cell r="O11355">
            <v>9</v>
          </cell>
        </row>
        <row r="11356">
          <cell r="F11356" t="str">
            <v xml:space="preserve">3085945        </v>
          </cell>
          <cell r="O11356">
            <v>900</v>
          </cell>
        </row>
        <row r="11357">
          <cell r="F11357" t="str">
            <v xml:space="preserve">3085945        </v>
          </cell>
          <cell r="O11357">
            <v>360</v>
          </cell>
        </row>
        <row r="11358">
          <cell r="F11358" t="str">
            <v xml:space="preserve">1072422938     </v>
          </cell>
          <cell r="O11358">
            <v>9</v>
          </cell>
        </row>
        <row r="11359">
          <cell r="F11359" t="str">
            <v xml:space="preserve">1072422938     </v>
          </cell>
          <cell r="O11359">
            <v>45</v>
          </cell>
        </row>
        <row r="11360">
          <cell r="F11360" t="str">
            <v xml:space="preserve">1072422938     </v>
          </cell>
          <cell r="O11360">
            <v>1206</v>
          </cell>
        </row>
        <row r="11361">
          <cell r="F11361" t="str">
            <v xml:space="preserve">1072422938     </v>
          </cell>
          <cell r="O11361">
            <v>855</v>
          </cell>
        </row>
        <row r="11362">
          <cell r="F11362" t="str">
            <v xml:space="preserve">80276442       </v>
          </cell>
          <cell r="O11362">
            <v>900</v>
          </cell>
        </row>
        <row r="11363">
          <cell r="F11363" t="str">
            <v xml:space="preserve">80276442       </v>
          </cell>
          <cell r="O11363">
            <v>180</v>
          </cell>
        </row>
        <row r="11364">
          <cell r="F11364" t="str">
            <v xml:space="preserve">4090572        </v>
          </cell>
          <cell r="O11364">
            <v>27</v>
          </cell>
        </row>
        <row r="11365">
          <cell r="F11365" t="str">
            <v xml:space="preserve">4090572        </v>
          </cell>
          <cell r="O11365">
            <v>306</v>
          </cell>
        </row>
        <row r="11366">
          <cell r="F11366" t="str">
            <v xml:space="preserve">79210220       </v>
          </cell>
          <cell r="O11366">
            <v>180</v>
          </cell>
        </row>
        <row r="11367">
          <cell r="F11367" t="str">
            <v xml:space="preserve">80024551       </v>
          </cell>
          <cell r="O11367">
            <v>225</v>
          </cell>
        </row>
        <row r="11368">
          <cell r="F11368" t="str">
            <v xml:space="preserve">80024551       </v>
          </cell>
          <cell r="O11368">
            <v>1044</v>
          </cell>
        </row>
        <row r="11369">
          <cell r="F11369" t="str">
            <v xml:space="preserve">80024551       </v>
          </cell>
          <cell r="O11369">
            <v>54</v>
          </cell>
        </row>
        <row r="11370">
          <cell r="F11370" t="str">
            <v xml:space="preserve">80024551       </v>
          </cell>
          <cell r="O11370">
            <v>60</v>
          </cell>
        </row>
        <row r="11371">
          <cell r="F11371" t="str">
            <v xml:space="preserve">900375894      </v>
          </cell>
          <cell r="O11371">
            <v>30</v>
          </cell>
        </row>
        <row r="11372">
          <cell r="F11372" t="str">
            <v xml:space="preserve">4198272        </v>
          </cell>
          <cell r="O11372">
            <v>153</v>
          </cell>
        </row>
        <row r="11373">
          <cell r="F11373" t="str">
            <v xml:space="preserve">4198272        </v>
          </cell>
          <cell r="O11373">
            <v>105</v>
          </cell>
        </row>
        <row r="11374">
          <cell r="F11374" t="str">
            <v xml:space="preserve">4198272        </v>
          </cell>
          <cell r="O11374">
            <v>900</v>
          </cell>
        </row>
        <row r="11375">
          <cell r="F11375" t="str">
            <v xml:space="preserve">4198272        </v>
          </cell>
          <cell r="O11375">
            <v>180</v>
          </cell>
        </row>
        <row r="11376">
          <cell r="F11376" t="str">
            <v xml:space="preserve">4090806        </v>
          </cell>
          <cell r="O11376">
            <v>135</v>
          </cell>
        </row>
        <row r="11377">
          <cell r="F11377" t="str">
            <v xml:space="preserve">4090806        </v>
          </cell>
          <cell r="O11377">
            <v>60</v>
          </cell>
        </row>
        <row r="11378">
          <cell r="F11378" t="str">
            <v xml:space="preserve">4090806        </v>
          </cell>
          <cell r="O11378">
            <v>990</v>
          </cell>
        </row>
        <row r="11379">
          <cell r="F11379" t="str">
            <v xml:space="preserve">4090806        </v>
          </cell>
          <cell r="O11379">
            <v>450</v>
          </cell>
        </row>
        <row r="11380">
          <cell r="F11380" t="str">
            <v xml:space="preserve">1049794120     </v>
          </cell>
          <cell r="O11380">
            <v>315</v>
          </cell>
        </row>
        <row r="11381">
          <cell r="F11381" t="str">
            <v xml:space="preserve">80004213       </v>
          </cell>
          <cell r="O11381">
            <v>210</v>
          </cell>
        </row>
        <row r="11382">
          <cell r="F11382" t="str">
            <v xml:space="preserve">80004213       </v>
          </cell>
          <cell r="O11382">
            <v>1440</v>
          </cell>
        </row>
        <row r="11383">
          <cell r="F11383" t="str">
            <v xml:space="preserve">80004213       </v>
          </cell>
          <cell r="O11383">
            <v>405</v>
          </cell>
        </row>
        <row r="11384">
          <cell r="F11384" t="str">
            <v xml:space="preserve">98330118       </v>
          </cell>
          <cell r="O11384">
            <v>345</v>
          </cell>
        </row>
        <row r="11385">
          <cell r="F11385" t="str">
            <v xml:space="preserve">98330118       </v>
          </cell>
          <cell r="O11385">
            <v>18</v>
          </cell>
        </row>
        <row r="11386">
          <cell r="F11386" t="str">
            <v xml:space="preserve">1126452165     </v>
          </cell>
          <cell r="O11386">
            <v>210</v>
          </cell>
        </row>
        <row r="11387">
          <cell r="F11387" t="str">
            <v xml:space="preserve">1126452165     </v>
          </cell>
          <cell r="O11387">
            <v>18</v>
          </cell>
        </row>
        <row r="11388">
          <cell r="F11388" t="str">
            <v xml:space="preserve">79339314       </v>
          </cell>
          <cell r="O11388">
            <v>225</v>
          </cell>
        </row>
        <row r="11389">
          <cell r="F11389" t="str">
            <v xml:space="preserve">79339314       </v>
          </cell>
          <cell r="O11389">
            <v>36</v>
          </cell>
        </row>
        <row r="11390">
          <cell r="F11390" t="str">
            <v xml:space="preserve">79339314       </v>
          </cell>
          <cell r="O11390">
            <v>90</v>
          </cell>
        </row>
        <row r="11391">
          <cell r="F11391" t="str">
            <v xml:space="preserve">3171403        </v>
          </cell>
          <cell r="O11391">
            <v>666</v>
          </cell>
        </row>
        <row r="11392">
          <cell r="F11392" t="str">
            <v xml:space="preserve">3171403        </v>
          </cell>
          <cell r="O11392">
            <v>405</v>
          </cell>
        </row>
        <row r="11393">
          <cell r="F11393" t="str">
            <v xml:space="preserve">83218584       </v>
          </cell>
          <cell r="O11393">
            <v>285</v>
          </cell>
        </row>
        <row r="11394">
          <cell r="F11394" t="str">
            <v xml:space="preserve">83218584       </v>
          </cell>
          <cell r="O11394">
            <v>18</v>
          </cell>
        </row>
        <row r="11395">
          <cell r="F11395" t="str">
            <v xml:space="preserve">83218584       </v>
          </cell>
          <cell r="O11395">
            <v>180</v>
          </cell>
        </row>
        <row r="11396">
          <cell r="F11396" t="str">
            <v xml:space="preserve">83218584       </v>
          </cell>
          <cell r="O11396">
            <v>360</v>
          </cell>
        </row>
        <row r="11397">
          <cell r="F11397" t="str">
            <v xml:space="preserve">83218584       </v>
          </cell>
          <cell r="O11397">
            <v>306</v>
          </cell>
        </row>
        <row r="11398">
          <cell r="F11398" t="str">
            <v xml:space="preserve">83218584       </v>
          </cell>
          <cell r="O11398">
            <v>135</v>
          </cell>
        </row>
        <row r="11399">
          <cell r="F11399" t="str">
            <v xml:space="preserve">83218584       </v>
          </cell>
          <cell r="O11399">
            <v>510</v>
          </cell>
        </row>
        <row r="11400">
          <cell r="F11400" t="str">
            <v xml:space="preserve">7305728        </v>
          </cell>
          <cell r="O11400">
            <v>120</v>
          </cell>
        </row>
        <row r="11401">
          <cell r="F11401" t="str">
            <v xml:space="preserve">7305728        </v>
          </cell>
          <cell r="O11401">
            <v>216</v>
          </cell>
        </row>
        <row r="11402">
          <cell r="F11402" t="str">
            <v xml:space="preserve">7305728        </v>
          </cell>
          <cell r="O11402">
            <v>45</v>
          </cell>
        </row>
        <row r="11403">
          <cell r="F11403" t="str">
            <v xml:space="preserve">51856228       </v>
          </cell>
          <cell r="O11403">
            <v>18</v>
          </cell>
        </row>
        <row r="11404">
          <cell r="F11404" t="str">
            <v xml:space="preserve">51856228       </v>
          </cell>
          <cell r="O11404">
            <v>576</v>
          </cell>
        </row>
        <row r="11405">
          <cell r="F11405" t="str">
            <v xml:space="preserve">51856228       </v>
          </cell>
          <cell r="O11405">
            <v>270</v>
          </cell>
        </row>
        <row r="11406">
          <cell r="F11406" t="str">
            <v xml:space="preserve">51856228       </v>
          </cell>
          <cell r="O11406">
            <v>738</v>
          </cell>
        </row>
        <row r="11407">
          <cell r="F11407" t="str">
            <v xml:space="preserve">51856228       </v>
          </cell>
          <cell r="O11407">
            <v>135</v>
          </cell>
        </row>
        <row r="11408">
          <cell r="F11408" t="str">
            <v xml:space="preserve">51856228       </v>
          </cell>
          <cell r="O11408">
            <v>90</v>
          </cell>
        </row>
        <row r="11409">
          <cell r="F11409" t="str">
            <v xml:space="preserve">51856228       </v>
          </cell>
          <cell r="O11409">
            <v>144</v>
          </cell>
        </row>
        <row r="11410">
          <cell r="F11410" t="str">
            <v xml:space="preserve">51856228       </v>
          </cell>
          <cell r="O11410">
            <v>15</v>
          </cell>
        </row>
        <row r="11411">
          <cell r="F11411" t="str">
            <v xml:space="preserve">51856228       </v>
          </cell>
          <cell r="O11411">
            <v>1080</v>
          </cell>
        </row>
        <row r="11412">
          <cell r="F11412" t="str">
            <v xml:space="preserve">860029445      </v>
          </cell>
          <cell r="O11412">
            <v>36</v>
          </cell>
        </row>
        <row r="11413">
          <cell r="F11413" t="str">
            <v xml:space="preserve">860029445      </v>
          </cell>
          <cell r="O11413">
            <v>45</v>
          </cell>
        </row>
        <row r="11414">
          <cell r="F11414" t="str">
            <v xml:space="preserve">1112626290     </v>
          </cell>
          <cell r="O11414">
            <v>180</v>
          </cell>
        </row>
        <row r="11415">
          <cell r="F11415" t="str">
            <v xml:space="preserve">1112626290     </v>
          </cell>
          <cell r="O11415">
            <v>150</v>
          </cell>
        </row>
        <row r="11416">
          <cell r="F11416" t="str">
            <v xml:space="preserve">1112626290     </v>
          </cell>
          <cell r="O11416">
            <v>396</v>
          </cell>
        </row>
        <row r="11417">
          <cell r="F11417" t="str">
            <v xml:space="preserve">1097404034     </v>
          </cell>
          <cell r="O11417">
            <v>4.5</v>
          </cell>
        </row>
        <row r="11418">
          <cell r="F11418" t="str">
            <v xml:space="preserve">1097404034     </v>
          </cell>
          <cell r="O11418">
            <v>120</v>
          </cell>
        </row>
        <row r="11419">
          <cell r="F11419" t="str">
            <v xml:space="preserve">1097404034     </v>
          </cell>
          <cell r="O11419">
            <v>72</v>
          </cell>
        </row>
        <row r="11420">
          <cell r="F11420" t="str">
            <v xml:space="preserve">1097404034     </v>
          </cell>
          <cell r="O11420">
            <v>270</v>
          </cell>
        </row>
        <row r="11421">
          <cell r="F11421" t="str">
            <v xml:space="preserve">94071517       </v>
          </cell>
          <cell r="O11421">
            <v>150</v>
          </cell>
        </row>
        <row r="11422">
          <cell r="F11422" t="str">
            <v xml:space="preserve">94071517       </v>
          </cell>
          <cell r="O11422">
            <v>90</v>
          </cell>
        </row>
        <row r="11423">
          <cell r="F11423" t="str">
            <v xml:space="preserve">94071517       </v>
          </cell>
          <cell r="O11423">
            <v>45</v>
          </cell>
        </row>
        <row r="11424">
          <cell r="F11424" t="str">
            <v xml:space="preserve">94071517       </v>
          </cell>
          <cell r="O11424">
            <v>300</v>
          </cell>
        </row>
        <row r="11425">
          <cell r="F11425" t="str">
            <v xml:space="preserve">94071517       </v>
          </cell>
          <cell r="O11425">
            <v>90</v>
          </cell>
        </row>
        <row r="11426">
          <cell r="F11426" t="str">
            <v xml:space="preserve">94071517       </v>
          </cell>
          <cell r="O11426">
            <v>135</v>
          </cell>
        </row>
        <row r="11427">
          <cell r="F11427" t="str">
            <v xml:space="preserve">8435389        </v>
          </cell>
          <cell r="O11427">
            <v>600</v>
          </cell>
        </row>
        <row r="11428">
          <cell r="F11428" t="str">
            <v xml:space="preserve">8101796        </v>
          </cell>
          <cell r="O11428">
            <v>2520</v>
          </cell>
        </row>
        <row r="11429">
          <cell r="F11429" t="str">
            <v xml:space="preserve">8101796        </v>
          </cell>
          <cell r="O11429">
            <v>195</v>
          </cell>
        </row>
        <row r="11430">
          <cell r="F11430" t="str">
            <v xml:space="preserve">1101440685     </v>
          </cell>
          <cell r="O11430">
            <v>150</v>
          </cell>
        </row>
        <row r="11431">
          <cell r="F11431" t="str">
            <v xml:space="preserve">1101440685     </v>
          </cell>
          <cell r="O11431">
            <v>918</v>
          </cell>
        </row>
        <row r="11432">
          <cell r="F11432" t="str">
            <v xml:space="preserve">1023722736     </v>
          </cell>
          <cell r="O11432">
            <v>600</v>
          </cell>
        </row>
        <row r="11433">
          <cell r="F11433" t="str">
            <v xml:space="preserve">1023722736     </v>
          </cell>
          <cell r="O11433">
            <v>90</v>
          </cell>
        </row>
        <row r="11434">
          <cell r="F11434" t="str">
            <v xml:space="preserve">16553709       </v>
          </cell>
          <cell r="O11434">
            <v>90</v>
          </cell>
        </row>
        <row r="11435">
          <cell r="F11435" t="str">
            <v xml:space="preserve">16553709       </v>
          </cell>
          <cell r="O11435">
            <v>30</v>
          </cell>
        </row>
        <row r="11436">
          <cell r="F11436" t="str">
            <v xml:space="preserve">16553709       </v>
          </cell>
          <cell r="O11436">
            <v>180</v>
          </cell>
        </row>
        <row r="11437">
          <cell r="F11437" t="str">
            <v xml:space="preserve">1070329625     </v>
          </cell>
          <cell r="O11437">
            <v>450</v>
          </cell>
        </row>
        <row r="11438">
          <cell r="F11438" t="str">
            <v xml:space="preserve">1070329625     </v>
          </cell>
          <cell r="O11438">
            <v>90</v>
          </cell>
        </row>
        <row r="11439">
          <cell r="F11439" t="str">
            <v xml:space="preserve">1070329625     </v>
          </cell>
          <cell r="O11439">
            <v>1260</v>
          </cell>
        </row>
        <row r="11440">
          <cell r="F11440" t="str">
            <v xml:space="preserve">1070329625     </v>
          </cell>
          <cell r="O11440">
            <v>630</v>
          </cell>
        </row>
        <row r="11441">
          <cell r="F11441" t="str">
            <v xml:space="preserve">1092154547     </v>
          </cell>
          <cell r="O11441">
            <v>342</v>
          </cell>
        </row>
        <row r="11442">
          <cell r="F11442" t="str">
            <v xml:space="preserve">1092154547     </v>
          </cell>
          <cell r="O11442">
            <v>60</v>
          </cell>
        </row>
        <row r="11443">
          <cell r="F11443" t="str">
            <v xml:space="preserve">1092154547     </v>
          </cell>
          <cell r="O11443">
            <v>360</v>
          </cell>
        </row>
        <row r="11444">
          <cell r="F11444" t="str">
            <v xml:space="preserve">901429592      </v>
          </cell>
          <cell r="O11444">
            <v>18</v>
          </cell>
        </row>
        <row r="11445">
          <cell r="F11445" t="str">
            <v xml:space="preserve">15381508       </v>
          </cell>
          <cell r="O11445">
            <v>375</v>
          </cell>
        </row>
        <row r="11446">
          <cell r="F11446" t="str">
            <v xml:space="preserve">15381508       </v>
          </cell>
          <cell r="O11446">
            <v>810</v>
          </cell>
        </row>
        <row r="11447">
          <cell r="F11447" t="str">
            <v xml:space="preserve">15381508       </v>
          </cell>
          <cell r="O11447">
            <v>180</v>
          </cell>
        </row>
        <row r="11448">
          <cell r="F11448" t="str">
            <v xml:space="preserve">1104069879     </v>
          </cell>
          <cell r="O11448">
            <v>108</v>
          </cell>
        </row>
        <row r="11449">
          <cell r="F11449" t="str">
            <v xml:space="preserve">1104069879     </v>
          </cell>
          <cell r="O11449">
            <v>225</v>
          </cell>
        </row>
        <row r="11450">
          <cell r="F11450" t="str">
            <v xml:space="preserve">10178861       </v>
          </cell>
          <cell r="O11450">
            <v>342</v>
          </cell>
        </row>
        <row r="11451">
          <cell r="F11451" t="str">
            <v xml:space="preserve">6802563        </v>
          </cell>
          <cell r="O11451">
            <v>120</v>
          </cell>
        </row>
        <row r="11452">
          <cell r="F11452" t="str">
            <v xml:space="preserve">6802563        </v>
          </cell>
          <cell r="O11452">
            <v>45</v>
          </cell>
        </row>
        <row r="11453">
          <cell r="F11453" t="str">
            <v xml:space="preserve">6802563        </v>
          </cell>
          <cell r="O11453">
            <v>90</v>
          </cell>
        </row>
        <row r="11454">
          <cell r="F11454" t="str">
            <v xml:space="preserve">6802563        </v>
          </cell>
          <cell r="O11454">
            <v>300</v>
          </cell>
        </row>
        <row r="11455">
          <cell r="F11455" t="str">
            <v xml:space="preserve">1105671149     </v>
          </cell>
          <cell r="O11455">
            <v>270</v>
          </cell>
        </row>
        <row r="11456">
          <cell r="F11456" t="str">
            <v xml:space="preserve">1105671149     </v>
          </cell>
          <cell r="O11456">
            <v>75</v>
          </cell>
        </row>
        <row r="11457">
          <cell r="F11457" t="str">
            <v xml:space="preserve">1105671149     </v>
          </cell>
          <cell r="O11457">
            <v>1440</v>
          </cell>
        </row>
        <row r="11458">
          <cell r="F11458" t="str">
            <v xml:space="preserve">1105671149     </v>
          </cell>
          <cell r="O11458">
            <v>315</v>
          </cell>
        </row>
        <row r="11459">
          <cell r="F11459" t="str">
            <v xml:space="preserve">88273778       </v>
          </cell>
          <cell r="O11459">
            <v>15</v>
          </cell>
        </row>
        <row r="11460">
          <cell r="F11460" t="str">
            <v xml:space="preserve">88273778       </v>
          </cell>
          <cell r="O11460">
            <v>255</v>
          </cell>
        </row>
        <row r="11461">
          <cell r="F11461" t="str">
            <v xml:space="preserve">88273778       </v>
          </cell>
          <cell r="O11461">
            <v>330</v>
          </cell>
        </row>
        <row r="11462">
          <cell r="F11462" t="str">
            <v xml:space="preserve">88273778       </v>
          </cell>
          <cell r="O11462">
            <v>18</v>
          </cell>
        </row>
        <row r="11463">
          <cell r="F11463" t="str">
            <v xml:space="preserve">88273778       </v>
          </cell>
          <cell r="O11463">
            <v>45</v>
          </cell>
        </row>
        <row r="11464">
          <cell r="F11464" t="str">
            <v xml:space="preserve">10174892       </v>
          </cell>
          <cell r="O11464">
            <v>360</v>
          </cell>
        </row>
        <row r="11465">
          <cell r="F11465" t="str">
            <v xml:space="preserve">10174892       </v>
          </cell>
          <cell r="O11465">
            <v>90</v>
          </cell>
        </row>
        <row r="11466">
          <cell r="F11466" t="str">
            <v xml:space="preserve">10174892       </v>
          </cell>
          <cell r="O11466">
            <v>18</v>
          </cell>
        </row>
        <row r="11467">
          <cell r="F11467" t="str">
            <v xml:space="preserve">10174892       </v>
          </cell>
          <cell r="O11467">
            <v>360</v>
          </cell>
        </row>
        <row r="11468">
          <cell r="F11468" t="str">
            <v xml:space="preserve">10174892       </v>
          </cell>
          <cell r="O11468">
            <v>90</v>
          </cell>
        </row>
        <row r="11469">
          <cell r="F11469" t="str">
            <v xml:space="preserve">10174892       </v>
          </cell>
          <cell r="O11469">
            <v>270</v>
          </cell>
        </row>
        <row r="11470">
          <cell r="F11470" t="str">
            <v xml:space="preserve">10174892       </v>
          </cell>
          <cell r="O11470">
            <v>45</v>
          </cell>
        </row>
        <row r="11471">
          <cell r="F11471" t="str">
            <v xml:space="preserve">10174892       </v>
          </cell>
          <cell r="O11471">
            <v>630</v>
          </cell>
        </row>
        <row r="11472">
          <cell r="F11472" t="str">
            <v xml:space="preserve">10174892       </v>
          </cell>
          <cell r="O11472">
            <v>135</v>
          </cell>
        </row>
        <row r="11473">
          <cell r="F11473" t="str">
            <v xml:space="preserve">13476066       </v>
          </cell>
          <cell r="O11473">
            <v>15</v>
          </cell>
        </row>
        <row r="11474">
          <cell r="F11474" t="str">
            <v xml:space="preserve">13476066       </v>
          </cell>
          <cell r="O11474">
            <v>45</v>
          </cell>
        </row>
        <row r="11475">
          <cell r="F11475" t="str">
            <v xml:space="preserve">13476066       </v>
          </cell>
          <cell r="O11475">
            <v>150</v>
          </cell>
        </row>
        <row r="11476">
          <cell r="F11476" t="str">
            <v xml:space="preserve">13476066       </v>
          </cell>
          <cell r="O11476">
            <v>18</v>
          </cell>
        </row>
        <row r="11477">
          <cell r="F11477" t="str">
            <v xml:space="preserve">94265425       </v>
          </cell>
          <cell r="O11477">
            <v>135</v>
          </cell>
        </row>
        <row r="11478">
          <cell r="F11478" t="str">
            <v xml:space="preserve">94265425       </v>
          </cell>
          <cell r="O11478">
            <v>666</v>
          </cell>
        </row>
        <row r="11479">
          <cell r="F11479" t="str">
            <v xml:space="preserve">37726719       </v>
          </cell>
          <cell r="O11479">
            <v>300</v>
          </cell>
        </row>
        <row r="11480">
          <cell r="F11480" t="str">
            <v xml:space="preserve">37726719       </v>
          </cell>
          <cell r="O11480">
            <v>720</v>
          </cell>
        </row>
        <row r="11481">
          <cell r="F11481" t="str">
            <v xml:space="preserve">900142547      </v>
          </cell>
          <cell r="O11481">
            <v>135</v>
          </cell>
        </row>
        <row r="11482">
          <cell r="F11482" t="str">
            <v xml:space="preserve">901301637      </v>
          </cell>
          <cell r="O11482">
            <v>600</v>
          </cell>
        </row>
        <row r="11483">
          <cell r="F11483" t="str">
            <v xml:space="preserve">901301637      </v>
          </cell>
          <cell r="O11483">
            <v>7578</v>
          </cell>
        </row>
        <row r="11484">
          <cell r="F11484" t="str">
            <v xml:space="preserve">901301637      </v>
          </cell>
          <cell r="O11484">
            <v>405</v>
          </cell>
        </row>
        <row r="11485">
          <cell r="F11485" t="str">
            <v xml:space="preserve">1036942800     </v>
          </cell>
          <cell r="O11485">
            <v>150</v>
          </cell>
        </row>
        <row r="11486">
          <cell r="F11486" t="str">
            <v xml:space="preserve">1036942800     </v>
          </cell>
          <cell r="O11486">
            <v>342</v>
          </cell>
        </row>
        <row r="11487">
          <cell r="F11487" t="str">
            <v xml:space="preserve">1036942800     </v>
          </cell>
          <cell r="O11487">
            <v>585</v>
          </cell>
        </row>
        <row r="11488">
          <cell r="F11488" t="str">
            <v xml:space="preserve">94420654       </v>
          </cell>
          <cell r="O11488">
            <v>216</v>
          </cell>
        </row>
        <row r="11489">
          <cell r="F11489" t="str">
            <v xml:space="preserve">1090397527     </v>
          </cell>
          <cell r="O11489">
            <v>360</v>
          </cell>
        </row>
        <row r="11490">
          <cell r="F11490" t="str">
            <v xml:space="preserve">1090397527     </v>
          </cell>
          <cell r="O11490">
            <v>90</v>
          </cell>
        </row>
        <row r="11491">
          <cell r="F11491" t="str">
            <v xml:space="preserve">1090397527     </v>
          </cell>
          <cell r="O11491">
            <v>255</v>
          </cell>
        </row>
        <row r="11492">
          <cell r="F11492" t="str">
            <v xml:space="preserve">1090397527     </v>
          </cell>
          <cell r="O11492">
            <v>135</v>
          </cell>
        </row>
        <row r="11493">
          <cell r="F11493" t="str">
            <v xml:space="preserve">1090397527     </v>
          </cell>
          <cell r="O11493">
            <v>300</v>
          </cell>
        </row>
        <row r="11494">
          <cell r="F11494" t="str">
            <v xml:space="preserve">1090397527     </v>
          </cell>
          <cell r="O11494">
            <v>180</v>
          </cell>
        </row>
        <row r="11495">
          <cell r="F11495" t="str">
            <v xml:space="preserve">1090397527     </v>
          </cell>
          <cell r="O11495">
            <v>495</v>
          </cell>
        </row>
        <row r="11496">
          <cell r="F11496" t="str">
            <v xml:space="preserve">1090397527     </v>
          </cell>
          <cell r="O11496">
            <v>54</v>
          </cell>
        </row>
        <row r="11497">
          <cell r="F11497" t="str">
            <v xml:space="preserve">1090397527     </v>
          </cell>
          <cell r="O11497">
            <v>765</v>
          </cell>
        </row>
        <row r="11498">
          <cell r="F11498" t="str">
            <v xml:space="preserve">1090397527     </v>
          </cell>
          <cell r="O11498">
            <v>240</v>
          </cell>
        </row>
        <row r="11499">
          <cell r="F11499" t="str">
            <v xml:space="preserve">1090397527     </v>
          </cell>
          <cell r="O11499">
            <v>540</v>
          </cell>
        </row>
        <row r="11500">
          <cell r="F11500" t="str">
            <v xml:space="preserve">1090397527     </v>
          </cell>
          <cell r="O11500">
            <v>9</v>
          </cell>
        </row>
        <row r="11501">
          <cell r="F11501" t="str">
            <v xml:space="preserve">1090397527     </v>
          </cell>
          <cell r="O11501">
            <v>555</v>
          </cell>
        </row>
        <row r="11502">
          <cell r="F11502" t="str">
            <v xml:space="preserve">1090397527     </v>
          </cell>
          <cell r="O11502">
            <v>54</v>
          </cell>
        </row>
        <row r="11503">
          <cell r="F11503" t="str">
            <v xml:space="preserve">1090397527     </v>
          </cell>
          <cell r="O11503">
            <v>900</v>
          </cell>
        </row>
        <row r="11504">
          <cell r="F11504" t="str">
            <v xml:space="preserve">1090397527     </v>
          </cell>
          <cell r="O11504">
            <v>150</v>
          </cell>
        </row>
        <row r="11505">
          <cell r="F11505" t="str">
            <v xml:space="preserve">1090397527     </v>
          </cell>
          <cell r="O11505">
            <v>675</v>
          </cell>
        </row>
        <row r="11506">
          <cell r="F11506" t="str">
            <v xml:space="preserve">1090397527     </v>
          </cell>
          <cell r="O11506">
            <v>600</v>
          </cell>
        </row>
        <row r="11507">
          <cell r="F11507" t="str">
            <v xml:space="preserve">1090397527     </v>
          </cell>
          <cell r="O11507">
            <v>315</v>
          </cell>
        </row>
        <row r="11508">
          <cell r="F11508" t="str">
            <v xml:space="preserve">1090397527     </v>
          </cell>
          <cell r="O11508">
            <v>600</v>
          </cell>
        </row>
        <row r="11509">
          <cell r="F11509" t="str">
            <v xml:space="preserve">1090397527     </v>
          </cell>
          <cell r="O11509">
            <v>1035</v>
          </cell>
        </row>
        <row r="11510">
          <cell r="F11510" t="str">
            <v xml:space="preserve">1100623000     </v>
          </cell>
          <cell r="O11510">
            <v>120</v>
          </cell>
        </row>
        <row r="11511">
          <cell r="F11511" t="str">
            <v xml:space="preserve">1100623000     </v>
          </cell>
          <cell r="O11511">
            <v>756</v>
          </cell>
        </row>
        <row r="11512">
          <cell r="F11512" t="str">
            <v xml:space="preserve">1100623000     </v>
          </cell>
          <cell r="O11512">
            <v>90</v>
          </cell>
        </row>
        <row r="11513">
          <cell r="F11513" t="str">
            <v xml:space="preserve">407            </v>
          </cell>
          <cell r="O11513">
            <v>0</v>
          </cell>
        </row>
        <row r="11514">
          <cell r="F11514" t="str">
            <v xml:space="preserve">407            </v>
          </cell>
          <cell r="O11514">
            <v>0</v>
          </cell>
        </row>
        <row r="11515">
          <cell r="F11515" t="str">
            <v xml:space="preserve">1053331458     </v>
          </cell>
          <cell r="O11515">
            <v>324</v>
          </cell>
        </row>
        <row r="11516">
          <cell r="F11516" t="str">
            <v xml:space="preserve">1053331458     </v>
          </cell>
          <cell r="O11516">
            <v>270</v>
          </cell>
        </row>
        <row r="11517">
          <cell r="F11517" t="str">
            <v xml:space="preserve">1053331458     </v>
          </cell>
          <cell r="O11517">
            <v>390</v>
          </cell>
        </row>
        <row r="11518">
          <cell r="F11518" t="str">
            <v xml:space="preserve">71142360       </v>
          </cell>
          <cell r="O11518">
            <v>75</v>
          </cell>
        </row>
        <row r="11519">
          <cell r="F11519" t="str">
            <v xml:space="preserve">71142360       </v>
          </cell>
          <cell r="O11519">
            <v>864</v>
          </cell>
        </row>
        <row r="11520">
          <cell r="F11520" t="str">
            <v xml:space="preserve">71142360       </v>
          </cell>
          <cell r="O11520">
            <v>510</v>
          </cell>
        </row>
        <row r="11521">
          <cell r="F11521" t="str">
            <v xml:space="preserve">71142360       </v>
          </cell>
          <cell r="O11521">
            <v>540</v>
          </cell>
        </row>
        <row r="11522">
          <cell r="F11522" t="str">
            <v xml:space="preserve">71142360       </v>
          </cell>
          <cell r="O11522">
            <v>90</v>
          </cell>
        </row>
        <row r="11523">
          <cell r="F11523" t="str">
            <v xml:space="preserve">71142360       </v>
          </cell>
          <cell r="O11523">
            <v>315</v>
          </cell>
        </row>
        <row r="11524">
          <cell r="F11524" t="str">
            <v xml:space="preserve">71142360       </v>
          </cell>
          <cell r="O11524">
            <v>234</v>
          </cell>
        </row>
        <row r="11525">
          <cell r="F11525" t="str">
            <v xml:space="preserve">71142360       </v>
          </cell>
          <cell r="O11525">
            <v>90</v>
          </cell>
        </row>
        <row r="11526">
          <cell r="F11526" t="str">
            <v xml:space="preserve">24341063       </v>
          </cell>
          <cell r="O11526">
            <v>90</v>
          </cell>
        </row>
        <row r="11527">
          <cell r="F11527" t="str">
            <v xml:space="preserve">16836063       </v>
          </cell>
          <cell r="O11527">
            <v>45</v>
          </cell>
        </row>
        <row r="11528">
          <cell r="F11528" t="str">
            <v xml:space="preserve">16836063       </v>
          </cell>
          <cell r="O11528">
            <v>90</v>
          </cell>
        </row>
        <row r="11529">
          <cell r="F11529" t="str">
            <v xml:space="preserve">16836063       </v>
          </cell>
          <cell r="O11529">
            <v>180</v>
          </cell>
        </row>
        <row r="11530">
          <cell r="F11530" t="str">
            <v xml:space="preserve">94262420       </v>
          </cell>
          <cell r="O11530">
            <v>360</v>
          </cell>
        </row>
        <row r="11531">
          <cell r="F11531" t="str">
            <v xml:space="preserve">860001697      </v>
          </cell>
          <cell r="O11531">
            <v>548.70000000000005</v>
          </cell>
        </row>
        <row r="11532">
          <cell r="F11532" t="str">
            <v xml:space="preserve">860001697      </v>
          </cell>
          <cell r="O11532">
            <v>494.85</v>
          </cell>
        </row>
        <row r="11533">
          <cell r="F11533" t="str">
            <v xml:space="preserve">860002523      </v>
          </cell>
          <cell r="O11533">
            <v>100</v>
          </cell>
        </row>
        <row r="11534">
          <cell r="F11534" t="str">
            <v xml:space="preserve">860005265      </v>
          </cell>
          <cell r="O11534">
            <v>679.25</v>
          </cell>
        </row>
        <row r="11535">
          <cell r="F11535" t="str">
            <v xml:space="preserve">860005265      </v>
          </cell>
          <cell r="O11535">
            <v>1071</v>
          </cell>
        </row>
        <row r="11536">
          <cell r="F11536" t="str">
            <v xml:space="preserve">900039770      </v>
          </cell>
          <cell r="O11536">
            <v>20</v>
          </cell>
        </row>
        <row r="11537">
          <cell r="F11537" t="str">
            <v xml:space="preserve">210            </v>
          </cell>
          <cell r="O11537">
            <v>36</v>
          </cell>
        </row>
        <row r="11538">
          <cell r="F11538" t="str">
            <v xml:space="preserve">31861590       </v>
          </cell>
          <cell r="O11538">
            <v>36</v>
          </cell>
        </row>
        <row r="11539">
          <cell r="F11539" t="str">
            <v xml:space="preserve">800052377      </v>
          </cell>
          <cell r="O11539">
            <v>54</v>
          </cell>
        </row>
        <row r="11540">
          <cell r="F11540" t="str">
            <v xml:space="preserve">800052377      </v>
          </cell>
          <cell r="O11540">
            <v>90</v>
          </cell>
        </row>
        <row r="11541">
          <cell r="F11541" t="str">
            <v xml:space="preserve">805018495      </v>
          </cell>
          <cell r="O11541">
            <v>72</v>
          </cell>
        </row>
        <row r="11542">
          <cell r="F11542" t="str">
            <v xml:space="preserve">821000169      </v>
          </cell>
          <cell r="O11542">
            <v>68</v>
          </cell>
        </row>
        <row r="11543">
          <cell r="F11543" t="str">
            <v xml:space="preserve">890903939      </v>
          </cell>
          <cell r="O11543">
            <v>95</v>
          </cell>
        </row>
        <row r="11544">
          <cell r="F11544" t="str">
            <v xml:space="preserve">901547329      </v>
          </cell>
          <cell r="O11544">
            <v>720</v>
          </cell>
        </row>
        <row r="11545">
          <cell r="F11545" t="str">
            <v xml:space="preserve">811014849      </v>
          </cell>
          <cell r="O11545">
            <v>53.95</v>
          </cell>
        </row>
        <row r="11546">
          <cell r="F11546" t="str">
            <v xml:space="preserve">811020038      </v>
          </cell>
          <cell r="O11546">
            <v>36</v>
          </cell>
        </row>
        <row r="11547">
          <cell r="F11547" t="str">
            <v xml:space="preserve">860001697      </v>
          </cell>
          <cell r="O11547">
            <v>117.5</v>
          </cell>
        </row>
        <row r="11548">
          <cell r="F11548" t="str">
            <v xml:space="preserve">860001697      </v>
          </cell>
          <cell r="O11548">
            <v>407.2</v>
          </cell>
        </row>
        <row r="11549">
          <cell r="F11549" t="str">
            <v xml:space="preserve">860001697      </v>
          </cell>
          <cell r="O11549">
            <v>295.2</v>
          </cell>
        </row>
        <row r="11550">
          <cell r="F11550" t="str">
            <v xml:space="preserve">101            </v>
          </cell>
          <cell r="O11550">
            <v>18</v>
          </cell>
        </row>
        <row r="11551">
          <cell r="F11551" t="str">
            <v xml:space="preserve">101            </v>
          </cell>
          <cell r="O11551">
            <v>15</v>
          </cell>
        </row>
        <row r="11552">
          <cell r="F11552" t="str">
            <v xml:space="preserve">101            </v>
          </cell>
          <cell r="O11552">
            <v>72</v>
          </cell>
        </row>
        <row r="11553">
          <cell r="F11553" t="str">
            <v xml:space="preserve">102            </v>
          </cell>
          <cell r="O11553">
            <v>45</v>
          </cell>
        </row>
        <row r="11554">
          <cell r="F11554" t="str">
            <v xml:space="preserve">102            </v>
          </cell>
          <cell r="O11554">
            <v>36</v>
          </cell>
        </row>
        <row r="11555">
          <cell r="F11555" t="str">
            <v xml:space="preserve">102            </v>
          </cell>
          <cell r="O11555">
            <v>45</v>
          </cell>
        </row>
        <row r="11556">
          <cell r="F11556" t="str">
            <v xml:space="preserve">30305213       </v>
          </cell>
          <cell r="O11556">
            <v>15</v>
          </cell>
        </row>
        <row r="11557">
          <cell r="F11557" t="str">
            <v xml:space="preserve">800042175      </v>
          </cell>
          <cell r="O11557">
            <v>72</v>
          </cell>
        </row>
        <row r="11558">
          <cell r="F11558" t="str">
            <v xml:space="preserve">800090890      </v>
          </cell>
          <cell r="O11558">
            <v>90</v>
          </cell>
        </row>
        <row r="11559">
          <cell r="F11559" t="str">
            <v xml:space="preserve">890805453      </v>
          </cell>
          <cell r="O11559">
            <v>18</v>
          </cell>
        </row>
        <row r="11560">
          <cell r="F11560" t="str">
            <v xml:space="preserve">890903939      </v>
          </cell>
          <cell r="O11560">
            <v>108</v>
          </cell>
        </row>
        <row r="11561">
          <cell r="F11561" t="str">
            <v xml:space="preserve">890932124      </v>
          </cell>
          <cell r="O11561">
            <v>36</v>
          </cell>
        </row>
        <row r="11562">
          <cell r="F11562" t="str">
            <v xml:space="preserve">901071157      </v>
          </cell>
          <cell r="O11562">
            <v>36</v>
          </cell>
        </row>
        <row r="11563">
          <cell r="F11563" t="str">
            <v xml:space="preserve">901233175      </v>
          </cell>
          <cell r="O11563">
            <v>54</v>
          </cell>
        </row>
        <row r="11564">
          <cell r="F11564" t="str">
            <v xml:space="preserve">901555731      </v>
          </cell>
          <cell r="O11564">
            <v>18</v>
          </cell>
        </row>
        <row r="11565">
          <cell r="F11565" t="str">
            <v xml:space="preserve">901555731      </v>
          </cell>
          <cell r="O11565">
            <v>90</v>
          </cell>
        </row>
        <row r="11566">
          <cell r="F11566" t="str">
            <v xml:space="preserve">73186091       </v>
          </cell>
          <cell r="O11566">
            <v>405</v>
          </cell>
        </row>
        <row r="11567">
          <cell r="F11567" t="str">
            <v xml:space="preserve">8795144        </v>
          </cell>
          <cell r="O11567">
            <v>120</v>
          </cell>
        </row>
        <row r="11568">
          <cell r="F11568" t="str">
            <v xml:space="preserve">8795144        </v>
          </cell>
          <cell r="O11568">
            <v>108</v>
          </cell>
        </row>
        <row r="11569">
          <cell r="F11569" t="str">
            <v xml:space="preserve">800230447      </v>
          </cell>
          <cell r="O11569">
            <v>60</v>
          </cell>
        </row>
        <row r="11570">
          <cell r="F11570" t="str">
            <v xml:space="preserve">811047008      </v>
          </cell>
          <cell r="O11570">
            <v>54</v>
          </cell>
        </row>
        <row r="11571">
          <cell r="F11571" t="str">
            <v xml:space="preserve">830006735      </v>
          </cell>
          <cell r="O11571">
            <v>255.8</v>
          </cell>
        </row>
        <row r="11572">
          <cell r="F11572" t="str">
            <v xml:space="preserve">830036921      </v>
          </cell>
          <cell r="O11572">
            <v>463.4</v>
          </cell>
        </row>
        <row r="11573">
          <cell r="F11573" t="str">
            <v xml:space="preserve">830094679      </v>
          </cell>
          <cell r="O11573">
            <v>140</v>
          </cell>
        </row>
        <row r="11574">
          <cell r="F11574" t="str">
            <v xml:space="preserve">860001697      </v>
          </cell>
          <cell r="O11574">
            <v>337.4</v>
          </cell>
        </row>
        <row r="11575">
          <cell r="F11575" t="str">
            <v xml:space="preserve">860020382      </v>
          </cell>
          <cell r="O11575">
            <v>60</v>
          </cell>
        </row>
        <row r="11576">
          <cell r="F11576" t="str">
            <v xml:space="preserve">860031786      </v>
          </cell>
          <cell r="O11576">
            <v>18</v>
          </cell>
        </row>
        <row r="11577">
          <cell r="F11577" t="str">
            <v xml:space="preserve">860031786      </v>
          </cell>
          <cell r="O11577">
            <v>108</v>
          </cell>
        </row>
        <row r="11578">
          <cell r="F11578" t="str">
            <v xml:space="preserve">890903475      </v>
          </cell>
          <cell r="O11578">
            <v>80</v>
          </cell>
        </row>
        <row r="11579">
          <cell r="F11579" t="str">
            <v xml:space="preserve">901083559      </v>
          </cell>
          <cell r="O11579">
            <v>60</v>
          </cell>
        </row>
        <row r="11580">
          <cell r="F11580" t="str">
            <v xml:space="preserve">901307011      </v>
          </cell>
          <cell r="O11580">
            <v>140</v>
          </cell>
        </row>
        <row r="11581">
          <cell r="F11581" t="str">
            <v xml:space="preserve">811014849      </v>
          </cell>
          <cell r="O11581">
            <v>457.5</v>
          </cell>
        </row>
        <row r="11582">
          <cell r="F11582" t="str">
            <v xml:space="preserve">800090890      </v>
          </cell>
          <cell r="O11582">
            <v>38</v>
          </cell>
        </row>
        <row r="11583">
          <cell r="F11583" t="str">
            <v xml:space="preserve">811014849      </v>
          </cell>
          <cell r="O11583">
            <v>144</v>
          </cell>
        </row>
        <row r="11584">
          <cell r="F11584" t="str">
            <v xml:space="preserve">811014849      </v>
          </cell>
          <cell r="O11584">
            <v>90</v>
          </cell>
        </row>
        <row r="11585">
          <cell r="F11585" t="str">
            <v xml:space="preserve">811014849      </v>
          </cell>
          <cell r="O11585">
            <v>36</v>
          </cell>
        </row>
        <row r="11586">
          <cell r="F11586" t="str">
            <v xml:space="preserve">811014849      </v>
          </cell>
          <cell r="O11586">
            <v>108</v>
          </cell>
        </row>
        <row r="11587">
          <cell r="F11587" t="str">
            <v xml:space="preserve">890903939      </v>
          </cell>
          <cell r="O11587">
            <v>223.12</v>
          </cell>
        </row>
        <row r="11588">
          <cell r="F11588" t="str">
            <v xml:space="preserve">890903939      </v>
          </cell>
          <cell r="O11588">
            <v>115.5</v>
          </cell>
        </row>
        <row r="11589">
          <cell r="F11589" t="str">
            <v xml:space="preserve">890903939      </v>
          </cell>
          <cell r="O11589">
            <v>762.9</v>
          </cell>
        </row>
        <row r="11590">
          <cell r="F11590" t="str">
            <v xml:space="preserve">890903939      </v>
          </cell>
          <cell r="O11590">
            <v>666.25</v>
          </cell>
        </row>
        <row r="11591">
          <cell r="F11591" t="str">
            <v xml:space="preserve">890903939      </v>
          </cell>
          <cell r="O11591">
            <v>131</v>
          </cell>
        </row>
        <row r="11592">
          <cell r="F11592" t="str">
            <v xml:space="preserve">211            </v>
          </cell>
          <cell r="O11592">
            <v>522</v>
          </cell>
        </row>
        <row r="11593">
          <cell r="F11593" t="str">
            <v xml:space="preserve">211            </v>
          </cell>
          <cell r="O11593">
            <v>225</v>
          </cell>
        </row>
        <row r="11594">
          <cell r="F11594" t="str">
            <v xml:space="preserve">211            </v>
          </cell>
          <cell r="O11594">
            <v>240</v>
          </cell>
        </row>
        <row r="11595">
          <cell r="F11595" t="str">
            <v xml:space="preserve">211            </v>
          </cell>
          <cell r="O11595">
            <v>1044</v>
          </cell>
        </row>
        <row r="11596">
          <cell r="F11596" t="str">
            <v xml:space="preserve">811014849      </v>
          </cell>
          <cell r="O11596">
            <v>240.15</v>
          </cell>
        </row>
        <row r="11597">
          <cell r="F11597" t="str">
            <v xml:space="preserve">800220041      </v>
          </cell>
          <cell r="O11597">
            <v>60</v>
          </cell>
        </row>
        <row r="11598">
          <cell r="F11598" t="str">
            <v xml:space="preserve">830094679      </v>
          </cell>
          <cell r="O11598">
            <v>120</v>
          </cell>
        </row>
        <row r="11599">
          <cell r="F11599" t="str">
            <v xml:space="preserve">830095213      </v>
          </cell>
          <cell r="O11599">
            <v>216</v>
          </cell>
        </row>
        <row r="11600">
          <cell r="F11600" t="str">
            <v xml:space="preserve">830095213      </v>
          </cell>
          <cell r="O11600">
            <v>306</v>
          </cell>
        </row>
        <row r="11601">
          <cell r="F11601" t="str">
            <v xml:space="preserve">890903939      </v>
          </cell>
          <cell r="O11601">
            <v>303.27999999999997</v>
          </cell>
        </row>
        <row r="11602">
          <cell r="F11602" t="str">
            <v xml:space="preserve">900093075      </v>
          </cell>
          <cell r="O11602">
            <v>36</v>
          </cell>
        </row>
        <row r="11603">
          <cell r="F11603" t="str">
            <v xml:space="preserve">900543199      </v>
          </cell>
          <cell r="O11603">
            <v>60</v>
          </cell>
        </row>
        <row r="11604">
          <cell r="F11604" t="str">
            <v xml:space="preserve">900820045      </v>
          </cell>
          <cell r="O11604">
            <v>54</v>
          </cell>
        </row>
        <row r="11605">
          <cell r="F11605" t="str">
            <v xml:space="preserve">860001697      </v>
          </cell>
          <cell r="O11605">
            <v>870.15</v>
          </cell>
        </row>
        <row r="11606">
          <cell r="F11606" t="str">
            <v xml:space="preserve">800229035      </v>
          </cell>
          <cell r="O11606">
            <v>120</v>
          </cell>
        </row>
        <row r="11607">
          <cell r="F11607" t="str">
            <v xml:space="preserve">800229035      </v>
          </cell>
          <cell r="O11607">
            <v>60</v>
          </cell>
        </row>
        <row r="11608">
          <cell r="F11608" t="str">
            <v xml:space="preserve">901017528      </v>
          </cell>
          <cell r="O11608">
            <v>240</v>
          </cell>
        </row>
        <row r="11609">
          <cell r="F11609" t="str">
            <v xml:space="preserve">901046830      </v>
          </cell>
          <cell r="O11609">
            <v>225</v>
          </cell>
        </row>
        <row r="11610">
          <cell r="F11610" t="str">
            <v xml:space="preserve">1077847030     </v>
          </cell>
          <cell r="O11610">
            <v>55.6</v>
          </cell>
        </row>
        <row r="11611">
          <cell r="F11611" t="str">
            <v xml:space="preserve">1078246535     </v>
          </cell>
          <cell r="O11611">
            <v>111.6</v>
          </cell>
        </row>
        <row r="11612">
          <cell r="F11612" t="str">
            <v xml:space="preserve">1080362316     </v>
          </cell>
          <cell r="O11612">
            <v>140.4</v>
          </cell>
        </row>
        <row r="11613">
          <cell r="F11613" t="str">
            <v xml:space="preserve">1083872378     </v>
          </cell>
          <cell r="O11613">
            <v>44.4</v>
          </cell>
        </row>
        <row r="11614">
          <cell r="F11614" t="str">
            <v xml:space="preserve">1083921993     </v>
          </cell>
          <cell r="O11614">
            <v>187.2</v>
          </cell>
        </row>
        <row r="11615">
          <cell r="F11615" t="str">
            <v xml:space="preserve">12138755       </v>
          </cell>
          <cell r="O11615">
            <v>85.7</v>
          </cell>
        </row>
        <row r="11616">
          <cell r="F11616" t="str">
            <v xml:space="preserve">30521799       </v>
          </cell>
          <cell r="O11616">
            <v>104.3</v>
          </cell>
        </row>
        <row r="11617">
          <cell r="F11617" t="str">
            <v xml:space="preserve">36284407       </v>
          </cell>
          <cell r="O11617">
            <v>87.5</v>
          </cell>
        </row>
        <row r="11618">
          <cell r="F11618" t="str">
            <v xml:space="preserve">36313794       </v>
          </cell>
          <cell r="O11618">
            <v>124.2</v>
          </cell>
        </row>
        <row r="11619">
          <cell r="F11619" t="str">
            <v xml:space="preserve">4888325        </v>
          </cell>
          <cell r="O11619">
            <v>53</v>
          </cell>
        </row>
        <row r="11620">
          <cell r="F11620" t="str">
            <v xml:space="preserve">4888325        </v>
          </cell>
          <cell r="O11620">
            <v>22.3</v>
          </cell>
        </row>
        <row r="11621">
          <cell r="F11621" t="str">
            <v xml:space="preserve">55112429       </v>
          </cell>
          <cell r="O11621">
            <v>42.3</v>
          </cell>
        </row>
        <row r="11622">
          <cell r="F11622" t="str">
            <v xml:space="preserve">65771520       </v>
          </cell>
          <cell r="O11622">
            <v>154.30000000000001</v>
          </cell>
        </row>
        <row r="11623">
          <cell r="F11623" t="str">
            <v xml:space="preserve">700111478      </v>
          </cell>
          <cell r="O11623">
            <v>221.8</v>
          </cell>
        </row>
        <row r="11624">
          <cell r="F11624" t="str">
            <v xml:space="preserve">83057870       </v>
          </cell>
          <cell r="O11624">
            <v>179.6</v>
          </cell>
        </row>
        <row r="11625">
          <cell r="F11625" t="str">
            <v xml:space="preserve">83181233       </v>
          </cell>
          <cell r="O11625">
            <v>381.1</v>
          </cell>
        </row>
        <row r="11626">
          <cell r="F11626" t="str">
            <v xml:space="preserve">83231907       </v>
          </cell>
          <cell r="O11626">
            <v>55.7</v>
          </cell>
        </row>
        <row r="11627">
          <cell r="F11627" t="str">
            <v xml:space="preserve">900383516      </v>
          </cell>
          <cell r="O11627">
            <v>462</v>
          </cell>
        </row>
        <row r="11628">
          <cell r="F11628" t="str">
            <v xml:space="preserve">900383516      </v>
          </cell>
          <cell r="O11628">
            <v>154.19999999999999</v>
          </cell>
        </row>
        <row r="11629">
          <cell r="F11629" t="str">
            <v xml:space="preserve">900935803      </v>
          </cell>
          <cell r="O11629">
            <v>2501</v>
          </cell>
        </row>
        <row r="11630">
          <cell r="F11630" t="str">
            <v xml:space="preserve">901108580      </v>
          </cell>
          <cell r="O11630">
            <v>57.4</v>
          </cell>
        </row>
        <row r="11631">
          <cell r="F11631" t="str">
            <v xml:space="preserve">901363398      </v>
          </cell>
          <cell r="O11631">
            <v>180.9</v>
          </cell>
        </row>
        <row r="11632">
          <cell r="F11632" t="str">
            <v xml:space="preserve">15958419       </v>
          </cell>
          <cell r="O11632">
            <v>197.9</v>
          </cell>
        </row>
        <row r="11633">
          <cell r="F11633" t="str">
            <v xml:space="preserve">29623619       </v>
          </cell>
          <cell r="O11633">
            <v>300.39999999999998</v>
          </cell>
        </row>
        <row r="11634">
          <cell r="F11634" t="str">
            <v xml:space="preserve">30310943       </v>
          </cell>
          <cell r="O11634">
            <v>81.5</v>
          </cell>
        </row>
        <row r="11635">
          <cell r="F11635" t="str">
            <v xml:space="preserve">901295190      </v>
          </cell>
          <cell r="O11635">
            <v>397.5</v>
          </cell>
        </row>
        <row r="11636">
          <cell r="F11636" t="str">
            <v xml:space="preserve">901455213      </v>
          </cell>
          <cell r="O11636">
            <v>108.4</v>
          </cell>
        </row>
        <row r="11637">
          <cell r="F11637" t="str">
            <v xml:space="preserve">16632894       </v>
          </cell>
          <cell r="O11637">
            <v>1659.5</v>
          </cell>
        </row>
        <row r="11638">
          <cell r="F11638" t="str">
            <v xml:space="preserve">890200474      </v>
          </cell>
          <cell r="O11638">
            <v>2900.3</v>
          </cell>
        </row>
        <row r="11639">
          <cell r="F11639" t="str">
            <v xml:space="preserve">890200474      </v>
          </cell>
          <cell r="O11639">
            <v>111.7</v>
          </cell>
        </row>
        <row r="11640">
          <cell r="F11640" t="str">
            <v xml:space="preserve">890200474      </v>
          </cell>
          <cell r="O11640">
            <v>994</v>
          </cell>
        </row>
        <row r="11641">
          <cell r="F11641" t="str">
            <v xml:space="preserve">890200474      </v>
          </cell>
          <cell r="O11641">
            <v>239.9</v>
          </cell>
        </row>
        <row r="11642">
          <cell r="F11642" t="str">
            <v xml:space="preserve">890300431      </v>
          </cell>
          <cell r="O11642">
            <v>1098.3</v>
          </cell>
        </row>
        <row r="11643">
          <cell r="F11643" t="str">
            <v xml:space="preserve">890300534      </v>
          </cell>
          <cell r="O11643">
            <v>225.7</v>
          </cell>
        </row>
        <row r="11644">
          <cell r="F11644" t="str">
            <v xml:space="preserve">890302594      </v>
          </cell>
          <cell r="O11644">
            <v>622.79999999999995</v>
          </cell>
        </row>
        <row r="11645">
          <cell r="F11645" t="str">
            <v xml:space="preserve">900384449      </v>
          </cell>
          <cell r="O11645">
            <v>380.5</v>
          </cell>
        </row>
        <row r="11646">
          <cell r="F11646" t="str">
            <v xml:space="preserve">94457135       </v>
          </cell>
          <cell r="O11646">
            <v>157.6</v>
          </cell>
        </row>
        <row r="11647">
          <cell r="F11647" t="str">
            <v xml:space="preserve">53120676       </v>
          </cell>
          <cell r="O11647">
            <v>75.5</v>
          </cell>
        </row>
        <row r="11648">
          <cell r="F11648" t="str">
            <v xml:space="preserve">7316739        </v>
          </cell>
          <cell r="O11648">
            <v>98.3</v>
          </cell>
        </row>
        <row r="11649">
          <cell r="F11649" t="str">
            <v xml:space="preserve">7917059        </v>
          </cell>
          <cell r="O11649">
            <v>82.4</v>
          </cell>
        </row>
        <row r="11650">
          <cell r="F11650" t="str">
            <v xml:space="preserve">830010738      </v>
          </cell>
          <cell r="O11650">
            <v>1321.5</v>
          </cell>
        </row>
        <row r="11651">
          <cell r="F11651" t="str">
            <v xml:space="preserve">900073355      </v>
          </cell>
          <cell r="O11651">
            <v>353.9</v>
          </cell>
        </row>
        <row r="11652">
          <cell r="F11652" t="str">
            <v xml:space="preserve">900369499      </v>
          </cell>
          <cell r="O11652">
            <v>126.3</v>
          </cell>
        </row>
        <row r="11653">
          <cell r="F11653" t="str">
            <v xml:space="preserve">900369499      </v>
          </cell>
          <cell r="O11653">
            <v>334.1</v>
          </cell>
        </row>
        <row r="11654">
          <cell r="F11654" t="str">
            <v xml:space="preserve">19132851       </v>
          </cell>
          <cell r="O11654">
            <v>666</v>
          </cell>
        </row>
        <row r="11655">
          <cell r="F11655" t="str">
            <v xml:space="preserve">860032450      </v>
          </cell>
          <cell r="O11655">
            <v>6987.8</v>
          </cell>
        </row>
        <row r="11656">
          <cell r="F11656" t="str">
            <v xml:space="preserve">860032450      </v>
          </cell>
          <cell r="O11656">
            <v>6603.3</v>
          </cell>
        </row>
        <row r="11657">
          <cell r="F11657" t="str">
            <v xml:space="preserve">860001697      </v>
          </cell>
          <cell r="O11657">
            <v>682.62</v>
          </cell>
        </row>
        <row r="11658">
          <cell r="F11658" t="str">
            <v xml:space="preserve">890905179      </v>
          </cell>
          <cell r="O11658">
            <v>0</v>
          </cell>
        </row>
        <row r="11659">
          <cell r="F11659" t="str">
            <v xml:space="preserve">212            </v>
          </cell>
          <cell r="O11659">
            <v>105</v>
          </cell>
        </row>
        <row r="11660">
          <cell r="F11660" t="str">
            <v xml:space="preserve">212            </v>
          </cell>
          <cell r="O11660">
            <v>90</v>
          </cell>
        </row>
        <row r="11661">
          <cell r="F11661" t="str">
            <v xml:space="preserve">212            </v>
          </cell>
          <cell r="O11661">
            <v>90</v>
          </cell>
        </row>
        <row r="11662">
          <cell r="F11662" t="str">
            <v xml:space="preserve">212            </v>
          </cell>
          <cell r="O11662">
            <v>45</v>
          </cell>
        </row>
        <row r="11663">
          <cell r="F11663" t="str">
            <v xml:space="preserve">212            </v>
          </cell>
          <cell r="O11663">
            <v>15</v>
          </cell>
        </row>
        <row r="11664">
          <cell r="F11664" t="str">
            <v xml:space="preserve">212            </v>
          </cell>
          <cell r="O11664">
            <v>36</v>
          </cell>
        </row>
        <row r="11665">
          <cell r="F11665" t="str">
            <v xml:space="preserve">212            </v>
          </cell>
          <cell r="O11665">
            <v>45</v>
          </cell>
        </row>
        <row r="11666">
          <cell r="F11666" t="str">
            <v xml:space="preserve">890913479      </v>
          </cell>
          <cell r="O11666">
            <v>36</v>
          </cell>
        </row>
        <row r="11667">
          <cell r="F11667" t="str">
            <v xml:space="preserve">890913479      </v>
          </cell>
          <cell r="O11667">
            <v>45</v>
          </cell>
        </row>
        <row r="11668">
          <cell r="F11668" t="str">
            <v xml:space="preserve">900199056      </v>
          </cell>
          <cell r="O11668">
            <v>0</v>
          </cell>
        </row>
        <row r="11669">
          <cell r="F11669" t="str">
            <v xml:space="preserve">900199056      </v>
          </cell>
          <cell r="O11669">
            <v>0</v>
          </cell>
        </row>
        <row r="11670">
          <cell r="F11670" t="str">
            <v xml:space="preserve">900199056      </v>
          </cell>
          <cell r="O11670">
            <v>0</v>
          </cell>
        </row>
        <row r="11671">
          <cell r="F11671" t="str">
            <v xml:space="preserve">900199056      </v>
          </cell>
          <cell r="O11671">
            <v>0</v>
          </cell>
        </row>
        <row r="11672">
          <cell r="F11672" t="str">
            <v xml:space="preserve">900199056      </v>
          </cell>
          <cell r="O11672">
            <v>0</v>
          </cell>
        </row>
        <row r="11673">
          <cell r="F11673" t="str">
            <v xml:space="preserve">900199056      </v>
          </cell>
          <cell r="O11673">
            <v>0</v>
          </cell>
        </row>
        <row r="11674">
          <cell r="F11674" t="str">
            <v xml:space="preserve">900199056      </v>
          </cell>
          <cell r="O11674">
            <v>0</v>
          </cell>
        </row>
        <row r="11675">
          <cell r="F11675" t="str">
            <v xml:space="preserve">900199056      </v>
          </cell>
          <cell r="O11675">
            <v>0</v>
          </cell>
        </row>
        <row r="11676">
          <cell r="F11676" t="str">
            <v xml:space="preserve">213            </v>
          </cell>
          <cell r="O11676">
            <v>45</v>
          </cell>
        </row>
        <row r="11677">
          <cell r="F11677" t="str">
            <v xml:space="preserve">213            </v>
          </cell>
          <cell r="O11677">
            <v>540</v>
          </cell>
        </row>
        <row r="11678">
          <cell r="F11678" t="str">
            <v xml:space="preserve">213            </v>
          </cell>
          <cell r="O11678">
            <v>450</v>
          </cell>
        </row>
        <row r="11679">
          <cell r="F11679" t="str">
            <v xml:space="preserve">70052771       </v>
          </cell>
          <cell r="O11679">
            <v>54</v>
          </cell>
        </row>
        <row r="11680">
          <cell r="F11680" t="str">
            <v xml:space="preserve">70052771       </v>
          </cell>
          <cell r="O11680">
            <v>30</v>
          </cell>
        </row>
        <row r="11681">
          <cell r="F11681" t="str">
            <v xml:space="preserve">70052771       </v>
          </cell>
          <cell r="O11681">
            <v>18</v>
          </cell>
        </row>
        <row r="11682">
          <cell r="F11682" t="str">
            <v xml:space="preserve">811014849      </v>
          </cell>
          <cell r="O11682">
            <v>180</v>
          </cell>
        </row>
        <row r="11683">
          <cell r="F11683" t="str">
            <v xml:space="preserve">811022351      </v>
          </cell>
          <cell r="O11683">
            <v>72</v>
          </cell>
        </row>
        <row r="11684">
          <cell r="F11684" t="str">
            <v xml:space="preserve">811035741      </v>
          </cell>
          <cell r="O11684">
            <v>30</v>
          </cell>
        </row>
        <row r="11685">
          <cell r="F11685" t="str">
            <v xml:space="preserve">811035741      </v>
          </cell>
          <cell r="O11685">
            <v>72</v>
          </cell>
        </row>
        <row r="11686">
          <cell r="F11686" t="str">
            <v xml:space="preserve">860013809      </v>
          </cell>
          <cell r="O11686">
            <v>198</v>
          </cell>
        </row>
        <row r="11687">
          <cell r="F11687" t="str">
            <v xml:space="preserve">860013809      </v>
          </cell>
          <cell r="O11687">
            <v>180</v>
          </cell>
        </row>
        <row r="11688">
          <cell r="F11688" t="str">
            <v xml:space="preserve">860020382      </v>
          </cell>
          <cell r="O11688">
            <v>45</v>
          </cell>
        </row>
        <row r="11689">
          <cell r="F11689" t="str">
            <v xml:space="preserve">890900424      </v>
          </cell>
          <cell r="O11689">
            <v>45</v>
          </cell>
        </row>
        <row r="11690">
          <cell r="F11690" t="str">
            <v xml:space="preserve">890900424      </v>
          </cell>
          <cell r="O11690">
            <v>60</v>
          </cell>
        </row>
        <row r="11691">
          <cell r="F11691" t="str">
            <v xml:space="preserve">890904713      </v>
          </cell>
          <cell r="O11691">
            <v>45</v>
          </cell>
        </row>
        <row r="11692">
          <cell r="F11692" t="str">
            <v xml:space="preserve">890905790      </v>
          </cell>
          <cell r="O11692">
            <v>45</v>
          </cell>
        </row>
        <row r="11693">
          <cell r="F11693" t="str">
            <v xml:space="preserve">890907406      </v>
          </cell>
          <cell r="O11693">
            <v>45</v>
          </cell>
        </row>
        <row r="11694">
          <cell r="F11694" t="str">
            <v xml:space="preserve">901436775      </v>
          </cell>
          <cell r="O11694">
            <v>90</v>
          </cell>
        </row>
        <row r="11695">
          <cell r="F11695" t="str">
            <v xml:space="preserve">901436775      </v>
          </cell>
          <cell r="O11695">
            <v>105</v>
          </cell>
        </row>
        <row r="11696">
          <cell r="F11696" t="str">
            <v xml:space="preserve">210            </v>
          </cell>
          <cell r="O11696">
            <v>4.5</v>
          </cell>
        </row>
        <row r="11697">
          <cell r="F11697" t="str">
            <v xml:space="preserve">210            </v>
          </cell>
          <cell r="O11697">
            <v>30</v>
          </cell>
        </row>
        <row r="11698">
          <cell r="F11698" t="str">
            <v xml:space="preserve">210            </v>
          </cell>
          <cell r="O11698">
            <v>756</v>
          </cell>
        </row>
        <row r="11699">
          <cell r="F11699" t="str">
            <v xml:space="preserve">210            </v>
          </cell>
          <cell r="O11699">
            <v>495</v>
          </cell>
        </row>
        <row r="11700">
          <cell r="F11700" t="str">
            <v xml:space="preserve">101            </v>
          </cell>
          <cell r="O11700">
            <v>9</v>
          </cell>
        </row>
        <row r="11701">
          <cell r="F11701" t="str">
            <v xml:space="preserve">101            </v>
          </cell>
          <cell r="O11701">
            <v>15</v>
          </cell>
        </row>
        <row r="11702">
          <cell r="F11702" t="str">
            <v xml:space="preserve">101            </v>
          </cell>
          <cell r="O11702">
            <v>9</v>
          </cell>
        </row>
        <row r="11703">
          <cell r="F11703" t="str">
            <v xml:space="preserve">101            </v>
          </cell>
          <cell r="O11703">
            <v>15</v>
          </cell>
        </row>
        <row r="11704">
          <cell r="F11704" t="str">
            <v xml:space="preserve">101            </v>
          </cell>
          <cell r="O11704">
            <v>54</v>
          </cell>
        </row>
        <row r="11705">
          <cell r="F11705" t="str">
            <v xml:space="preserve">900342435      </v>
          </cell>
          <cell r="O11705">
            <v>4.5</v>
          </cell>
        </row>
        <row r="11706">
          <cell r="F11706" t="str">
            <v xml:space="preserve">860020382      </v>
          </cell>
          <cell r="O11706">
            <v>207</v>
          </cell>
        </row>
        <row r="11707">
          <cell r="F11707" t="str">
            <v xml:space="preserve">404            </v>
          </cell>
          <cell r="O11707">
            <v>255</v>
          </cell>
        </row>
        <row r="11708">
          <cell r="F11708" t="str">
            <v xml:space="preserve">404            </v>
          </cell>
          <cell r="O11708">
            <v>108</v>
          </cell>
        </row>
        <row r="11709">
          <cell r="F11709" t="str">
            <v xml:space="preserve">860001697      </v>
          </cell>
          <cell r="O11709">
            <v>814.8</v>
          </cell>
        </row>
        <row r="11710">
          <cell r="F11710" t="str">
            <v xml:space="preserve">860001697      </v>
          </cell>
          <cell r="O11710">
            <v>539.70000000000005</v>
          </cell>
        </row>
        <row r="11711">
          <cell r="F11711" t="str">
            <v xml:space="preserve">860001697      </v>
          </cell>
          <cell r="O11711">
            <v>539.79999999999995</v>
          </cell>
        </row>
        <row r="11712">
          <cell r="F11712" t="str">
            <v xml:space="preserve">210            </v>
          </cell>
          <cell r="O11712">
            <v>15</v>
          </cell>
        </row>
        <row r="11713">
          <cell r="F11713" t="str">
            <v xml:space="preserve">210            </v>
          </cell>
          <cell r="O11713">
            <v>288</v>
          </cell>
        </row>
        <row r="11714">
          <cell r="F11714" t="str">
            <v xml:space="preserve">210            </v>
          </cell>
          <cell r="O11714">
            <v>180</v>
          </cell>
        </row>
        <row r="11715">
          <cell r="F11715" t="str">
            <v xml:space="preserve">210            </v>
          </cell>
          <cell r="O11715">
            <v>15</v>
          </cell>
        </row>
        <row r="11716">
          <cell r="F11716" t="str">
            <v xml:space="preserve">210            </v>
          </cell>
          <cell r="O11716">
            <v>288</v>
          </cell>
        </row>
        <row r="11717">
          <cell r="F11717" t="str">
            <v xml:space="preserve">210            </v>
          </cell>
          <cell r="O11717">
            <v>45</v>
          </cell>
        </row>
        <row r="11718">
          <cell r="F11718" t="str">
            <v xml:space="preserve">6621568        </v>
          </cell>
          <cell r="O11718">
            <v>36</v>
          </cell>
        </row>
        <row r="11719">
          <cell r="F11719" t="str">
            <v xml:space="preserve">6621568        </v>
          </cell>
          <cell r="O11719">
            <v>45</v>
          </cell>
        </row>
        <row r="11720">
          <cell r="F11720" t="str">
            <v xml:space="preserve">800003267      </v>
          </cell>
          <cell r="O11720">
            <v>162</v>
          </cell>
        </row>
        <row r="11721">
          <cell r="F11721" t="str">
            <v xml:space="preserve">805026018      </v>
          </cell>
          <cell r="O11721">
            <v>54</v>
          </cell>
        </row>
        <row r="11722">
          <cell r="F11722" t="str">
            <v xml:space="preserve">811020038      </v>
          </cell>
          <cell r="O11722">
            <v>36</v>
          </cell>
        </row>
        <row r="11723">
          <cell r="F11723" t="str">
            <v xml:space="preserve">817004766      </v>
          </cell>
          <cell r="O11723">
            <v>126</v>
          </cell>
        </row>
        <row r="11724">
          <cell r="F11724" t="str">
            <v xml:space="preserve">890301602      </v>
          </cell>
          <cell r="O11724">
            <v>252</v>
          </cell>
        </row>
        <row r="11725">
          <cell r="F11725" t="str">
            <v xml:space="preserve">890302609      </v>
          </cell>
          <cell r="O11725">
            <v>141</v>
          </cell>
        </row>
        <row r="11726">
          <cell r="F11726" t="str">
            <v xml:space="preserve">890304607      </v>
          </cell>
          <cell r="O11726">
            <v>72</v>
          </cell>
        </row>
        <row r="11727">
          <cell r="F11727" t="str">
            <v xml:space="preserve">890321924      </v>
          </cell>
          <cell r="O11727">
            <v>36</v>
          </cell>
        </row>
        <row r="11728">
          <cell r="F11728" t="str">
            <v xml:space="preserve">890903939      </v>
          </cell>
          <cell r="O11728">
            <v>176</v>
          </cell>
        </row>
        <row r="11729">
          <cell r="F11729" t="str">
            <v xml:space="preserve">900555944      </v>
          </cell>
          <cell r="O11729">
            <v>18</v>
          </cell>
        </row>
        <row r="11730">
          <cell r="F11730" t="str">
            <v xml:space="preserve">901167377      </v>
          </cell>
          <cell r="O11730">
            <v>110.5</v>
          </cell>
        </row>
        <row r="11731">
          <cell r="F11731" t="str">
            <v xml:space="preserve">830095563      </v>
          </cell>
          <cell r="O11731">
            <v>108</v>
          </cell>
        </row>
        <row r="11732">
          <cell r="F11732" t="str">
            <v xml:space="preserve">900578977      </v>
          </cell>
          <cell r="O11732">
            <v>225</v>
          </cell>
        </row>
        <row r="11733">
          <cell r="F11733" t="str">
            <v xml:space="preserve">830010738      </v>
          </cell>
          <cell r="O11733">
            <v>188</v>
          </cell>
        </row>
        <row r="11734">
          <cell r="F11734" t="str">
            <v xml:space="preserve">860029445      </v>
          </cell>
          <cell r="O11734">
            <v>3302.5</v>
          </cell>
        </row>
        <row r="11735">
          <cell r="F11735" t="str">
            <v xml:space="preserve">800134497      </v>
          </cell>
          <cell r="O11735">
            <v>2828.5</v>
          </cell>
        </row>
        <row r="11736">
          <cell r="F11736" t="str">
            <v xml:space="preserve">800178813      </v>
          </cell>
          <cell r="O11736">
            <v>481.8</v>
          </cell>
        </row>
        <row r="11737">
          <cell r="F11737" t="str">
            <v xml:space="preserve">830091965      </v>
          </cell>
          <cell r="O11737">
            <v>1050</v>
          </cell>
        </row>
        <row r="11738">
          <cell r="F11738" t="str">
            <v xml:space="preserve">830143647      </v>
          </cell>
          <cell r="O11738">
            <v>306.3</v>
          </cell>
        </row>
        <row r="11739">
          <cell r="F11739" t="str">
            <v xml:space="preserve">210            </v>
          </cell>
          <cell r="O11739">
            <v>9</v>
          </cell>
        </row>
        <row r="11740">
          <cell r="F11740" t="str">
            <v xml:space="preserve">210            </v>
          </cell>
          <cell r="O11740">
            <v>45</v>
          </cell>
        </row>
        <row r="11741">
          <cell r="F11741" t="str">
            <v xml:space="preserve">210            </v>
          </cell>
          <cell r="O11741">
            <v>720</v>
          </cell>
        </row>
        <row r="11742">
          <cell r="F11742" t="str">
            <v xml:space="preserve">210            </v>
          </cell>
          <cell r="O11742">
            <v>405</v>
          </cell>
        </row>
        <row r="11743">
          <cell r="F11743" t="str">
            <v xml:space="preserve">210            </v>
          </cell>
          <cell r="O11743">
            <v>4.5</v>
          </cell>
        </row>
        <row r="11744">
          <cell r="F11744" t="str">
            <v xml:space="preserve">210            </v>
          </cell>
          <cell r="O11744">
            <v>9</v>
          </cell>
        </row>
        <row r="11745">
          <cell r="F11745" t="str">
            <v xml:space="preserve">210            </v>
          </cell>
          <cell r="O11745">
            <v>810</v>
          </cell>
        </row>
        <row r="11746">
          <cell r="F11746" t="str">
            <v xml:space="preserve">210            </v>
          </cell>
          <cell r="O11746">
            <v>90</v>
          </cell>
        </row>
        <row r="11747">
          <cell r="F11747" t="str">
            <v xml:space="preserve">110            </v>
          </cell>
          <cell r="O11747">
            <v>270</v>
          </cell>
        </row>
        <row r="11748">
          <cell r="F11748" t="str">
            <v xml:space="preserve">212            </v>
          </cell>
          <cell r="O11748">
            <v>225</v>
          </cell>
        </row>
        <row r="11749">
          <cell r="F11749" t="str">
            <v xml:space="preserve">212            </v>
          </cell>
          <cell r="O11749">
            <v>216</v>
          </cell>
        </row>
        <row r="11750">
          <cell r="F11750" t="str">
            <v xml:space="preserve">212            </v>
          </cell>
          <cell r="O11750">
            <v>135</v>
          </cell>
        </row>
        <row r="11751">
          <cell r="F11751" t="str">
            <v xml:space="preserve">900495908      </v>
          </cell>
          <cell r="O11751">
            <v>45</v>
          </cell>
        </row>
        <row r="11752">
          <cell r="F11752" t="str">
            <v xml:space="preserve">900495908      </v>
          </cell>
          <cell r="O11752">
            <v>90</v>
          </cell>
        </row>
        <row r="11753">
          <cell r="F11753" t="str">
            <v xml:space="preserve">900495908      </v>
          </cell>
          <cell r="O11753">
            <v>45</v>
          </cell>
        </row>
        <row r="11754">
          <cell r="F11754" t="str">
            <v xml:space="preserve">900495908      </v>
          </cell>
          <cell r="O11754">
            <v>45</v>
          </cell>
        </row>
        <row r="11755">
          <cell r="F11755" t="str">
            <v xml:space="preserve">213            </v>
          </cell>
          <cell r="O11755">
            <v>135</v>
          </cell>
        </row>
        <row r="11756">
          <cell r="F11756" t="str">
            <v xml:space="preserve">213            </v>
          </cell>
          <cell r="O11756">
            <v>612</v>
          </cell>
        </row>
        <row r="11757">
          <cell r="F11757" t="str">
            <v xml:space="preserve">213            </v>
          </cell>
          <cell r="O11757">
            <v>180</v>
          </cell>
        </row>
        <row r="11758">
          <cell r="F11758" t="str">
            <v xml:space="preserve">901142353      </v>
          </cell>
          <cell r="O11758">
            <v>164.7</v>
          </cell>
        </row>
        <row r="11759">
          <cell r="F11759" t="str">
            <v xml:space="preserve">901142353      </v>
          </cell>
          <cell r="O11759">
            <v>135.9</v>
          </cell>
        </row>
        <row r="11760">
          <cell r="F11760" t="str">
            <v xml:space="preserve">811014849      </v>
          </cell>
          <cell r="O11760">
            <v>543</v>
          </cell>
        </row>
        <row r="11761">
          <cell r="F11761" t="str">
            <v xml:space="preserve">811022543      </v>
          </cell>
          <cell r="O11761">
            <v>226.5</v>
          </cell>
        </row>
        <row r="11762">
          <cell r="F11762" t="str">
            <v xml:space="preserve">890910131      </v>
          </cell>
          <cell r="O11762">
            <v>1159.5999999999999</v>
          </cell>
        </row>
        <row r="11763">
          <cell r="F11763" t="str">
            <v xml:space="preserve">890910131      </v>
          </cell>
          <cell r="O11763">
            <v>458</v>
          </cell>
        </row>
        <row r="11764">
          <cell r="F11764" t="str">
            <v xml:space="preserve">890910131      </v>
          </cell>
          <cell r="O11764">
            <v>216.3</v>
          </cell>
        </row>
        <row r="11765">
          <cell r="F11765" t="str">
            <v xml:space="preserve">79095204       </v>
          </cell>
          <cell r="O11765">
            <v>612</v>
          </cell>
        </row>
        <row r="11766">
          <cell r="F11766" t="str">
            <v xml:space="preserve">79095204       </v>
          </cell>
          <cell r="O11766">
            <v>360</v>
          </cell>
        </row>
        <row r="11767">
          <cell r="F11767" t="str">
            <v xml:space="preserve">212            </v>
          </cell>
          <cell r="O11767">
            <v>45</v>
          </cell>
        </row>
        <row r="11768">
          <cell r="F11768" t="str">
            <v xml:space="preserve">212            </v>
          </cell>
          <cell r="O11768">
            <v>15</v>
          </cell>
        </row>
        <row r="11769">
          <cell r="F11769" t="str">
            <v xml:space="preserve">212            </v>
          </cell>
          <cell r="O11769">
            <v>18</v>
          </cell>
        </row>
        <row r="11770">
          <cell r="F11770" t="str">
            <v xml:space="preserve">212            </v>
          </cell>
          <cell r="O11770">
            <v>45</v>
          </cell>
        </row>
        <row r="11771">
          <cell r="F11771" t="str">
            <v xml:space="preserve">212            </v>
          </cell>
          <cell r="O11771">
            <v>18</v>
          </cell>
        </row>
        <row r="11772">
          <cell r="F11772" t="str">
            <v xml:space="preserve">830027386      </v>
          </cell>
          <cell r="O11772">
            <v>90</v>
          </cell>
        </row>
        <row r="11773">
          <cell r="F11773" t="str">
            <v xml:space="preserve">890903939      </v>
          </cell>
          <cell r="O11773">
            <v>233.4</v>
          </cell>
        </row>
        <row r="11774">
          <cell r="F11774" t="str">
            <v xml:space="preserve">890932892      </v>
          </cell>
          <cell r="O11774">
            <v>78</v>
          </cell>
        </row>
        <row r="11775">
          <cell r="F11775" t="str">
            <v xml:space="preserve">900036188      </v>
          </cell>
          <cell r="O11775">
            <v>45</v>
          </cell>
        </row>
        <row r="11776">
          <cell r="F11776" t="str">
            <v xml:space="preserve">900603554      </v>
          </cell>
          <cell r="O11776">
            <v>54</v>
          </cell>
        </row>
        <row r="11777">
          <cell r="F11777" t="str">
            <v xml:space="preserve">212            </v>
          </cell>
          <cell r="O11777">
            <v>1755</v>
          </cell>
        </row>
        <row r="11778">
          <cell r="F11778" t="str">
            <v xml:space="preserve">212            </v>
          </cell>
          <cell r="O11778">
            <v>126</v>
          </cell>
        </row>
        <row r="11779">
          <cell r="F11779" t="str">
            <v xml:space="preserve">212            </v>
          </cell>
          <cell r="O11779">
            <v>180</v>
          </cell>
        </row>
        <row r="11780">
          <cell r="F11780" t="str">
            <v xml:space="preserve">805012977      </v>
          </cell>
          <cell r="O11780">
            <v>90</v>
          </cell>
        </row>
        <row r="11781">
          <cell r="F11781" t="str">
            <v xml:space="preserve">815004320      </v>
          </cell>
          <cell r="O11781">
            <v>72</v>
          </cell>
        </row>
        <row r="11782">
          <cell r="F11782" t="str">
            <v xml:space="preserve">860020382      </v>
          </cell>
          <cell r="O11782">
            <v>36</v>
          </cell>
        </row>
        <row r="11783">
          <cell r="F11783" t="str">
            <v xml:space="preserve">860020382      </v>
          </cell>
          <cell r="O11783">
            <v>90</v>
          </cell>
        </row>
        <row r="11784">
          <cell r="F11784" t="str">
            <v xml:space="preserve">890300431      </v>
          </cell>
          <cell r="O11784">
            <v>159</v>
          </cell>
        </row>
        <row r="11785">
          <cell r="F11785" t="str">
            <v xml:space="preserve">890308085      </v>
          </cell>
          <cell r="O11785">
            <v>36</v>
          </cell>
        </row>
        <row r="11786">
          <cell r="F11786" t="str">
            <v xml:space="preserve">890312630      </v>
          </cell>
          <cell r="O11786">
            <v>63</v>
          </cell>
        </row>
        <row r="11787">
          <cell r="F11787" t="str">
            <v xml:space="preserve">890316957      </v>
          </cell>
          <cell r="O11787">
            <v>54</v>
          </cell>
        </row>
        <row r="11788">
          <cell r="F11788" t="str">
            <v xml:space="preserve">890322007      </v>
          </cell>
          <cell r="O11788">
            <v>234</v>
          </cell>
        </row>
        <row r="11789">
          <cell r="F11789" t="str">
            <v xml:space="preserve">900818921      </v>
          </cell>
          <cell r="O11789">
            <v>526</v>
          </cell>
        </row>
        <row r="11790">
          <cell r="F11790" t="str">
            <v xml:space="preserve">900896300      </v>
          </cell>
          <cell r="O11790">
            <v>108</v>
          </cell>
        </row>
        <row r="11791">
          <cell r="F11791" t="str">
            <v xml:space="preserve">901026262      </v>
          </cell>
          <cell r="O11791">
            <v>54</v>
          </cell>
        </row>
        <row r="11792">
          <cell r="F11792" t="str">
            <v xml:space="preserve">212            </v>
          </cell>
          <cell r="O11792">
            <v>75</v>
          </cell>
        </row>
        <row r="11793">
          <cell r="F11793" t="str">
            <v xml:space="preserve">212            </v>
          </cell>
          <cell r="O11793">
            <v>72</v>
          </cell>
        </row>
        <row r="11794">
          <cell r="F11794" t="str">
            <v xml:space="preserve">212            </v>
          </cell>
          <cell r="O11794">
            <v>45</v>
          </cell>
        </row>
        <row r="11795">
          <cell r="F11795" t="str">
            <v xml:space="preserve">212            </v>
          </cell>
          <cell r="O11795">
            <v>36</v>
          </cell>
        </row>
        <row r="11796">
          <cell r="F11796" t="str">
            <v xml:space="preserve">71110713       </v>
          </cell>
          <cell r="O11796">
            <v>30</v>
          </cell>
        </row>
        <row r="11797">
          <cell r="F11797" t="str">
            <v xml:space="preserve">71110713       </v>
          </cell>
          <cell r="O11797">
            <v>36</v>
          </cell>
        </row>
        <row r="11798">
          <cell r="F11798" t="str">
            <v xml:space="preserve">71110713       </v>
          </cell>
          <cell r="O11798">
            <v>135</v>
          </cell>
        </row>
        <row r="11799">
          <cell r="F11799" t="str">
            <v xml:space="preserve">830010738      </v>
          </cell>
          <cell r="O11799">
            <v>450</v>
          </cell>
        </row>
        <row r="11800">
          <cell r="F11800" t="str">
            <v xml:space="preserve">41241333       </v>
          </cell>
          <cell r="O11800">
            <v>233.4</v>
          </cell>
        </row>
        <row r="11801">
          <cell r="F11801" t="str">
            <v xml:space="preserve">860403972      </v>
          </cell>
          <cell r="O11801">
            <v>2035.6</v>
          </cell>
        </row>
        <row r="11802">
          <cell r="F11802" t="str">
            <v xml:space="preserve">890332769      </v>
          </cell>
          <cell r="O11802">
            <v>6000.1</v>
          </cell>
        </row>
        <row r="11803">
          <cell r="F11803" t="str">
            <v xml:space="preserve">1093791135     </v>
          </cell>
          <cell r="O11803">
            <v>94</v>
          </cell>
        </row>
        <row r="11804">
          <cell r="F11804" t="str">
            <v xml:space="preserve">1113622521     </v>
          </cell>
          <cell r="O11804">
            <v>61.9</v>
          </cell>
        </row>
        <row r="11805">
          <cell r="F11805" t="str">
            <v xml:space="preserve">1126420127     </v>
          </cell>
          <cell r="O11805">
            <v>80.599999999999994</v>
          </cell>
        </row>
        <row r="11806">
          <cell r="F11806" t="str">
            <v xml:space="preserve">13479408       </v>
          </cell>
          <cell r="O11806">
            <v>84.7</v>
          </cell>
        </row>
        <row r="11807">
          <cell r="F11807" t="str">
            <v xml:space="preserve">51652376       </v>
          </cell>
          <cell r="O11807">
            <v>172.7</v>
          </cell>
        </row>
        <row r="11808">
          <cell r="F11808" t="str">
            <v xml:space="preserve">60378423       </v>
          </cell>
          <cell r="O11808">
            <v>42.9</v>
          </cell>
        </row>
        <row r="11809">
          <cell r="F11809" t="str">
            <v xml:space="preserve">71581450       </v>
          </cell>
          <cell r="O11809">
            <v>38.299999999999997</v>
          </cell>
        </row>
        <row r="11810">
          <cell r="F11810" t="str">
            <v xml:space="preserve">88254195       </v>
          </cell>
          <cell r="O11810">
            <v>38</v>
          </cell>
        </row>
        <row r="11811">
          <cell r="F11811" t="str">
            <v xml:space="preserve">805011094      </v>
          </cell>
          <cell r="O11811">
            <v>2998.4</v>
          </cell>
        </row>
        <row r="11812">
          <cell r="F11812" t="str">
            <v xml:space="preserve">28212962       </v>
          </cell>
          <cell r="O11812">
            <v>157.80000000000001</v>
          </cell>
        </row>
        <row r="11813">
          <cell r="F11813" t="str">
            <v xml:space="preserve">900834440      </v>
          </cell>
          <cell r="O11813">
            <v>574.1</v>
          </cell>
        </row>
        <row r="11814">
          <cell r="F11814" t="str">
            <v xml:space="preserve">860032450      </v>
          </cell>
          <cell r="O11814">
            <v>6831.9</v>
          </cell>
        </row>
        <row r="11815">
          <cell r="F11815" t="str">
            <v xml:space="preserve">75080026       </v>
          </cell>
          <cell r="O11815">
            <v>142.69999999999999</v>
          </cell>
        </row>
        <row r="11816">
          <cell r="F11816" t="str">
            <v xml:space="preserve">811013857      </v>
          </cell>
          <cell r="O11816">
            <v>1155.5</v>
          </cell>
        </row>
        <row r="11817">
          <cell r="F11817" t="str">
            <v xml:space="preserve">811014849      </v>
          </cell>
          <cell r="O11817">
            <v>788.7</v>
          </cell>
        </row>
        <row r="11818">
          <cell r="F11818" t="str">
            <v xml:space="preserve">900756147      </v>
          </cell>
          <cell r="O11818">
            <v>2002.6</v>
          </cell>
        </row>
        <row r="11819">
          <cell r="F11819" t="str">
            <v xml:space="preserve">890903939      </v>
          </cell>
          <cell r="O11819">
            <v>180</v>
          </cell>
        </row>
        <row r="11820">
          <cell r="F11820" t="str">
            <v xml:space="preserve">830010738      </v>
          </cell>
          <cell r="O11820">
            <v>725.2</v>
          </cell>
        </row>
        <row r="11821">
          <cell r="F11821" t="str">
            <v xml:space="preserve">890301054      </v>
          </cell>
          <cell r="O11821">
            <v>2670</v>
          </cell>
        </row>
        <row r="11822">
          <cell r="F11822" t="str">
            <v xml:space="preserve">900474647      </v>
          </cell>
          <cell r="O11822">
            <v>968.7</v>
          </cell>
        </row>
        <row r="11823">
          <cell r="F11823" t="str">
            <v xml:space="preserve">860403972      </v>
          </cell>
          <cell r="O11823">
            <v>201.1</v>
          </cell>
        </row>
        <row r="11824">
          <cell r="F11824" t="str">
            <v xml:space="preserve">860403972      </v>
          </cell>
          <cell r="O11824">
            <v>3092.4</v>
          </cell>
        </row>
        <row r="11825">
          <cell r="F11825" t="str">
            <v xml:space="preserve">900438187      </v>
          </cell>
          <cell r="O11825">
            <v>5014.2</v>
          </cell>
        </row>
        <row r="11826">
          <cell r="F11826" t="str">
            <v xml:space="preserve">52790620       </v>
          </cell>
          <cell r="O11826">
            <v>300</v>
          </cell>
        </row>
        <row r="11827">
          <cell r="F11827" t="str">
            <v xml:space="preserve">52790620       </v>
          </cell>
          <cell r="O11827">
            <v>675</v>
          </cell>
        </row>
        <row r="11828">
          <cell r="F11828" t="str">
            <v xml:space="preserve">52790620       </v>
          </cell>
          <cell r="O11828">
            <v>225</v>
          </cell>
        </row>
        <row r="11829">
          <cell r="F11829" t="str">
            <v xml:space="preserve">52790620       </v>
          </cell>
          <cell r="O11829">
            <v>1305</v>
          </cell>
        </row>
        <row r="11830">
          <cell r="F11830" t="str">
            <v xml:space="preserve">43744868       </v>
          </cell>
          <cell r="O11830">
            <v>99.1</v>
          </cell>
        </row>
        <row r="11831">
          <cell r="F11831" t="str">
            <v xml:space="preserve">901409625      </v>
          </cell>
          <cell r="O11831">
            <v>1086.5</v>
          </cell>
        </row>
        <row r="11832">
          <cell r="F11832" t="str">
            <v xml:space="preserve">22011939       </v>
          </cell>
          <cell r="O11832">
            <v>198</v>
          </cell>
        </row>
        <row r="11833">
          <cell r="F11833" t="str">
            <v xml:space="preserve">22011939       </v>
          </cell>
          <cell r="O11833">
            <v>60</v>
          </cell>
        </row>
        <row r="11834">
          <cell r="F11834" t="str">
            <v xml:space="preserve">22011939       </v>
          </cell>
          <cell r="O11834">
            <v>90</v>
          </cell>
        </row>
        <row r="11835">
          <cell r="F11835" t="str">
            <v xml:space="preserve">890903939      </v>
          </cell>
          <cell r="O11835">
            <v>216</v>
          </cell>
        </row>
        <row r="11836">
          <cell r="F11836" t="str">
            <v xml:space="preserve">890903939      </v>
          </cell>
          <cell r="O11836">
            <v>270</v>
          </cell>
        </row>
        <row r="11837">
          <cell r="F11837" t="str">
            <v xml:space="preserve">890903939      </v>
          </cell>
          <cell r="O11837">
            <v>216</v>
          </cell>
        </row>
        <row r="11838">
          <cell r="F11838" t="str">
            <v xml:space="preserve">890903939      </v>
          </cell>
          <cell r="O11838">
            <v>162</v>
          </cell>
        </row>
        <row r="11839">
          <cell r="F11839" t="str">
            <v xml:space="preserve">890903939      </v>
          </cell>
          <cell r="O11839">
            <v>270</v>
          </cell>
        </row>
        <row r="11840">
          <cell r="F11840" t="str">
            <v xml:space="preserve">890903939      </v>
          </cell>
          <cell r="O11840">
            <v>198</v>
          </cell>
        </row>
        <row r="11841">
          <cell r="F11841" t="str">
            <v xml:space="preserve">1115188970     </v>
          </cell>
          <cell r="O11841">
            <v>302</v>
          </cell>
        </row>
        <row r="11842">
          <cell r="F11842" t="str">
            <v xml:space="preserve">1115188970     </v>
          </cell>
          <cell r="O11842">
            <v>302</v>
          </cell>
        </row>
        <row r="11843">
          <cell r="F11843" t="str">
            <v xml:space="preserve">830107617      </v>
          </cell>
          <cell r="O11843">
            <v>3313.3</v>
          </cell>
        </row>
        <row r="11844">
          <cell r="F11844" t="str">
            <v xml:space="preserve">890200474      </v>
          </cell>
          <cell r="O11844">
            <v>151.30000000000001</v>
          </cell>
        </row>
        <row r="11845">
          <cell r="F11845" t="str">
            <v xml:space="preserve">890200474      </v>
          </cell>
          <cell r="O11845">
            <v>1825.4</v>
          </cell>
        </row>
        <row r="11846">
          <cell r="F11846" t="str">
            <v xml:space="preserve">891301549      </v>
          </cell>
          <cell r="O11846">
            <v>1309</v>
          </cell>
        </row>
        <row r="11847">
          <cell r="F11847" t="str">
            <v xml:space="preserve">891301549      </v>
          </cell>
          <cell r="O11847">
            <v>1401</v>
          </cell>
        </row>
        <row r="11848">
          <cell r="F11848" t="str">
            <v xml:space="preserve">891380049      </v>
          </cell>
          <cell r="O11848">
            <v>1206.5</v>
          </cell>
        </row>
        <row r="11849">
          <cell r="F11849" t="str">
            <v xml:space="preserve">900930070      </v>
          </cell>
          <cell r="O11849">
            <v>1000</v>
          </cell>
        </row>
        <row r="11850">
          <cell r="F11850" t="str">
            <v xml:space="preserve">830058506      </v>
          </cell>
          <cell r="O11850">
            <v>28965</v>
          </cell>
        </row>
        <row r="11851">
          <cell r="F11851" t="str">
            <v xml:space="preserve">830118416      </v>
          </cell>
          <cell r="O11851">
            <v>6980</v>
          </cell>
        </row>
        <row r="11852">
          <cell r="F11852" t="str">
            <v xml:space="preserve">900563448      </v>
          </cell>
          <cell r="O11852">
            <v>6310</v>
          </cell>
        </row>
        <row r="11853">
          <cell r="F11853" t="str">
            <v xml:space="preserve">901020967      </v>
          </cell>
          <cell r="O11853">
            <v>4040</v>
          </cell>
        </row>
        <row r="11854">
          <cell r="F11854" t="str">
            <v xml:space="preserve">901020967      </v>
          </cell>
          <cell r="O11854">
            <v>4020</v>
          </cell>
        </row>
        <row r="11855">
          <cell r="F11855" t="str">
            <v xml:space="preserve">830026277      </v>
          </cell>
          <cell r="O11855">
            <v>1400.91</v>
          </cell>
        </row>
        <row r="11856">
          <cell r="F11856" t="str">
            <v xml:space="preserve">860031786      </v>
          </cell>
          <cell r="O11856">
            <v>162.77000000000001</v>
          </cell>
        </row>
        <row r="11857">
          <cell r="F11857" t="str">
            <v xml:space="preserve">860040576      </v>
          </cell>
          <cell r="O11857">
            <v>115.87</v>
          </cell>
        </row>
        <row r="11858">
          <cell r="F11858" t="str">
            <v xml:space="preserve">860069182      </v>
          </cell>
          <cell r="O11858">
            <v>350.05</v>
          </cell>
        </row>
        <row r="11859">
          <cell r="F11859" t="str">
            <v xml:space="preserve">860518994      </v>
          </cell>
          <cell r="O11859">
            <v>59.33</v>
          </cell>
        </row>
        <row r="11860">
          <cell r="F11860" t="str">
            <v xml:space="preserve">1038409699     </v>
          </cell>
          <cell r="O11860">
            <v>130.80000000000001</v>
          </cell>
        </row>
        <row r="11861">
          <cell r="F11861" t="str">
            <v xml:space="preserve">1075232460     </v>
          </cell>
          <cell r="O11861">
            <v>48.4</v>
          </cell>
        </row>
        <row r="11862">
          <cell r="F11862" t="str">
            <v xml:space="preserve">1075266988     </v>
          </cell>
          <cell r="O11862">
            <v>65.400000000000006</v>
          </cell>
        </row>
        <row r="11863">
          <cell r="F11863" t="str">
            <v xml:space="preserve">1075270672     </v>
          </cell>
          <cell r="O11863">
            <v>162</v>
          </cell>
        </row>
        <row r="11864">
          <cell r="F11864" t="str">
            <v xml:space="preserve">12102897       </v>
          </cell>
          <cell r="O11864">
            <v>68.7</v>
          </cell>
        </row>
        <row r="11865">
          <cell r="F11865" t="str">
            <v xml:space="preserve">12117834       </v>
          </cell>
          <cell r="O11865">
            <v>39.4</v>
          </cell>
        </row>
        <row r="11866">
          <cell r="F11866" t="str">
            <v xml:space="preserve">26430314       </v>
          </cell>
          <cell r="O11866">
            <v>83.7</v>
          </cell>
        </row>
        <row r="11867">
          <cell r="F11867" t="str">
            <v xml:space="preserve">36147801       </v>
          </cell>
          <cell r="O11867">
            <v>70.599999999999994</v>
          </cell>
        </row>
        <row r="11868">
          <cell r="F11868" t="str">
            <v xml:space="preserve">36152861       </v>
          </cell>
          <cell r="O11868">
            <v>246.6</v>
          </cell>
        </row>
        <row r="11869">
          <cell r="F11869" t="str">
            <v xml:space="preserve">36156828       </v>
          </cell>
          <cell r="O11869">
            <v>337.9</v>
          </cell>
        </row>
        <row r="11870">
          <cell r="F11870" t="str">
            <v xml:space="preserve">36156828       </v>
          </cell>
          <cell r="O11870">
            <v>403.7</v>
          </cell>
        </row>
        <row r="11871">
          <cell r="F11871" t="str">
            <v xml:space="preserve">36304110       </v>
          </cell>
          <cell r="O11871">
            <v>59</v>
          </cell>
        </row>
        <row r="11872">
          <cell r="F11872" t="str">
            <v xml:space="preserve">55207082		     </v>
          </cell>
          <cell r="O11872">
            <v>68.400000000000006</v>
          </cell>
        </row>
        <row r="11873">
          <cell r="F11873" t="str">
            <v xml:space="preserve">55207082		     </v>
          </cell>
          <cell r="O11873">
            <v>133.6</v>
          </cell>
        </row>
        <row r="11874">
          <cell r="F11874" t="str">
            <v xml:space="preserve">7709256        </v>
          </cell>
          <cell r="O11874">
            <v>88.7</v>
          </cell>
        </row>
        <row r="11875">
          <cell r="F11875" t="str">
            <v xml:space="preserve">811020688      </v>
          </cell>
          <cell r="O11875">
            <v>264.5</v>
          </cell>
        </row>
        <row r="11876">
          <cell r="F11876" t="str">
            <v xml:space="preserve">83229489       </v>
          </cell>
          <cell r="O11876">
            <v>87.7</v>
          </cell>
        </row>
        <row r="11877">
          <cell r="F11877" t="str">
            <v xml:space="preserve">899999034      </v>
          </cell>
          <cell r="O11877">
            <v>278.60000000000002</v>
          </cell>
        </row>
        <row r="11878">
          <cell r="F11878" t="str">
            <v xml:space="preserve">900992422      </v>
          </cell>
          <cell r="O11878">
            <v>3791.7</v>
          </cell>
        </row>
        <row r="11879">
          <cell r="F11879" t="str">
            <v xml:space="preserve">901127896      </v>
          </cell>
          <cell r="O11879">
            <v>220.8</v>
          </cell>
        </row>
        <row r="11880">
          <cell r="F11880" t="str">
            <v xml:space="preserve">901127896      </v>
          </cell>
          <cell r="O11880">
            <v>146.1</v>
          </cell>
        </row>
        <row r="11881">
          <cell r="F11881" t="str">
            <v xml:space="preserve">901127896      </v>
          </cell>
          <cell r="O11881">
            <v>130.5</v>
          </cell>
        </row>
        <row r="11882">
          <cell r="F11882" t="str">
            <v xml:space="preserve">901127896      </v>
          </cell>
          <cell r="O11882">
            <v>163.6</v>
          </cell>
        </row>
        <row r="11883">
          <cell r="F11883" t="str">
            <v xml:space="preserve">901532251      </v>
          </cell>
          <cell r="O11883">
            <v>361.2</v>
          </cell>
        </row>
        <row r="11884">
          <cell r="F11884" t="str">
            <v xml:space="preserve">808000785      </v>
          </cell>
          <cell r="O11884">
            <v>2500.9</v>
          </cell>
        </row>
        <row r="11885">
          <cell r="F11885" t="str">
            <v xml:space="preserve">823001882      </v>
          </cell>
          <cell r="O11885">
            <v>90</v>
          </cell>
        </row>
        <row r="11886">
          <cell r="F11886" t="str">
            <v xml:space="preserve">805005148      </v>
          </cell>
          <cell r="O11886">
            <v>5976</v>
          </cell>
        </row>
        <row r="11887">
          <cell r="F11887" t="str">
            <v xml:space="preserve">805005148      </v>
          </cell>
          <cell r="O11887">
            <v>216</v>
          </cell>
        </row>
        <row r="11888">
          <cell r="F11888" t="str">
            <v xml:space="preserve">805005148      </v>
          </cell>
          <cell r="O11888">
            <v>30</v>
          </cell>
        </row>
        <row r="11889">
          <cell r="F11889" t="str">
            <v xml:space="preserve">805005148      </v>
          </cell>
          <cell r="O11889">
            <v>1620</v>
          </cell>
        </row>
        <row r="11890">
          <cell r="F11890" t="str">
            <v xml:space="preserve">805005148      </v>
          </cell>
          <cell r="O11890">
            <v>225</v>
          </cell>
        </row>
        <row r="11891">
          <cell r="F11891" t="str">
            <v xml:space="preserve">805005148      </v>
          </cell>
          <cell r="O11891">
            <v>1872</v>
          </cell>
        </row>
        <row r="11892">
          <cell r="F11892" t="str">
            <v xml:space="preserve">1130605276     </v>
          </cell>
          <cell r="O11892">
            <v>90</v>
          </cell>
        </row>
        <row r="11893">
          <cell r="F11893" t="str">
            <v xml:space="preserve">1130605276     </v>
          </cell>
          <cell r="O11893">
            <v>738</v>
          </cell>
        </row>
        <row r="11894">
          <cell r="F11894" t="str">
            <v xml:space="preserve">1130605276     </v>
          </cell>
          <cell r="O11894">
            <v>90</v>
          </cell>
        </row>
        <row r="11895">
          <cell r="F11895" t="str">
            <v xml:space="preserve">94050412       </v>
          </cell>
          <cell r="O11895">
            <v>450</v>
          </cell>
        </row>
        <row r="11896">
          <cell r="F11896" t="str">
            <v xml:space="preserve">94050412       </v>
          </cell>
          <cell r="O11896">
            <v>90</v>
          </cell>
        </row>
        <row r="11897">
          <cell r="F11897" t="str">
            <v xml:space="preserve">88275315       </v>
          </cell>
          <cell r="O11897">
            <v>60</v>
          </cell>
        </row>
        <row r="11898">
          <cell r="F11898" t="str">
            <v xml:space="preserve">88275315       </v>
          </cell>
          <cell r="O11898">
            <v>1836</v>
          </cell>
        </row>
        <row r="11899">
          <cell r="F11899" t="str">
            <v xml:space="preserve">88275315       </v>
          </cell>
          <cell r="O11899">
            <v>360</v>
          </cell>
        </row>
        <row r="11900">
          <cell r="F11900" t="str">
            <v xml:space="preserve">94464104       </v>
          </cell>
          <cell r="O11900">
            <v>90</v>
          </cell>
        </row>
        <row r="11901">
          <cell r="F11901" t="str">
            <v xml:space="preserve">94464104       </v>
          </cell>
          <cell r="O11901">
            <v>162</v>
          </cell>
        </row>
        <row r="11902">
          <cell r="F11902" t="str">
            <v xml:space="preserve">94464104       </v>
          </cell>
          <cell r="O11902">
            <v>360</v>
          </cell>
        </row>
        <row r="11903">
          <cell r="F11903" t="str">
            <v xml:space="preserve">16458005       </v>
          </cell>
          <cell r="O11903">
            <v>15</v>
          </cell>
        </row>
        <row r="11904">
          <cell r="F11904" t="str">
            <v xml:space="preserve">16458005       </v>
          </cell>
          <cell r="O11904">
            <v>288</v>
          </cell>
        </row>
        <row r="11905">
          <cell r="F11905" t="str">
            <v xml:space="preserve">94419930       </v>
          </cell>
          <cell r="O11905">
            <v>360</v>
          </cell>
        </row>
        <row r="11906">
          <cell r="F11906" t="str">
            <v xml:space="preserve">94420019       </v>
          </cell>
          <cell r="O11906">
            <v>90</v>
          </cell>
        </row>
        <row r="11907">
          <cell r="F11907" t="str">
            <v xml:space="preserve">94420019       </v>
          </cell>
          <cell r="O11907">
            <v>180</v>
          </cell>
        </row>
        <row r="11908">
          <cell r="F11908" t="str">
            <v xml:space="preserve">16669313       </v>
          </cell>
          <cell r="O11908">
            <v>18</v>
          </cell>
        </row>
        <row r="11909">
          <cell r="F11909" t="str">
            <v xml:space="preserve">16669313       </v>
          </cell>
          <cell r="O11909">
            <v>702</v>
          </cell>
        </row>
        <row r="11910">
          <cell r="F11910" t="str">
            <v xml:space="preserve">900034686      </v>
          </cell>
          <cell r="O11910">
            <v>72</v>
          </cell>
        </row>
        <row r="11911">
          <cell r="F11911" t="str">
            <v xml:space="preserve">900034686      </v>
          </cell>
          <cell r="O11911">
            <v>360</v>
          </cell>
        </row>
        <row r="11912">
          <cell r="F11912" t="str">
            <v xml:space="preserve">900034686      </v>
          </cell>
          <cell r="O11912">
            <v>36</v>
          </cell>
        </row>
        <row r="11913">
          <cell r="F11913" t="str">
            <v xml:space="preserve">900034686      </v>
          </cell>
          <cell r="O11913">
            <v>45</v>
          </cell>
        </row>
        <row r="11914">
          <cell r="F11914" t="str">
            <v xml:space="preserve">901551934      </v>
          </cell>
          <cell r="O11914">
            <v>15</v>
          </cell>
        </row>
        <row r="11915">
          <cell r="F11915" t="str">
            <v xml:space="preserve">901551934      </v>
          </cell>
          <cell r="O11915">
            <v>36</v>
          </cell>
        </row>
        <row r="11916">
          <cell r="F11916" t="str">
            <v xml:space="preserve">901551934      </v>
          </cell>
          <cell r="O11916">
            <v>135</v>
          </cell>
        </row>
        <row r="11917">
          <cell r="F11917" t="str">
            <v xml:space="preserve">16460421       </v>
          </cell>
          <cell r="O11917">
            <v>9</v>
          </cell>
        </row>
        <row r="11918">
          <cell r="F11918" t="str">
            <v xml:space="preserve">16460421       </v>
          </cell>
          <cell r="O11918">
            <v>36</v>
          </cell>
        </row>
        <row r="11919">
          <cell r="F11919" t="str">
            <v xml:space="preserve">16460421       </v>
          </cell>
          <cell r="O11919">
            <v>15</v>
          </cell>
        </row>
        <row r="11920">
          <cell r="F11920" t="str">
            <v xml:space="preserve">16460421       </v>
          </cell>
          <cell r="O11920">
            <v>774</v>
          </cell>
        </row>
        <row r="11921">
          <cell r="F11921" t="str">
            <v xml:space="preserve">16460421       </v>
          </cell>
          <cell r="O11921">
            <v>90</v>
          </cell>
        </row>
        <row r="11922">
          <cell r="F11922" t="str">
            <v xml:space="preserve">75074760       </v>
          </cell>
          <cell r="O11922">
            <v>105</v>
          </cell>
        </row>
        <row r="11923">
          <cell r="F11923" t="str">
            <v xml:space="preserve">15961063       </v>
          </cell>
          <cell r="O11923">
            <v>450</v>
          </cell>
        </row>
        <row r="11924">
          <cell r="F11924" t="str">
            <v xml:space="preserve">15961063       </v>
          </cell>
          <cell r="O11924">
            <v>36</v>
          </cell>
        </row>
        <row r="11925">
          <cell r="F11925" t="str">
            <v xml:space="preserve">15961063       </v>
          </cell>
          <cell r="O11925">
            <v>180</v>
          </cell>
        </row>
        <row r="11926">
          <cell r="F11926" t="str">
            <v xml:space="preserve">75099432       </v>
          </cell>
          <cell r="O11926">
            <v>9</v>
          </cell>
        </row>
        <row r="11927">
          <cell r="F11927" t="str">
            <v xml:space="preserve">75099432       </v>
          </cell>
          <cell r="O11927">
            <v>570</v>
          </cell>
        </row>
        <row r="11928">
          <cell r="F11928" t="str">
            <v xml:space="preserve">75099432       </v>
          </cell>
          <cell r="O11928">
            <v>126</v>
          </cell>
        </row>
        <row r="11929">
          <cell r="F11929" t="str">
            <v xml:space="preserve">75099432       </v>
          </cell>
          <cell r="O11929">
            <v>45</v>
          </cell>
        </row>
        <row r="11930">
          <cell r="F11930" t="str">
            <v xml:space="preserve">16052848       </v>
          </cell>
          <cell r="O11930">
            <v>1065</v>
          </cell>
        </row>
        <row r="11931">
          <cell r="F11931" t="str">
            <v xml:space="preserve">16052848       </v>
          </cell>
          <cell r="O11931">
            <v>270</v>
          </cell>
        </row>
        <row r="11932">
          <cell r="F11932" t="str">
            <v xml:space="preserve">16052848       </v>
          </cell>
          <cell r="O11932">
            <v>450</v>
          </cell>
        </row>
        <row r="11933">
          <cell r="F11933" t="str">
            <v xml:space="preserve">96359555       </v>
          </cell>
          <cell r="O11933">
            <v>81</v>
          </cell>
        </row>
        <row r="11934">
          <cell r="F11934" t="str">
            <v xml:space="preserve">96359555       </v>
          </cell>
          <cell r="O11934">
            <v>810</v>
          </cell>
        </row>
        <row r="11935">
          <cell r="F11935" t="str">
            <v xml:space="preserve">96359555       </v>
          </cell>
          <cell r="O11935">
            <v>1800</v>
          </cell>
        </row>
        <row r="11936">
          <cell r="F11936" t="str">
            <v xml:space="preserve">890903939      </v>
          </cell>
          <cell r="O11936">
            <v>126</v>
          </cell>
        </row>
        <row r="11937">
          <cell r="F11937" t="str">
            <v xml:space="preserve">900204935      </v>
          </cell>
          <cell r="O11937">
            <v>18</v>
          </cell>
        </row>
        <row r="11938">
          <cell r="F11938" t="str">
            <v xml:space="preserve">9696643        </v>
          </cell>
          <cell r="O11938">
            <v>3225</v>
          </cell>
        </row>
        <row r="11939">
          <cell r="F11939" t="str">
            <v xml:space="preserve">10237057       </v>
          </cell>
          <cell r="O11939">
            <v>18</v>
          </cell>
        </row>
        <row r="11940">
          <cell r="F11940" t="str">
            <v xml:space="preserve">10237057       </v>
          </cell>
          <cell r="O11940">
            <v>90</v>
          </cell>
        </row>
        <row r="11941">
          <cell r="F11941" t="str">
            <v xml:space="preserve">10237057       </v>
          </cell>
          <cell r="O11941">
            <v>72</v>
          </cell>
        </row>
        <row r="11942">
          <cell r="F11942" t="str">
            <v xml:space="preserve">6157942        </v>
          </cell>
          <cell r="O11942">
            <v>750</v>
          </cell>
        </row>
        <row r="11943">
          <cell r="F11943" t="str">
            <v xml:space="preserve">1111745154     </v>
          </cell>
          <cell r="O11943">
            <v>240</v>
          </cell>
        </row>
        <row r="11944">
          <cell r="F11944" t="str">
            <v xml:space="preserve">71734502       </v>
          </cell>
          <cell r="O11944">
            <v>4.5</v>
          </cell>
        </row>
        <row r="11945">
          <cell r="F11945" t="str">
            <v xml:space="preserve">71734502       </v>
          </cell>
          <cell r="O11945">
            <v>90</v>
          </cell>
        </row>
        <row r="11946">
          <cell r="F11946" t="str">
            <v xml:space="preserve">14471042       </v>
          </cell>
          <cell r="O11946">
            <v>45</v>
          </cell>
        </row>
        <row r="11947">
          <cell r="F11947" t="str">
            <v xml:space="preserve">14471042       </v>
          </cell>
          <cell r="O11947">
            <v>4.5</v>
          </cell>
        </row>
        <row r="11948">
          <cell r="F11948" t="str">
            <v xml:space="preserve">14471042       </v>
          </cell>
          <cell r="O11948">
            <v>120</v>
          </cell>
        </row>
        <row r="11949">
          <cell r="F11949" t="str">
            <v xml:space="preserve">16479359       </v>
          </cell>
          <cell r="O11949">
            <v>240</v>
          </cell>
        </row>
        <row r="11950">
          <cell r="F11950" t="str">
            <v xml:space="preserve">16479359       </v>
          </cell>
          <cell r="O11950">
            <v>135</v>
          </cell>
        </row>
        <row r="11951">
          <cell r="F11951" t="str">
            <v xml:space="preserve">16214926       </v>
          </cell>
          <cell r="O11951">
            <v>4.5</v>
          </cell>
        </row>
        <row r="11952">
          <cell r="F11952" t="str">
            <v xml:space="preserve">16214926       </v>
          </cell>
          <cell r="O11952">
            <v>165</v>
          </cell>
        </row>
        <row r="11953">
          <cell r="F11953" t="str">
            <v xml:space="preserve">10007888       </v>
          </cell>
          <cell r="O11953">
            <v>90</v>
          </cell>
        </row>
        <row r="11954">
          <cell r="F11954" t="str">
            <v xml:space="preserve">10007888       </v>
          </cell>
          <cell r="O11954">
            <v>36</v>
          </cell>
        </row>
        <row r="11955">
          <cell r="F11955" t="str">
            <v xml:space="preserve">16225682       </v>
          </cell>
          <cell r="O11955">
            <v>90</v>
          </cell>
        </row>
        <row r="11956">
          <cell r="F11956" t="str">
            <v xml:space="preserve">16225682       </v>
          </cell>
          <cell r="O11956">
            <v>300</v>
          </cell>
        </row>
        <row r="11957">
          <cell r="F11957" t="str">
            <v xml:space="preserve">805005148      </v>
          </cell>
          <cell r="O11957">
            <v>1350</v>
          </cell>
        </row>
        <row r="11958">
          <cell r="F11958" t="str">
            <v xml:space="preserve">805005148      </v>
          </cell>
          <cell r="O11958">
            <v>1404</v>
          </cell>
        </row>
        <row r="11959">
          <cell r="F11959" t="str">
            <v xml:space="preserve">805005148      </v>
          </cell>
          <cell r="O11959">
            <v>675</v>
          </cell>
        </row>
        <row r="11960">
          <cell r="F11960" t="str">
            <v xml:space="preserve">10532222       </v>
          </cell>
          <cell r="O11960">
            <v>15</v>
          </cell>
        </row>
        <row r="11961">
          <cell r="F11961" t="str">
            <v xml:space="preserve">10532222       </v>
          </cell>
          <cell r="O11961">
            <v>144</v>
          </cell>
        </row>
        <row r="11962">
          <cell r="F11962" t="str">
            <v xml:space="preserve">10532222       </v>
          </cell>
          <cell r="O11962">
            <v>45</v>
          </cell>
        </row>
        <row r="11963">
          <cell r="F11963" t="str">
            <v xml:space="preserve">12168724       </v>
          </cell>
          <cell r="O11963">
            <v>30</v>
          </cell>
        </row>
        <row r="11964">
          <cell r="F11964" t="str">
            <v xml:space="preserve">12168724       </v>
          </cell>
          <cell r="O11964">
            <v>720</v>
          </cell>
        </row>
        <row r="11965">
          <cell r="F11965" t="str">
            <v xml:space="preserve">10755493       </v>
          </cell>
          <cell r="O11965">
            <v>414</v>
          </cell>
        </row>
        <row r="11966">
          <cell r="F11966" t="str">
            <v xml:space="preserve">10292388       </v>
          </cell>
          <cell r="O11966">
            <v>216</v>
          </cell>
        </row>
        <row r="11967">
          <cell r="F11967" t="str">
            <v xml:space="preserve">10292388       </v>
          </cell>
          <cell r="O11967">
            <v>90</v>
          </cell>
        </row>
        <row r="11968">
          <cell r="F11968" t="str">
            <v xml:space="preserve">76331539       </v>
          </cell>
          <cell r="O11968">
            <v>45</v>
          </cell>
        </row>
        <row r="11969">
          <cell r="F11969" t="str">
            <v xml:space="preserve">76331539       </v>
          </cell>
          <cell r="O11969">
            <v>120</v>
          </cell>
        </row>
        <row r="11970">
          <cell r="F11970" t="str">
            <v xml:space="preserve">76331539       </v>
          </cell>
          <cell r="O11970">
            <v>882</v>
          </cell>
        </row>
        <row r="11971">
          <cell r="F11971" t="str">
            <v xml:space="preserve">76331539       </v>
          </cell>
          <cell r="O11971">
            <v>135</v>
          </cell>
        </row>
        <row r="11972">
          <cell r="F11972" t="str">
            <v xml:space="preserve">89009557       </v>
          </cell>
          <cell r="O11972">
            <v>45</v>
          </cell>
        </row>
        <row r="11973">
          <cell r="F11973" t="str">
            <v xml:space="preserve">89009557       </v>
          </cell>
          <cell r="O11973">
            <v>90</v>
          </cell>
        </row>
        <row r="11974">
          <cell r="F11974" t="str">
            <v xml:space="preserve">9900047        </v>
          </cell>
          <cell r="O11974">
            <v>9</v>
          </cell>
        </row>
        <row r="11975">
          <cell r="F11975" t="str">
            <v xml:space="preserve">9900047        </v>
          </cell>
          <cell r="O11975">
            <v>30</v>
          </cell>
        </row>
        <row r="11976">
          <cell r="F11976" t="str">
            <v xml:space="preserve">9900047        </v>
          </cell>
          <cell r="O11976">
            <v>36</v>
          </cell>
        </row>
        <row r="11977">
          <cell r="F11977" t="str">
            <v xml:space="preserve">9900047        </v>
          </cell>
          <cell r="O11977">
            <v>45</v>
          </cell>
        </row>
        <row r="11978">
          <cell r="F11978" t="str">
            <v xml:space="preserve">18389245       </v>
          </cell>
          <cell r="O11978">
            <v>195</v>
          </cell>
        </row>
        <row r="11979">
          <cell r="F11979" t="str">
            <v xml:space="preserve">18389245       </v>
          </cell>
          <cell r="O11979">
            <v>36</v>
          </cell>
        </row>
        <row r="11980">
          <cell r="F11980" t="str">
            <v xml:space="preserve">18416624       </v>
          </cell>
          <cell r="O11980">
            <v>27</v>
          </cell>
        </row>
        <row r="11981">
          <cell r="F11981" t="str">
            <v xml:space="preserve">18416624       </v>
          </cell>
          <cell r="O11981">
            <v>60</v>
          </cell>
        </row>
        <row r="11982">
          <cell r="F11982" t="str">
            <v xml:space="preserve">18416624       </v>
          </cell>
          <cell r="O11982">
            <v>18</v>
          </cell>
        </row>
        <row r="11983">
          <cell r="F11983" t="str">
            <v xml:space="preserve">18416624       </v>
          </cell>
          <cell r="O11983">
            <v>4.5</v>
          </cell>
        </row>
        <row r="11984">
          <cell r="F11984" t="str">
            <v xml:space="preserve">18416624       </v>
          </cell>
          <cell r="O11984">
            <v>15</v>
          </cell>
        </row>
        <row r="11985">
          <cell r="F11985" t="str">
            <v xml:space="preserve">4613715        </v>
          </cell>
          <cell r="O11985">
            <v>9</v>
          </cell>
        </row>
        <row r="11986">
          <cell r="F11986" t="str">
            <v xml:space="preserve">4613715        </v>
          </cell>
          <cell r="O11986">
            <v>15</v>
          </cell>
        </row>
        <row r="11987">
          <cell r="F11987" t="str">
            <v xml:space="preserve">4613715        </v>
          </cell>
          <cell r="O11987">
            <v>45</v>
          </cell>
        </row>
        <row r="11988">
          <cell r="F11988" t="str">
            <v xml:space="preserve">9805400        </v>
          </cell>
          <cell r="O11988">
            <v>30</v>
          </cell>
        </row>
        <row r="11989">
          <cell r="F11989" t="str">
            <v xml:space="preserve">9805400        </v>
          </cell>
          <cell r="O11989">
            <v>54</v>
          </cell>
        </row>
        <row r="11990">
          <cell r="F11990" t="str">
            <v xml:space="preserve">9805400        </v>
          </cell>
          <cell r="O11990">
            <v>15</v>
          </cell>
        </row>
        <row r="11991">
          <cell r="F11991" t="str">
            <v xml:space="preserve">9805400        </v>
          </cell>
          <cell r="O11991">
            <v>180</v>
          </cell>
        </row>
        <row r="11992">
          <cell r="F11992" t="str">
            <v xml:space="preserve">6110295        </v>
          </cell>
          <cell r="O11992">
            <v>198</v>
          </cell>
        </row>
        <row r="11993">
          <cell r="F11993" t="str">
            <v xml:space="preserve">6110295        </v>
          </cell>
          <cell r="O11993">
            <v>45</v>
          </cell>
        </row>
        <row r="11994">
          <cell r="F11994" t="str">
            <v xml:space="preserve">6110295        </v>
          </cell>
          <cell r="O11994">
            <v>18</v>
          </cell>
        </row>
        <row r="11995">
          <cell r="F11995" t="str">
            <v xml:space="preserve">6110295        </v>
          </cell>
          <cell r="O11995">
            <v>300</v>
          </cell>
        </row>
        <row r="11996">
          <cell r="F11996" t="str">
            <v xml:space="preserve">805005148      </v>
          </cell>
          <cell r="O11996">
            <v>108</v>
          </cell>
        </row>
        <row r="11997">
          <cell r="F11997" t="str">
            <v xml:space="preserve">805005148      </v>
          </cell>
          <cell r="O11997">
            <v>2520</v>
          </cell>
        </row>
        <row r="11998">
          <cell r="F11998" t="str">
            <v xml:space="preserve">805005148      </v>
          </cell>
          <cell r="O11998">
            <v>270</v>
          </cell>
        </row>
        <row r="11999">
          <cell r="F11999" t="str">
            <v xml:space="preserve">10488839       </v>
          </cell>
          <cell r="O11999">
            <v>1260</v>
          </cell>
        </row>
        <row r="12000">
          <cell r="F12000" t="str">
            <v xml:space="preserve">10488839       </v>
          </cell>
          <cell r="O12000">
            <v>90</v>
          </cell>
        </row>
        <row r="12001">
          <cell r="F12001" t="str">
            <v xml:space="preserve">16843578       </v>
          </cell>
          <cell r="O12001">
            <v>1440</v>
          </cell>
        </row>
        <row r="12002">
          <cell r="F12002" t="str">
            <v xml:space="preserve">900034686      </v>
          </cell>
          <cell r="O12002">
            <v>90</v>
          </cell>
        </row>
        <row r="12003">
          <cell r="F12003" t="str">
            <v xml:space="preserve">10484782       </v>
          </cell>
          <cell r="O12003">
            <v>2736</v>
          </cell>
        </row>
        <row r="12004">
          <cell r="F12004" t="str">
            <v xml:space="preserve">16849293       </v>
          </cell>
          <cell r="O12004">
            <v>15</v>
          </cell>
        </row>
        <row r="12005">
          <cell r="F12005" t="str">
            <v xml:space="preserve">16849293       </v>
          </cell>
          <cell r="O12005">
            <v>198</v>
          </cell>
        </row>
        <row r="12006">
          <cell r="F12006" t="str">
            <v xml:space="preserve">10555516       </v>
          </cell>
          <cell r="O12006">
            <v>504</v>
          </cell>
        </row>
        <row r="12007">
          <cell r="F12007" t="str">
            <v xml:space="preserve">10555516       </v>
          </cell>
          <cell r="O12007">
            <v>45</v>
          </cell>
        </row>
        <row r="12008">
          <cell r="F12008" t="str">
            <v xml:space="preserve">900444531      </v>
          </cell>
          <cell r="O12008">
            <v>126</v>
          </cell>
        </row>
        <row r="12009">
          <cell r="F12009" t="str">
            <v xml:space="preserve">7247040        </v>
          </cell>
          <cell r="O12009">
            <v>45</v>
          </cell>
        </row>
        <row r="12010">
          <cell r="F12010" t="str">
            <v xml:space="preserve">7247040        </v>
          </cell>
          <cell r="O12010">
            <v>72</v>
          </cell>
        </row>
        <row r="12011">
          <cell r="F12011" t="str">
            <v xml:space="preserve">79736632       </v>
          </cell>
          <cell r="O12011">
            <v>540</v>
          </cell>
        </row>
        <row r="12012">
          <cell r="F12012" t="str">
            <v xml:space="preserve">79736632       </v>
          </cell>
          <cell r="O12012">
            <v>1098</v>
          </cell>
        </row>
        <row r="12013">
          <cell r="F12013" t="str">
            <v xml:space="preserve">79736632       </v>
          </cell>
          <cell r="O12013">
            <v>135</v>
          </cell>
        </row>
        <row r="12014">
          <cell r="F12014" t="str">
            <v xml:space="preserve">13701412       </v>
          </cell>
          <cell r="O12014">
            <v>9</v>
          </cell>
        </row>
        <row r="12015">
          <cell r="F12015" t="str">
            <v xml:space="preserve">13701412       </v>
          </cell>
          <cell r="O12015">
            <v>450</v>
          </cell>
        </row>
        <row r="12016">
          <cell r="F12016" t="str">
            <v xml:space="preserve">13701412       </v>
          </cell>
          <cell r="O12016">
            <v>45</v>
          </cell>
        </row>
        <row r="12017">
          <cell r="F12017" t="str">
            <v xml:space="preserve">79448203       </v>
          </cell>
          <cell r="O12017">
            <v>900</v>
          </cell>
        </row>
        <row r="12018">
          <cell r="F12018" t="str">
            <v xml:space="preserve">79448203       </v>
          </cell>
          <cell r="O12018">
            <v>225</v>
          </cell>
        </row>
        <row r="12019">
          <cell r="F12019" t="str">
            <v xml:space="preserve">26050336       </v>
          </cell>
          <cell r="O12019">
            <v>18</v>
          </cell>
        </row>
        <row r="12020">
          <cell r="F12020" t="str">
            <v xml:space="preserve">26050336       </v>
          </cell>
          <cell r="O12020">
            <v>108</v>
          </cell>
        </row>
        <row r="12021">
          <cell r="F12021" t="str">
            <v xml:space="preserve">7163709        </v>
          </cell>
          <cell r="O12021">
            <v>225</v>
          </cell>
        </row>
        <row r="12022">
          <cell r="F12022" t="str">
            <v xml:space="preserve">7163709        </v>
          </cell>
          <cell r="O12022">
            <v>1080</v>
          </cell>
        </row>
        <row r="12023">
          <cell r="F12023" t="str">
            <v xml:space="preserve">7163709        </v>
          </cell>
          <cell r="O12023">
            <v>360</v>
          </cell>
        </row>
        <row r="12024">
          <cell r="F12024" t="str">
            <v xml:space="preserve">93152963       </v>
          </cell>
          <cell r="O12024">
            <v>180</v>
          </cell>
        </row>
        <row r="12025">
          <cell r="F12025" t="str">
            <v xml:space="preserve">93152963       </v>
          </cell>
          <cell r="O12025">
            <v>750</v>
          </cell>
        </row>
        <row r="12026">
          <cell r="F12026" t="str">
            <v xml:space="preserve">93152963       </v>
          </cell>
          <cell r="O12026">
            <v>738</v>
          </cell>
        </row>
        <row r="12027">
          <cell r="F12027" t="str">
            <v xml:space="preserve">93152963       </v>
          </cell>
          <cell r="O12027">
            <v>225</v>
          </cell>
        </row>
        <row r="12028">
          <cell r="F12028" t="str">
            <v xml:space="preserve">93152963       </v>
          </cell>
          <cell r="O12028">
            <v>90</v>
          </cell>
        </row>
        <row r="12029">
          <cell r="F12029" t="str">
            <v xml:space="preserve">93152963       </v>
          </cell>
          <cell r="O12029">
            <v>198</v>
          </cell>
        </row>
        <row r="12030">
          <cell r="F12030" t="str">
            <v xml:space="preserve">91360601       </v>
          </cell>
          <cell r="O12030">
            <v>27</v>
          </cell>
        </row>
        <row r="12031">
          <cell r="F12031" t="str">
            <v xml:space="preserve">91360601       </v>
          </cell>
          <cell r="O12031">
            <v>105</v>
          </cell>
        </row>
        <row r="12032">
          <cell r="F12032" t="str">
            <v xml:space="preserve">91360601       </v>
          </cell>
          <cell r="O12032">
            <v>1800</v>
          </cell>
        </row>
        <row r="12033">
          <cell r="F12033" t="str">
            <v xml:space="preserve">91360601       </v>
          </cell>
          <cell r="O12033">
            <v>630</v>
          </cell>
        </row>
        <row r="12034">
          <cell r="F12034" t="str">
            <v xml:space="preserve">18385749       </v>
          </cell>
          <cell r="O12034">
            <v>486</v>
          </cell>
        </row>
        <row r="12035">
          <cell r="F12035" t="str">
            <v xml:space="preserve">18385749       </v>
          </cell>
          <cell r="O12035">
            <v>630</v>
          </cell>
        </row>
        <row r="12036">
          <cell r="F12036" t="str">
            <v xml:space="preserve">82394480       </v>
          </cell>
          <cell r="O12036">
            <v>270</v>
          </cell>
        </row>
        <row r="12037">
          <cell r="F12037" t="str">
            <v xml:space="preserve">82394480       </v>
          </cell>
          <cell r="O12037">
            <v>360</v>
          </cell>
        </row>
        <row r="12038">
          <cell r="F12038" t="str">
            <v xml:space="preserve">82394480       </v>
          </cell>
          <cell r="O12038">
            <v>30</v>
          </cell>
        </row>
        <row r="12039">
          <cell r="F12039" t="str">
            <v xml:space="preserve">82394480       </v>
          </cell>
          <cell r="O12039">
            <v>324</v>
          </cell>
        </row>
        <row r="12040">
          <cell r="F12040" t="str">
            <v xml:space="preserve">82394480       </v>
          </cell>
          <cell r="O12040">
            <v>270</v>
          </cell>
        </row>
        <row r="12041">
          <cell r="F12041" t="str">
            <v xml:space="preserve">79824837       </v>
          </cell>
          <cell r="O12041">
            <v>720</v>
          </cell>
        </row>
        <row r="12042">
          <cell r="F12042" t="str">
            <v xml:space="preserve">79824837       </v>
          </cell>
          <cell r="O12042">
            <v>540</v>
          </cell>
        </row>
        <row r="12043">
          <cell r="F12043" t="str">
            <v xml:space="preserve">79824837       </v>
          </cell>
          <cell r="O12043">
            <v>1692</v>
          </cell>
        </row>
        <row r="12044">
          <cell r="F12044" t="str">
            <v xml:space="preserve">1074130475     </v>
          </cell>
          <cell r="O12044">
            <v>90</v>
          </cell>
        </row>
        <row r="12045">
          <cell r="F12045" t="str">
            <v xml:space="preserve">1074130475     </v>
          </cell>
          <cell r="O12045">
            <v>810</v>
          </cell>
        </row>
        <row r="12046">
          <cell r="F12046" t="str">
            <v xml:space="preserve">1074130475     </v>
          </cell>
          <cell r="O12046">
            <v>270</v>
          </cell>
        </row>
        <row r="12047">
          <cell r="F12047" t="str">
            <v xml:space="preserve">900459366      </v>
          </cell>
          <cell r="O12047">
            <v>15</v>
          </cell>
        </row>
        <row r="12048">
          <cell r="F12048" t="str">
            <v xml:space="preserve">900459366      </v>
          </cell>
          <cell r="O12048">
            <v>1620</v>
          </cell>
        </row>
        <row r="12049">
          <cell r="F12049" t="str">
            <v xml:space="preserve">900459366      </v>
          </cell>
          <cell r="O12049">
            <v>450</v>
          </cell>
        </row>
        <row r="12050">
          <cell r="F12050" t="str">
            <v xml:space="preserve">900459366      </v>
          </cell>
          <cell r="O12050">
            <v>30</v>
          </cell>
        </row>
        <row r="12051">
          <cell r="F12051" t="str">
            <v xml:space="preserve">900459366      </v>
          </cell>
          <cell r="O12051">
            <v>2664</v>
          </cell>
        </row>
        <row r="12052">
          <cell r="F12052" t="str">
            <v xml:space="preserve">900459366      </v>
          </cell>
          <cell r="O12052">
            <v>180</v>
          </cell>
        </row>
        <row r="12053">
          <cell r="F12053" t="str">
            <v xml:space="preserve">900459366      </v>
          </cell>
          <cell r="O12053">
            <v>18</v>
          </cell>
        </row>
        <row r="12054">
          <cell r="F12054" t="str">
            <v xml:space="preserve">71312536       </v>
          </cell>
          <cell r="O12054">
            <v>288</v>
          </cell>
        </row>
        <row r="12055">
          <cell r="F12055" t="str">
            <v xml:space="preserve">71312536       </v>
          </cell>
          <cell r="O12055">
            <v>30</v>
          </cell>
        </row>
        <row r="12056">
          <cell r="F12056" t="str">
            <v xml:space="preserve">71312536       </v>
          </cell>
          <cell r="O12056">
            <v>612</v>
          </cell>
        </row>
        <row r="12057">
          <cell r="F12057" t="str">
            <v xml:space="preserve">71215358       </v>
          </cell>
          <cell r="O12057">
            <v>72</v>
          </cell>
        </row>
        <row r="12058">
          <cell r="F12058" t="str">
            <v xml:space="preserve">71215358       </v>
          </cell>
          <cell r="O12058">
            <v>135</v>
          </cell>
        </row>
        <row r="12059">
          <cell r="F12059" t="str">
            <v xml:space="preserve">71215358       </v>
          </cell>
          <cell r="O12059">
            <v>9</v>
          </cell>
        </row>
        <row r="12060">
          <cell r="F12060" t="str">
            <v xml:space="preserve">71215358       </v>
          </cell>
          <cell r="O12060">
            <v>18</v>
          </cell>
        </row>
        <row r="12061">
          <cell r="F12061" t="str">
            <v xml:space="preserve">71215358       </v>
          </cell>
          <cell r="O12061">
            <v>234</v>
          </cell>
        </row>
        <row r="12062">
          <cell r="F12062" t="str">
            <v xml:space="preserve">71215358       </v>
          </cell>
          <cell r="O12062">
            <v>90</v>
          </cell>
        </row>
        <row r="12063">
          <cell r="F12063" t="str">
            <v xml:space="preserve">71215358       </v>
          </cell>
          <cell r="O12063">
            <v>54</v>
          </cell>
        </row>
        <row r="12064">
          <cell r="F12064" t="str">
            <v xml:space="preserve">71215358       </v>
          </cell>
          <cell r="O12064">
            <v>30</v>
          </cell>
        </row>
        <row r="12065">
          <cell r="F12065" t="str">
            <v xml:space="preserve">71215358       </v>
          </cell>
          <cell r="O12065">
            <v>450</v>
          </cell>
        </row>
        <row r="12066">
          <cell r="F12066" t="str">
            <v xml:space="preserve">71215358       </v>
          </cell>
          <cell r="O12066">
            <v>90</v>
          </cell>
        </row>
        <row r="12067">
          <cell r="F12067" t="str">
            <v xml:space="preserve">71215358       </v>
          </cell>
          <cell r="O12067">
            <v>414</v>
          </cell>
        </row>
        <row r="12068">
          <cell r="F12068" t="str">
            <v xml:space="preserve">71215358       </v>
          </cell>
          <cell r="O12068">
            <v>90</v>
          </cell>
        </row>
        <row r="12069">
          <cell r="F12069" t="str">
            <v xml:space="preserve">71053866       </v>
          </cell>
          <cell r="O12069">
            <v>180</v>
          </cell>
        </row>
        <row r="12070">
          <cell r="F12070" t="str">
            <v xml:space="preserve">71053866       </v>
          </cell>
          <cell r="O12070">
            <v>1620</v>
          </cell>
        </row>
        <row r="12071">
          <cell r="F12071" t="str">
            <v xml:space="preserve">91179385       </v>
          </cell>
          <cell r="O12071">
            <v>15</v>
          </cell>
        </row>
        <row r="12072">
          <cell r="F12072" t="str">
            <v xml:space="preserve">91179385       </v>
          </cell>
          <cell r="O12072">
            <v>648</v>
          </cell>
        </row>
        <row r="12073">
          <cell r="F12073" t="str">
            <v xml:space="preserve">91179385       </v>
          </cell>
          <cell r="O12073">
            <v>135</v>
          </cell>
        </row>
        <row r="12074">
          <cell r="F12074" t="str">
            <v xml:space="preserve">88275004       </v>
          </cell>
          <cell r="O12074">
            <v>1350</v>
          </cell>
        </row>
        <row r="12075">
          <cell r="F12075" t="str">
            <v xml:space="preserve">88275004       </v>
          </cell>
          <cell r="O12075">
            <v>900</v>
          </cell>
        </row>
        <row r="12076">
          <cell r="F12076" t="str">
            <v xml:space="preserve">88275004       </v>
          </cell>
          <cell r="O12076">
            <v>225</v>
          </cell>
        </row>
        <row r="12077">
          <cell r="F12077" t="str">
            <v xml:space="preserve">79384689       </v>
          </cell>
          <cell r="O12077">
            <v>45</v>
          </cell>
        </row>
        <row r="12078">
          <cell r="F12078" t="str">
            <v xml:space="preserve">79384689       </v>
          </cell>
          <cell r="O12078">
            <v>45</v>
          </cell>
        </row>
        <row r="12079">
          <cell r="F12079" t="str">
            <v xml:space="preserve">13458443       </v>
          </cell>
          <cell r="O12079">
            <v>4.5</v>
          </cell>
        </row>
        <row r="12080">
          <cell r="F12080" t="str">
            <v xml:space="preserve">13458443       </v>
          </cell>
          <cell r="O12080">
            <v>120</v>
          </cell>
        </row>
        <row r="12081">
          <cell r="F12081" t="str">
            <v xml:space="preserve">13494934       </v>
          </cell>
          <cell r="O12081">
            <v>315</v>
          </cell>
        </row>
        <row r="12082">
          <cell r="F12082" t="str">
            <v xml:space="preserve">13494934       </v>
          </cell>
          <cell r="O12082">
            <v>360</v>
          </cell>
        </row>
        <row r="12083">
          <cell r="F12083" t="str">
            <v xml:space="preserve">88188644       </v>
          </cell>
          <cell r="O12083">
            <v>495</v>
          </cell>
        </row>
        <row r="12084">
          <cell r="F12084" t="str">
            <v xml:space="preserve">88188644       </v>
          </cell>
          <cell r="O12084">
            <v>135</v>
          </cell>
        </row>
        <row r="12085">
          <cell r="F12085" t="str">
            <v xml:space="preserve">1117502076     </v>
          </cell>
          <cell r="O12085">
            <v>180</v>
          </cell>
        </row>
        <row r="12086">
          <cell r="F12086" t="str">
            <v xml:space="preserve">1117502076     </v>
          </cell>
          <cell r="O12086">
            <v>306</v>
          </cell>
        </row>
        <row r="12087">
          <cell r="F12087" t="str">
            <v xml:space="preserve">1117502076     </v>
          </cell>
          <cell r="O12087">
            <v>45</v>
          </cell>
        </row>
        <row r="12088">
          <cell r="F12088" t="str">
            <v xml:space="preserve">91266362       </v>
          </cell>
          <cell r="O12088">
            <v>126</v>
          </cell>
        </row>
        <row r="12089">
          <cell r="F12089" t="str">
            <v xml:space="preserve">91179643       </v>
          </cell>
          <cell r="O12089">
            <v>90</v>
          </cell>
        </row>
        <row r="12090">
          <cell r="F12090" t="str">
            <v xml:space="preserve">890503966      </v>
          </cell>
          <cell r="O12090">
            <v>3375</v>
          </cell>
        </row>
        <row r="12091">
          <cell r="F12091" t="str">
            <v xml:space="preserve">890503966      </v>
          </cell>
          <cell r="O12091">
            <v>540</v>
          </cell>
        </row>
        <row r="12092">
          <cell r="F12092" t="str">
            <v xml:space="preserve">890503966      </v>
          </cell>
          <cell r="O12092">
            <v>1170</v>
          </cell>
        </row>
        <row r="12093">
          <cell r="F12093" t="str">
            <v xml:space="preserve">890503966      </v>
          </cell>
          <cell r="O12093">
            <v>45</v>
          </cell>
        </row>
        <row r="12094">
          <cell r="F12094" t="str">
            <v xml:space="preserve">91222539       </v>
          </cell>
          <cell r="O12094">
            <v>405</v>
          </cell>
        </row>
        <row r="12095">
          <cell r="F12095" t="str">
            <v xml:space="preserve">91222539       </v>
          </cell>
          <cell r="O12095">
            <v>612</v>
          </cell>
        </row>
        <row r="12096">
          <cell r="F12096" t="str">
            <v xml:space="preserve">91222539       </v>
          </cell>
          <cell r="O12096">
            <v>225</v>
          </cell>
        </row>
        <row r="12097">
          <cell r="F12097" t="str">
            <v xml:space="preserve">91222539       </v>
          </cell>
          <cell r="O12097">
            <v>15</v>
          </cell>
        </row>
        <row r="12098">
          <cell r="F12098" t="str">
            <v xml:space="preserve">91222539       </v>
          </cell>
          <cell r="O12098">
            <v>180</v>
          </cell>
        </row>
        <row r="12099">
          <cell r="F12099" t="str">
            <v xml:space="preserve">13702886       </v>
          </cell>
          <cell r="O12099">
            <v>645</v>
          </cell>
        </row>
        <row r="12100">
          <cell r="F12100" t="str">
            <v xml:space="preserve">13702886       </v>
          </cell>
          <cell r="O12100">
            <v>360</v>
          </cell>
        </row>
        <row r="12101">
          <cell r="F12101" t="str">
            <v xml:space="preserve">91067422       </v>
          </cell>
          <cell r="O12101">
            <v>75</v>
          </cell>
        </row>
        <row r="12102">
          <cell r="F12102" t="str">
            <v xml:space="preserve">91067422       </v>
          </cell>
          <cell r="O12102">
            <v>36</v>
          </cell>
        </row>
        <row r="12103">
          <cell r="F12103" t="str">
            <v xml:space="preserve">91067422       </v>
          </cell>
          <cell r="O12103">
            <v>15</v>
          </cell>
        </row>
        <row r="12104">
          <cell r="F12104" t="str">
            <v xml:space="preserve">91067422       </v>
          </cell>
          <cell r="O12104">
            <v>360</v>
          </cell>
        </row>
        <row r="12105">
          <cell r="F12105" t="str">
            <v xml:space="preserve">91067422       </v>
          </cell>
          <cell r="O12105">
            <v>60</v>
          </cell>
        </row>
        <row r="12106">
          <cell r="F12106" t="str">
            <v xml:space="preserve">91067422       </v>
          </cell>
          <cell r="O12106">
            <v>18</v>
          </cell>
        </row>
        <row r="12107">
          <cell r="F12107" t="str">
            <v xml:space="preserve">91272730       </v>
          </cell>
          <cell r="O12107">
            <v>345</v>
          </cell>
        </row>
        <row r="12108">
          <cell r="F12108" t="str">
            <v xml:space="preserve">91272730       </v>
          </cell>
          <cell r="O12108">
            <v>162</v>
          </cell>
        </row>
        <row r="12109">
          <cell r="F12109" t="str">
            <v xml:space="preserve">91272730       </v>
          </cell>
          <cell r="O12109">
            <v>45</v>
          </cell>
        </row>
        <row r="12110">
          <cell r="F12110" t="str">
            <v xml:space="preserve">92543124       </v>
          </cell>
          <cell r="O12110">
            <v>750</v>
          </cell>
        </row>
        <row r="12111">
          <cell r="F12111" t="str">
            <v xml:space="preserve">92543124       </v>
          </cell>
          <cell r="O12111">
            <v>750</v>
          </cell>
        </row>
        <row r="12112">
          <cell r="F12112" t="str">
            <v xml:space="preserve">26229305       </v>
          </cell>
          <cell r="O12112">
            <v>720</v>
          </cell>
        </row>
        <row r="12113">
          <cell r="F12113" t="str">
            <v xml:space="preserve">26229305       </v>
          </cell>
          <cell r="O12113">
            <v>45</v>
          </cell>
        </row>
        <row r="12114">
          <cell r="F12114" t="str">
            <v xml:space="preserve">26229305       </v>
          </cell>
          <cell r="O12114">
            <v>1200</v>
          </cell>
        </row>
        <row r="12115">
          <cell r="F12115" t="str">
            <v xml:space="preserve">26229305       </v>
          </cell>
          <cell r="O12115">
            <v>1200</v>
          </cell>
        </row>
        <row r="12116">
          <cell r="F12116" t="str">
            <v xml:space="preserve">26229305       </v>
          </cell>
          <cell r="O12116">
            <v>72</v>
          </cell>
        </row>
        <row r="12117">
          <cell r="F12117" t="str">
            <v xml:space="preserve">26229305       </v>
          </cell>
          <cell r="O12117">
            <v>45</v>
          </cell>
        </row>
        <row r="12118">
          <cell r="F12118" t="str">
            <v xml:space="preserve">901096204      </v>
          </cell>
          <cell r="O12118">
            <v>75</v>
          </cell>
        </row>
        <row r="12119">
          <cell r="F12119" t="str">
            <v xml:space="preserve">901096204      </v>
          </cell>
          <cell r="O12119">
            <v>2034</v>
          </cell>
        </row>
        <row r="12120">
          <cell r="F12120" t="str">
            <v xml:space="preserve">73134768       </v>
          </cell>
          <cell r="O12120">
            <v>390</v>
          </cell>
        </row>
        <row r="12121">
          <cell r="F12121" t="str">
            <v xml:space="preserve">73134768       </v>
          </cell>
          <cell r="O12121">
            <v>522</v>
          </cell>
        </row>
        <row r="12122">
          <cell r="F12122" t="str">
            <v xml:space="preserve">9083821        </v>
          </cell>
          <cell r="O12122">
            <v>150</v>
          </cell>
        </row>
        <row r="12123">
          <cell r="F12123" t="str">
            <v xml:space="preserve">9083821        </v>
          </cell>
          <cell r="O12123">
            <v>360</v>
          </cell>
        </row>
        <row r="12124">
          <cell r="F12124" t="str">
            <v xml:space="preserve">30853980       </v>
          </cell>
          <cell r="O12124">
            <v>15</v>
          </cell>
        </row>
        <row r="12125">
          <cell r="F12125" t="str">
            <v xml:space="preserve">30853980       </v>
          </cell>
          <cell r="O12125">
            <v>684</v>
          </cell>
        </row>
        <row r="12126">
          <cell r="F12126" t="str">
            <v xml:space="preserve">30853980       </v>
          </cell>
          <cell r="O12126">
            <v>90</v>
          </cell>
        </row>
        <row r="12127">
          <cell r="F12127" t="str">
            <v xml:space="preserve">72137594       </v>
          </cell>
          <cell r="O12127">
            <v>630</v>
          </cell>
        </row>
        <row r="12128">
          <cell r="F12128" t="str">
            <v xml:space="preserve">72137594       </v>
          </cell>
          <cell r="O12128">
            <v>486</v>
          </cell>
        </row>
        <row r="12129">
          <cell r="F12129" t="str">
            <v xml:space="preserve">72137594       </v>
          </cell>
          <cell r="O12129">
            <v>90</v>
          </cell>
        </row>
        <row r="12130">
          <cell r="F12130" t="str">
            <v xml:space="preserve">18916872       </v>
          </cell>
          <cell r="O12130">
            <v>90</v>
          </cell>
        </row>
        <row r="12131">
          <cell r="F12131" t="str">
            <v xml:space="preserve">18916872       </v>
          </cell>
          <cell r="O12131">
            <v>2280</v>
          </cell>
        </row>
        <row r="12132">
          <cell r="F12132" t="str">
            <v xml:space="preserve">91288772       </v>
          </cell>
          <cell r="O12132">
            <v>540</v>
          </cell>
        </row>
        <row r="12133">
          <cell r="F12133" t="str">
            <v xml:space="preserve">91288772       </v>
          </cell>
          <cell r="O12133">
            <v>90</v>
          </cell>
        </row>
        <row r="12134">
          <cell r="F12134" t="str">
            <v xml:space="preserve">91213004       </v>
          </cell>
          <cell r="O12134">
            <v>525</v>
          </cell>
        </row>
        <row r="12135">
          <cell r="F12135" t="str">
            <v xml:space="preserve">91213004       </v>
          </cell>
          <cell r="O12135">
            <v>180</v>
          </cell>
        </row>
        <row r="12136">
          <cell r="F12136" t="str">
            <v xml:space="preserve">9262987        </v>
          </cell>
          <cell r="O12136">
            <v>90</v>
          </cell>
        </row>
        <row r="12137">
          <cell r="F12137" t="str">
            <v xml:space="preserve">72196317       </v>
          </cell>
          <cell r="O12137">
            <v>900</v>
          </cell>
        </row>
        <row r="12138">
          <cell r="F12138" t="str">
            <v xml:space="preserve">72196317       </v>
          </cell>
          <cell r="O12138">
            <v>108</v>
          </cell>
        </row>
        <row r="12139">
          <cell r="F12139" t="str">
            <v xml:space="preserve">72196317       </v>
          </cell>
          <cell r="O12139">
            <v>90</v>
          </cell>
        </row>
        <row r="12140">
          <cell r="F12140" t="str">
            <v xml:space="preserve">72196317       </v>
          </cell>
          <cell r="O12140">
            <v>225</v>
          </cell>
        </row>
        <row r="12141">
          <cell r="F12141" t="str">
            <v xml:space="preserve">72196317       </v>
          </cell>
          <cell r="O12141">
            <v>255</v>
          </cell>
        </row>
        <row r="12142">
          <cell r="F12142" t="str">
            <v xml:space="preserve">72196317       </v>
          </cell>
          <cell r="O12142">
            <v>54</v>
          </cell>
        </row>
        <row r="12143">
          <cell r="F12143" t="str">
            <v xml:space="preserve">72196317       </v>
          </cell>
          <cell r="O12143">
            <v>45</v>
          </cell>
        </row>
        <row r="12144">
          <cell r="F12144" t="str">
            <v xml:space="preserve">73079740       </v>
          </cell>
          <cell r="O12144">
            <v>30</v>
          </cell>
        </row>
        <row r="12145">
          <cell r="F12145" t="str">
            <v xml:space="preserve">73079740       </v>
          </cell>
          <cell r="O12145">
            <v>486</v>
          </cell>
        </row>
        <row r="12146">
          <cell r="F12146" t="str">
            <v xml:space="preserve">15047548       </v>
          </cell>
          <cell r="O12146">
            <v>30</v>
          </cell>
        </row>
        <row r="12147">
          <cell r="F12147" t="str">
            <v xml:space="preserve">15047548       </v>
          </cell>
          <cell r="O12147">
            <v>450</v>
          </cell>
        </row>
        <row r="12148">
          <cell r="F12148" t="str">
            <v xml:space="preserve">18531333       </v>
          </cell>
          <cell r="O12148">
            <v>9</v>
          </cell>
        </row>
        <row r="12149">
          <cell r="F12149" t="str">
            <v xml:space="preserve">18531333       </v>
          </cell>
          <cell r="O12149">
            <v>18</v>
          </cell>
        </row>
        <row r="12150">
          <cell r="F12150" t="str">
            <v xml:space="preserve">18531333       </v>
          </cell>
          <cell r="O12150">
            <v>2760</v>
          </cell>
        </row>
        <row r="12151">
          <cell r="F12151" t="str">
            <v xml:space="preserve">18531333       </v>
          </cell>
          <cell r="O12151">
            <v>36</v>
          </cell>
        </row>
        <row r="12152">
          <cell r="F12152" t="str">
            <v xml:space="preserve">18531333       </v>
          </cell>
          <cell r="O12152">
            <v>135</v>
          </cell>
        </row>
        <row r="12153">
          <cell r="F12153" t="str">
            <v xml:space="preserve">18531333       </v>
          </cell>
          <cell r="O12153">
            <v>450</v>
          </cell>
        </row>
        <row r="12154">
          <cell r="F12154" t="str">
            <v xml:space="preserve">18531333       </v>
          </cell>
          <cell r="O12154">
            <v>126</v>
          </cell>
        </row>
        <row r="12155">
          <cell r="F12155" t="str">
            <v xml:space="preserve">18531333       </v>
          </cell>
          <cell r="O12155">
            <v>90</v>
          </cell>
        </row>
        <row r="12156">
          <cell r="F12156" t="str">
            <v xml:space="preserve">71172414       </v>
          </cell>
          <cell r="O12156">
            <v>1260</v>
          </cell>
        </row>
        <row r="12157">
          <cell r="F12157" t="str">
            <v xml:space="preserve">71172414       </v>
          </cell>
          <cell r="O12157">
            <v>324</v>
          </cell>
        </row>
        <row r="12158">
          <cell r="F12158" t="str">
            <v xml:space="preserve">71172414       </v>
          </cell>
          <cell r="O12158">
            <v>90</v>
          </cell>
        </row>
        <row r="12159">
          <cell r="F12159" t="str">
            <v xml:space="preserve">94479814       </v>
          </cell>
          <cell r="O12159">
            <v>90</v>
          </cell>
        </row>
        <row r="12160">
          <cell r="F12160" t="str">
            <v xml:space="preserve">79827688       </v>
          </cell>
          <cell r="O12160">
            <v>120</v>
          </cell>
        </row>
        <row r="12161">
          <cell r="F12161" t="str">
            <v xml:space="preserve">79827688       </v>
          </cell>
          <cell r="O12161">
            <v>360</v>
          </cell>
        </row>
        <row r="12162">
          <cell r="F12162" t="str">
            <v xml:space="preserve">92520690       </v>
          </cell>
          <cell r="O12162">
            <v>375</v>
          </cell>
        </row>
        <row r="12163">
          <cell r="F12163" t="str">
            <v xml:space="preserve">92520690       </v>
          </cell>
          <cell r="O12163">
            <v>1188</v>
          </cell>
        </row>
        <row r="12164">
          <cell r="F12164" t="str">
            <v xml:space="preserve">70752579       </v>
          </cell>
          <cell r="O12164">
            <v>150</v>
          </cell>
        </row>
        <row r="12165">
          <cell r="F12165" t="str">
            <v xml:space="preserve">70752579       </v>
          </cell>
          <cell r="O12165">
            <v>360</v>
          </cell>
        </row>
        <row r="12166">
          <cell r="F12166" t="str">
            <v xml:space="preserve">70752579       </v>
          </cell>
          <cell r="O12166">
            <v>180</v>
          </cell>
        </row>
        <row r="12167">
          <cell r="F12167" t="str">
            <v xml:space="preserve">80266206       </v>
          </cell>
          <cell r="O12167">
            <v>45</v>
          </cell>
        </row>
        <row r="12168">
          <cell r="F12168" t="str">
            <v xml:space="preserve">80266206       </v>
          </cell>
          <cell r="O12168">
            <v>60</v>
          </cell>
        </row>
        <row r="12169">
          <cell r="F12169" t="str">
            <v xml:space="preserve">80266206       </v>
          </cell>
          <cell r="O12169">
            <v>45</v>
          </cell>
        </row>
        <row r="12170">
          <cell r="F12170" t="str">
            <v xml:space="preserve">80266206       </v>
          </cell>
          <cell r="O12170">
            <v>234</v>
          </cell>
        </row>
        <row r="12171">
          <cell r="F12171" t="str">
            <v xml:space="preserve">79119755       </v>
          </cell>
          <cell r="O12171">
            <v>54</v>
          </cell>
        </row>
        <row r="12172">
          <cell r="F12172" t="str">
            <v xml:space="preserve">79119755       </v>
          </cell>
          <cell r="O12172">
            <v>60</v>
          </cell>
        </row>
        <row r="12173">
          <cell r="F12173" t="str">
            <v xml:space="preserve">79119755       </v>
          </cell>
          <cell r="O12173">
            <v>720</v>
          </cell>
        </row>
        <row r="12174">
          <cell r="F12174" t="str">
            <v xml:space="preserve">1111739602     </v>
          </cell>
          <cell r="O12174">
            <v>750</v>
          </cell>
        </row>
        <row r="12175">
          <cell r="F12175" t="str">
            <v xml:space="preserve">1111739602     </v>
          </cell>
          <cell r="O12175">
            <v>495</v>
          </cell>
        </row>
        <row r="12176">
          <cell r="F12176" t="str">
            <v xml:space="preserve">1111739602     </v>
          </cell>
          <cell r="O12176">
            <v>180</v>
          </cell>
        </row>
        <row r="12177">
          <cell r="F12177" t="str">
            <v xml:space="preserve">1111739602     </v>
          </cell>
          <cell r="O12177">
            <v>1545</v>
          </cell>
        </row>
        <row r="12178">
          <cell r="F12178" t="str">
            <v xml:space="preserve">88168843       </v>
          </cell>
          <cell r="O12178">
            <v>18</v>
          </cell>
        </row>
        <row r="12179">
          <cell r="F12179" t="str">
            <v xml:space="preserve">88168843       </v>
          </cell>
          <cell r="O12179">
            <v>342</v>
          </cell>
        </row>
        <row r="12180">
          <cell r="F12180" t="str">
            <v xml:space="preserve">88168843       </v>
          </cell>
          <cell r="O12180">
            <v>90</v>
          </cell>
        </row>
        <row r="12181">
          <cell r="F12181" t="str">
            <v xml:space="preserve">79221604       </v>
          </cell>
          <cell r="O12181">
            <v>360</v>
          </cell>
        </row>
        <row r="12182">
          <cell r="F12182" t="str">
            <v xml:space="preserve">79221604       </v>
          </cell>
          <cell r="O12182">
            <v>15</v>
          </cell>
        </row>
        <row r="12183">
          <cell r="F12183" t="str">
            <v xml:space="preserve">79221604       </v>
          </cell>
          <cell r="O12183">
            <v>270</v>
          </cell>
        </row>
        <row r="12184">
          <cell r="F12184" t="str">
            <v xml:space="preserve">79221604       </v>
          </cell>
          <cell r="O12184">
            <v>90</v>
          </cell>
        </row>
        <row r="12185">
          <cell r="F12185" t="str">
            <v xml:space="preserve">79221604       </v>
          </cell>
          <cell r="O12185">
            <v>27</v>
          </cell>
        </row>
        <row r="12186">
          <cell r="F12186" t="str">
            <v xml:space="preserve">79221604       </v>
          </cell>
          <cell r="O12186">
            <v>54</v>
          </cell>
        </row>
        <row r="12187">
          <cell r="F12187" t="str">
            <v xml:space="preserve">79221604       </v>
          </cell>
          <cell r="O12187">
            <v>90</v>
          </cell>
        </row>
        <row r="12188">
          <cell r="F12188" t="str">
            <v xml:space="preserve">9867640        </v>
          </cell>
          <cell r="O12188">
            <v>195</v>
          </cell>
        </row>
        <row r="12189">
          <cell r="F12189" t="str">
            <v xml:space="preserve">9867640        </v>
          </cell>
          <cell r="O12189">
            <v>90</v>
          </cell>
        </row>
        <row r="12190">
          <cell r="F12190" t="str">
            <v xml:space="preserve">9867640        </v>
          </cell>
          <cell r="O12190">
            <v>15</v>
          </cell>
        </row>
        <row r="12191">
          <cell r="F12191" t="str">
            <v xml:space="preserve">10315862       </v>
          </cell>
          <cell r="O12191">
            <v>306</v>
          </cell>
        </row>
        <row r="12192">
          <cell r="F12192" t="str">
            <v xml:space="preserve">10315862       </v>
          </cell>
          <cell r="O12192">
            <v>45</v>
          </cell>
        </row>
        <row r="12193">
          <cell r="F12193" t="str">
            <v xml:space="preserve">1103101503     </v>
          </cell>
          <cell r="O12193">
            <v>9</v>
          </cell>
        </row>
        <row r="12194">
          <cell r="F12194" t="str">
            <v xml:space="preserve">1103101503     </v>
          </cell>
          <cell r="O12194">
            <v>630</v>
          </cell>
        </row>
        <row r="12195">
          <cell r="F12195" t="str">
            <v xml:space="preserve">1103101503     </v>
          </cell>
          <cell r="O12195">
            <v>180</v>
          </cell>
        </row>
        <row r="12196">
          <cell r="F12196" t="str">
            <v xml:space="preserve">1143374955     </v>
          </cell>
          <cell r="O12196">
            <v>54</v>
          </cell>
        </row>
        <row r="12197">
          <cell r="F12197" t="str">
            <v xml:space="preserve">80162310       </v>
          </cell>
          <cell r="O12197">
            <v>30</v>
          </cell>
        </row>
        <row r="12198">
          <cell r="F12198" t="str">
            <v xml:space="preserve">91540489       </v>
          </cell>
          <cell r="O12198">
            <v>900</v>
          </cell>
        </row>
        <row r="12199">
          <cell r="F12199" t="str">
            <v xml:space="preserve">91540489       </v>
          </cell>
          <cell r="O12199">
            <v>36</v>
          </cell>
        </row>
        <row r="12200">
          <cell r="F12200" t="str">
            <v xml:space="preserve">91540489       </v>
          </cell>
          <cell r="O12200">
            <v>45</v>
          </cell>
        </row>
        <row r="12201">
          <cell r="F12201" t="str">
            <v xml:space="preserve">94429458       </v>
          </cell>
          <cell r="O12201">
            <v>135</v>
          </cell>
        </row>
        <row r="12202">
          <cell r="F12202" t="str">
            <v xml:space="preserve">94429458       </v>
          </cell>
          <cell r="O12202">
            <v>3300</v>
          </cell>
        </row>
        <row r="12203">
          <cell r="F12203" t="str">
            <v xml:space="preserve">94429458       </v>
          </cell>
          <cell r="O12203">
            <v>495</v>
          </cell>
        </row>
        <row r="12204">
          <cell r="F12204" t="str">
            <v xml:space="preserve">94429458       </v>
          </cell>
          <cell r="O12204">
            <v>315</v>
          </cell>
        </row>
        <row r="12205">
          <cell r="F12205" t="str">
            <v xml:space="preserve">74170036       </v>
          </cell>
          <cell r="O12205">
            <v>72</v>
          </cell>
        </row>
        <row r="12206">
          <cell r="F12206" t="str">
            <v xml:space="preserve">74170036       </v>
          </cell>
          <cell r="O12206">
            <v>270</v>
          </cell>
        </row>
        <row r="12207">
          <cell r="F12207" t="str">
            <v xml:space="preserve">7223456        </v>
          </cell>
          <cell r="O12207">
            <v>9</v>
          </cell>
        </row>
        <row r="12208">
          <cell r="F12208" t="str">
            <v xml:space="preserve">7223456        </v>
          </cell>
          <cell r="O12208">
            <v>900</v>
          </cell>
        </row>
        <row r="12209">
          <cell r="F12209" t="str">
            <v xml:space="preserve">7223456        </v>
          </cell>
          <cell r="O12209">
            <v>90</v>
          </cell>
        </row>
        <row r="12210">
          <cell r="F12210" t="str">
            <v xml:space="preserve">13616258       </v>
          </cell>
          <cell r="O12210">
            <v>450</v>
          </cell>
        </row>
        <row r="12211">
          <cell r="F12211" t="str">
            <v xml:space="preserve">13616258       </v>
          </cell>
          <cell r="O12211">
            <v>1620</v>
          </cell>
        </row>
        <row r="12212">
          <cell r="F12212" t="str">
            <v xml:space="preserve">13616258       </v>
          </cell>
          <cell r="O12212">
            <v>1800</v>
          </cell>
        </row>
        <row r="12213">
          <cell r="F12213" t="str">
            <v xml:space="preserve">4252280        </v>
          </cell>
          <cell r="O12213">
            <v>15</v>
          </cell>
        </row>
        <row r="12214">
          <cell r="F12214" t="str">
            <v xml:space="preserve">4252280        </v>
          </cell>
          <cell r="O12214">
            <v>360</v>
          </cell>
        </row>
        <row r="12215">
          <cell r="F12215" t="str">
            <v xml:space="preserve">4252280        </v>
          </cell>
          <cell r="O12215">
            <v>270</v>
          </cell>
        </row>
        <row r="12216">
          <cell r="F12216" t="str">
            <v xml:space="preserve">17783299       </v>
          </cell>
          <cell r="O12216">
            <v>1950</v>
          </cell>
        </row>
        <row r="12217">
          <cell r="F12217" t="str">
            <v xml:space="preserve">17783299       </v>
          </cell>
          <cell r="O12217">
            <v>180</v>
          </cell>
        </row>
        <row r="12218">
          <cell r="F12218" t="str">
            <v xml:space="preserve">17655129       </v>
          </cell>
          <cell r="O12218">
            <v>300</v>
          </cell>
        </row>
        <row r="12219">
          <cell r="F12219" t="str">
            <v xml:space="preserve">17655129       </v>
          </cell>
          <cell r="O12219">
            <v>35</v>
          </cell>
        </row>
        <row r="12220">
          <cell r="F12220" t="str">
            <v xml:space="preserve">17655129       </v>
          </cell>
          <cell r="O12220">
            <v>90</v>
          </cell>
        </row>
        <row r="12221">
          <cell r="F12221" t="str">
            <v xml:space="preserve">1083686504     </v>
          </cell>
          <cell r="O12221">
            <v>150</v>
          </cell>
        </row>
        <row r="12222">
          <cell r="F12222" t="str">
            <v xml:space="preserve">1083686504     </v>
          </cell>
          <cell r="O12222">
            <v>90</v>
          </cell>
        </row>
        <row r="12223">
          <cell r="F12223" t="str">
            <v xml:space="preserve">12256895       </v>
          </cell>
          <cell r="O12223">
            <v>165</v>
          </cell>
        </row>
        <row r="12224">
          <cell r="F12224" t="str">
            <v xml:space="preserve">12256895       </v>
          </cell>
          <cell r="O12224">
            <v>90</v>
          </cell>
        </row>
        <row r="12225">
          <cell r="F12225" t="str">
            <v xml:space="preserve">3024873        </v>
          </cell>
          <cell r="O12225">
            <v>270</v>
          </cell>
        </row>
        <row r="12226">
          <cell r="F12226" t="str">
            <v xml:space="preserve">3024873        </v>
          </cell>
          <cell r="O12226">
            <v>225</v>
          </cell>
        </row>
        <row r="12227">
          <cell r="F12227" t="str">
            <v xml:space="preserve">800141632      </v>
          </cell>
          <cell r="O12227">
            <v>90</v>
          </cell>
        </row>
        <row r="12228">
          <cell r="F12228" t="str">
            <v xml:space="preserve">35250577       </v>
          </cell>
          <cell r="O12228">
            <v>315</v>
          </cell>
        </row>
        <row r="12229">
          <cell r="F12229" t="str">
            <v xml:space="preserve">35250577       </v>
          </cell>
          <cell r="O12229">
            <v>54</v>
          </cell>
        </row>
        <row r="12230">
          <cell r="F12230" t="str">
            <v xml:space="preserve">93131041       </v>
          </cell>
          <cell r="O12230">
            <v>1026</v>
          </cell>
        </row>
        <row r="12231">
          <cell r="F12231" t="str">
            <v xml:space="preserve">11320273       </v>
          </cell>
          <cell r="O12231">
            <v>150</v>
          </cell>
        </row>
        <row r="12232">
          <cell r="F12232" t="str">
            <v xml:space="preserve">11320273       </v>
          </cell>
          <cell r="O12232">
            <v>684</v>
          </cell>
        </row>
        <row r="12233">
          <cell r="F12233" t="str">
            <v xml:space="preserve">11320273       </v>
          </cell>
          <cell r="O12233">
            <v>855</v>
          </cell>
        </row>
        <row r="12234">
          <cell r="F12234" t="str">
            <v xml:space="preserve">18185538       </v>
          </cell>
          <cell r="O12234">
            <v>60</v>
          </cell>
        </row>
        <row r="12235">
          <cell r="F12235" t="str">
            <v xml:space="preserve">18185538       </v>
          </cell>
          <cell r="O12235">
            <v>378</v>
          </cell>
        </row>
        <row r="12236">
          <cell r="F12236" t="str">
            <v xml:space="preserve">18185538       </v>
          </cell>
          <cell r="O12236">
            <v>90</v>
          </cell>
        </row>
        <row r="12237">
          <cell r="F12237" t="str">
            <v xml:space="preserve">12180486       </v>
          </cell>
          <cell r="O12237">
            <v>600</v>
          </cell>
        </row>
        <row r="12238">
          <cell r="F12238" t="str">
            <v xml:space="preserve">12180486       </v>
          </cell>
          <cell r="O12238">
            <v>486</v>
          </cell>
        </row>
        <row r="12239">
          <cell r="F12239" t="str">
            <v xml:space="preserve">12180486       </v>
          </cell>
          <cell r="O12239">
            <v>450</v>
          </cell>
        </row>
        <row r="12240">
          <cell r="F12240" t="str">
            <v xml:space="preserve">12266504       </v>
          </cell>
          <cell r="O12240">
            <v>240</v>
          </cell>
        </row>
        <row r="12241">
          <cell r="F12241" t="str">
            <v xml:space="preserve">12266504       </v>
          </cell>
          <cell r="O12241">
            <v>18</v>
          </cell>
        </row>
        <row r="12242">
          <cell r="F12242" t="str">
            <v xml:space="preserve">12266504       </v>
          </cell>
          <cell r="O12242">
            <v>45</v>
          </cell>
        </row>
        <row r="12243">
          <cell r="F12243" t="str">
            <v xml:space="preserve">79847779       </v>
          </cell>
          <cell r="O12243">
            <v>1500</v>
          </cell>
        </row>
        <row r="12244">
          <cell r="F12244" t="str">
            <v xml:space="preserve">79847779       </v>
          </cell>
          <cell r="O12244">
            <v>360</v>
          </cell>
        </row>
        <row r="12245">
          <cell r="F12245" t="str">
            <v xml:space="preserve">79847779       </v>
          </cell>
          <cell r="O12245">
            <v>450</v>
          </cell>
        </row>
        <row r="12246">
          <cell r="F12246" t="str">
            <v xml:space="preserve">12231586       </v>
          </cell>
          <cell r="O12246">
            <v>135</v>
          </cell>
        </row>
        <row r="12247">
          <cell r="F12247" t="str">
            <v xml:space="preserve">12231586       </v>
          </cell>
          <cell r="O12247">
            <v>72</v>
          </cell>
        </row>
        <row r="12248">
          <cell r="F12248" t="str">
            <v xml:space="preserve">12231586       </v>
          </cell>
          <cell r="O12248">
            <v>135</v>
          </cell>
        </row>
        <row r="12249">
          <cell r="F12249" t="str">
            <v xml:space="preserve">83042067       </v>
          </cell>
          <cell r="O12249">
            <v>135</v>
          </cell>
        </row>
        <row r="12250">
          <cell r="F12250" t="str">
            <v xml:space="preserve">83042067       </v>
          </cell>
          <cell r="O12250">
            <v>36</v>
          </cell>
        </row>
        <row r="12251">
          <cell r="F12251" t="str">
            <v xml:space="preserve">83042067       </v>
          </cell>
          <cell r="O12251">
            <v>360</v>
          </cell>
        </row>
        <row r="12252">
          <cell r="F12252" t="str">
            <v xml:space="preserve">83042067       </v>
          </cell>
          <cell r="O12252">
            <v>45</v>
          </cell>
        </row>
        <row r="12253">
          <cell r="F12253" t="str">
            <v xml:space="preserve">18104078       </v>
          </cell>
          <cell r="O12253">
            <v>90</v>
          </cell>
        </row>
        <row r="12254">
          <cell r="F12254" t="str">
            <v xml:space="preserve">93287188       </v>
          </cell>
          <cell r="O12254">
            <v>630</v>
          </cell>
        </row>
        <row r="12255">
          <cell r="F12255" t="str">
            <v xml:space="preserve">860002536      </v>
          </cell>
          <cell r="O12255">
            <v>135</v>
          </cell>
        </row>
        <row r="12256">
          <cell r="F12256" t="str">
            <v xml:space="preserve">901118744      </v>
          </cell>
          <cell r="O12256">
            <v>72</v>
          </cell>
        </row>
        <row r="12257">
          <cell r="F12257" t="str">
            <v xml:space="preserve">375997         </v>
          </cell>
          <cell r="O12257">
            <v>9</v>
          </cell>
        </row>
        <row r="12258">
          <cell r="F12258" t="str">
            <v xml:space="preserve">375997         </v>
          </cell>
          <cell r="O12258">
            <v>486</v>
          </cell>
        </row>
        <row r="12259">
          <cell r="F12259" t="str">
            <v xml:space="preserve">375997         </v>
          </cell>
          <cell r="O12259">
            <v>45</v>
          </cell>
        </row>
        <row r="12260">
          <cell r="F12260" t="str">
            <v xml:space="preserve">3158780        </v>
          </cell>
          <cell r="O12260">
            <v>216</v>
          </cell>
        </row>
        <row r="12261">
          <cell r="F12261" t="str">
            <v xml:space="preserve">3158780        </v>
          </cell>
          <cell r="O12261">
            <v>45</v>
          </cell>
        </row>
        <row r="12262">
          <cell r="F12262" t="str">
            <v xml:space="preserve">3159567        </v>
          </cell>
          <cell r="O12262">
            <v>576</v>
          </cell>
        </row>
        <row r="12263">
          <cell r="F12263" t="str">
            <v xml:space="preserve">3159567        </v>
          </cell>
          <cell r="O12263">
            <v>45</v>
          </cell>
        </row>
        <row r="12264">
          <cell r="F12264" t="str">
            <v xml:space="preserve">830133323      </v>
          </cell>
          <cell r="O12264">
            <v>36</v>
          </cell>
        </row>
        <row r="12265">
          <cell r="F12265" t="str">
            <v xml:space="preserve">80351964       </v>
          </cell>
          <cell r="O12265">
            <v>45</v>
          </cell>
        </row>
        <row r="12266">
          <cell r="F12266" t="str">
            <v xml:space="preserve">80351964       </v>
          </cell>
          <cell r="O12266">
            <v>15</v>
          </cell>
        </row>
        <row r="12267">
          <cell r="F12267" t="str">
            <v xml:space="preserve">80351964       </v>
          </cell>
          <cell r="O12267">
            <v>162</v>
          </cell>
        </row>
        <row r="12268">
          <cell r="F12268" t="str">
            <v xml:space="preserve">3155595        </v>
          </cell>
          <cell r="O12268">
            <v>540</v>
          </cell>
        </row>
        <row r="12269">
          <cell r="F12269" t="str">
            <v xml:space="preserve">3155595        </v>
          </cell>
          <cell r="O12269">
            <v>225</v>
          </cell>
        </row>
        <row r="12270">
          <cell r="F12270" t="str">
            <v xml:space="preserve">830025205      </v>
          </cell>
          <cell r="O12270">
            <v>495</v>
          </cell>
        </row>
        <row r="12271">
          <cell r="F12271" t="str">
            <v xml:space="preserve">80283261       </v>
          </cell>
          <cell r="O12271">
            <v>15</v>
          </cell>
        </row>
        <row r="12272">
          <cell r="F12272" t="str">
            <v xml:space="preserve">80283261       </v>
          </cell>
          <cell r="O12272">
            <v>792</v>
          </cell>
        </row>
        <row r="12273">
          <cell r="F12273" t="str">
            <v xml:space="preserve">80283261       </v>
          </cell>
          <cell r="O12273">
            <v>765</v>
          </cell>
        </row>
        <row r="12274">
          <cell r="F12274" t="str">
            <v xml:space="preserve">4090572        </v>
          </cell>
          <cell r="O12274">
            <v>27</v>
          </cell>
        </row>
        <row r="12275">
          <cell r="F12275" t="str">
            <v xml:space="preserve">4090572        </v>
          </cell>
          <cell r="O12275">
            <v>378</v>
          </cell>
        </row>
        <row r="12276">
          <cell r="F12276" t="str">
            <v xml:space="preserve">79210220       </v>
          </cell>
          <cell r="O12276">
            <v>27</v>
          </cell>
        </row>
        <row r="12277">
          <cell r="F12277" t="str">
            <v xml:space="preserve">79210220       </v>
          </cell>
          <cell r="O12277">
            <v>30</v>
          </cell>
        </row>
        <row r="12278">
          <cell r="F12278" t="str">
            <v xml:space="preserve">79210220       </v>
          </cell>
          <cell r="O12278">
            <v>360</v>
          </cell>
        </row>
        <row r="12279">
          <cell r="F12279" t="str">
            <v xml:space="preserve">80024551       </v>
          </cell>
          <cell r="O12279">
            <v>99</v>
          </cell>
        </row>
        <row r="12280">
          <cell r="F12280" t="str">
            <v xml:space="preserve">80024551       </v>
          </cell>
          <cell r="O12280">
            <v>30</v>
          </cell>
        </row>
        <row r="12281">
          <cell r="F12281" t="str">
            <v xml:space="preserve">80024551       </v>
          </cell>
          <cell r="O12281">
            <v>702</v>
          </cell>
        </row>
        <row r="12282">
          <cell r="F12282" t="str">
            <v xml:space="preserve">80024551       </v>
          </cell>
          <cell r="O12282">
            <v>270</v>
          </cell>
        </row>
        <row r="12283">
          <cell r="F12283" t="str">
            <v xml:space="preserve">900151827      </v>
          </cell>
          <cell r="O12283">
            <v>378</v>
          </cell>
        </row>
        <row r="12284">
          <cell r="F12284" t="str">
            <v xml:space="preserve">4198272        </v>
          </cell>
          <cell r="O12284">
            <v>90</v>
          </cell>
        </row>
        <row r="12285">
          <cell r="F12285" t="str">
            <v xml:space="preserve">4198272        </v>
          </cell>
          <cell r="O12285">
            <v>45</v>
          </cell>
        </row>
        <row r="12286">
          <cell r="F12286" t="str">
            <v xml:space="preserve">4198272        </v>
          </cell>
          <cell r="O12286">
            <v>900</v>
          </cell>
        </row>
        <row r="12287">
          <cell r="F12287" t="str">
            <v xml:space="preserve">4090806        </v>
          </cell>
          <cell r="O12287">
            <v>36</v>
          </cell>
        </row>
        <row r="12288">
          <cell r="F12288" t="str">
            <v xml:space="preserve">4090806        </v>
          </cell>
          <cell r="O12288">
            <v>540</v>
          </cell>
        </row>
        <row r="12289">
          <cell r="F12289" t="str">
            <v xml:space="preserve">4090806        </v>
          </cell>
          <cell r="O12289">
            <v>90</v>
          </cell>
        </row>
        <row r="12290">
          <cell r="F12290" t="str">
            <v xml:space="preserve">79339314       </v>
          </cell>
          <cell r="O12290">
            <v>90</v>
          </cell>
        </row>
        <row r="12291">
          <cell r="F12291" t="str">
            <v xml:space="preserve">79339314       </v>
          </cell>
          <cell r="O12291">
            <v>108</v>
          </cell>
        </row>
        <row r="12292">
          <cell r="F12292" t="str">
            <v xml:space="preserve">79339314       </v>
          </cell>
          <cell r="O12292">
            <v>135</v>
          </cell>
        </row>
        <row r="12293">
          <cell r="F12293" t="str">
            <v xml:space="preserve">11379585       </v>
          </cell>
          <cell r="O12293">
            <v>30</v>
          </cell>
        </row>
        <row r="12294">
          <cell r="F12294" t="str">
            <v xml:space="preserve">11379585       </v>
          </cell>
          <cell r="O12294">
            <v>756</v>
          </cell>
        </row>
        <row r="12295">
          <cell r="F12295" t="str">
            <v xml:space="preserve">11379585       </v>
          </cell>
          <cell r="O12295">
            <v>585</v>
          </cell>
        </row>
        <row r="12296">
          <cell r="F12296" t="str">
            <v xml:space="preserve">83218584       </v>
          </cell>
          <cell r="O12296">
            <v>255</v>
          </cell>
        </row>
        <row r="12297">
          <cell r="F12297" t="str">
            <v xml:space="preserve">83218584       </v>
          </cell>
          <cell r="O12297">
            <v>18</v>
          </cell>
        </row>
        <row r="12298">
          <cell r="F12298" t="str">
            <v xml:space="preserve">83218584       </v>
          </cell>
          <cell r="O12298">
            <v>90</v>
          </cell>
        </row>
        <row r="12299">
          <cell r="F12299" t="str">
            <v xml:space="preserve">83218584       </v>
          </cell>
          <cell r="O12299">
            <v>90</v>
          </cell>
        </row>
        <row r="12300">
          <cell r="F12300" t="str">
            <v xml:space="preserve">83218584       </v>
          </cell>
          <cell r="O12300">
            <v>495</v>
          </cell>
        </row>
        <row r="12301">
          <cell r="F12301" t="str">
            <v xml:space="preserve">94392704       </v>
          </cell>
          <cell r="O12301">
            <v>975</v>
          </cell>
        </row>
        <row r="12302">
          <cell r="F12302" t="str">
            <v xml:space="preserve">94392704       </v>
          </cell>
          <cell r="O12302">
            <v>270</v>
          </cell>
        </row>
        <row r="12303">
          <cell r="F12303" t="str">
            <v xml:space="preserve">94392704       </v>
          </cell>
          <cell r="O12303">
            <v>1260</v>
          </cell>
        </row>
        <row r="12304">
          <cell r="F12304" t="str">
            <v xml:space="preserve">1093217151     </v>
          </cell>
          <cell r="O12304">
            <v>420</v>
          </cell>
        </row>
        <row r="12305">
          <cell r="F12305" t="str">
            <v xml:space="preserve">1097404034     </v>
          </cell>
          <cell r="O12305">
            <v>810</v>
          </cell>
        </row>
        <row r="12306">
          <cell r="F12306" t="str">
            <v xml:space="preserve">1097404034     </v>
          </cell>
          <cell r="O12306">
            <v>162</v>
          </cell>
        </row>
        <row r="12307">
          <cell r="F12307" t="str">
            <v xml:space="preserve">7545517        </v>
          </cell>
          <cell r="O12307">
            <v>9</v>
          </cell>
        </row>
        <row r="12308">
          <cell r="F12308" t="str">
            <v xml:space="preserve">7545517        </v>
          </cell>
          <cell r="O12308">
            <v>120</v>
          </cell>
        </row>
        <row r="12309">
          <cell r="F12309" t="str">
            <v xml:space="preserve">7545517        </v>
          </cell>
          <cell r="O12309">
            <v>162</v>
          </cell>
        </row>
        <row r="12310">
          <cell r="F12310" t="str">
            <v xml:space="preserve">8458310        </v>
          </cell>
          <cell r="O12310">
            <v>4.5</v>
          </cell>
        </row>
        <row r="12311">
          <cell r="F12311" t="str">
            <v xml:space="preserve">8458310        </v>
          </cell>
          <cell r="O12311">
            <v>45</v>
          </cell>
        </row>
        <row r="12312">
          <cell r="F12312" t="str">
            <v xml:space="preserve">8458310        </v>
          </cell>
          <cell r="O12312">
            <v>270</v>
          </cell>
        </row>
        <row r="12313">
          <cell r="F12313" t="str">
            <v xml:space="preserve">8458310        </v>
          </cell>
          <cell r="O12313">
            <v>270</v>
          </cell>
        </row>
        <row r="12314">
          <cell r="F12314" t="str">
            <v xml:space="preserve">8101796        </v>
          </cell>
          <cell r="O12314">
            <v>3600</v>
          </cell>
        </row>
        <row r="12315">
          <cell r="F12315" t="str">
            <v xml:space="preserve">8101796        </v>
          </cell>
          <cell r="O12315">
            <v>150</v>
          </cell>
        </row>
        <row r="12316">
          <cell r="F12316" t="str">
            <v xml:space="preserve">8101796        </v>
          </cell>
          <cell r="O12316">
            <v>180</v>
          </cell>
        </row>
        <row r="12317">
          <cell r="F12317" t="str">
            <v xml:space="preserve">211            </v>
          </cell>
          <cell r="O12317">
            <v>4.5</v>
          </cell>
        </row>
        <row r="12318">
          <cell r="F12318" t="str">
            <v xml:space="preserve">211            </v>
          </cell>
          <cell r="O12318">
            <v>864</v>
          </cell>
        </row>
        <row r="12319">
          <cell r="F12319" t="str">
            <v xml:space="preserve">71174894       </v>
          </cell>
          <cell r="O12319">
            <v>2775</v>
          </cell>
        </row>
        <row r="12320">
          <cell r="F12320" t="str">
            <v xml:space="preserve">71174894       </v>
          </cell>
          <cell r="O12320">
            <v>126</v>
          </cell>
        </row>
        <row r="12321">
          <cell r="F12321" t="str">
            <v xml:space="preserve">901269856      </v>
          </cell>
          <cell r="O12321">
            <v>45</v>
          </cell>
        </row>
        <row r="12322">
          <cell r="F12322" t="str">
            <v xml:space="preserve">901269856      </v>
          </cell>
          <cell r="O12322">
            <v>15</v>
          </cell>
        </row>
        <row r="12323">
          <cell r="F12323" t="str">
            <v xml:space="preserve">901269856      </v>
          </cell>
          <cell r="O12323">
            <v>108</v>
          </cell>
        </row>
        <row r="12324">
          <cell r="F12324" t="str">
            <v xml:space="preserve">1039696881     </v>
          </cell>
          <cell r="O12324">
            <v>4.5</v>
          </cell>
        </row>
        <row r="12325">
          <cell r="F12325" t="str">
            <v xml:space="preserve">1039696881     </v>
          </cell>
          <cell r="O12325">
            <v>1620</v>
          </cell>
        </row>
        <row r="12326">
          <cell r="F12326" t="str">
            <v xml:space="preserve">1039696881     </v>
          </cell>
          <cell r="O12326">
            <v>45</v>
          </cell>
        </row>
        <row r="12327">
          <cell r="F12327" t="str">
            <v xml:space="preserve">1039696881     </v>
          </cell>
          <cell r="O12327">
            <v>9</v>
          </cell>
        </row>
        <row r="12328">
          <cell r="F12328" t="str">
            <v xml:space="preserve">1039696881     </v>
          </cell>
          <cell r="O12328">
            <v>1242</v>
          </cell>
        </row>
        <row r="12329">
          <cell r="F12329" t="str">
            <v xml:space="preserve">1039696881     </v>
          </cell>
          <cell r="O12329">
            <v>1188</v>
          </cell>
        </row>
        <row r="12330">
          <cell r="F12330" t="str">
            <v xml:space="preserve">1039696881     </v>
          </cell>
          <cell r="O12330">
            <v>27</v>
          </cell>
        </row>
        <row r="12331">
          <cell r="F12331" t="str">
            <v xml:space="preserve">1039696881     </v>
          </cell>
          <cell r="O12331">
            <v>9</v>
          </cell>
        </row>
        <row r="12332">
          <cell r="F12332" t="str">
            <v xml:space="preserve">1039696881     </v>
          </cell>
          <cell r="O12332">
            <v>1260</v>
          </cell>
        </row>
        <row r="12333">
          <cell r="F12333" t="str">
            <v xml:space="preserve">1039696881     </v>
          </cell>
          <cell r="O12333">
            <v>1458</v>
          </cell>
        </row>
        <row r="12334">
          <cell r="F12334" t="str">
            <v xml:space="preserve">16186973       </v>
          </cell>
          <cell r="O12334">
            <v>27</v>
          </cell>
        </row>
        <row r="12335">
          <cell r="F12335" t="str">
            <v xml:space="preserve">16186973       </v>
          </cell>
          <cell r="O12335">
            <v>414</v>
          </cell>
        </row>
        <row r="12336">
          <cell r="F12336" t="str">
            <v xml:space="preserve">16186973       </v>
          </cell>
          <cell r="O12336">
            <v>135</v>
          </cell>
        </row>
        <row r="12337">
          <cell r="F12337" t="str">
            <v xml:space="preserve">1092154547     </v>
          </cell>
          <cell r="O12337">
            <v>4.5</v>
          </cell>
        </row>
        <row r="12338">
          <cell r="F12338" t="str">
            <v xml:space="preserve">1092154547     </v>
          </cell>
          <cell r="O12338">
            <v>360</v>
          </cell>
        </row>
        <row r="12339">
          <cell r="F12339" t="str">
            <v xml:space="preserve">1092154547     </v>
          </cell>
          <cell r="O12339">
            <v>45</v>
          </cell>
        </row>
        <row r="12340">
          <cell r="F12340" t="str">
            <v xml:space="preserve">15342410       </v>
          </cell>
          <cell r="O12340">
            <v>315</v>
          </cell>
        </row>
        <row r="12341">
          <cell r="F12341" t="str">
            <v xml:space="preserve">15342410       </v>
          </cell>
          <cell r="O12341">
            <v>198</v>
          </cell>
        </row>
        <row r="12342">
          <cell r="F12342" t="str">
            <v xml:space="preserve">15342410       </v>
          </cell>
          <cell r="O12342">
            <v>2355</v>
          </cell>
        </row>
        <row r="12343">
          <cell r="F12343" t="str">
            <v xml:space="preserve">15381508       </v>
          </cell>
          <cell r="O12343">
            <v>105</v>
          </cell>
        </row>
        <row r="12344">
          <cell r="F12344" t="str">
            <v xml:space="preserve">15381508       </v>
          </cell>
          <cell r="O12344">
            <v>90</v>
          </cell>
        </row>
        <row r="12345">
          <cell r="F12345" t="str">
            <v xml:space="preserve">15381508       </v>
          </cell>
          <cell r="O12345">
            <v>234</v>
          </cell>
        </row>
        <row r="12346">
          <cell r="F12346" t="str">
            <v xml:space="preserve">88273778       </v>
          </cell>
          <cell r="O12346">
            <v>90</v>
          </cell>
        </row>
        <row r="12347">
          <cell r="F12347" t="str">
            <v xml:space="preserve">88273778       </v>
          </cell>
          <cell r="O12347">
            <v>480</v>
          </cell>
        </row>
        <row r="12348">
          <cell r="F12348" t="str">
            <v xml:space="preserve">88273778       </v>
          </cell>
          <cell r="O12348">
            <v>18</v>
          </cell>
        </row>
        <row r="12349">
          <cell r="F12349" t="str">
            <v xml:space="preserve">88273778       </v>
          </cell>
          <cell r="O12349">
            <v>135</v>
          </cell>
        </row>
        <row r="12350">
          <cell r="F12350" t="str">
            <v xml:space="preserve">74283129       </v>
          </cell>
          <cell r="O12350">
            <v>306</v>
          </cell>
        </row>
        <row r="12351">
          <cell r="F12351" t="str">
            <v xml:space="preserve">74283129       </v>
          </cell>
          <cell r="O12351">
            <v>360</v>
          </cell>
        </row>
        <row r="12352">
          <cell r="F12352" t="str">
            <v xml:space="preserve">13476066       </v>
          </cell>
          <cell r="O12352">
            <v>15</v>
          </cell>
        </row>
        <row r="12353">
          <cell r="F12353" t="str">
            <v xml:space="preserve">13476066       </v>
          </cell>
          <cell r="O12353">
            <v>45</v>
          </cell>
        </row>
        <row r="12354">
          <cell r="F12354" t="str">
            <v xml:space="preserve">13476066       </v>
          </cell>
          <cell r="O12354">
            <v>90</v>
          </cell>
        </row>
        <row r="12355">
          <cell r="F12355" t="str">
            <v xml:space="preserve">13476066       </v>
          </cell>
          <cell r="O12355">
            <v>90</v>
          </cell>
        </row>
        <row r="12356">
          <cell r="F12356" t="str">
            <v xml:space="preserve">13476066       </v>
          </cell>
          <cell r="O12356">
            <v>36</v>
          </cell>
        </row>
        <row r="12357">
          <cell r="F12357" t="str">
            <v xml:space="preserve">13476066       </v>
          </cell>
          <cell r="O12357">
            <v>135</v>
          </cell>
        </row>
        <row r="12358">
          <cell r="F12358" t="str">
            <v xml:space="preserve">98763233       </v>
          </cell>
          <cell r="O12358">
            <v>22.5</v>
          </cell>
        </row>
        <row r="12359">
          <cell r="F12359" t="str">
            <v xml:space="preserve">98763233       </v>
          </cell>
          <cell r="O12359">
            <v>15</v>
          </cell>
        </row>
        <row r="12360">
          <cell r="F12360" t="str">
            <v xml:space="preserve">98763233       </v>
          </cell>
          <cell r="O12360">
            <v>1242</v>
          </cell>
        </row>
        <row r="12361">
          <cell r="F12361" t="str">
            <v xml:space="preserve">98763233       </v>
          </cell>
          <cell r="O12361">
            <v>774</v>
          </cell>
        </row>
        <row r="12362">
          <cell r="F12362" t="str">
            <v xml:space="preserve">10180926       </v>
          </cell>
          <cell r="O12362">
            <v>450</v>
          </cell>
        </row>
        <row r="12363">
          <cell r="F12363" t="str">
            <v xml:space="preserve">10180926       </v>
          </cell>
          <cell r="O12363">
            <v>45</v>
          </cell>
        </row>
        <row r="12364">
          <cell r="F12364" t="str">
            <v xml:space="preserve">98711342       </v>
          </cell>
          <cell r="O12364">
            <v>9</v>
          </cell>
        </row>
        <row r="12365">
          <cell r="F12365" t="str">
            <v xml:space="preserve">98711342       </v>
          </cell>
          <cell r="O12365">
            <v>9</v>
          </cell>
        </row>
        <row r="12366">
          <cell r="F12366" t="str">
            <v xml:space="preserve">98711342       </v>
          </cell>
          <cell r="O12366">
            <v>30</v>
          </cell>
        </row>
        <row r="12367">
          <cell r="F12367" t="str">
            <v xml:space="preserve">98711342       </v>
          </cell>
          <cell r="O12367">
            <v>828</v>
          </cell>
        </row>
        <row r="12368">
          <cell r="F12368" t="str">
            <v xml:space="preserve">98711342       </v>
          </cell>
          <cell r="O12368">
            <v>90</v>
          </cell>
        </row>
        <row r="12369">
          <cell r="F12369" t="str">
            <v xml:space="preserve">1036942800     </v>
          </cell>
          <cell r="O12369">
            <v>135</v>
          </cell>
        </row>
        <row r="12370">
          <cell r="F12370" t="str">
            <v xml:space="preserve">1036942800     </v>
          </cell>
          <cell r="O12370">
            <v>90</v>
          </cell>
        </row>
        <row r="12371">
          <cell r="F12371" t="str">
            <v xml:space="preserve">94420654       </v>
          </cell>
          <cell r="O12371">
            <v>180</v>
          </cell>
        </row>
        <row r="12372">
          <cell r="F12372" t="str">
            <v xml:space="preserve">1090397527     </v>
          </cell>
          <cell r="O12372">
            <v>300</v>
          </cell>
        </row>
        <row r="12373">
          <cell r="F12373" t="str">
            <v xml:space="preserve">1090397527     </v>
          </cell>
          <cell r="O12373">
            <v>270</v>
          </cell>
        </row>
        <row r="12374">
          <cell r="F12374" t="str">
            <v xml:space="preserve">1090397527     </v>
          </cell>
          <cell r="O12374">
            <v>750</v>
          </cell>
        </row>
        <row r="12375">
          <cell r="F12375" t="str">
            <v xml:space="preserve">1090397527     </v>
          </cell>
          <cell r="O12375">
            <v>45</v>
          </cell>
        </row>
        <row r="12376">
          <cell r="F12376" t="str">
            <v xml:space="preserve">1090397527     </v>
          </cell>
          <cell r="O12376">
            <v>150</v>
          </cell>
        </row>
        <row r="12377">
          <cell r="F12377" t="str">
            <v xml:space="preserve">1090397527     </v>
          </cell>
          <cell r="O12377">
            <v>720</v>
          </cell>
        </row>
        <row r="12378">
          <cell r="F12378" t="str">
            <v xml:space="preserve">1090397527     </v>
          </cell>
          <cell r="O12378">
            <v>750</v>
          </cell>
        </row>
        <row r="12379">
          <cell r="F12379" t="str">
            <v xml:space="preserve">1090397527     </v>
          </cell>
          <cell r="O12379">
            <v>945</v>
          </cell>
        </row>
        <row r="12380">
          <cell r="F12380" t="str">
            <v xml:space="preserve">1039694009     </v>
          </cell>
          <cell r="O12380">
            <v>1035</v>
          </cell>
        </row>
        <row r="12381">
          <cell r="F12381" t="str">
            <v xml:space="preserve">1039694009     </v>
          </cell>
          <cell r="O12381">
            <v>90</v>
          </cell>
        </row>
        <row r="12382">
          <cell r="F12382" t="str">
            <v xml:space="preserve">1039694009     </v>
          </cell>
          <cell r="O12382">
            <v>135</v>
          </cell>
        </row>
        <row r="12383">
          <cell r="F12383" t="str">
            <v xml:space="preserve">1039694009     </v>
          </cell>
          <cell r="O12383">
            <v>1065</v>
          </cell>
        </row>
        <row r="12384">
          <cell r="F12384" t="str">
            <v xml:space="preserve">1039694009     </v>
          </cell>
          <cell r="O12384">
            <v>54</v>
          </cell>
        </row>
        <row r="12385">
          <cell r="F12385" t="str">
            <v xml:space="preserve">1039694009     </v>
          </cell>
          <cell r="O12385">
            <v>90</v>
          </cell>
        </row>
        <row r="12386">
          <cell r="F12386" t="str">
            <v xml:space="preserve">830094679      </v>
          </cell>
          <cell r="O12386">
            <v>105</v>
          </cell>
        </row>
        <row r="12387">
          <cell r="F12387" t="str">
            <v xml:space="preserve">830094679      </v>
          </cell>
          <cell r="O12387">
            <v>54</v>
          </cell>
        </row>
        <row r="12388">
          <cell r="F12388" t="str">
            <v xml:space="preserve">1100623000     </v>
          </cell>
          <cell r="O12388">
            <v>576</v>
          </cell>
        </row>
        <row r="12389">
          <cell r="F12389" t="str">
            <v xml:space="preserve">73126502       </v>
          </cell>
          <cell r="O12389">
            <v>330</v>
          </cell>
        </row>
        <row r="12390">
          <cell r="F12390" t="str">
            <v xml:space="preserve">73126502       </v>
          </cell>
          <cell r="O12390">
            <v>45</v>
          </cell>
        </row>
        <row r="12391">
          <cell r="F12391" t="str">
            <v xml:space="preserve">83221998       </v>
          </cell>
          <cell r="O12391">
            <v>300</v>
          </cell>
        </row>
        <row r="12392">
          <cell r="F12392" t="str">
            <v xml:space="preserve">83221998       </v>
          </cell>
          <cell r="O12392">
            <v>270</v>
          </cell>
        </row>
        <row r="12393">
          <cell r="F12393" t="str">
            <v xml:space="preserve">83221998       </v>
          </cell>
          <cell r="O12393">
            <v>135</v>
          </cell>
        </row>
        <row r="12394">
          <cell r="F12394" t="str">
            <v xml:space="preserve">71142360       </v>
          </cell>
          <cell r="O12394">
            <v>180</v>
          </cell>
        </row>
        <row r="12395">
          <cell r="F12395" t="str">
            <v xml:space="preserve">71142360       </v>
          </cell>
          <cell r="O12395">
            <v>756</v>
          </cell>
        </row>
        <row r="12396">
          <cell r="F12396" t="str">
            <v xml:space="preserve">71142360       </v>
          </cell>
          <cell r="O12396">
            <v>90</v>
          </cell>
        </row>
        <row r="12397">
          <cell r="F12397" t="str">
            <v xml:space="preserve">24341063       </v>
          </cell>
          <cell r="O12397">
            <v>4.5</v>
          </cell>
        </row>
        <row r="12398">
          <cell r="F12398" t="str">
            <v xml:space="preserve">24341063       </v>
          </cell>
          <cell r="O12398">
            <v>18</v>
          </cell>
        </row>
        <row r="12399">
          <cell r="F12399" t="str">
            <v xml:space="preserve">24341063       </v>
          </cell>
          <cell r="O12399">
            <v>990</v>
          </cell>
        </row>
        <row r="12400">
          <cell r="F12400" t="str">
            <v xml:space="preserve">24341063       </v>
          </cell>
          <cell r="O12400">
            <v>180</v>
          </cell>
        </row>
        <row r="12401">
          <cell r="F12401" t="str">
            <v xml:space="preserve">24341063       </v>
          </cell>
          <cell r="O12401">
            <v>45</v>
          </cell>
        </row>
        <row r="12402">
          <cell r="F12402" t="str">
            <v xml:space="preserve">901178932      </v>
          </cell>
          <cell r="O12402">
            <v>144</v>
          </cell>
        </row>
        <row r="12403">
          <cell r="F12403" t="str">
            <v xml:space="preserve">43656575       </v>
          </cell>
          <cell r="O12403">
            <v>60</v>
          </cell>
        </row>
        <row r="12404">
          <cell r="F12404" t="str">
            <v xml:space="preserve">43656575       </v>
          </cell>
          <cell r="O12404">
            <v>1440</v>
          </cell>
        </row>
        <row r="12405">
          <cell r="F12405" t="str">
            <v xml:space="preserve">43656575       </v>
          </cell>
          <cell r="O12405">
            <v>360</v>
          </cell>
        </row>
        <row r="12406">
          <cell r="F12406" t="str">
            <v xml:space="preserve">43656575       </v>
          </cell>
          <cell r="O12406">
            <v>18</v>
          </cell>
        </row>
        <row r="12407">
          <cell r="F12407" t="str">
            <v xml:space="preserve">43656575       </v>
          </cell>
          <cell r="O12407">
            <v>1368</v>
          </cell>
        </row>
        <row r="12408">
          <cell r="F12408" t="str">
            <v xml:space="preserve">43656575       </v>
          </cell>
          <cell r="O12408">
            <v>270</v>
          </cell>
        </row>
        <row r="12409">
          <cell r="F12409" t="str">
            <v xml:space="preserve">43656575       </v>
          </cell>
          <cell r="O12409">
            <v>2502</v>
          </cell>
        </row>
        <row r="12410">
          <cell r="F12410" t="str">
            <v xml:space="preserve">43656575       </v>
          </cell>
          <cell r="O12410">
            <v>360</v>
          </cell>
        </row>
        <row r="12411">
          <cell r="F12411" t="str">
            <v xml:space="preserve">43656575       </v>
          </cell>
          <cell r="O12411">
            <v>810</v>
          </cell>
        </row>
        <row r="12412">
          <cell r="F12412" t="str">
            <v xml:space="preserve">43656575       </v>
          </cell>
          <cell r="O12412">
            <v>13.5</v>
          </cell>
        </row>
        <row r="12413">
          <cell r="F12413" t="str">
            <v xml:space="preserve">43656575       </v>
          </cell>
          <cell r="O12413">
            <v>1494</v>
          </cell>
        </row>
        <row r="12414">
          <cell r="F12414" t="str">
            <v xml:space="preserve">43656575       </v>
          </cell>
          <cell r="O12414">
            <v>270</v>
          </cell>
        </row>
        <row r="12415">
          <cell r="F12415" t="str">
            <v xml:space="preserve">1214745372     </v>
          </cell>
          <cell r="O12415">
            <v>342</v>
          </cell>
        </row>
        <row r="12416">
          <cell r="F12416" t="str">
            <v xml:space="preserve">1214745372     </v>
          </cell>
          <cell r="O12416">
            <v>36</v>
          </cell>
        </row>
        <row r="12417">
          <cell r="F12417" t="str">
            <v xml:space="preserve">1214745372     </v>
          </cell>
          <cell r="O12417">
            <v>9</v>
          </cell>
        </row>
        <row r="12418">
          <cell r="F12418" t="str">
            <v xml:space="preserve">1214745372     </v>
          </cell>
          <cell r="O12418">
            <v>30</v>
          </cell>
        </row>
        <row r="12419">
          <cell r="F12419" t="str">
            <v xml:space="preserve">1214745372     </v>
          </cell>
          <cell r="O12419">
            <v>900</v>
          </cell>
        </row>
        <row r="12420">
          <cell r="F12420" t="str">
            <v xml:space="preserve">1214745372     </v>
          </cell>
          <cell r="O12420">
            <v>45</v>
          </cell>
        </row>
        <row r="12421">
          <cell r="F12421" t="str">
            <v xml:space="preserve">93419128       </v>
          </cell>
          <cell r="O12421">
            <v>414</v>
          </cell>
        </row>
        <row r="12422">
          <cell r="F12422" t="str">
            <v xml:space="preserve">93419128       </v>
          </cell>
          <cell r="O12422">
            <v>90</v>
          </cell>
        </row>
        <row r="12423">
          <cell r="F12423" t="str">
            <v xml:space="preserve">860005265      </v>
          </cell>
          <cell r="O12423">
            <v>1087</v>
          </cell>
        </row>
        <row r="12424">
          <cell r="F12424" t="str">
            <v xml:space="preserve">860005265      </v>
          </cell>
          <cell r="O12424">
            <v>819.75</v>
          </cell>
        </row>
        <row r="12425">
          <cell r="F12425" t="str">
            <v xml:space="preserve">860047066      </v>
          </cell>
          <cell r="O12425">
            <v>80</v>
          </cell>
        </row>
        <row r="12426">
          <cell r="F12426" t="str">
            <v xml:space="preserve">5874334        </v>
          </cell>
          <cell r="O12426">
            <v>540</v>
          </cell>
        </row>
        <row r="12427">
          <cell r="F12427" t="str">
            <v xml:space="preserve">5874334        </v>
          </cell>
          <cell r="O12427">
            <v>90</v>
          </cell>
        </row>
        <row r="12428">
          <cell r="F12428" t="str">
            <v xml:space="preserve">203            </v>
          </cell>
          <cell r="O12428">
            <v>36</v>
          </cell>
        </row>
        <row r="12429">
          <cell r="F12429" t="str">
            <v xml:space="preserve">203            </v>
          </cell>
          <cell r="O12429">
            <v>45</v>
          </cell>
        </row>
        <row r="12430">
          <cell r="F12430" t="str">
            <v xml:space="preserve">203            </v>
          </cell>
          <cell r="O12430">
            <v>15</v>
          </cell>
        </row>
        <row r="12431">
          <cell r="F12431" t="str">
            <v xml:space="preserve">203            </v>
          </cell>
          <cell r="O12431">
            <v>72</v>
          </cell>
        </row>
        <row r="12432">
          <cell r="F12432" t="str">
            <v xml:space="preserve">203            </v>
          </cell>
          <cell r="O12432">
            <v>225</v>
          </cell>
        </row>
        <row r="12433">
          <cell r="F12433" t="str">
            <v xml:space="preserve">811020078      </v>
          </cell>
          <cell r="O12433">
            <v>18</v>
          </cell>
        </row>
        <row r="12434">
          <cell r="F12434" t="str">
            <v xml:space="preserve">830513291      </v>
          </cell>
          <cell r="O12434">
            <v>45</v>
          </cell>
        </row>
        <row r="12435">
          <cell r="F12435" t="str">
            <v xml:space="preserve">900267059      </v>
          </cell>
          <cell r="O12435">
            <v>18</v>
          </cell>
        </row>
        <row r="12436">
          <cell r="F12436" t="str">
            <v xml:space="preserve">900267059      </v>
          </cell>
          <cell r="O12436">
            <v>45</v>
          </cell>
        </row>
        <row r="12437">
          <cell r="F12437" t="str">
            <v xml:space="preserve">901485271      </v>
          </cell>
          <cell r="O12437">
            <v>18</v>
          </cell>
        </row>
        <row r="12438">
          <cell r="F12438" t="str">
            <v xml:space="preserve">800012375      </v>
          </cell>
          <cell r="O12438">
            <v>180</v>
          </cell>
        </row>
        <row r="12439">
          <cell r="F12439" t="str">
            <v xml:space="preserve">800150267      </v>
          </cell>
          <cell r="O12439">
            <v>18</v>
          </cell>
        </row>
        <row r="12440">
          <cell r="F12440" t="str">
            <v xml:space="preserve">815002042      </v>
          </cell>
          <cell r="O12440">
            <v>72</v>
          </cell>
        </row>
        <row r="12441">
          <cell r="F12441" t="str">
            <v xml:space="preserve">821000169      </v>
          </cell>
          <cell r="O12441">
            <v>130</v>
          </cell>
        </row>
        <row r="12442">
          <cell r="F12442" t="str">
            <v xml:space="preserve">890903939      </v>
          </cell>
          <cell r="O12442">
            <v>114</v>
          </cell>
        </row>
        <row r="12443">
          <cell r="F12443" t="str">
            <v xml:space="preserve">891301549      </v>
          </cell>
          <cell r="O12443">
            <v>90</v>
          </cell>
        </row>
        <row r="12444">
          <cell r="F12444" t="str">
            <v xml:space="preserve">891301549      </v>
          </cell>
          <cell r="O12444">
            <v>36</v>
          </cell>
        </row>
        <row r="12445">
          <cell r="F12445" t="str">
            <v xml:space="preserve">900239671      </v>
          </cell>
          <cell r="O12445">
            <v>0</v>
          </cell>
        </row>
        <row r="12446">
          <cell r="F12446" t="str">
            <v xml:space="preserve">900239671      </v>
          </cell>
          <cell r="O12446">
            <v>0</v>
          </cell>
        </row>
        <row r="12447">
          <cell r="F12447" t="str">
            <v xml:space="preserve">900239671      </v>
          </cell>
          <cell r="O12447">
            <v>0</v>
          </cell>
        </row>
        <row r="12448">
          <cell r="F12448" t="str">
            <v xml:space="preserve">203            </v>
          </cell>
          <cell r="O12448">
            <v>36</v>
          </cell>
        </row>
        <row r="12449">
          <cell r="F12449" t="str">
            <v xml:space="preserve">101            </v>
          </cell>
          <cell r="O12449">
            <v>15</v>
          </cell>
        </row>
        <row r="12450">
          <cell r="F12450" t="str">
            <v xml:space="preserve">101            </v>
          </cell>
          <cell r="O12450">
            <v>126</v>
          </cell>
        </row>
        <row r="12451">
          <cell r="F12451" t="str">
            <v xml:space="preserve">101            </v>
          </cell>
          <cell r="O12451">
            <v>15</v>
          </cell>
        </row>
        <row r="12452">
          <cell r="F12452" t="str">
            <v xml:space="preserve">101            </v>
          </cell>
          <cell r="O12452">
            <v>54</v>
          </cell>
        </row>
        <row r="12453">
          <cell r="F12453" t="str">
            <v xml:space="preserve">101            </v>
          </cell>
          <cell r="O12453">
            <v>45</v>
          </cell>
        </row>
        <row r="12454">
          <cell r="F12454" t="str">
            <v xml:space="preserve">101            </v>
          </cell>
          <cell r="O12454">
            <v>45</v>
          </cell>
        </row>
        <row r="12455">
          <cell r="F12455" t="str">
            <v xml:space="preserve">32772122       </v>
          </cell>
          <cell r="O12455">
            <v>180</v>
          </cell>
        </row>
        <row r="12456">
          <cell r="F12456" t="str">
            <v xml:space="preserve">32772122       </v>
          </cell>
          <cell r="O12456">
            <v>90</v>
          </cell>
        </row>
        <row r="12457">
          <cell r="F12457" t="str">
            <v xml:space="preserve">32772122       </v>
          </cell>
          <cell r="O12457">
            <v>375</v>
          </cell>
        </row>
        <row r="12458">
          <cell r="F12458" t="str">
            <v xml:space="preserve">73186091       </v>
          </cell>
          <cell r="O12458">
            <v>315</v>
          </cell>
        </row>
        <row r="12459">
          <cell r="F12459" t="str">
            <v xml:space="preserve">800032071      </v>
          </cell>
          <cell r="O12459">
            <v>100</v>
          </cell>
        </row>
        <row r="12460">
          <cell r="F12460" t="str">
            <v xml:space="preserve">800032071      </v>
          </cell>
          <cell r="O12460">
            <v>180</v>
          </cell>
        </row>
        <row r="12461">
          <cell r="F12461" t="str">
            <v xml:space="preserve">800211643      </v>
          </cell>
          <cell r="O12461">
            <v>115.85</v>
          </cell>
        </row>
        <row r="12462">
          <cell r="F12462" t="str">
            <v xml:space="preserve">830099238      </v>
          </cell>
          <cell r="O12462">
            <v>80</v>
          </cell>
        </row>
        <row r="12463">
          <cell r="F12463" t="str">
            <v xml:space="preserve">830118404      </v>
          </cell>
          <cell r="O12463">
            <v>54</v>
          </cell>
        </row>
        <row r="12464">
          <cell r="F12464" t="str">
            <v xml:space="preserve">860002455      </v>
          </cell>
          <cell r="O12464">
            <v>18</v>
          </cell>
        </row>
        <row r="12465">
          <cell r="F12465" t="str">
            <v xml:space="preserve">899999049      </v>
          </cell>
          <cell r="O12465">
            <v>54</v>
          </cell>
        </row>
        <row r="12466">
          <cell r="F12466" t="str">
            <v xml:space="preserve">900049818      </v>
          </cell>
          <cell r="O12466">
            <v>64</v>
          </cell>
        </row>
        <row r="12467">
          <cell r="F12467" t="str">
            <v xml:space="preserve">900163286      </v>
          </cell>
          <cell r="O12467">
            <v>36</v>
          </cell>
        </row>
        <row r="12468">
          <cell r="F12468" t="str">
            <v xml:space="preserve">900603554      </v>
          </cell>
          <cell r="O12468">
            <v>162</v>
          </cell>
        </row>
        <row r="12469">
          <cell r="F12469" t="str">
            <v xml:space="preserve">830016868      </v>
          </cell>
          <cell r="O12469">
            <v>2790</v>
          </cell>
        </row>
        <row r="12470">
          <cell r="F12470" t="str">
            <v xml:space="preserve">890205142      </v>
          </cell>
          <cell r="O12470">
            <v>2925</v>
          </cell>
        </row>
        <row r="12471">
          <cell r="F12471" t="str">
            <v xml:space="preserve">890205142      </v>
          </cell>
          <cell r="O12471">
            <v>2025</v>
          </cell>
        </row>
        <row r="12472">
          <cell r="F12472" t="str">
            <v xml:space="preserve">407            </v>
          </cell>
          <cell r="O12472">
            <v>30</v>
          </cell>
        </row>
        <row r="12473">
          <cell r="F12473" t="str">
            <v xml:space="preserve">407            </v>
          </cell>
          <cell r="O12473">
            <v>504</v>
          </cell>
        </row>
        <row r="12474">
          <cell r="F12474" t="str">
            <v xml:space="preserve">800090890      </v>
          </cell>
          <cell r="O12474">
            <v>19</v>
          </cell>
        </row>
        <row r="12475">
          <cell r="F12475" t="str">
            <v xml:space="preserve">800090890      </v>
          </cell>
          <cell r="O12475">
            <v>48</v>
          </cell>
        </row>
        <row r="12476">
          <cell r="F12476" t="str">
            <v xml:space="preserve">800090890      </v>
          </cell>
          <cell r="O12476">
            <v>38</v>
          </cell>
        </row>
        <row r="12477">
          <cell r="F12477" t="str">
            <v xml:space="preserve">811014849      </v>
          </cell>
          <cell r="O12477">
            <v>180</v>
          </cell>
        </row>
        <row r="12478">
          <cell r="F12478" t="str">
            <v xml:space="preserve">811014849      </v>
          </cell>
          <cell r="O12478">
            <v>108</v>
          </cell>
        </row>
        <row r="12479">
          <cell r="F12479" t="str">
            <v xml:space="preserve">890903939      </v>
          </cell>
          <cell r="O12479">
            <v>1202.95</v>
          </cell>
        </row>
        <row r="12480">
          <cell r="F12480" t="str">
            <v xml:space="preserve">890903939      </v>
          </cell>
          <cell r="O12480">
            <v>240.46</v>
          </cell>
        </row>
        <row r="12481">
          <cell r="F12481" t="str">
            <v xml:space="preserve">890903939      </v>
          </cell>
          <cell r="O12481">
            <v>191.5</v>
          </cell>
        </row>
        <row r="12482">
          <cell r="F12482" t="str">
            <v xml:space="preserve">211            </v>
          </cell>
          <cell r="O12482">
            <v>972</v>
          </cell>
        </row>
        <row r="12483">
          <cell r="F12483" t="str">
            <v xml:space="preserve">211            </v>
          </cell>
          <cell r="O12483">
            <v>270</v>
          </cell>
        </row>
        <row r="12484">
          <cell r="F12484" t="str">
            <v xml:space="preserve">211            </v>
          </cell>
          <cell r="O12484">
            <v>90</v>
          </cell>
        </row>
        <row r="12485">
          <cell r="F12485" t="str">
            <v xml:space="preserve">800220041      </v>
          </cell>
          <cell r="O12485">
            <v>75</v>
          </cell>
        </row>
        <row r="12486">
          <cell r="F12486" t="str">
            <v xml:space="preserve">806008873      </v>
          </cell>
          <cell r="O12486">
            <v>270</v>
          </cell>
        </row>
        <row r="12487">
          <cell r="F12487" t="str">
            <v xml:space="preserve">811032699      </v>
          </cell>
          <cell r="O12487">
            <v>54</v>
          </cell>
        </row>
        <row r="12488">
          <cell r="F12488" t="str">
            <v xml:space="preserve">830094679      </v>
          </cell>
          <cell r="O12488">
            <v>30</v>
          </cell>
        </row>
        <row r="12489">
          <cell r="F12489" t="str">
            <v xml:space="preserve">860002576      </v>
          </cell>
          <cell r="O12489">
            <v>54</v>
          </cell>
        </row>
        <row r="12490">
          <cell r="F12490" t="str">
            <v xml:space="preserve">860002576      </v>
          </cell>
          <cell r="O12490">
            <v>36</v>
          </cell>
        </row>
        <row r="12491">
          <cell r="F12491" t="str">
            <v xml:space="preserve">890903939      </v>
          </cell>
          <cell r="O12491">
            <v>341.14</v>
          </cell>
        </row>
        <row r="12492">
          <cell r="F12492" t="str">
            <v xml:space="preserve">899999049      </v>
          </cell>
          <cell r="O12492">
            <v>180</v>
          </cell>
        </row>
        <row r="12493">
          <cell r="F12493" t="str">
            <v xml:space="preserve">900543199      </v>
          </cell>
          <cell r="O12493">
            <v>60</v>
          </cell>
        </row>
        <row r="12494">
          <cell r="F12494" t="str">
            <v xml:space="preserve">900820045      </v>
          </cell>
          <cell r="O12494">
            <v>45</v>
          </cell>
        </row>
        <row r="12495">
          <cell r="F12495" t="str">
            <v xml:space="preserve">900965438      </v>
          </cell>
          <cell r="O12495">
            <v>54</v>
          </cell>
        </row>
        <row r="12496">
          <cell r="F12496" t="str">
            <v xml:space="preserve">830010908      </v>
          </cell>
          <cell r="O12496">
            <v>60</v>
          </cell>
        </row>
        <row r="12497">
          <cell r="F12497" t="str">
            <v xml:space="preserve">860001697      </v>
          </cell>
          <cell r="O12497">
            <v>952.1</v>
          </cell>
        </row>
        <row r="12498">
          <cell r="F12498" t="str">
            <v xml:space="preserve">860048371      </v>
          </cell>
          <cell r="O12498">
            <v>40</v>
          </cell>
        </row>
        <row r="12499">
          <cell r="F12499" t="str">
            <v xml:space="preserve">860048371      </v>
          </cell>
          <cell r="O12499">
            <v>18</v>
          </cell>
        </row>
        <row r="12500">
          <cell r="F12500" t="str">
            <v xml:space="preserve">860502509      </v>
          </cell>
          <cell r="O12500">
            <v>284.2</v>
          </cell>
        </row>
        <row r="12501">
          <cell r="F12501" t="str">
            <v xml:space="preserve">800229035      </v>
          </cell>
          <cell r="O12501">
            <v>60</v>
          </cell>
        </row>
        <row r="12502">
          <cell r="F12502" t="str">
            <v xml:space="preserve">800229035      </v>
          </cell>
          <cell r="O12502">
            <v>120</v>
          </cell>
        </row>
        <row r="12503">
          <cell r="F12503" t="str">
            <v xml:space="preserve">800229035      </v>
          </cell>
          <cell r="O12503">
            <v>90</v>
          </cell>
        </row>
        <row r="12504">
          <cell r="F12504" t="str">
            <v xml:space="preserve">830106563      </v>
          </cell>
          <cell r="O12504">
            <v>1200</v>
          </cell>
        </row>
        <row r="12505">
          <cell r="F12505" t="str">
            <v xml:space="preserve">860020382      </v>
          </cell>
          <cell r="O12505">
            <v>120</v>
          </cell>
        </row>
        <row r="12506">
          <cell r="F12506" t="str">
            <v xml:space="preserve">890903939      </v>
          </cell>
          <cell r="O12506">
            <v>755.55</v>
          </cell>
        </row>
        <row r="12507">
          <cell r="F12507" t="str">
            <v xml:space="preserve">890903939      </v>
          </cell>
          <cell r="O12507">
            <v>405.3</v>
          </cell>
        </row>
        <row r="12508">
          <cell r="F12508" t="str">
            <v xml:space="preserve">901017528      </v>
          </cell>
          <cell r="O12508">
            <v>375</v>
          </cell>
        </row>
        <row r="12509">
          <cell r="F12509" t="str">
            <v xml:space="preserve">901046830      </v>
          </cell>
          <cell r="O12509">
            <v>300</v>
          </cell>
        </row>
        <row r="12510">
          <cell r="F12510" t="str">
            <v xml:space="preserve">901442971      </v>
          </cell>
          <cell r="O12510">
            <v>0</v>
          </cell>
        </row>
        <row r="12511">
          <cell r="F12511" t="str">
            <v xml:space="preserve">10270172       </v>
          </cell>
          <cell r="O12511">
            <v>72.900000000000006</v>
          </cell>
        </row>
        <row r="12512">
          <cell r="F12512" t="str">
            <v xml:space="preserve">1060589688     </v>
          </cell>
          <cell r="O12512">
            <v>82.7</v>
          </cell>
        </row>
        <row r="12513">
          <cell r="F12513" t="str">
            <v xml:space="preserve">15926984       </v>
          </cell>
          <cell r="O12513">
            <v>58.9</v>
          </cell>
        </row>
        <row r="12514">
          <cell r="F12514" t="str">
            <v xml:space="preserve">30305213       </v>
          </cell>
          <cell r="O12514">
            <v>33.799999999999997</v>
          </cell>
        </row>
        <row r="12515">
          <cell r="F12515" t="str">
            <v xml:space="preserve">70113637       </v>
          </cell>
          <cell r="O12515">
            <v>510.9</v>
          </cell>
        </row>
        <row r="12516">
          <cell r="F12516" t="str">
            <v xml:space="preserve">800014246      </v>
          </cell>
          <cell r="O12516">
            <v>172.5</v>
          </cell>
        </row>
        <row r="12517">
          <cell r="F12517" t="str">
            <v xml:space="preserve">800050622      </v>
          </cell>
          <cell r="O12517">
            <v>400.5</v>
          </cell>
        </row>
        <row r="12518">
          <cell r="F12518" t="str">
            <v xml:space="preserve">810006197      </v>
          </cell>
          <cell r="O12518">
            <v>1536.4</v>
          </cell>
        </row>
        <row r="12519">
          <cell r="F12519" t="str">
            <v xml:space="preserve">890932124      </v>
          </cell>
          <cell r="O12519">
            <v>3870.8</v>
          </cell>
        </row>
        <row r="12520">
          <cell r="F12520" t="str">
            <v xml:space="preserve">890932124      </v>
          </cell>
          <cell r="O12520">
            <v>131.4</v>
          </cell>
        </row>
        <row r="12521">
          <cell r="F12521" t="str">
            <v xml:space="preserve">901247983      </v>
          </cell>
          <cell r="O12521">
            <v>5190</v>
          </cell>
        </row>
        <row r="12522">
          <cell r="F12522" t="str">
            <v xml:space="preserve">1120563156     </v>
          </cell>
          <cell r="O12522">
            <v>349.2</v>
          </cell>
        </row>
        <row r="12523">
          <cell r="F12523" t="str">
            <v xml:space="preserve">41786266       </v>
          </cell>
          <cell r="O12523">
            <v>41.1</v>
          </cell>
        </row>
        <row r="12524">
          <cell r="F12524" t="str">
            <v xml:space="preserve">800154428      </v>
          </cell>
          <cell r="O12524">
            <v>104.7</v>
          </cell>
        </row>
        <row r="12525">
          <cell r="F12525" t="str">
            <v xml:space="preserve">860011109      </v>
          </cell>
          <cell r="O12525">
            <v>2806.3</v>
          </cell>
        </row>
        <row r="12526">
          <cell r="F12526" t="str">
            <v xml:space="preserve">860040407      </v>
          </cell>
          <cell r="O12526">
            <v>137.5</v>
          </cell>
        </row>
        <row r="12527">
          <cell r="F12527" t="str">
            <v xml:space="preserve">860058831      </v>
          </cell>
          <cell r="O12527">
            <v>488.1</v>
          </cell>
        </row>
        <row r="12528">
          <cell r="F12528" t="str">
            <v xml:space="preserve">900436352      </v>
          </cell>
          <cell r="O12528">
            <v>1721.2</v>
          </cell>
        </row>
        <row r="12529">
          <cell r="F12529" t="str">
            <v xml:space="preserve">901409625      </v>
          </cell>
          <cell r="O12529">
            <v>0</v>
          </cell>
        </row>
        <row r="12530">
          <cell r="F12530" t="str">
            <v xml:space="preserve">901409625      </v>
          </cell>
          <cell r="O12530">
            <v>0</v>
          </cell>
        </row>
        <row r="12531">
          <cell r="F12531" t="str">
            <v xml:space="preserve">402            </v>
          </cell>
          <cell r="O12531">
            <v>1875</v>
          </cell>
        </row>
        <row r="12532">
          <cell r="F12532" t="str">
            <v xml:space="preserve">402            </v>
          </cell>
          <cell r="O12532">
            <v>360</v>
          </cell>
        </row>
        <row r="12533">
          <cell r="F12533" t="str">
            <v xml:space="preserve">402            </v>
          </cell>
          <cell r="O12533">
            <v>90</v>
          </cell>
        </row>
        <row r="12534">
          <cell r="F12534" t="str">
            <v xml:space="preserve">800090890      </v>
          </cell>
          <cell r="O12534">
            <v>54</v>
          </cell>
        </row>
        <row r="12535">
          <cell r="F12535" t="str">
            <v xml:space="preserve">890800450      </v>
          </cell>
          <cell r="O12535">
            <v>54</v>
          </cell>
        </row>
        <row r="12536">
          <cell r="F12536" t="str">
            <v xml:space="preserve">890800450      </v>
          </cell>
          <cell r="O12536">
            <v>36</v>
          </cell>
        </row>
        <row r="12537">
          <cell r="F12537" t="str">
            <v xml:space="preserve">890805453      </v>
          </cell>
          <cell r="O12537">
            <v>54</v>
          </cell>
        </row>
        <row r="12538">
          <cell r="F12538" t="str">
            <v xml:space="preserve">1040743532     </v>
          </cell>
          <cell r="O12538">
            <v>126</v>
          </cell>
        </row>
        <row r="12539">
          <cell r="F12539" t="str">
            <v xml:space="preserve">203            </v>
          </cell>
          <cell r="O12539">
            <v>162</v>
          </cell>
        </row>
        <row r="12540">
          <cell r="F12540" t="str">
            <v xml:space="preserve">203            </v>
          </cell>
          <cell r="O12540">
            <v>45</v>
          </cell>
        </row>
        <row r="12541">
          <cell r="F12541" t="str">
            <v xml:space="preserve">203            </v>
          </cell>
          <cell r="O12541">
            <v>9</v>
          </cell>
        </row>
        <row r="12542">
          <cell r="F12542" t="str">
            <v xml:space="preserve">203            </v>
          </cell>
          <cell r="O12542">
            <v>18</v>
          </cell>
        </row>
        <row r="12543">
          <cell r="F12543" t="str">
            <v xml:space="preserve">203            </v>
          </cell>
          <cell r="O12543">
            <v>54</v>
          </cell>
        </row>
        <row r="12544">
          <cell r="F12544" t="str">
            <v xml:space="preserve">203            </v>
          </cell>
          <cell r="O12544">
            <v>45</v>
          </cell>
        </row>
        <row r="12545">
          <cell r="F12545" t="str">
            <v xml:space="preserve">43730353       </v>
          </cell>
          <cell r="O12545">
            <v>126</v>
          </cell>
        </row>
        <row r="12546">
          <cell r="F12546" t="str">
            <v xml:space="preserve">890905179      </v>
          </cell>
          <cell r="O12546">
            <v>45</v>
          </cell>
        </row>
        <row r="12547">
          <cell r="F12547" t="str">
            <v xml:space="preserve">900445736      </v>
          </cell>
          <cell r="O12547">
            <v>45</v>
          </cell>
        </row>
        <row r="12548">
          <cell r="F12548" t="str">
            <v xml:space="preserve">900445736      </v>
          </cell>
          <cell r="O12548">
            <v>45</v>
          </cell>
        </row>
        <row r="12549">
          <cell r="F12549" t="str">
            <v xml:space="preserve">900445736      </v>
          </cell>
          <cell r="O12549">
            <v>45</v>
          </cell>
        </row>
        <row r="12550">
          <cell r="F12550" t="str">
            <v xml:space="preserve">900445736      </v>
          </cell>
          <cell r="O12550">
            <v>18</v>
          </cell>
        </row>
        <row r="12551">
          <cell r="F12551" t="str">
            <v xml:space="preserve">900445736      </v>
          </cell>
          <cell r="O12551">
            <v>45</v>
          </cell>
        </row>
        <row r="12552">
          <cell r="F12552" t="str">
            <v xml:space="preserve">900445736      </v>
          </cell>
          <cell r="O12552">
            <v>45</v>
          </cell>
        </row>
        <row r="12553">
          <cell r="F12553" t="str">
            <v xml:space="preserve">900445736      </v>
          </cell>
          <cell r="O12553">
            <v>45</v>
          </cell>
        </row>
        <row r="12554">
          <cell r="F12554" t="str">
            <v xml:space="preserve">900762346      </v>
          </cell>
          <cell r="O12554">
            <v>45</v>
          </cell>
        </row>
        <row r="12555">
          <cell r="F12555" t="str">
            <v xml:space="preserve">212            </v>
          </cell>
          <cell r="O12555">
            <v>90</v>
          </cell>
        </row>
        <row r="12556">
          <cell r="F12556" t="str">
            <v xml:space="preserve">212            </v>
          </cell>
          <cell r="O12556">
            <v>165</v>
          </cell>
        </row>
        <row r="12557">
          <cell r="F12557" t="str">
            <v xml:space="preserve">212            </v>
          </cell>
          <cell r="O12557">
            <v>36</v>
          </cell>
        </row>
        <row r="12558">
          <cell r="F12558" t="str">
            <v xml:space="preserve">900084859      </v>
          </cell>
          <cell r="O12558">
            <v>15</v>
          </cell>
        </row>
        <row r="12559">
          <cell r="F12559" t="str">
            <v xml:space="preserve">900084859      </v>
          </cell>
          <cell r="O12559">
            <v>15</v>
          </cell>
        </row>
        <row r="12560">
          <cell r="F12560" t="str">
            <v xml:space="preserve">70052771       </v>
          </cell>
          <cell r="O12560">
            <v>30</v>
          </cell>
        </row>
        <row r="12561">
          <cell r="F12561" t="str">
            <v xml:space="preserve">70052771       </v>
          </cell>
          <cell r="O12561">
            <v>108</v>
          </cell>
        </row>
        <row r="12562">
          <cell r="F12562" t="str">
            <v xml:space="preserve">800092723      </v>
          </cell>
          <cell r="O12562">
            <v>15</v>
          </cell>
        </row>
        <row r="12563">
          <cell r="F12563" t="str">
            <v xml:space="preserve">811014849      </v>
          </cell>
          <cell r="O12563">
            <v>75</v>
          </cell>
        </row>
        <row r="12564">
          <cell r="F12564" t="str">
            <v xml:space="preserve">811016729      </v>
          </cell>
          <cell r="O12564">
            <v>30</v>
          </cell>
        </row>
        <row r="12565">
          <cell r="F12565" t="str">
            <v xml:space="preserve">811016729      </v>
          </cell>
          <cell r="O12565">
            <v>18</v>
          </cell>
        </row>
        <row r="12566">
          <cell r="F12566" t="str">
            <v xml:space="preserve">811020038      </v>
          </cell>
          <cell r="O12566">
            <v>18</v>
          </cell>
        </row>
        <row r="12567">
          <cell r="F12567" t="str">
            <v xml:space="preserve">811034230      </v>
          </cell>
          <cell r="O12567">
            <v>18</v>
          </cell>
        </row>
        <row r="12568">
          <cell r="F12568" t="str">
            <v xml:space="preserve">860013809      </v>
          </cell>
          <cell r="O12568">
            <v>180</v>
          </cell>
        </row>
        <row r="12569">
          <cell r="F12569" t="str">
            <v xml:space="preserve">890900424      </v>
          </cell>
          <cell r="O12569">
            <v>30</v>
          </cell>
        </row>
        <row r="12570">
          <cell r="F12570" t="str">
            <v xml:space="preserve">890905790      </v>
          </cell>
          <cell r="O12570">
            <v>75</v>
          </cell>
        </row>
        <row r="12571">
          <cell r="F12571" t="str">
            <v xml:space="preserve">890907406      </v>
          </cell>
          <cell r="O12571">
            <v>75</v>
          </cell>
        </row>
        <row r="12572">
          <cell r="F12572" t="str">
            <v xml:space="preserve">890918272      </v>
          </cell>
          <cell r="O12572">
            <v>72</v>
          </cell>
        </row>
        <row r="12573">
          <cell r="F12573" t="str">
            <v xml:space="preserve">899999049      </v>
          </cell>
          <cell r="O12573">
            <v>36</v>
          </cell>
        </row>
        <row r="12574">
          <cell r="F12574" t="str">
            <v xml:space="preserve">899999049      </v>
          </cell>
          <cell r="O12574">
            <v>15</v>
          </cell>
        </row>
        <row r="12575">
          <cell r="F12575" t="str">
            <v xml:space="preserve">899999049      </v>
          </cell>
          <cell r="O12575">
            <v>36</v>
          </cell>
        </row>
        <row r="12576">
          <cell r="F12576" t="str">
            <v xml:space="preserve">900049818      </v>
          </cell>
          <cell r="O12576">
            <v>15</v>
          </cell>
        </row>
        <row r="12577">
          <cell r="F12577" t="str">
            <v xml:space="preserve">901436775      </v>
          </cell>
          <cell r="O12577">
            <v>165</v>
          </cell>
        </row>
        <row r="12578">
          <cell r="F12578" t="str">
            <v xml:space="preserve">210            </v>
          </cell>
          <cell r="O12578">
            <v>1080</v>
          </cell>
        </row>
        <row r="12579">
          <cell r="F12579" t="str">
            <v xml:space="preserve">101            </v>
          </cell>
          <cell r="O12579">
            <v>9</v>
          </cell>
        </row>
        <row r="12580">
          <cell r="F12580" t="str">
            <v xml:space="preserve">101            </v>
          </cell>
          <cell r="O12580">
            <v>36</v>
          </cell>
        </row>
        <row r="12581">
          <cell r="F12581" t="str">
            <v xml:space="preserve">101            </v>
          </cell>
          <cell r="O12581">
            <v>15</v>
          </cell>
        </row>
        <row r="12582">
          <cell r="F12582" t="str">
            <v xml:space="preserve">101            </v>
          </cell>
          <cell r="O12582">
            <v>18</v>
          </cell>
        </row>
        <row r="12583">
          <cell r="F12583" t="str">
            <v xml:space="preserve">101            </v>
          </cell>
          <cell r="O12583">
            <v>45</v>
          </cell>
        </row>
        <row r="12584">
          <cell r="F12584" t="str">
            <v xml:space="preserve">900342435      </v>
          </cell>
          <cell r="O12584">
            <v>4.5</v>
          </cell>
        </row>
        <row r="12585">
          <cell r="F12585" t="str">
            <v xml:space="preserve">890903939      </v>
          </cell>
          <cell r="O12585">
            <v>71</v>
          </cell>
        </row>
        <row r="12586">
          <cell r="F12586" t="str">
            <v xml:space="preserve">404            </v>
          </cell>
          <cell r="O12586">
            <v>45</v>
          </cell>
        </row>
        <row r="12587">
          <cell r="F12587" t="str">
            <v xml:space="preserve">404            </v>
          </cell>
          <cell r="O12587">
            <v>36</v>
          </cell>
        </row>
        <row r="12588">
          <cell r="F12588" t="str">
            <v xml:space="preserve">404            </v>
          </cell>
          <cell r="O12588">
            <v>450</v>
          </cell>
        </row>
        <row r="12589">
          <cell r="F12589" t="str">
            <v xml:space="preserve">210            </v>
          </cell>
          <cell r="O12589">
            <v>4.5</v>
          </cell>
        </row>
        <row r="12590">
          <cell r="F12590" t="str">
            <v xml:space="preserve">210            </v>
          </cell>
          <cell r="O12590">
            <v>198</v>
          </cell>
        </row>
        <row r="12591">
          <cell r="F12591" t="str">
            <v xml:space="preserve">210            </v>
          </cell>
          <cell r="O12591">
            <v>45</v>
          </cell>
        </row>
        <row r="12592">
          <cell r="F12592" t="str">
            <v xml:space="preserve">800222648      </v>
          </cell>
          <cell r="O12592">
            <v>36</v>
          </cell>
        </row>
        <row r="12593">
          <cell r="F12593" t="str">
            <v xml:space="preserve">805017747      </v>
          </cell>
          <cell r="O12593">
            <v>18</v>
          </cell>
        </row>
        <row r="12594">
          <cell r="F12594" t="str">
            <v xml:space="preserve">805026018      </v>
          </cell>
          <cell r="O12594">
            <v>18</v>
          </cell>
        </row>
        <row r="12595">
          <cell r="F12595" t="str">
            <v xml:space="preserve">890200474      </v>
          </cell>
          <cell r="O12595">
            <v>225</v>
          </cell>
        </row>
        <row r="12596">
          <cell r="F12596" t="str">
            <v xml:space="preserve">890301602      </v>
          </cell>
          <cell r="O12596">
            <v>72</v>
          </cell>
        </row>
        <row r="12597">
          <cell r="F12597" t="str">
            <v xml:space="preserve">890302609      </v>
          </cell>
          <cell r="O12597">
            <v>165</v>
          </cell>
        </row>
        <row r="12598">
          <cell r="F12598" t="str">
            <v xml:space="preserve">890304607      </v>
          </cell>
          <cell r="O12598">
            <v>54</v>
          </cell>
        </row>
        <row r="12599">
          <cell r="F12599" t="str">
            <v xml:space="preserve">890304611      </v>
          </cell>
          <cell r="O12599">
            <v>15</v>
          </cell>
        </row>
        <row r="12600">
          <cell r="F12600" t="str">
            <v xml:space="preserve">890903939      </v>
          </cell>
          <cell r="O12600">
            <v>224</v>
          </cell>
        </row>
        <row r="12601">
          <cell r="F12601" t="str">
            <v xml:space="preserve">890903939      </v>
          </cell>
          <cell r="O12601">
            <v>226</v>
          </cell>
        </row>
        <row r="12602">
          <cell r="F12602" t="str">
            <v xml:space="preserve">891303109      </v>
          </cell>
          <cell r="O12602">
            <v>18</v>
          </cell>
        </row>
        <row r="12603">
          <cell r="F12603" t="str">
            <v xml:space="preserve">900233101      </v>
          </cell>
          <cell r="O12603">
            <v>72</v>
          </cell>
        </row>
        <row r="12604">
          <cell r="F12604" t="str">
            <v xml:space="preserve">900385892      </v>
          </cell>
          <cell r="O12604">
            <v>270</v>
          </cell>
        </row>
        <row r="12605">
          <cell r="F12605" t="str">
            <v xml:space="preserve">900767174      </v>
          </cell>
          <cell r="O12605">
            <v>54</v>
          </cell>
        </row>
        <row r="12606">
          <cell r="F12606" t="str">
            <v xml:space="preserve">901149931      </v>
          </cell>
          <cell r="O12606">
            <v>90</v>
          </cell>
        </row>
        <row r="12607">
          <cell r="F12607" t="str">
            <v xml:space="preserve">901167377      </v>
          </cell>
          <cell r="O12607">
            <v>259</v>
          </cell>
        </row>
        <row r="12608">
          <cell r="F12608" t="str">
            <v xml:space="preserve">901255672      </v>
          </cell>
          <cell r="O12608">
            <v>18</v>
          </cell>
        </row>
        <row r="12609">
          <cell r="F12609" t="str">
            <v xml:space="preserve">860001697      </v>
          </cell>
          <cell r="O12609">
            <v>196.22</v>
          </cell>
        </row>
        <row r="12610">
          <cell r="F12610" t="str">
            <v xml:space="preserve">166917         </v>
          </cell>
          <cell r="O12610">
            <v>200.8</v>
          </cell>
        </row>
        <row r="12611">
          <cell r="F12611" t="str">
            <v xml:space="preserve">830128434      </v>
          </cell>
          <cell r="O12611">
            <v>136.5</v>
          </cell>
        </row>
        <row r="12612">
          <cell r="F12612" t="str">
            <v xml:space="preserve">860033419      </v>
          </cell>
          <cell r="O12612">
            <v>198.5</v>
          </cell>
        </row>
        <row r="12613">
          <cell r="F12613" t="str">
            <v xml:space="preserve">900631805      </v>
          </cell>
          <cell r="O12613">
            <v>1873.6</v>
          </cell>
        </row>
        <row r="12614">
          <cell r="F12614" t="str">
            <v xml:space="preserve">52790620       </v>
          </cell>
          <cell r="O12614">
            <v>2412</v>
          </cell>
        </row>
        <row r="12615">
          <cell r="F12615" t="str">
            <v xml:space="preserve">52790620       </v>
          </cell>
          <cell r="O12615">
            <v>1566</v>
          </cell>
        </row>
        <row r="12616">
          <cell r="F12616" t="str">
            <v xml:space="preserve">18936116       </v>
          </cell>
          <cell r="O12616">
            <v>288</v>
          </cell>
        </row>
        <row r="12617">
          <cell r="F12617" t="str">
            <v xml:space="preserve">93365758       </v>
          </cell>
          <cell r="O12617">
            <v>45</v>
          </cell>
        </row>
        <row r="12618">
          <cell r="F12618" t="str">
            <v xml:space="preserve">110            </v>
          </cell>
          <cell r="O12618">
            <v>792</v>
          </cell>
        </row>
        <row r="12619">
          <cell r="F12619" t="str">
            <v xml:space="preserve">890903939      </v>
          </cell>
          <cell r="O12619">
            <v>222</v>
          </cell>
        </row>
        <row r="12620">
          <cell r="F12620" t="str">
            <v xml:space="preserve">212            </v>
          </cell>
          <cell r="O12620">
            <v>306</v>
          </cell>
        </row>
        <row r="12621">
          <cell r="F12621" t="str">
            <v xml:space="preserve">212            </v>
          </cell>
          <cell r="O12621">
            <v>135</v>
          </cell>
        </row>
        <row r="12622">
          <cell r="F12622" t="str">
            <v xml:space="preserve">212            </v>
          </cell>
          <cell r="O12622">
            <v>210</v>
          </cell>
        </row>
        <row r="12623">
          <cell r="F12623" t="str">
            <v xml:space="preserve">900495908      </v>
          </cell>
          <cell r="O12623">
            <v>15</v>
          </cell>
        </row>
        <row r="12624">
          <cell r="F12624" t="str">
            <v xml:space="preserve">832009117      </v>
          </cell>
          <cell r="O12624">
            <v>82.2</v>
          </cell>
        </row>
        <row r="12625">
          <cell r="F12625" t="str">
            <v xml:space="preserve">860350253      </v>
          </cell>
          <cell r="O12625">
            <v>1986.4</v>
          </cell>
        </row>
        <row r="12626">
          <cell r="F12626" t="str">
            <v xml:space="preserve">860350253      </v>
          </cell>
          <cell r="O12626">
            <v>86.8</v>
          </cell>
        </row>
        <row r="12627">
          <cell r="F12627" t="str">
            <v xml:space="preserve">860403972      </v>
          </cell>
          <cell r="O12627">
            <v>1001.1</v>
          </cell>
        </row>
        <row r="12628">
          <cell r="F12628" t="str">
            <v xml:space="preserve">900474647      </v>
          </cell>
          <cell r="O12628">
            <v>769.3</v>
          </cell>
        </row>
        <row r="12629">
          <cell r="F12629" t="str">
            <v xml:space="preserve">900974484      </v>
          </cell>
          <cell r="O12629">
            <v>2000.2</v>
          </cell>
        </row>
        <row r="12630">
          <cell r="F12630" t="str">
            <v xml:space="preserve">811034562      </v>
          </cell>
          <cell r="O12630">
            <v>18</v>
          </cell>
        </row>
        <row r="12631">
          <cell r="F12631" t="str">
            <v xml:space="preserve">811034562      </v>
          </cell>
          <cell r="O12631">
            <v>15</v>
          </cell>
        </row>
        <row r="12632">
          <cell r="F12632" t="str">
            <v xml:space="preserve">900569044      </v>
          </cell>
          <cell r="O12632">
            <v>18</v>
          </cell>
        </row>
        <row r="12633">
          <cell r="F12633" t="str">
            <v xml:space="preserve">212            </v>
          </cell>
          <cell r="O12633">
            <v>30</v>
          </cell>
        </row>
        <row r="12634">
          <cell r="F12634" t="str">
            <v xml:space="preserve">212            </v>
          </cell>
          <cell r="O12634">
            <v>36</v>
          </cell>
        </row>
        <row r="12635">
          <cell r="F12635" t="str">
            <v xml:space="preserve">811014849      </v>
          </cell>
          <cell r="O12635">
            <v>18</v>
          </cell>
        </row>
        <row r="12636">
          <cell r="F12636" t="str">
            <v xml:space="preserve">811014849      </v>
          </cell>
          <cell r="O12636">
            <v>54</v>
          </cell>
        </row>
        <row r="12637">
          <cell r="F12637" t="str">
            <v xml:space="preserve">811023799      </v>
          </cell>
          <cell r="O12637">
            <v>18</v>
          </cell>
        </row>
        <row r="12638">
          <cell r="F12638" t="str">
            <v xml:space="preserve">830027386      </v>
          </cell>
          <cell r="O12638">
            <v>96</v>
          </cell>
        </row>
        <row r="12639">
          <cell r="F12639" t="str">
            <v xml:space="preserve">890900161      </v>
          </cell>
          <cell r="O12639">
            <v>210</v>
          </cell>
        </row>
        <row r="12640">
          <cell r="F12640" t="str">
            <v xml:space="preserve">890900161      </v>
          </cell>
          <cell r="O12640">
            <v>45</v>
          </cell>
        </row>
        <row r="12641">
          <cell r="F12641" t="str">
            <v xml:space="preserve">890900161      </v>
          </cell>
          <cell r="O12641">
            <v>15</v>
          </cell>
        </row>
        <row r="12642">
          <cell r="F12642" t="str">
            <v xml:space="preserve">890903939      </v>
          </cell>
          <cell r="O12642">
            <v>174.2</v>
          </cell>
        </row>
        <row r="12643">
          <cell r="F12643" t="str">
            <v xml:space="preserve">890932892      </v>
          </cell>
          <cell r="O12643">
            <v>33</v>
          </cell>
        </row>
        <row r="12644">
          <cell r="F12644" t="str">
            <v xml:space="preserve">900313945      </v>
          </cell>
          <cell r="O12644">
            <v>105</v>
          </cell>
        </row>
        <row r="12645">
          <cell r="F12645" t="str">
            <v xml:space="preserve">900391930      </v>
          </cell>
          <cell r="O12645">
            <v>45</v>
          </cell>
        </row>
        <row r="12646">
          <cell r="F12646" t="str">
            <v xml:space="preserve">900599145      </v>
          </cell>
          <cell r="O12646">
            <v>36</v>
          </cell>
        </row>
        <row r="12647">
          <cell r="F12647" t="str">
            <v xml:space="preserve">900603554      </v>
          </cell>
          <cell r="O12647">
            <v>72</v>
          </cell>
        </row>
        <row r="12648">
          <cell r="F12648" t="str">
            <v xml:space="preserve">805007674      </v>
          </cell>
          <cell r="O12648">
            <v>405</v>
          </cell>
        </row>
        <row r="12649">
          <cell r="F12649" t="str">
            <v xml:space="preserve">805012977      </v>
          </cell>
          <cell r="O12649">
            <v>108</v>
          </cell>
        </row>
        <row r="12650">
          <cell r="F12650" t="str">
            <v xml:space="preserve">860013704      </v>
          </cell>
          <cell r="O12650">
            <v>54</v>
          </cell>
        </row>
        <row r="12651">
          <cell r="F12651" t="str">
            <v xml:space="preserve">860020382      </v>
          </cell>
          <cell r="O12651">
            <v>36</v>
          </cell>
        </row>
        <row r="12652">
          <cell r="F12652" t="str">
            <v xml:space="preserve">860020382      </v>
          </cell>
          <cell r="O12652">
            <v>18</v>
          </cell>
        </row>
        <row r="12653">
          <cell r="F12653" t="str">
            <v xml:space="preserve">890311251      </v>
          </cell>
          <cell r="O12653">
            <v>72</v>
          </cell>
        </row>
        <row r="12654">
          <cell r="F12654" t="str">
            <v xml:space="preserve">890322007      </v>
          </cell>
          <cell r="O12654">
            <v>144</v>
          </cell>
        </row>
        <row r="12655">
          <cell r="F12655" t="str">
            <v xml:space="preserve">890904713      </v>
          </cell>
          <cell r="O12655">
            <v>54</v>
          </cell>
        </row>
        <row r="12656">
          <cell r="F12656" t="str">
            <v xml:space="preserve">900234565      </v>
          </cell>
          <cell r="O12656">
            <v>36</v>
          </cell>
        </row>
        <row r="12657">
          <cell r="F12657" t="str">
            <v xml:space="preserve">900896300      </v>
          </cell>
          <cell r="O12657">
            <v>144</v>
          </cell>
        </row>
        <row r="12658">
          <cell r="F12658" t="str">
            <v xml:space="preserve">901026262      </v>
          </cell>
          <cell r="O12658">
            <v>72</v>
          </cell>
        </row>
        <row r="12659">
          <cell r="F12659" t="str">
            <v xml:space="preserve">212            </v>
          </cell>
          <cell r="O12659">
            <v>150</v>
          </cell>
        </row>
        <row r="12660">
          <cell r="F12660" t="str">
            <v xml:space="preserve">212            </v>
          </cell>
          <cell r="O12660">
            <v>126</v>
          </cell>
        </row>
        <row r="12661">
          <cell r="F12661" t="str">
            <v xml:space="preserve">212            </v>
          </cell>
          <cell r="O12661">
            <v>45</v>
          </cell>
        </row>
        <row r="12662">
          <cell r="F12662" t="str">
            <v xml:space="preserve">71110713       </v>
          </cell>
          <cell r="O12662">
            <v>30</v>
          </cell>
        </row>
        <row r="12663">
          <cell r="F12663" t="str">
            <v xml:space="preserve">71110713       </v>
          </cell>
          <cell r="O12663">
            <v>18</v>
          </cell>
        </row>
        <row r="12664">
          <cell r="F12664" t="str">
            <v xml:space="preserve">900495908      </v>
          </cell>
          <cell r="O12664">
            <v>18</v>
          </cell>
        </row>
        <row r="12665">
          <cell r="F12665" t="str">
            <v xml:space="preserve">900495908      </v>
          </cell>
          <cell r="O12665">
            <v>15</v>
          </cell>
        </row>
        <row r="12666">
          <cell r="F12666" t="str">
            <v xml:space="preserve">830016868      </v>
          </cell>
          <cell r="O12666">
            <v>225</v>
          </cell>
        </row>
        <row r="12667">
          <cell r="F12667" t="str">
            <v xml:space="preserve">203            </v>
          </cell>
          <cell r="O12667">
            <v>-45</v>
          </cell>
        </row>
        <row r="12668">
          <cell r="F12668" t="str">
            <v xml:space="preserve">203            </v>
          </cell>
          <cell r="O12668">
            <v>-270</v>
          </cell>
        </row>
        <row r="12669">
          <cell r="F12669" t="str">
            <v xml:space="preserve">890332769      </v>
          </cell>
          <cell r="O12669">
            <v>3952.7</v>
          </cell>
        </row>
        <row r="12670">
          <cell r="F12670" t="str">
            <v xml:space="preserve">1034295512     </v>
          </cell>
          <cell r="O12670">
            <v>186</v>
          </cell>
        </row>
        <row r="12671">
          <cell r="F12671" t="str">
            <v xml:space="preserve">1090373566     </v>
          </cell>
          <cell r="O12671">
            <v>53.8</v>
          </cell>
        </row>
        <row r="12672">
          <cell r="F12672" t="str">
            <v xml:space="preserve">1090375745     </v>
          </cell>
          <cell r="O12672">
            <v>103.9</v>
          </cell>
        </row>
        <row r="12673">
          <cell r="F12673" t="str">
            <v xml:space="preserve">1095837688     </v>
          </cell>
          <cell r="O12673">
            <v>68.599999999999994</v>
          </cell>
        </row>
        <row r="12674">
          <cell r="F12674" t="str">
            <v xml:space="preserve">1098799280     </v>
          </cell>
          <cell r="O12674">
            <v>90</v>
          </cell>
        </row>
        <row r="12675">
          <cell r="F12675" t="str">
            <v xml:space="preserve">27897684       </v>
          </cell>
          <cell r="O12675">
            <v>22.1</v>
          </cell>
        </row>
        <row r="12676">
          <cell r="F12676" t="str">
            <v xml:space="preserve">37392006       </v>
          </cell>
          <cell r="O12676">
            <v>41.4</v>
          </cell>
        </row>
        <row r="12677">
          <cell r="F12677" t="str">
            <v xml:space="preserve">37397539       </v>
          </cell>
          <cell r="O12677">
            <v>108.9</v>
          </cell>
        </row>
        <row r="12678">
          <cell r="F12678" t="str">
            <v xml:space="preserve">60374439       </v>
          </cell>
          <cell r="O12678">
            <v>117.5</v>
          </cell>
        </row>
        <row r="12679">
          <cell r="F12679" t="str">
            <v xml:space="preserve">60410423       </v>
          </cell>
          <cell r="O12679">
            <v>35.700000000000003</v>
          </cell>
        </row>
        <row r="12680">
          <cell r="F12680" t="str">
            <v xml:space="preserve">807004341      </v>
          </cell>
          <cell r="O12680">
            <v>638.29999999999995</v>
          </cell>
        </row>
        <row r="12681">
          <cell r="F12681" t="str">
            <v xml:space="preserve">807004341      </v>
          </cell>
          <cell r="O12681">
            <v>211</v>
          </cell>
        </row>
        <row r="12682">
          <cell r="F12682" t="str">
            <v xml:space="preserve">860001697      </v>
          </cell>
          <cell r="O12682">
            <v>4000.3</v>
          </cell>
        </row>
        <row r="12683">
          <cell r="F12683" t="str">
            <v xml:space="preserve">890505271      </v>
          </cell>
          <cell r="O12683">
            <v>145.5</v>
          </cell>
        </row>
        <row r="12684">
          <cell r="F12684" t="str">
            <v xml:space="preserve">900558257      </v>
          </cell>
          <cell r="O12684">
            <v>311</v>
          </cell>
        </row>
        <row r="12685">
          <cell r="F12685" t="str">
            <v xml:space="preserve">901215181      </v>
          </cell>
          <cell r="O12685">
            <v>73</v>
          </cell>
        </row>
        <row r="12686">
          <cell r="F12686" t="str">
            <v xml:space="preserve">901595394      </v>
          </cell>
          <cell r="O12686">
            <v>970.5</v>
          </cell>
        </row>
        <row r="12687">
          <cell r="F12687" t="str">
            <v xml:space="preserve">1151937546     </v>
          </cell>
          <cell r="O12687">
            <v>633.29999999999995</v>
          </cell>
        </row>
        <row r="12688">
          <cell r="F12688" t="str">
            <v xml:space="preserve">817004851      </v>
          </cell>
          <cell r="O12688">
            <v>735.1</v>
          </cell>
        </row>
        <row r="12689">
          <cell r="F12689" t="str">
            <v xml:space="preserve">890200474      </v>
          </cell>
          <cell r="O12689">
            <v>2797.9</v>
          </cell>
        </row>
        <row r="12690">
          <cell r="F12690" t="str">
            <v xml:space="preserve">980303093      </v>
          </cell>
          <cell r="O12690">
            <v>1779.3</v>
          </cell>
        </row>
        <row r="12691">
          <cell r="F12691" t="str">
            <v xml:space="preserve">1100955152     </v>
          </cell>
          <cell r="O12691">
            <v>239.8</v>
          </cell>
        </row>
        <row r="12692">
          <cell r="F12692" t="str">
            <v xml:space="preserve">63441874       </v>
          </cell>
          <cell r="O12692">
            <v>42.3</v>
          </cell>
        </row>
        <row r="12693">
          <cell r="F12693" t="str">
            <v xml:space="preserve">800000276      </v>
          </cell>
          <cell r="O12693">
            <v>3419.9</v>
          </cell>
        </row>
        <row r="12694">
          <cell r="F12694" t="str">
            <v xml:space="preserve">900197640      </v>
          </cell>
          <cell r="O12694">
            <v>4500</v>
          </cell>
        </row>
        <row r="12695">
          <cell r="F12695" t="str">
            <v xml:space="preserve">900197640      </v>
          </cell>
          <cell r="O12695">
            <v>1055.3</v>
          </cell>
        </row>
        <row r="12696">
          <cell r="F12696" t="str">
            <v xml:space="preserve">901546049      </v>
          </cell>
          <cell r="O12696">
            <v>421.6</v>
          </cell>
        </row>
        <row r="12697">
          <cell r="F12697" t="str">
            <v xml:space="preserve">800134497      </v>
          </cell>
          <cell r="O12697">
            <v>2032.4</v>
          </cell>
        </row>
        <row r="12698">
          <cell r="F12698" t="str">
            <v xml:space="preserve">800134497      </v>
          </cell>
          <cell r="O12698">
            <v>829.5</v>
          </cell>
        </row>
        <row r="12699">
          <cell r="F12699" t="str">
            <v xml:space="preserve">42795633       </v>
          </cell>
          <cell r="O12699">
            <v>172.7</v>
          </cell>
        </row>
        <row r="12700">
          <cell r="F12700" t="str">
            <v xml:space="preserve">800039849      </v>
          </cell>
          <cell r="O12700">
            <v>2210.6999999999998</v>
          </cell>
        </row>
        <row r="12701">
          <cell r="F12701" t="str">
            <v xml:space="preserve">800039849      </v>
          </cell>
          <cell r="O12701">
            <v>163.6</v>
          </cell>
        </row>
        <row r="12702">
          <cell r="F12702" t="str">
            <v xml:space="preserve">811014849      </v>
          </cell>
          <cell r="O12702">
            <v>852.5</v>
          </cell>
        </row>
        <row r="12703">
          <cell r="F12703" t="str">
            <v xml:space="preserve">830022380      </v>
          </cell>
          <cell r="O12703">
            <v>709.2</v>
          </cell>
        </row>
        <row r="12704">
          <cell r="F12704" t="str">
            <v xml:space="preserve">890900161      </v>
          </cell>
          <cell r="O12704">
            <v>178</v>
          </cell>
        </row>
        <row r="12705">
          <cell r="F12705" t="str">
            <v xml:space="preserve">890900223      </v>
          </cell>
          <cell r="O12705">
            <v>720</v>
          </cell>
        </row>
        <row r="12706">
          <cell r="F12706" t="str">
            <v xml:space="preserve">830107012      </v>
          </cell>
          <cell r="O12706">
            <v>108</v>
          </cell>
        </row>
        <row r="12707">
          <cell r="F12707" t="str">
            <v xml:space="preserve">24711613       </v>
          </cell>
          <cell r="O12707">
            <v>84.9</v>
          </cell>
        </row>
        <row r="12708">
          <cell r="F12708" t="str">
            <v xml:space="preserve">52656913       </v>
          </cell>
          <cell r="O12708">
            <v>246.9</v>
          </cell>
        </row>
        <row r="12709">
          <cell r="F12709" t="str">
            <v xml:space="preserve">52790620       </v>
          </cell>
          <cell r="O12709">
            <v>1335</v>
          </cell>
        </row>
        <row r="12710">
          <cell r="F12710" t="str">
            <v xml:space="preserve">52790620       </v>
          </cell>
          <cell r="O12710">
            <v>1890</v>
          </cell>
        </row>
        <row r="12711">
          <cell r="F12711" t="str">
            <v xml:space="preserve">52790620       </v>
          </cell>
          <cell r="O12711">
            <v>360</v>
          </cell>
        </row>
        <row r="12712">
          <cell r="F12712" t="str">
            <v xml:space="preserve">52790620       </v>
          </cell>
          <cell r="O12712">
            <v>225</v>
          </cell>
        </row>
        <row r="12713">
          <cell r="F12713" t="str">
            <v xml:space="preserve">52790620       </v>
          </cell>
          <cell r="O12713">
            <v>225</v>
          </cell>
        </row>
        <row r="12714">
          <cell r="F12714" t="str">
            <v xml:space="preserve">808001297      </v>
          </cell>
          <cell r="O12714">
            <v>225</v>
          </cell>
        </row>
        <row r="12715">
          <cell r="F12715" t="str">
            <v xml:space="preserve">79593652       </v>
          </cell>
          <cell r="O12715">
            <v>104.2</v>
          </cell>
        </row>
        <row r="12716">
          <cell r="F12716" t="str">
            <v xml:space="preserve">79957508       </v>
          </cell>
          <cell r="O12716">
            <v>185.4</v>
          </cell>
        </row>
        <row r="12717">
          <cell r="F12717" t="str">
            <v xml:space="preserve">800049083      </v>
          </cell>
          <cell r="O12717">
            <v>1170</v>
          </cell>
        </row>
        <row r="12718">
          <cell r="F12718" t="str">
            <v xml:space="preserve">800164741      </v>
          </cell>
          <cell r="O12718">
            <v>982.6</v>
          </cell>
        </row>
        <row r="12719">
          <cell r="F12719" t="str">
            <v xml:space="preserve">900251105      </v>
          </cell>
          <cell r="O12719">
            <v>439.8</v>
          </cell>
        </row>
        <row r="12720">
          <cell r="F12720" t="str">
            <v xml:space="preserve">890903939      </v>
          </cell>
          <cell r="O12720">
            <v>216</v>
          </cell>
        </row>
        <row r="12721">
          <cell r="F12721" t="str">
            <v xml:space="preserve">890903939      </v>
          </cell>
          <cell r="O12721">
            <v>144</v>
          </cell>
        </row>
        <row r="12722">
          <cell r="F12722" t="str">
            <v xml:space="preserve">890903939      </v>
          </cell>
          <cell r="O12722">
            <v>234</v>
          </cell>
        </row>
        <row r="12723">
          <cell r="F12723" t="str">
            <v xml:space="preserve">890903939      </v>
          </cell>
          <cell r="O12723">
            <v>162</v>
          </cell>
        </row>
        <row r="12724">
          <cell r="F12724" t="str">
            <v xml:space="preserve">900565867      </v>
          </cell>
          <cell r="O12724">
            <v>90</v>
          </cell>
        </row>
        <row r="12725">
          <cell r="F12725" t="str">
            <v xml:space="preserve">860058831      </v>
          </cell>
          <cell r="O12725">
            <v>702.9</v>
          </cell>
        </row>
        <row r="12726">
          <cell r="F12726" t="str">
            <v xml:space="preserve">890301602      </v>
          </cell>
          <cell r="O12726">
            <v>619.5</v>
          </cell>
        </row>
        <row r="12727">
          <cell r="F12727" t="str">
            <v xml:space="preserve">891301594      </v>
          </cell>
          <cell r="O12727">
            <v>2075.5</v>
          </cell>
        </row>
        <row r="12728">
          <cell r="F12728" t="str">
            <v xml:space="preserve">860001697      </v>
          </cell>
          <cell r="O12728">
            <v>393.56</v>
          </cell>
        </row>
        <row r="12729">
          <cell r="F12729" t="str">
            <v xml:space="preserve">860001697      </v>
          </cell>
          <cell r="O12729">
            <v>127.08</v>
          </cell>
        </row>
        <row r="12730">
          <cell r="F12730" t="str">
            <v xml:space="preserve">003            </v>
          </cell>
          <cell r="O12730">
            <v>468.6</v>
          </cell>
        </row>
        <row r="12731">
          <cell r="F12731" t="str">
            <v xml:space="preserve">003            </v>
          </cell>
          <cell r="O12731">
            <v>7094.18</v>
          </cell>
        </row>
        <row r="12732">
          <cell r="F12732" t="str">
            <v xml:space="preserve">003            </v>
          </cell>
          <cell r="O12732">
            <v>1941.15</v>
          </cell>
        </row>
        <row r="12733">
          <cell r="F12733" t="str">
            <v xml:space="preserve">003            </v>
          </cell>
          <cell r="O12733">
            <v>1060.23</v>
          </cell>
        </row>
        <row r="12734">
          <cell r="F12734" t="str">
            <v xml:space="preserve">003            </v>
          </cell>
          <cell r="O12734">
            <v>195.96</v>
          </cell>
        </row>
        <row r="12735">
          <cell r="F12735" t="str">
            <v xml:space="preserve">003            </v>
          </cell>
          <cell r="O12735">
            <v>259.86</v>
          </cell>
        </row>
        <row r="12736">
          <cell r="F12736" t="str">
            <v xml:space="preserve">003            </v>
          </cell>
          <cell r="O12736">
            <v>289.68</v>
          </cell>
        </row>
        <row r="12737">
          <cell r="F12737" t="str">
            <v xml:space="preserve">003            </v>
          </cell>
          <cell r="O12737">
            <v>206.61</v>
          </cell>
        </row>
        <row r="12738">
          <cell r="F12738" t="str">
            <v xml:space="preserve">003            </v>
          </cell>
          <cell r="O12738">
            <v>617.70000000000005</v>
          </cell>
        </row>
        <row r="12739">
          <cell r="F12739" t="str">
            <v xml:space="preserve">003            </v>
          </cell>
          <cell r="O12739">
            <v>213</v>
          </cell>
        </row>
        <row r="12740">
          <cell r="F12740" t="str">
            <v xml:space="preserve">003            </v>
          </cell>
          <cell r="O12740">
            <v>905.25</v>
          </cell>
        </row>
        <row r="12741">
          <cell r="F12741" t="str">
            <v xml:space="preserve">003            </v>
          </cell>
          <cell r="O12741">
            <v>545.28</v>
          </cell>
        </row>
        <row r="12742">
          <cell r="F12742" t="str">
            <v xml:space="preserve">003            </v>
          </cell>
          <cell r="O12742">
            <v>238.56</v>
          </cell>
        </row>
        <row r="12743">
          <cell r="F12743" t="str">
            <v xml:space="preserve">003            </v>
          </cell>
          <cell r="O12743">
            <v>402.57</v>
          </cell>
        </row>
        <row r="12744">
          <cell r="F12744" t="str">
            <v xml:space="preserve">003            </v>
          </cell>
          <cell r="O12744">
            <v>76.41</v>
          </cell>
        </row>
        <row r="12745">
          <cell r="F12745" t="str">
            <v xml:space="preserve">003            </v>
          </cell>
          <cell r="O12745">
            <v>455.87</v>
          </cell>
        </row>
        <row r="12746">
          <cell r="F12746" t="str">
            <v xml:space="preserve">003            </v>
          </cell>
          <cell r="O12746">
            <v>250.1</v>
          </cell>
        </row>
        <row r="12747">
          <cell r="F12747" t="str">
            <v xml:space="preserve">003            </v>
          </cell>
          <cell r="O12747">
            <v>413.4</v>
          </cell>
        </row>
        <row r="12748">
          <cell r="F12748" t="str">
            <v xml:space="preserve">003            </v>
          </cell>
          <cell r="O12748">
            <v>61.16</v>
          </cell>
        </row>
        <row r="12749">
          <cell r="F12749" t="str">
            <v xml:space="preserve">003            </v>
          </cell>
          <cell r="O12749">
            <v>289.06</v>
          </cell>
        </row>
        <row r="12750">
          <cell r="F12750" t="str">
            <v xml:space="preserve">003            </v>
          </cell>
          <cell r="O12750">
            <v>132.59</v>
          </cell>
        </row>
        <row r="12751">
          <cell r="F12751" t="str">
            <v xml:space="preserve">003            </v>
          </cell>
          <cell r="O12751">
            <v>108.1</v>
          </cell>
        </row>
        <row r="12752">
          <cell r="F12752" t="str">
            <v xml:space="preserve">003            </v>
          </cell>
          <cell r="O12752">
            <v>6187.05</v>
          </cell>
        </row>
        <row r="12753">
          <cell r="F12753" t="str">
            <v xml:space="preserve">003            </v>
          </cell>
          <cell r="O12753">
            <v>226.29</v>
          </cell>
        </row>
        <row r="12754">
          <cell r="F12754" t="str">
            <v xml:space="preserve">003            </v>
          </cell>
          <cell r="O12754">
            <v>1385.93</v>
          </cell>
        </row>
        <row r="12755">
          <cell r="F12755" t="str">
            <v xml:space="preserve">003            </v>
          </cell>
          <cell r="O12755">
            <v>833.68</v>
          </cell>
        </row>
        <row r="12756">
          <cell r="F12756" t="str">
            <v xml:space="preserve">003            </v>
          </cell>
          <cell r="O12756">
            <v>1528.15</v>
          </cell>
        </row>
        <row r="12757">
          <cell r="F12757" t="str">
            <v xml:space="preserve">003            </v>
          </cell>
          <cell r="O12757">
            <v>6302.76</v>
          </cell>
        </row>
        <row r="12758">
          <cell r="F12758" t="str">
            <v xml:space="preserve">003            </v>
          </cell>
          <cell r="O12758">
            <v>17470.580000000002</v>
          </cell>
        </row>
        <row r="12759">
          <cell r="F12759" t="str">
            <v xml:space="preserve">804002801      </v>
          </cell>
          <cell r="O12759">
            <v>6100</v>
          </cell>
        </row>
        <row r="12760">
          <cell r="F12760" t="str">
            <v xml:space="preserve">830118416      </v>
          </cell>
          <cell r="O12760">
            <v>6810</v>
          </cell>
        </row>
        <row r="12761">
          <cell r="F12761" t="str">
            <v xml:space="preserve">804002825      </v>
          </cell>
          <cell r="O12761">
            <v>6940</v>
          </cell>
        </row>
        <row r="12762">
          <cell r="F12762" t="str">
            <v xml:space="preserve">804002825      </v>
          </cell>
          <cell r="O12762">
            <v>6880</v>
          </cell>
        </row>
        <row r="12763">
          <cell r="F12763" t="str">
            <v xml:space="preserve">804002825      </v>
          </cell>
          <cell r="O12763">
            <v>7050</v>
          </cell>
        </row>
        <row r="12764">
          <cell r="F12764" t="str">
            <v xml:space="preserve">800028446      </v>
          </cell>
          <cell r="O12764">
            <v>813.87</v>
          </cell>
        </row>
        <row r="12765">
          <cell r="F12765" t="str">
            <v xml:space="preserve">800154428      </v>
          </cell>
          <cell r="O12765">
            <v>168.6</v>
          </cell>
        </row>
        <row r="12766">
          <cell r="F12766" t="str">
            <v xml:space="preserve">830091965      </v>
          </cell>
          <cell r="O12766">
            <v>830</v>
          </cell>
        </row>
        <row r="12767">
          <cell r="F12767" t="str">
            <v xml:space="preserve">860002536      </v>
          </cell>
          <cell r="O12767">
            <v>664.21</v>
          </cell>
        </row>
        <row r="12768">
          <cell r="F12768" t="str">
            <v xml:space="preserve">900805585      </v>
          </cell>
          <cell r="O12768">
            <v>1205.28</v>
          </cell>
        </row>
        <row r="12769">
          <cell r="F12769" t="str">
            <v xml:space="preserve">830106563      </v>
          </cell>
          <cell r="O12769">
            <v>1057.3</v>
          </cell>
        </row>
        <row r="12770">
          <cell r="F12770" t="str">
            <v xml:space="preserve">860518811      </v>
          </cell>
          <cell r="O12770">
            <v>910.2</v>
          </cell>
        </row>
        <row r="12771">
          <cell r="F12771" t="str">
            <v xml:space="preserve">860518811      </v>
          </cell>
          <cell r="O12771">
            <v>1481.5</v>
          </cell>
        </row>
        <row r="12772">
          <cell r="F12772" t="str">
            <v xml:space="preserve">900433051      </v>
          </cell>
          <cell r="O12772">
            <v>167.5</v>
          </cell>
        </row>
        <row r="12773">
          <cell r="F12773" t="str">
            <v xml:space="preserve">900497538      </v>
          </cell>
          <cell r="O12773">
            <v>2896.9</v>
          </cell>
        </row>
        <row r="12774">
          <cell r="F12774" t="str">
            <v xml:space="preserve">900639245      </v>
          </cell>
          <cell r="O12774">
            <v>298.5</v>
          </cell>
        </row>
        <row r="12775">
          <cell r="F12775" t="str">
            <v xml:space="preserve">901123983      </v>
          </cell>
          <cell r="O12775">
            <v>1676.7</v>
          </cell>
        </row>
        <row r="12776">
          <cell r="F12776" t="str">
            <v xml:space="preserve">901221052      </v>
          </cell>
          <cell r="O12776">
            <v>1391</v>
          </cell>
        </row>
        <row r="12777">
          <cell r="F12777" t="str">
            <v xml:space="preserve">901409625      </v>
          </cell>
          <cell r="O12777">
            <v>674</v>
          </cell>
        </row>
        <row r="12778">
          <cell r="F12778" t="str">
            <v xml:space="preserve">860032450      </v>
          </cell>
          <cell r="O12778">
            <v>6884.4</v>
          </cell>
        </row>
        <row r="12779">
          <cell r="F12779" t="str">
            <v xml:space="preserve">800201571      </v>
          </cell>
          <cell r="O12779">
            <v>36</v>
          </cell>
        </row>
        <row r="12780">
          <cell r="F12780" t="str">
            <v xml:space="preserve">805005148      </v>
          </cell>
          <cell r="O12780">
            <v>1008</v>
          </cell>
        </row>
        <row r="12781">
          <cell r="F12781" t="str">
            <v xml:space="preserve">805005148      </v>
          </cell>
          <cell r="O12781">
            <v>180</v>
          </cell>
        </row>
        <row r="12782">
          <cell r="F12782" t="str">
            <v xml:space="preserve">805005148      </v>
          </cell>
          <cell r="O12782">
            <v>525</v>
          </cell>
        </row>
        <row r="12783">
          <cell r="F12783" t="str">
            <v xml:space="preserve">805005148      </v>
          </cell>
          <cell r="O12783">
            <v>2160</v>
          </cell>
        </row>
        <row r="12784">
          <cell r="F12784" t="str">
            <v xml:space="preserve">805005148      </v>
          </cell>
          <cell r="O12784">
            <v>4.5</v>
          </cell>
        </row>
        <row r="12785">
          <cell r="F12785" t="str">
            <v xml:space="preserve">805005148      </v>
          </cell>
          <cell r="O12785">
            <v>108</v>
          </cell>
        </row>
        <row r="12786">
          <cell r="F12786" t="str">
            <v xml:space="preserve">805005148      </v>
          </cell>
          <cell r="O12786">
            <v>540</v>
          </cell>
        </row>
        <row r="12787">
          <cell r="F12787" t="str">
            <v xml:space="preserve">805005148      </v>
          </cell>
          <cell r="O12787">
            <v>1170</v>
          </cell>
        </row>
        <row r="12788">
          <cell r="F12788" t="str">
            <v xml:space="preserve">805005148      </v>
          </cell>
          <cell r="O12788">
            <v>270</v>
          </cell>
        </row>
        <row r="12789">
          <cell r="F12789" t="str">
            <v xml:space="preserve">805005148      </v>
          </cell>
          <cell r="O12789">
            <v>30</v>
          </cell>
        </row>
        <row r="12790">
          <cell r="F12790" t="str">
            <v xml:space="preserve">805005148      </v>
          </cell>
          <cell r="O12790">
            <v>108</v>
          </cell>
        </row>
        <row r="12791">
          <cell r="F12791" t="str">
            <v xml:space="preserve">805005148      </v>
          </cell>
          <cell r="O12791">
            <v>2124</v>
          </cell>
        </row>
        <row r="12792">
          <cell r="F12792" t="str">
            <v xml:space="preserve">805005148      </v>
          </cell>
          <cell r="O12792">
            <v>18</v>
          </cell>
        </row>
        <row r="12793">
          <cell r="F12793" t="str">
            <v xml:space="preserve">805005148      </v>
          </cell>
          <cell r="O12793">
            <v>45</v>
          </cell>
        </row>
        <row r="12794">
          <cell r="F12794" t="str">
            <v xml:space="preserve">805005148      </v>
          </cell>
          <cell r="O12794">
            <v>1494</v>
          </cell>
        </row>
        <row r="12795">
          <cell r="F12795" t="str">
            <v xml:space="preserve">805005148      </v>
          </cell>
          <cell r="O12795">
            <v>540</v>
          </cell>
        </row>
        <row r="12796">
          <cell r="F12796" t="str">
            <v xml:space="preserve">805005148      </v>
          </cell>
          <cell r="O12796">
            <v>2970</v>
          </cell>
        </row>
        <row r="12797">
          <cell r="F12797" t="str">
            <v xml:space="preserve">805005148      </v>
          </cell>
          <cell r="O12797">
            <v>105</v>
          </cell>
        </row>
        <row r="12798">
          <cell r="F12798" t="str">
            <v xml:space="preserve">805005148      </v>
          </cell>
          <cell r="O12798">
            <v>54</v>
          </cell>
        </row>
        <row r="12799">
          <cell r="F12799" t="str">
            <v xml:space="preserve">830089785      </v>
          </cell>
          <cell r="O12799">
            <v>54</v>
          </cell>
        </row>
        <row r="12800">
          <cell r="F12800" t="str">
            <v xml:space="preserve">901215210      </v>
          </cell>
          <cell r="O12800">
            <v>75</v>
          </cell>
        </row>
        <row r="12801">
          <cell r="F12801" t="str">
            <v xml:space="preserve">1130605276     </v>
          </cell>
          <cell r="O12801">
            <v>120</v>
          </cell>
        </row>
        <row r="12802">
          <cell r="F12802" t="str">
            <v xml:space="preserve">1130605276     </v>
          </cell>
          <cell r="O12802">
            <v>756</v>
          </cell>
        </row>
        <row r="12803">
          <cell r="F12803" t="str">
            <v xml:space="preserve">1130605276     </v>
          </cell>
          <cell r="O12803">
            <v>180</v>
          </cell>
        </row>
        <row r="12804">
          <cell r="F12804" t="str">
            <v xml:space="preserve">88275315       </v>
          </cell>
          <cell r="O12804">
            <v>9</v>
          </cell>
        </row>
        <row r="12805">
          <cell r="F12805" t="str">
            <v xml:space="preserve">88275315       </v>
          </cell>
          <cell r="O12805">
            <v>54</v>
          </cell>
        </row>
        <row r="12806">
          <cell r="F12806" t="str">
            <v xml:space="preserve">88275315       </v>
          </cell>
          <cell r="O12806">
            <v>75</v>
          </cell>
        </row>
        <row r="12807">
          <cell r="F12807" t="str">
            <v xml:space="preserve">88275315       </v>
          </cell>
          <cell r="O12807">
            <v>1818</v>
          </cell>
        </row>
        <row r="12808">
          <cell r="F12808" t="str">
            <v xml:space="preserve">88275315       </v>
          </cell>
          <cell r="O12808">
            <v>90</v>
          </cell>
        </row>
        <row r="12809">
          <cell r="F12809" t="str">
            <v xml:space="preserve">88275315       </v>
          </cell>
          <cell r="O12809">
            <v>846</v>
          </cell>
        </row>
        <row r="12810">
          <cell r="F12810" t="str">
            <v xml:space="preserve">94464104       </v>
          </cell>
          <cell r="O12810">
            <v>9</v>
          </cell>
        </row>
        <row r="12811">
          <cell r="F12811" t="str">
            <v xml:space="preserve">94464104       </v>
          </cell>
          <cell r="O12811">
            <v>180</v>
          </cell>
        </row>
        <row r="12812">
          <cell r="F12812" t="str">
            <v xml:space="preserve">94464104       </v>
          </cell>
          <cell r="O12812">
            <v>504</v>
          </cell>
        </row>
        <row r="12813">
          <cell r="F12813" t="str">
            <v xml:space="preserve">94464104       </v>
          </cell>
          <cell r="O12813">
            <v>216</v>
          </cell>
        </row>
        <row r="12814">
          <cell r="F12814" t="str">
            <v xml:space="preserve">94464104       </v>
          </cell>
          <cell r="O12814">
            <v>90</v>
          </cell>
        </row>
        <row r="12815">
          <cell r="F12815" t="str">
            <v xml:space="preserve">16458005       </v>
          </cell>
          <cell r="O12815">
            <v>15</v>
          </cell>
        </row>
        <row r="12816">
          <cell r="F12816" t="str">
            <v xml:space="preserve">16458005       </v>
          </cell>
          <cell r="O12816">
            <v>198</v>
          </cell>
        </row>
        <row r="12817">
          <cell r="F12817" t="str">
            <v xml:space="preserve">94419930       </v>
          </cell>
          <cell r="O12817">
            <v>30</v>
          </cell>
        </row>
        <row r="12818">
          <cell r="F12818" t="str">
            <v xml:space="preserve">94419930       </v>
          </cell>
          <cell r="O12818">
            <v>360</v>
          </cell>
        </row>
        <row r="12819">
          <cell r="F12819" t="str">
            <v xml:space="preserve">94419930       </v>
          </cell>
          <cell r="O12819">
            <v>180</v>
          </cell>
        </row>
        <row r="12820">
          <cell r="F12820" t="str">
            <v xml:space="preserve">94420019       </v>
          </cell>
          <cell r="O12820">
            <v>4.5</v>
          </cell>
        </row>
        <row r="12821">
          <cell r="F12821" t="str">
            <v xml:space="preserve">94420019       </v>
          </cell>
          <cell r="O12821">
            <v>9</v>
          </cell>
        </row>
        <row r="12822">
          <cell r="F12822" t="str">
            <v xml:space="preserve">94420019       </v>
          </cell>
          <cell r="O12822">
            <v>414</v>
          </cell>
        </row>
        <row r="12823">
          <cell r="F12823" t="str">
            <v xml:space="preserve">16669313       </v>
          </cell>
          <cell r="O12823">
            <v>18</v>
          </cell>
        </row>
        <row r="12824">
          <cell r="F12824" t="str">
            <v xml:space="preserve">16669313       </v>
          </cell>
          <cell r="O12824">
            <v>45</v>
          </cell>
        </row>
        <row r="12825">
          <cell r="F12825" t="str">
            <v xml:space="preserve">16669313       </v>
          </cell>
          <cell r="O12825">
            <v>864</v>
          </cell>
        </row>
        <row r="12826">
          <cell r="F12826" t="str">
            <v xml:space="preserve">900034686      </v>
          </cell>
          <cell r="O12826">
            <v>18</v>
          </cell>
        </row>
        <row r="12827">
          <cell r="F12827" t="str">
            <v xml:space="preserve">900034686      </v>
          </cell>
          <cell r="O12827">
            <v>45</v>
          </cell>
        </row>
        <row r="12828">
          <cell r="F12828" t="str">
            <v xml:space="preserve">901551934      </v>
          </cell>
          <cell r="O12828">
            <v>18</v>
          </cell>
        </row>
        <row r="12829">
          <cell r="F12829" t="str">
            <v xml:space="preserve">901551934      </v>
          </cell>
          <cell r="O12829">
            <v>135</v>
          </cell>
        </row>
        <row r="12830">
          <cell r="F12830" t="str">
            <v xml:space="preserve">16460421       </v>
          </cell>
          <cell r="O12830">
            <v>15</v>
          </cell>
        </row>
        <row r="12831">
          <cell r="F12831" t="str">
            <v xml:space="preserve">16460421       </v>
          </cell>
          <cell r="O12831">
            <v>702</v>
          </cell>
        </row>
        <row r="12832">
          <cell r="F12832" t="str">
            <v xml:space="preserve">16460421       </v>
          </cell>
          <cell r="O12832">
            <v>45</v>
          </cell>
        </row>
        <row r="12833">
          <cell r="F12833" t="str">
            <v xml:space="preserve">16460421       </v>
          </cell>
          <cell r="O12833">
            <v>9</v>
          </cell>
        </row>
        <row r="12834">
          <cell r="F12834" t="str">
            <v xml:space="preserve">75074760       </v>
          </cell>
          <cell r="O12834">
            <v>18</v>
          </cell>
        </row>
        <row r="12835">
          <cell r="F12835" t="str">
            <v xml:space="preserve">75074760       </v>
          </cell>
          <cell r="O12835">
            <v>225</v>
          </cell>
        </row>
        <row r="12836">
          <cell r="F12836" t="str">
            <v xml:space="preserve">75074760       </v>
          </cell>
          <cell r="O12836">
            <v>72</v>
          </cell>
        </row>
        <row r="12837">
          <cell r="F12837" t="str">
            <v xml:space="preserve">75099432       </v>
          </cell>
          <cell r="O12837">
            <v>600</v>
          </cell>
        </row>
        <row r="12838">
          <cell r="F12838" t="str">
            <v xml:space="preserve">75099432       </v>
          </cell>
          <cell r="O12838">
            <v>162</v>
          </cell>
        </row>
        <row r="12839">
          <cell r="F12839" t="str">
            <v xml:space="preserve">901356866      </v>
          </cell>
          <cell r="O12839">
            <v>45</v>
          </cell>
        </row>
        <row r="12840">
          <cell r="F12840" t="str">
            <v xml:space="preserve">10237057       </v>
          </cell>
          <cell r="O12840">
            <v>105</v>
          </cell>
        </row>
        <row r="12841">
          <cell r="F12841" t="str">
            <v xml:space="preserve">10237057       </v>
          </cell>
          <cell r="O12841">
            <v>54</v>
          </cell>
        </row>
        <row r="12842">
          <cell r="F12842" t="str">
            <v xml:space="preserve">10237057       </v>
          </cell>
          <cell r="O12842">
            <v>15</v>
          </cell>
        </row>
        <row r="12843">
          <cell r="F12843" t="str">
            <v xml:space="preserve">901555731      </v>
          </cell>
          <cell r="O12843">
            <v>180</v>
          </cell>
        </row>
        <row r="12844">
          <cell r="F12844" t="str">
            <v xml:space="preserve">901555731      </v>
          </cell>
          <cell r="O12844">
            <v>36</v>
          </cell>
        </row>
        <row r="12845">
          <cell r="F12845" t="str">
            <v xml:space="preserve">6157942        </v>
          </cell>
          <cell r="O12845">
            <v>525</v>
          </cell>
        </row>
        <row r="12846">
          <cell r="F12846" t="str">
            <v xml:space="preserve">6157942        </v>
          </cell>
          <cell r="O12846">
            <v>72</v>
          </cell>
        </row>
        <row r="12847">
          <cell r="F12847" t="str">
            <v xml:space="preserve">6157942        </v>
          </cell>
          <cell r="O12847">
            <v>135</v>
          </cell>
        </row>
        <row r="12848">
          <cell r="F12848" t="str">
            <v xml:space="preserve">1111745154     </v>
          </cell>
          <cell r="O12848">
            <v>45</v>
          </cell>
        </row>
        <row r="12849">
          <cell r="F12849" t="str">
            <v xml:space="preserve">1111745154     </v>
          </cell>
          <cell r="O12849">
            <v>135</v>
          </cell>
        </row>
        <row r="12850">
          <cell r="F12850" t="str">
            <v xml:space="preserve">16456104       </v>
          </cell>
          <cell r="O12850">
            <v>315</v>
          </cell>
        </row>
        <row r="12851">
          <cell r="F12851" t="str">
            <v xml:space="preserve">16479359       </v>
          </cell>
          <cell r="O12851">
            <v>105</v>
          </cell>
        </row>
        <row r="12852">
          <cell r="F12852" t="str">
            <v xml:space="preserve">16479359       </v>
          </cell>
          <cell r="O12852">
            <v>180</v>
          </cell>
        </row>
        <row r="12853">
          <cell r="F12853" t="str">
            <v xml:space="preserve">16214926       </v>
          </cell>
          <cell r="O12853">
            <v>135</v>
          </cell>
        </row>
        <row r="12854">
          <cell r="F12854" t="str">
            <v xml:space="preserve">29233836       </v>
          </cell>
          <cell r="O12854">
            <v>4.5</v>
          </cell>
        </row>
        <row r="12855">
          <cell r="F12855" t="str">
            <v xml:space="preserve">29233836       </v>
          </cell>
          <cell r="O12855">
            <v>630</v>
          </cell>
        </row>
        <row r="12856">
          <cell r="F12856" t="str">
            <v xml:space="preserve">29233836       </v>
          </cell>
          <cell r="O12856">
            <v>135</v>
          </cell>
        </row>
        <row r="12857">
          <cell r="F12857" t="str">
            <v xml:space="preserve">10007888       </v>
          </cell>
          <cell r="O12857">
            <v>60</v>
          </cell>
        </row>
        <row r="12858">
          <cell r="F12858" t="str">
            <v xml:space="preserve">10007888       </v>
          </cell>
          <cell r="O12858">
            <v>18</v>
          </cell>
        </row>
        <row r="12859">
          <cell r="F12859" t="str">
            <v xml:space="preserve">1088256267     </v>
          </cell>
          <cell r="O12859">
            <v>180</v>
          </cell>
        </row>
        <row r="12860">
          <cell r="F12860" t="str">
            <v xml:space="preserve">1088256267     </v>
          </cell>
          <cell r="O12860">
            <v>90</v>
          </cell>
        </row>
        <row r="12861">
          <cell r="F12861" t="str">
            <v xml:space="preserve">1088256267     </v>
          </cell>
          <cell r="O12861">
            <v>75</v>
          </cell>
        </row>
        <row r="12862">
          <cell r="F12862" t="str">
            <v xml:space="preserve">94228120       </v>
          </cell>
          <cell r="O12862">
            <v>13.5</v>
          </cell>
        </row>
        <row r="12863">
          <cell r="F12863" t="str">
            <v xml:space="preserve">94228120       </v>
          </cell>
          <cell r="O12863">
            <v>126</v>
          </cell>
        </row>
        <row r="12864">
          <cell r="F12864" t="str">
            <v xml:space="preserve">94228120       </v>
          </cell>
          <cell r="O12864">
            <v>105</v>
          </cell>
        </row>
        <row r="12865">
          <cell r="F12865" t="str">
            <v xml:space="preserve">94228120       </v>
          </cell>
          <cell r="O12865">
            <v>396</v>
          </cell>
        </row>
        <row r="12866">
          <cell r="F12866" t="str">
            <v xml:space="preserve">94228120       </v>
          </cell>
          <cell r="O12866">
            <v>135</v>
          </cell>
        </row>
        <row r="12867">
          <cell r="F12867" t="str">
            <v xml:space="preserve">94228120       </v>
          </cell>
          <cell r="O12867">
            <v>15</v>
          </cell>
        </row>
        <row r="12868">
          <cell r="F12868" t="str">
            <v xml:space="preserve">94228120       </v>
          </cell>
          <cell r="O12868">
            <v>72</v>
          </cell>
        </row>
        <row r="12869">
          <cell r="F12869" t="str">
            <v xml:space="preserve">66679645       </v>
          </cell>
          <cell r="O12869">
            <v>105</v>
          </cell>
        </row>
        <row r="12870">
          <cell r="F12870" t="str">
            <v xml:space="preserve">66679645       </v>
          </cell>
          <cell r="O12870">
            <v>126</v>
          </cell>
        </row>
        <row r="12871">
          <cell r="F12871" t="str">
            <v xml:space="preserve">66679645       </v>
          </cell>
          <cell r="O12871">
            <v>63</v>
          </cell>
        </row>
        <row r="12872">
          <cell r="F12872" t="str">
            <v xml:space="preserve">10144092       </v>
          </cell>
          <cell r="O12872">
            <v>315</v>
          </cell>
        </row>
        <row r="12873">
          <cell r="F12873" t="str">
            <v xml:space="preserve">10144092       </v>
          </cell>
          <cell r="O12873">
            <v>54</v>
          </cell>
        </row>
        <row r="12874">
          <cell r="F12874" t="str">
            <v xml:space="preserve">16225675       </v>
          </cell>
          <cell r="O12874">
            <v>600</v>
          </cell>
        </row>
        <row r="12875">
          <cell r="F12875" t="str">
            <v xml:space="preserve">16225675       </v>
          </cell>
          <cell r="O12875">
            <v>90</v>
          </cell>
        </row>
        <row r="12876">
          <cell r="F12876" t="str">
            <v xml:space="preserve">18596221       </v>
          </cell>
          <cell r="O12876">
            <v>180</v>
          </cell>
        </row>
        <row r="12877">
          <cell r="F12877" t="str">
            <v xml:space="preserve">805005148      </v>
          </cell>
          <cell r="O12877">
            <v>210</v>
          </cell>
        </row>
        <row r="12878">
          <cell r="F12878" t="str">
            <v xml:space="preserve">805005148      </v>
          </cell>
          <cell r="O12878">
            <v>1170</v>
          </cell>
        </row>
        <row r="12879">
          <cell r="F12879" t="str">
            <v xml:space="preserve">805005148      </v>
          </cell>
          <cell r="O12879">
            <v>270</v>
          </cell>
        </row>
        <row r="12880">
          <cell r="F12880" t="str">
            <v xml:space="preserve">901303668      </v>
          </cell>
          <cell r="O12880">
            <v>225</v>
          </cell>
        </row>
        <row r="12881">
          <cell r="F12881" t="str">
            <v xml:space="preserve">94373864       </v>
          </cell>
          <cell r="O12881">
            <v>900</v>
          </cell>
        </row>
        <row r="12882">
          <cell r="F12882" t="str">
            <v xml:space="preserve">76336108       </v>
          </cell>
          <cell r="O12882">
            <v>270</v>
          </cell>
        </row>
        <row r="12883">
          <cell r="F12883" t="str">
            <v xml:space="preserve">76336108       </v>
          </cell>
          <cell r="O12883">
            <v>45</v>
          </cell>
        </row>
        <row r="12884">
          <cell r="F12884" t="str">
            <v xml:space="preserve">76323227       </v>
          </cell>
          <cell r="O12884">
            <v>450</v>
          </cell>
        </row>
        <row r="12885">
          <cell r="F12885" t="str">
            <v xml:space="preserve">10532222       </v>
          </cell>
          <cell r="O12885">
            <v>15</v>
          </cell>
        </row>
        <row r="12886">
          <cell r="F12886" t="str">
            <v xml:space="preserve">10532222       </v>
          </cell>
          <cell r="O12886">
            <v>144</v>
          </cell>
        </row>
        <row r="12887">
          <cell r="F12887" t="str">
            <v xml:space="preserve">12168724       </v>
          </cell>
          <cell r="O12887">
            <v>630</v>
          </cell>
        </row>
        <row r="12888">
          <cell r="F12888" t="str">
            <v xml:space="preserve">12168724       </v>
          </cell>
          <cell r="O12888">
            <v>45</v>
          </cell>
        </row>
        <row r="12889">
          <cell r="F12889" t="str">
            <v xml:space="preserve">10292388       </v>
          </cell>
          <cell r="O12889">
            <v>15</v>
          </cell>
        </row>
        <row r="12890">
          <cell r="F12890" t="str">
            <v xml:space="preserve">10292388       </v>
          </cell>
          <cell r="O12890">
            <v>288</v>
          </cell>
        </row>
        <row r="12891">
          <cell r="F12891" t="str">
            <v xml:space="preserve">10292388       </v>
          </cell>
          <cell r="O12891">
            <v>180</v>
          </cell>
        </row>
        <row r="12892">
          <cell r="F12892" t="str">
            <v xml:space="preserve">18389245       </v>
          </cell>
          <cell r="O12892">
            <v>150</v>
          </cell>
        </row>
        <row r="12893">
          <cell r="F12893" t="str">
            <v xml:space="preserve">18389245       </v>
          </cell>
          <cell r="O12893">
            <v>36</v>
          </cell>
        </row>
        <row r="12894">
          <cell r="F12894" t="str">
            <v xml:space="preserve">18416624       </v>
          </cell>
          <cell r="O12894">
            <v>72</v>
          </cell>
        </row>
        <row r="12895">
          <cell r="F12895" t="str">
            <v xml:space="preserve">18416624       </v>
          </cell>
          <cell r="O12895">
            <v>15</v>
          </cell>
        </row>
        <row r="12896">
          <cell r="F12896" t="str">
            <v xml:space="preserve">18416624       </v>
          </cell>
          <cell r="O12896">
            <v>144</v>
          </cell>
        </row>
        <row r="12897">
          <cell r="F12897" t="str">
            <v xml:space="preserve">4613715        </v>
          </cell>
          <cell r="O12897">
            <v>72</v>
          </cell>
        </row>
        <row r="12898">
          <cell r="F12898" t="str">
            <v xml:space="preserve">4613715        </v>
          </cell>
          <cell r="O12898">
            <v>1275</v>
          </cell>
        </row>
        <row r="12899">
          <cell r="F12899" t="str">
            <v xml:space="preserve">4613715        </v>
          </cell>
          <cell r="O12899">
            <v>828</v>
          </cell>
        </row>
        <row r="12900">
          <cell r="F12900" t="str">
            <v xml:space="preserve">4613715        </v>
          </cell>
          <cell r="O12900">
            <v>135</v>
          </cell>
        </row>
        <row r="12901">
          <cell r="F12901" t="str">
            <v xml:space="preserve">10488839       </v>
          </cell>
          <cell r="O12901">
            <v>900</v>
          </cell>
        </row>
        <row r="12902">
          <cell r="F12902" t="str">
            <v xml:space="preserve">10488839       </v>
          </cell>
          <cell r="O12902">
            <v>90</v>
          </cell>
        </row>
        <row r="12903">
          <cell r="F12903" t="str">
            <v xml:space="preserve">16843578       </v>
          </cell>
          <cell r="O12903">
            <v>990</v>
          </cell>
        </row>
        <row r="12904">
          <cell r="F12904" t="str">
            <v xml:space="preserve">16843578       </v>
          </cell>
          <cell r="O12904">
            <v>45</v>
          </cell>
        </row>
        <row r="12905">
          <cell r="F12905" t="str">
            <v xml:space="preserve">900034686      </v>
          </cell>
          <cell r="O12905">
            <v>180</v>
          </cell>
        </row>
        <row r="12906">
          <cell r="F12906" t="str">
            <v xml:space="preserve">16849293       </v>
          </cell>
          <cell r="O12906">
            <v>15</v>
          </cell>
        </row>
        <row r="12907">
          <cell r="F12907" t="str">
            <v xml:space="preserve">16849293       </v>
          </cell>
          <cell r="O12907">
            <v>162</v>
          </cell>
        </row>
        <row r="12908">
          <cell r="F12908" t="str">
            <v xml:space="preserve">901465120      </v>
          </cell>
          <cell r="O12908">
            <v>18</v>
          </cell>
        </row>
        <row r="12909">
          <cell r="F12909" t="str">
            <v xml:space="preserve">6009148        </v>
          </cell>
          <cell r="O12909">
            <v>360</v>
          </cell>
        </row>
        <row r="12910">
          <cell r="F12910" t="str">
            <v xml:space="preserve">14229215       </v>
          </cell>
          <cell r="O12910">
            <v>90</v>
          </cell>
        </row>
        <row r="12911">
          <cell r="F12911" t="str">
            <v xml:space="preserve">14229215       </v>
          </cell>
          <cell r="O12911">
            <v>900</v>
          </cell>
        </row>
        <row r="12912">
          <cell r="F12912" t="str">
            <v xml:space="preserve">79736632       </v>
          </cell>
          <cell r="O12912">
            <v>540</v>
          </cell>
        </row>
        <row r="12913">
          <cell r="F12913" t="str">
            <v xml:space="preserve">79736632       </v>
          </cell>
          <cell r="O12913">
            <v>315</v>
          </cell>
        </row>
        <row r="12914">
          <cell r="F12914" t="str">
            <v xml:space="preserve">79736632       </v>
          </cell>
          <cell r="O12914">
            <v>540</v>
          </cell>
        </row>
        <row r="12915">
          <cell r="F12915" t="str">
            <v xml:space="preserve">79736632       </v>
          </cell>
          <cell r="O12915">
            <v>684</v>
          </cell>
        </row>
        <row r="12916">
          <cell r="F12916" t="str">
            <v xml:space="preserve">79736632       </v>
          </cell>
          <cell r="O12916">
            <v>180</v>
          </cell>
        </row>
        <row r="12917">
          <cell r="F12917" t="str">
            <v xml:space="preserve">830133323      </v>
          </cell>
          <cell r="O12917">
            <v>198</v>
          </cell>
        </row>
        <row r="12918">
          <cell r="F12918" t="str">
            <v xml:space="preserve">26050336       </v>
          </cell>
          <cell r="O12918">
            <v>180</v>
          </cell>
        </row>
        <row r="12919">
          <cell r="F12919" t="str">
            <v xml:space="preserve">26050336       </v>
          </cell>
          <cell r="O12919">
            <v>60</v>
          </cell>
        </row>
        <row r="12920">
          <cell r="F12920" t="str">
            <v xml:space="preserve">26050336       </v>
          </cell>
          <cell r="O12920">
            <v>9</v>
          </cell>
        </row>
        <row r="12921">
          <cell r="F12921" t="str">
            <v xml:space="preserve">901139743      </v>
          </cell>
          <cell r="O12921">
            <v>36</v>
          </cell>
        </row>
        <row r="12922">
          <cell r="F12922" t="str">
            <v xml:space="preserve">80397293       </v>
          </cell>
          <cell r="O12922">
            <v>150</v>
          </cell>
        </row>
        <row r="12923">
          <cell r="F12923" t="str">
            <v xml:space="preserve">80397293       </v>
          </cell>
          <cell r="O12923">
            <v>270</v>
          </cell>
        </row>
        <row r="12924">
          <cell r="F12924" t="str">
            <v xml:space="preserve">80397293       </v>
          </cell>
          <cell r="O12924">
            <v>90</v>
          </cell>
        </row>
        <row r="12925">
          <cell r="F12925" t="str">
            <v xml:space="preserve">79824837       </v>
          </cell>
          <cell r="O12925">
            <v>540</v>
          </cell>
        </row>
        <row r="12926">
          <cell r="F12926" t="str">
            <v xml:space="preserve">74858565       </v>
          </cell>
          <cell r="O12926">
            <v>600</v>
          </cell>
        </row>
        <row r="12927">
          <cell r="F12927" t="str">
            <v xml:space="preserve">74858565       </v>
          </cell>
          <cell r="O12927">
            <v>540</v>
          </cell>
        </row>
        <row r="12928">
          <cell r="F12928" t="str">
            <v xml:space="preserve">74858565       </v>
          </cell>
          <cell r="O12928">
            <v>180</v>
          </cell>
        </row>
        <row r="12929">
          <cell r="F12929" t="str">
            <v xml:space="preserve">71747063       </v>
          </cell>
          <cell r="O12929">
            <v>60</v>
          </cell>
        </row>
        <row r="12930">
          <cell r="F12930" t="str">
            <v xml:space="preserve">71747063       </v>
          </cell>
          <cell r="O12930">
            <v>2070</v>
          </cell>
        </row>
        <row r="12931">
          <cell r="F12931" t="str">
            <v xml:space="preserve">71747063       </v>
          </cell>
          <cell r="O12931">
            <v>1710</v>
          </cell>
        </row>
        <row r="12932">
          <cell r="F12932" t="str">
            <v xml:space="preserve">71747063       </v>
          </cell>
          <cell r="O12932">
            <v>9</v>
          </cell>
        </row>
        <row r="12933">
          <cell r="F12933" t="str">
            <v xml:space="preserve">71747063       </v>
          </cell>
          <cell r="O12933">
            <v>18</v>
          </cell>
        </row>
        <row r="12934">
          <cell r="F12934" t="str">
            <v xml:space="preserve">71747063       </v>
          </cell>
          <cell r="O12934">
            <v>1800</v>
          </cell>
        </row>
        <row r="12935">
          <cell r="F12935" t="str">
            <v xml:space="preserve">71747063       </v>
          </cell>
          <cell r="O12935">
            <v>540</v>
          </cell>
        </row>
        <row r="12936">
          <cell r="F12936" t="str">
            <v xml:space="preserve">71312536       </v>
          </cell>
          <cell r="O12936">
            <v>198</v>
          </cell>
        </row>
        <row r="12937">
          <cell r="F12937" t="str">
            <v xml:space="preserve">71215358       </v>
          </cell>
          <cell r="O12937">
            <v>9</v>
          </cell>
        </row>
        <row r="12938">
          <cell r="F12938" t="str">
            <v xml:space="preserve">71215358       </v>
          </cell>
          <cell r="O12938">
            <v>18</v>
          </cell>
        </row>
        <row r="12939">
          <cell r="F12939" t="str">
            <v xml:space="preserve">71215358       </v>
          </cell>
          <cell r="O12939">
            <v>15</v>
          </cell>
        </row>
        <row r="12940">
          <cell r="F12940" t="str">
            <v xml:space="preserve">71215358       </v>
          </cell>
          <cell r="O12940">
            <v>414</v>
          </cell>
        </row>
        <row r="12941">
          <cell r="F12941" t="str">
            <v xml:space="preserve">71215358       </v>
          </cell>
          <cell r="O12941">
            <v>225</v>
          </cell>
        </row>
        <row r="12942">
          <cell r="F12942" t="str">
            <v xml:space="preserve">71215358       </v>
          </cell>
          <cell r="O12942">
            <v>4.5</v>
          </cell>
        </row>
        <row r="12943">
          <cell r="F12943" t="str">
            <v xml:space="preserve">71215358       </v>
          </cell>
          <cell r="O12943">
            <v>9</v>
          </cell>
        </row>
        <row r="12944">
          <cell r="F12944" t="str">
            <v xml:space="preserve">71215358       </v>
          </cell>
          <cell r="O12944">
            <v>180</v>
          </cell>
        </row>
        <row r="12945">
          <cell r="F12945" t="str">
            <v xml:space="preserve">71215358       </v>
          </cell>
          <cell r="O12945">
            <v>45</v>
          </cell>
        </row>
        <row r="12946">
          <cell r="F12946" t="str">
            <v xml:space="preserve">71215358       </v>
          </cell>
          <cell r="O12946">
            <v>360</v>
          </cell>
        </row>
        <row r="12947">
          <cell r="F12947" t="str">
            <v xml:space="preserve">71215358       </v>
          </cell>
          <cell r="O12947">
            <v>90</v>
          </cell>
        </row>
        <row r="12948">
          <cell r="F12948" t="str">
            <v xml:space="preserve">71053866       </v>
          </cell>
          <cell r="O12948">
            <v>300</v>
          </cell>
        </row>
        <row r="12949">
          <cell r="F12949" t="str">
            <v xml:space="preserve">71053866       </v>
          </cell>
          <cell r="O12949">
            <v>1746</v>
          </cell>
        </row>
        <row r="12950">
          <cell r="F12950" t="str">
            <v xml:space="preserve">71053866       </v>
          </cell>
          <cell r="O12950">
            <v>45</v>
          </cell>
        </row>
        <row r="12951">
          <cell r="F12951" t="str">
            <v xml:space="preserve">88275004       </v>
          </cell>
          <cell r="O12951">
            <v>900</v>
          </cell>
        </row>
        <row r="12952">
          <cell r="F12952" t="str">
            <v xml:space="preserve">88275004       </v>
          </cell>
          <cell r="O12952">
            <v>1080</v>
          </cell>
        </row>
        <row r="12953">
          <cell r="F12953" t="str">
            <v xml:space="preserve">88275004       </v>
          </cell>
          <cell r="O12953">
            <v>225</v>
          </cell>
        </row>
        <row r="12954">
          <cell r="F12954" t="str">
            <v xml:space="preserve">88157654       </v>
          </cell>
          <cell r="O12954">
            <v>360</v>
          </cell>
        </row>
        <row r="12955">
          <cell r="F12955" t="str">
            <v xml:space="preserve">79384689       </v>
          </cell>
          <cell r="O12955">
            <v>120</v>
          </cell>
        </row>
        <row r="12956">
          <cell r="F12956" t="str">
            <v xml:space="preserve">79384689       </v>
          </cell>
          <cell r="O12956">
            <v>45</v>
          </cell>
        </row>
        <row r="12957">
          <cell r="F12957" t="str">
            <v xml:space="preserve">13494934       </v>
          </cell>
          <cell r="O12957">
            <v>345</v>
          </cell>
        </row>
        <row r="12958">
          <cell r="F12958" t="str">
            <v xml:space="preserve">13494934       </v>
          </cell>
          <cell r="O12958">
            <v>690</v>
          </cell>
        </row>
        <row r="12959">
          <cell r="F12959" t="str">
            <v xml:space="preserve">13494934       </v>
          </cell>
          <cell r="O12959">
            <v>108</v>
          </cell>
        </row>
        <row r="12960">
          <cell r="F12960" t="str">
            <v xml:space="preserve">13494934       </v>
          </cell>
          <cell r="O12960">
            <v>270</v>
          </cell>
        </row>
        <row r="12961">
          <cell r="F12961" t="str">
            <v xml:space="preserve">13494934       </v>
          </cell>
          <cell r="O12961">
            <v>162</v>
          </cell>
        </row>
        <row r="12962">
          <cell r="F12962" t="str">
            <v xml:space="preserve">13494934       </v>
          </cell>
          <cell r="O12962">
            <v>45</v>
          </cell>
        </row>
        <row r="12963">
          <cell r="F12963" t="str">
            <v xml:space="preserve">13494934       </v>
          </cell>
          <cell r="O12963">
            <v>345</v>
          </cell>
        </row>
        <row r="12964">
          <cell r="F12964" t="str">
            <v xml:space="preserve">13494934       </v>
          </cell>
          <cell r="O12964">
            <v>210</v>
          </cell>
        </row>
        <row r="12965">
          <cell r="F12965" t="str">
            <v xml:space="preserve">13494934       </v>
          </cell>
          <cell r="O12965">
            <v>45</v>
          </cell>
        </row>
        <row r="12966">
          <cell r="F12966" t="str">
            <v xml:space="preserve">13494934       </v>
          </cell>
          <cell r="O12966">
            <v>360</v>
          </cell>
        </row>
        <row r="12967">
          <cell r="F12967" t="str">
            <v xml:space="preserve">13494934       </v>
          </cell>
          <cell r="O12967">
            <v>180</v>
          </cell>
        </row>
        <row r="12968">
          <cell r="F12968" t="str">
            <v xml:space="preserve">13494934       </v>
          </cell>
          <cell r="O12968">
            <v>270</v>
          </cell>
        </row>
        <row r="12969">
          <cell r="F12969" t="str">
            <v xml:space="preserve">88188644       </v>
          </cell>
          <cell r="O12969">
            <v>675</v>
          </cell>
        </row>
        <row r="12970">
          <cell r="F12970" t="str">
            <v xml:space="preserve">88188644       </v>
          </cell>
          <cell r="O12970">
            <v>180</v>
          </cell>
        </row>
        <row r="12971">
          <cell r="F12971" t="str">
            <v xml:space="preserve">88188644       </v>
          </cell>
          <cell r="O12971">
            <v>4.5</v>
          </cell>
        </row>
        <row r="12972">
          <cell r="F12972" t="str">
            <v xml:space="preserve">1117502076     </v>
          </cell>
          <cell r="O12972">
            <v>792</v>
          </cell>
        </row>
        <row r="12973">
          <cell r="F12973" t="str">
            <v xml:space="preserve">1117502076     </v>
          </cell>
          <cell r="O12973">
            <v>252</v>
          </cell>
        </row>
        <row r="12974">
          <cell r="F12974" t="str">
            <v xml:space="preserve">1117502076     </v>
          </cell>
          <cell r="O12974">
            <v>90</v>
          </cell>
        </row>
        <row r="12975">
          <cell r="F12975" t="str">
            <v xml:space="preserve">1117502076     </v>
          </cell>
          <cell r="O12975">
            <v>15</v>
          </cell>
        </row>
        <row r="12976">
          <cell r="F12976" t="str">
            <v xml:space="preserve">1117502076     </v>
          </cell>
          <cell r="O12976">
            <v>252</v>
          </cell>
        </row>
        <row r="12977">
          <cell r="F12977" t="str">
            <v xml:space="preserve">91451576       </v>
          </cell>
          <cell r="O12977">
            <v>135</v>
          </cell>
        </row>
        <row r="12978">
          <cell r="F12978" t="str">
            <v xml:space="preserve">91451576       </v>
          </cell>
          <cell r="O12978">
            <v>162</v>
          </cell>
        </row>
        <row r="12979">
          <cell r="F12979" t="str">
            <v xml:space="preserve">91266362       </v>
          </cell>
          <cell r="O12979">
            <v>36</v>
          </cell>
        </row>
        <row r="12980">
          <cell r="F12980" t="str">
            <v xml:space="preserve">91266362       </v>
          </cell>
          <cell r="O12980">
            <v>180</v>
          </cell>
        </row>
        <row r="12981">
          <cell r="F12981" t="str">
            <v xml:space="preserve">13537217       </v>
          </cell>
          <cell r="O12981">
            <v>165</v>
          </cell>
        </row>
        <row r="12982">
          <cell r="F12982" t="str">
            <v xml:space="preserve">13537217       </v>
          </cell>
          <cell r="O12982">
            <v>1224</v>
          </cell>
        </row>
        <row r="12983">
          <cell r="F12983" t="str">
            <v xml:space="preserve">13537217       </v>
          </cell>
          <cell r="O12983">
            <v>180</v>
          </cell>
        </row>
        <row r="12984">
          <cell r="F12984" t="str">
            <v xml:space="preserve">91179643       </v>
          </cell>
          <cell r="O12984">
            <v>108</v>
          </cell>
        </row>
        <row r="12985">
          <cell r="F12985" t="str">
            <v xml:space="preserve">91136131       </v>
          </cell>
          <cell r="O12985">
            <v>1200</v>
          </cell>
        </row>
        <row r="12986">
          <cell r="F12986" t="str">
            <v xml:space="preserve">91136131       </v>
          </cell>
          <cell r="O12986">
            <v>360</v>
          </cell>
        </row>
        <row r="12987">
          <cell r="F12987" t="str">
            <v xml:space="preserve">91136131       </v>
          </cell>
          <cell r="O12987">
            <v>90</v>
          </cell>
        </row>
        <row r="12988">
          <cell r="F12988" t="str">
            <v xml:space="preserve">74080481       </v>
          </cell>
          <cell r="O12988">
            <v>525</v>
          </cell>
        </row>
        <row r="12989">
          <cell r="F12989" t="str">
            <v xml:space="preserve">74080481       </v>
          </cell>
          <cell r="O12989">
            <v>180</v>
          </cell>
        </row>
        <row r="12990">
          <cell r="F12990" t="str">
            <v xml:space="preserve">74080481       </v>
          </cell>
          <cell r="O12990">
            <v>360</v>
          </cell>
        </row>
        <row r="12991">
          <cell r="F12991" t="str">
            <v xml:space="preserve">13702886       </v>
          </cell>
          <cell r="O12991">
            <v>375</v>
          </cell>
        </row>
        <row r="12992">
          <cell r="F12992" t="str">
            <v xml:space="preserve">13702886       </v>
          </cell>
          <cell r="O12992">
            <v>72</v>
          </cell>
        </row>
        <row r="12993">
          <cell r="F12993" t="str">
            <v xml:space="preserve">91067422       </v>
          </cell>
          <cell r="O12993">
            <v>210</v>
          </cell>
        </row>
        <row r="12994">
          <cell r="F12994" t="str">
            <v xml:space="preserve">91067422       </v>
          </cell>
          <cell r="O12994">
            <v>90</v>
          </cell>
        </row>
        <row r="12995">
          <cell r="F12995" t="str">
            <v xml:space="preserve">91067422       </v>
          </cell>
          <cell r="O12995">
            <v>75</v>
          </cell>
        </row>
        <row r="12996">
          <cell r="F12996" t="str">
            <v xml:space="preserve">91067422       </v>
          </cell>
          <cell r="O12996">
            <v>36</v>
          </cell>
        </row>
        <row r="12997">
          <cell r="F12997" t="str">
            <v xml:space="preserve">91067422       </v>
          </cell>
          <cell r="O12997">
            <v>45</v>
          </cell>
        </row>
        <row r="12998">
          <cell r="F12998" t="str">
            <v xml:space="preserve">91272730       </v>
          </cell>
          <cell r="O12998">
            <v>75</v>
          </cell>
        </row>
        <row r="12999">
          <cell r="F12999" t="str">
            <v xml:space="preserve">91272730       </v>
          </cell>
          <cell r="O12999">
            <v>36</v>
          </cell>
        </row>
        <row r="13000">
          <cell r="F13000" t="str">
            <v xml:space="preserve">91272730       </v>
          </cell>
          <cell r="O13000">
            <v>225</v>
          </cell>
        </row>
        <row r="13001">
          <cell r="F13001" t="str">
            <v xml:space="preserve">13701254       </v>
          </cell>
          <cell r="O13001">
            <v>900</v>
          </cell>
        </row>
        <row r="13002">
          <cell r="F13002" t="str">
            <v xml:space="preserve">13701254       </v>
          </cell>
          <cell r="O13002">
            <v>54</v>
          </cell>
        </row>
        <row r="13003">
          <cell r="F13003" t="str">
            <v xml:space="preserve">13701254       </v>
          </cell>
          <cell r="O13003">
            <v>360</v>
          </cell>
        </row>
        <row r="13004">
          <cell r="F13004" t="str">
            <v xml:space="preserve">26229305       </v>
          </cell>
          <cell r="O13004">
            <v>1350</v>
          </cell>
        </row>
        <row r="13005">
          <cell r="F13005" t="str">
            <v xml:space="preserve">26229305       </v>
          </cell>
          <cell r="O13005">
            <v>180</v>
          </cell>
        </row>
        <row r="13006">
          <cell r="F13006" t="str">
            <v xml:space="preserve">26229305       </v>
          </cell>
          <cell r="O13006">
            <v>720</v>
          </cell>
        </row>
        <row r="13007">
          <cell r="F13007" t="str">
            <v xml:space="preserve">78033625       </v>
          </cell>
          <cell r="O13007">
            <v>15</v>
          </cell>
        </row>
        <row r="13008">
          <cell r="F13008" t="str">
            <v xml:space="preserve">78033625       </v>
          </cell>
          <cell r="O13008">
            <v>1314</v>
          </cell>
        </row>
        <row r="13009">
          <cell r="F13009" t="str">
            <v xml:space="preserve">901096204      </v>
          </cell>
          <cell r="O13009">
            <v>1836</v>
          </cell>
        </row>
        <row r="13010">
          <cell r="F13010" t="str">
            <v xml:space="preserve">901096204      </v>
          </cell>
          <cell r="O13010">
            <v>315</v>
          </cell>
        </row>
        <row r="13011">
          <cell r="F13011" t="str">
            <v xml:space="preserve">73134768       </v>
          </cell>
          <cell r="O13011">
            <v>435</v>
          </cell>
        </row>
        <row r="13012">
          <cell r="F13012" t="str">
            <v xml:space="preserve">73134768       </v>
          </cell>
          <cell r="O13012">
            <v>180</v>
          </cell>
        </row>
        <row r="13013">
          <cell r="F13013" t="str">
            <v xml:space="preserve">73134768       </v>
          </cell>
          <cell r="O13013">
            <v>90</v>
          </cell>
        </row>
        <row r="13014">
          <cell r="F13014" t="str">
            <v xml:space="preserve">72137594       </v>
          </cell>
          <cell r="O13014">
            <v>90</v>
          </cell>
        </row>
        <row r="13015">
          <cell r="F13015" t="str">
            <v xml:space="preserve">72137594       </v>
          </cell>
          <cell r="O13015">
            <v>396</v>
          </cell>
        </row>
        <row r="13016">
          <cell r="F13016" t="str">
            <v xml:space="preserve">73238025       </v>
          </cell>
          <cell r="O13016">
            <v>555</v>
          </cell>
        </row>
        <row r="13017">
          <cell r="F13017" t="str">
            <v xml:space="preserve">73238025       </v>
          </cell>
          <cell r="O13017">
            <v>4806</v>
          </cell>
        </row>
        <row r="13018">
          <cell r="F13018" t="str">
            <v xml:space="preserve">77191750       </v>
          </cell>
          <cell r="O13018">
            <v>720</v>
          </cell>
        </row>
        <row r="13019">
          <cell r="F13019" t="str">
            <v xml:space="preserve">91177584       </v>
          </cell>
          <cell r="O13019">
            <v>2595</v>
          </cell>
        </row>
        <row r="13020">
          <cell r="F13020" t="str">
            <v xml:space="preserve">91177584       </v>
          </cell>
          <cell r="O13020">
            <v>108</v>
          </cell>
        </row>
        <row r="13021">
          <cell r="F13021" t="str">
            <v xml:space="preserve">91177584       </v>
          </cell>
          <cell r="O13021">
            <v>360</v>
          </cell>
        </row>
        <row r="13022">
          <cell r="F13022" t="str">
            <v xml:space="preserve">9262987        </v>
          </cell>
          <cell r="O13022">
            <v>90</v>
          </cell>
        </row>
        <row r="13023">
          <cell r="F13023" t="str">
            <v xml:space="preserve">72196317       </v>
          </cell>
          <cell r="O13023">
            <v>240</v>
          </cell>
        </row>
        <row r="13024">
          <cell r="F13024" t="str">
            <v xml:space="preserve">72196317       </v>
          </cell>
          <cell r="O13024">
            <v>36</v>
          </cell>
        </row>
        <row r="13025">
          <cell r="F13025" t="str">
            <v xml:space="preserve">1047231108     </v>
          </cell>
          <cell r="O13025">
            <v>480</v>
          </cell>
        </row>
        <row r="13026">
          <cell r="F13026" t="str">
            <v xml:space="preserve">1047231108     </v>
          </cell>
          <cell r="O13026">
            <v>18</v>
          </cell>
        </row>
        <row r="13027">
          <cell r="F13027" t="str">
            <v xml:space="preserve">1047231108     </v>
          </cell>
          <cell r="O13027">
            <v>45</v>
          </cell>
        </row>
        <row r="13028">
          <cell r="F13028" t="str">
            <v xml:space="preserve">1047349327     </v>
          </cell>
          <cell r="O13028">
            <v>240</v>
          </cell>
        </row>
        <row r="13029">
          <cell r="F13029" t="str">
            <v xml:space="preserve">1047349327     </v>
          </cell>
          <cell r="O13029">
            <v>234</v>
          </cell>
        </row>
        <row r="13030">
          <cell r="F13030" t="str">
            <v xml:space="preserve">73079740       </v>
          </cell>
          <cell r="O13030">
            <v>684</v>
          </cell>
        </row>
        <row r="13031">
          <cell r="F13031" t="str">
            <v xml:space="preserve">73079740       </v>
          </cell>
          <cell r="O13031">
            <v>90</v>
          </cell>
        </row>
        <row r="13032">
          <cell r="F13032" t="str">
            <v xml:space="preserve">73079740       </v>
          </cell>
          <cell r="O13032">
            <v>378</v>
          </cell>
        </row>
        <row r="13033">
          <cell r="F13033" t="str">
            <v xml:space="preserve">73079740       </v>
          </cell>
          <cell r="O13033">
            <v>180</v>
          </cell>
        </row>
        <row r="13034">
          <cell r="F13034" t="str">
            <v xml:space="preserve">15047548       </v>
          </cell>
          <cell r="O13034">
            <v>15</v>
          </cell>
        </row>
        <row r="13035">
          <cell r="F13035" t="str">
            <v xml:space="preserve">15047548       </v>
          </cell>
          <cell r="O13035">
            <v>432</v>
          </cell>
        </row>
        <row r="13036">
          <cell r="F13036" t="str">
            <v xml:space="preserve">15047548       </v>
          </cell>
          <cell r="O13036">
            <v>756</v>
          </cell>
        </row>
        <row r="13037">
          <cell r="F13037" t="str">
            <v xml:space="preserve">18531333       </v>
          </cell>
          <cell r="O13037">
            <v>36</v>
          </cell>
        </row>
        <row r="13038">
          <cell r="F13038" t="str">
            <v xml:space="preserve">18531333       </v>
          </cell>
          <cell r="O13038">
            <v>480</v>
          </cell>
        </row>
        <row r="13039">
          <cell r="F13039" t="str">
            <v xml:space="preserve">18531333       </v>
          </cell>
          <cell r="O13039">
            <v>90</v>
          </cell>
        </row>
        <row r="13040">
          <cell r="F13040" t="str">
            <v xml:space="preserve">18531333       </v>
          </cell>
          <cell r="O13040">
            <v>45</v>
          </cell>
        </row>
        <row r="13041">
          <cell r="F13041" t="str">
            <v xml:space="preserve">71172414       </v>
          </cell>
          <cell r="O13041">
            <v>1290</v>
          </cell>
        </row>
        <row r="13042">
          <cell r="F13042" t="str">
            <v xml:space="preserve">71172414       </v>
          </cell>
          <cell r="O13042">
            <v>270</v>
          </cell>
        </row>
        <row r="13043">
          <cell r="F13043" t="str">
            <v xml:space="preserve">71172414       </v>
          </cell>
          <cell r="O13043">
            <v>90</v>
          </cell>
        </row>
        <row r="13044">
          <cell r="F13044" t="str">
            <v xml:space="preserve">79827688       </v>
          </cell>
          <cell r="O13044">
            <v>144</v>
          </cell>
        </row>
        <row r="13045">
          <cell r="F13045" t="str">
            <v xml:space="preserve">79827688       </v>
          </cell>
          <cell r="O13045">
            <v>90</v>
          </cell>
        </row>
        <row r="13046">
          <cell r="F13046" t="str">
            <v xml:space="preserve">79827688       </v>
          </cell>
          <cell r="O13046">
            <v>210</v>
          </cell>
        </row>
        <row r="13047">
          <cell r="F13047" t="str">
            <v xml:space="preserve">79827688       </v>
          </cell>
          <cell r="O13047">
            <v>216</v>
          </cell>
        </row>
        <row r="13048">
          <cell r="F13048" t="str">
            <v xml:space="preserve">79827688       </v>
          </cell>
          <cell r="O13048">
            <v>45</v>
          </cell>
        </row>
        <row r="13049">
          <cell r="F13049" t="str">
            <v xml:space="preserve">92520690       </v>
          </cell>
          <cell r="O13049">
            <v>90</v>
          </cell>
        </row>
        <row r="13050">
          <cell r="F13050" t="str">
            <v xml:space="preserve">92520690       </v>
          </cell>
          <cell r="O13050">
            <v>936</v>
          </cell>
        </row>
        <row r="13051">
          <cell r="F13051" t="str">
            <v xml:space="preserve">92520690       </v>
          </cell>
          <cell r="O13051">
            <v>90</v>
          </cell>
        </row>
        <row r="13052">
          <cell r="F13052" t="str">
            <v xml:space="preserve">70752579       </v>
          </cell>
          <cell r="O13052">
            <v>378</v>
          </cell>
        </row>
        <row r="13053">
          <cell r="F13053" t="str">
            <v xml:space="preserve">70752579       </v>
          </cell>
          <cell r="O13053">
            <v>180</v>
          </cell>
        </row>
        <row r="13054">
          <cell r="F13054" t="str">
            <v xml:space="preserve">70752579       </v>
          </cell>
          <cell r="O13054">
            <v>225</v>
          </cell>
        </row>
        <row r="13055">
          <cell r="F13055" t="str">
            <v xml:space="preserve">80266206       </v>
          </cell>
          <cell r="O13055">
            <v>36</v>
          </cell>
        </row>
        <row r="13056">
          <cell r="F13056" t="str">
            <v xml:space="preserve">80266206       </v>
          </cell>
          <cell r="O13056">
            <v>15</v>
          </cell>
        </row>
        <row r="13057">
          <cell r="F13057" t="str">
            <v xml:space="preserve">80266206       </v>
          </cell>
          <cell r="O13057">
            <v>306</v>
          </cell>
        </row>
        <row r="13058">
          <cell r="F13058" t="str">
            <v xml:space="preserve">80266206       </v>
          </cell>
          <cell r="O13058">
            <v>45</v>
          </cell>
        </row>
        <row r="13059">
          <cell r="F13059" t="str">
            <v xml:space="preserve">1111739602     </v>
          </cell>
          <cell r="O13059">
            <v>420</v>
          </cell>
        </row>
        <row r="13060">
          <cell r="F13060" t="str">
            <v xml:space="preserve">1111739602     </v>
          </cell>
          <cell r="O13060">
            <v>495</v>
          </cell>
        </row>
        <row r="13061">
          <cell r="F13061" t="str">
            <v xml:space="preserve">1111739602     </v>
          </cell>
          <cell r="O13061">
            <v>18</v>
          </cell>
        </row>
        <row r="13062">
          <cell r="F13062" t="str">
            <v xml:space="preserve">1111739602     </v>
          </cell>
          <cell r="O13062">
            <v>2385</v>
          </cell>
        </row>
        <row r="13063">
          <cell r="F13063" t="str">
            <v xml:space="preserve">1111739602     </v>
          </cell>
          <cell r="O13063">
            <v>1350</v>
          </cell>
        </row>
        <row r="13064">
          <cell r="F13064" t="str">
            <v xml:space="preserve">1111739602     </v>
          </cell>
          <cell r="O13064">
            <v>135</v>
          </cell>
        </row>
        <row r="13065">
          <cell r="F13065" t="str">
            <v xml:space="preserve">1101204909     </v>
          </cell>
          <cell r="O13065">
            <v>72</v>
          </cell>
        </row>
        <row r="13066">
          <cell r="F13066" t="str">
            <v xml:space="preserve">1101204909     </v>
          </cell>
          <cell r="O13066">
            <v>90</v>
          </cell>
        </row>
        <row r="13067">
          <cell r="F13067" t="str">
            <v xml:space="preserve">1101204909     </v>
          </cell>
          <cell r="O13067">
            <v>360</v>
          </cell>
        </row>
        <row r="13068">
          <cell r="F13068" t="str">
            <v xml:space="preserve">1101204909     </v>
          </cell>
          <cell r="O13068">
            <v>378</v>
          </cell>
        </row>
        <row r="13069">
          <cell r="F13069" t="str">
            <v xml:space="preserve">88168843       </v>
          </cell>
          <cell r="O13069">
            <v>9</v>
          </cell>
        </row>
        <row r="13070">
          <cell r="F13070" t="str">
            <v xml:space="preserve">88168843       </v>
          </cell>
          <cell r="O13070">
            <v>60</v>
          </cell>
        </row>
        <row r="13071">
          <cell r="F13071" t="str">
            <v xml:space="preserve">88168843       </v>
          </cell>
          <cell r="O13071">
            <v>360</v>
          </cell>
        </row>
        <row r="13072">
          <cell r="F13072" t="str">
            <v xml:space="preserve">88168843       </v>
          </cell>
          <cell r="O13072">
            <v>135</v>
          </cell>
        </row>
        <row r="13073">
          <cell r="F13073" t="str">
            <v xml:space="preserve">88168843       </v>
          </cell>
          <cell r="O13073">
            <v>180</v>
          </cell>
        </row>
        <row r="13074">
          <cell r="F13074" t="str">
            <v xml:space="preserve">79266522       </v>
          </cell>
          <cell r="O13074">
            <v>30</v>
          </cell>
        </row>
        <row r="13075">
          <cell r="F13075" t="str">
            <v xml:space="preserve">79266522       </v>
          </cell>
          <cell r="O13075">
            <v>225</v>
          </cell>
        </row>
        <row r="13076">
          <cell r="F13076" t="str">
            <v xml:space="preserve">79221604       </v>
          </cell>
          <cell r="O13076">
            <v>15</v>
          </cell>
        </row>
        <row r="13077">
          <cell r="F13077" t="str">
            <v xml:space="preserve">79221604       </v>
          </cell>
          <cell r="O13077">
            <v>180</v>
          </cell>
        </row>
        <row r="13078">
          <cell r="F13078" t="str">
            <v xml:space="preserve">79221604       </v>
          </cell>
          <cell r="O13078">
            <v>90</v>
          </cell>
        </row>
        <row r="13079">
          <cell r="F13079" t="str">
            <v xml:space="preserve">79221604       </v>
          </cell>
          <cell r="O13079">
            <v>15</v>
          </cell>
        </row>
        <row r="13080">
          <cell r="F13080" t="str">
            <v xml:space="preserve">79221604       </v>
          </cell>
          <cell r="O13080">
            <v>450</v>
          </cell>
        </row>
        <row r="13081">
          <cell r="F13081" t="str">
            <v xml:space="preserve">79221604       </v>
          </cell>
          <cell r="O13081">
            <v>90</v>
          </cell>
        </row>
        <row r="13082">
          <cell r="F13082" t="str">
            <v xml:space="preserve">79221604       </v>
          </cell>
          <cell r="O13082">
            <v>9</v>
          </cell>
        </row>
        <row r="13083">
          <cell r="F13083" t="str">
            <v xml:space="preserve">9867640        </v>
          </cell>
          <cell r="O13083">
            <v>9</v>
          </cell>
        </row>
        <row r="13084">
          <cell r="F13084" t="str">
            <v xml:space="preserve">9867640        </v>
          </cell>
          <cell r="O13084">
            <v>90</v>
          </cell>
        </row>
        <row r="13085">
          <cell r="F13085" t="str">
            <v xml:space="preserve">9867640        </v>
          </cell>
          <cell r="O13085">
            <v>90</v>
          </cell>
        </row>
        <row r="13086">
          <cell r="F13086" t="str">
            <v xml:space="preserve">9867640        </v>
          </cell>
          <cell r="O13086">
            <v>270</v>
          </cell>
        </row>
        <row r="13087">
          <cell r="F13087" t="str">
            <v xml:space="preserve">10315862       </v>
          </cell>
          <cell r="O13087">
            <v>216</v>
          </cell>
        </row>
        <row r="13088">
          <cell r="F13088" t="str">
            <v xml:space="preserve">10315862       </v>
          </cell>
          <cell r="O13088">
            <v>45</v>
          </cell>
        </row>
        <row r="13089">
          <cell r="F13089" t="str">
            <v xml:space="preserve">73166349       </v>
          </cell>
          <cell r="O13089">
            <v>210</v>
          </cell>
        </row>
        <row r="13090">
          <cell r="F13090" t="str">
            <v xml:space="preserve">73166349       </v>
          </cell>
          <cell r="O13090">
            <v>360</v>
          </cell>
        </row>
        <row r="13091">
          <cell r="F13091" t="str">
            <v xml:space="preserve">73507193       </v>
          </cell>
          <cell r="O13091">
            <v>435</v>
          </cell>
        </row>
        <row r="13092">
          <cell r="F13092" t="str">
            <v xml:space="preserve">73507193       </v>
          </cell>
          <cell r="O13092">
            <v>270</v>
          </cell>
        </row>
        <row r="13093">
          <cell r="F13093" t="str">
            <v xml:space="preserve">806013381      </v>
          </cell>
          <cell r="O13093">
            <v>126</v>
          </cell>
        </row>
        <row r="13094">
          <cell r="F13094" t="str">
            <v xml:space="preserve">806013381      </v>
          </cell>
          <cell r="O13094">
            <v>585</v>
          </cell>
        </row>
        <row r="13095">
          <cell r="F13095" t="str">
            <v xml:space="preserve">7305518        </v>
          </cell>
          <cell r="O13095">
            <v>9</v>
          </cell>
        </row>
        <row r="13096">
          <cell r="F13096" t="str">
            <v xml:space="preserve">7305518        </v>
          </cell>
          <cell r="O13096">
            <v>15</v>
          </cell>
        </row>
        <row r="13097">
          <cell r="F13097" t="str">
            <v xml:space="preserve">7305518        </v>
          </cell>
          <cell r="O13097">
            <v>1980</v>
          </cell>
        </row>
        <row r="13098">
          <cell r="F13098" t="str">
            <v xml:space="preserve">7305518        </v>
          </cell>
          <cell r="O13098">
            <v>405</v>
          </cell>
        </row>
        <row r="13099">
          <cell r="F13099" t="str">
            <v xml:space="preserve">832010019      </v>
          </cell>
          <cell r="O13099">
            <v>315</v>
          </cell>
        </row>
        <row r="13100">
          <cell r="F13100" t="str">
            <v xml:space="preserve">13616258       </v>
          </cell>
          <cell r="O13100">
            <v>600</v>
          </cell>
        </row>
        <row r="13101">
          <cell r="F13101" t="str">
            <v xml:space="preserve">13616258       </v>
          </cell>
          <cell r="O13101">
            <v>2340</v>
          </cell>
        </row>
        <row r="13102">
          <cell r="F13102" t="str">
            <v xml:space="preserve">7305425        </v>
          </cell>
          <cell r="O13102">
            <v>15</v>
          </cell>
        </row>
        <row r="13103">
          <cell r="F13103" t="str">
            <v xml:space="preserve">7305425        </v>
          </cell>
          <cell r="O13103">
            <v>360</v>
          </cell>
        </row>
        <row r="13104">
          <cell r="F13104" t="str">
            <v xml:space="preserve">7301411        </v>
          </cell>
          <cell r="O13104">
            <v>522</v>
          </cell>
        </row>
        <row r="13105">
          <cell r="F13105" t="str">
            <v xml:space="preserve">7301411        </v>
          </cell>
          <cell r="O13105">
            <v>90</v>
          </cell>
        </row>
        <row r="13106">
          <cell r="F13106" t="str">
            <v xml:space="preserve">7301411        </v>
          </cell>
          <cell r="O13106">
            <v>1080</v>
          </cell>
        </row>
        <row r="13107">
          <cell r="F13107" t="str">
            <v xml:space="preserve">7301411        </v>
          </cell>
          <cell r="O13107">
            <v>225</v>
          </cell>
        </row>
        <row r="13108">
          <cell r="F13108" t="str">
            <v xml:space="preserve">35250577       </v>
          </cell>
          <cell r="O13108">
            <v>54</v>
          </cell>
        </row>
        <row r="13109">
          <cell r="F13109" t="str">
            <v xml:space="preserve">35250577       </v>
          </cell>
          <cell r="O13109">
            <v>36</v>
          </cell>
        </row>
        <row r="13110">
          <cell r="F13110" t="str">
            <v xml:space="preserve">35250577       </v>
          </cell>
          <cell r="O13110">
            <v>270</v>
          </cell>
        </row>
        <row r="13111">
          <cell r="F13111" t="str">
            <v xml:space="preserve">19389409       </v>
          </cell>
          <cell r="O13111">
            <v>90</v>
          </cell>
        </row>
        <row r="13112">
          <cell r="F13112" t="str">
            <v xml:space="preserve">830133323      </v>
          </cell>
          <cell r="O13112">
            <v>495</v>
          </cell>
        </row>
        <row r="13113">
          <cell r="F13113" t="str">
            <v xml:space="preserve">830133323      </v>
          </cell>
          <cell r="O13113">
            <v>144</v>
          </cell>
        </row>
        <row r="13114">
          <cell r="F13114" t="str">
            <v xml:space="preserve">83226520       </v>
          </cell>
          <cell r="O13114">
            <v>150</v>
          </cell>
        </row>
        <row r="13115">
          <cell r="F13115" t="str">
            <v xml:space="preserve">83226520       </v>
          </cell>
          <cell r="O13115">
            <v>2160</v>
          </cell>
        </row>
        <row r="13116">
          <cell r="F13116" t="str">
            <v xml:space="preserve">83226520       </v>
          </cell>
          <cell r="O13116">
            <v>675</v>
          </cell>
        </row>
        <row r="13117">
          <cell r="F13117" t="str">
            <v xml:space="preserve">12266504       </v>
          </cell>
          <cell r="O13117">
            <v>540</v>
          </cell>
        </row>
        <row r="13118">
          <cell r="F13118" t="str">
            <v xml:space="preserve">12266504       </v>
          </cell>
          <cell r="O13118">
            <v>54</v>
          </cell>
        </row>
        <row r="13119">
          <cell r="F13119" t="str">
            <v xml:space="preserve">12266504       </v>
          </cell>
          <cell r="O13119">
            <v>45</v>
          </cell>
        </row>
        <row r="13120">
          <cell r="F13120" t="str">
            <v xml:space="preserve">83042067       </v>
          </cell>
          <cell r="O13120">
            <v>240</v>
          </cell>
        </row>
        <row r="13121">
          <cell r="F13121" t="str">
            <v xml:space="preserve">83042067       </v>
          </cell>
          <cell r="O13121">
            <v>45</v>
          </cell>
        </row>
        <row r="13122">
          <cell r="F13122" t="str">
            <v xml:space="preserve">18144684       </v>
          </cell>
          <cell r="O13122">
            <v>180</v>
          </cell>
        </row>
        <row r="13123">
          <cell r="F13123" t="str">
            <v xml:space="preserve">18144684       </v>
          </cell>
          <cell r="O13123">
            <v>36</v>
          </cell>
        </row>
        <row r="13124">
          <cell r="F13124" t="str">
            <v xml:space="preserve">18144684       </v>
          </cell>
          <cell r="O13124">
            <v>90</v>
          </cell>
        </row>
        <row r="13125">
          <cell r="F13125" t="str">
            <v xml:space="preserve">15945210       </v>
          </cell>
          <cell r="O13125">
            <v>360</v>
          </cell>
        </row>
        <row r="13126">
          <cell r="F13126" t="str">
            <v xml:space="preserve">15945210       </v>
          </cell>
          <cell r="O13126">
            <v>360</v>
          </cell>
        </row>
        <row r="13127">
          <cell r="F13127" t="str">
            <v xml:space="preserve">15945210       </v>
          </cell>
          <cell r="O13127">
            <v>45</v>
          </cell>
        </row>
        <row r="13128">
          <cell r="F13128" t="str">
            <v xml:space="preserve">15945210       </v>
          </cell>
          <cell r="O13128">
            <v>360</v>
          </cell>
        </row>
        <row r="13129">
          <cell r="F13129" t="str">
            <v xml:space="preserve">15945210       </v>
          </cell>
          <cell r="O13129">
            <v>45</v>
          </cell>
        </row>
        <row r="13130">
          <cell r="F13130" t="str">
            <v xml:space="preserve">15945210       </v>
          </cell>
          <cell r="O13130">
            <v>270</v>
          </cell>
        </row>
        <row r="13131">
          <cell r="F13131" t="str">
            <v xml:space="preserve">11445090       </v>
          </cell>
          <cell r="O13131">
            <v>18</v>
          </cell>
        </row>
        <row r="13132">
          <cell r="F13132" t="str">
            <v xml:space="preserve">11445090       </v>
          </cell>
          <cell r="O13132">
            <v>15</v>
          </cell>
        </row>
        <row r="13133">
          <cell r="F13133" t="str">
            <v xml:space="preserve">11445090       </v>
          </cell>
          <cell r="O13133">
            <v>630</v>
          </cell>
        </row>
        <row r="13134">
          <cell r="F13134" t="str">
            <v xml:space="preserve">11445090       </v>
          </cell>
          <cell r="O13134">
            <v>180</v>
          </cell>
        </row>
        <row r="13135">
          <cell r="F13135" t="str">
            <v xml:space="preserve">11445090       </v>
          </cell>
          <cell r="O13135">
            <v>18</v>
          </cell>
        </row>
        <row r="13136">
          <cell r="F13136" t="str">
            <v xml:space="preserve">11445090       </v>
          </cell>
          <cell r="O13136">
            <v>27</v>
          </cell>
        </row>
        <row r="13137">
          <cell r="F13137" t="str">
            <v xml:space="preserve">11445090       </v>
          </cell>
          <cell r="O13137">
            <v>756</v>
          </cell>
        </row>
        <row r="13138">
          <cell r="F13138" t="str">
            <v xml:space="preserve">11445090       </v>
          </cell>
          <cell r="O13138">
            <v>540</v>
          </cell>
        </row>
        <row r="13139">
          <cell r="F13139" t="str">
            <v xml:space="preserve">11445090       </v>
          </cell>
          <cell r="O13139">
            <v>171</v>
          </cell>
        </row>
        <row r="13140">
          <cell r="F13140" t="str">
            <v xml:space="preserve">11445090       </v>
          </cell>
          <cell r="O13140">
            <v>972</v>
          </cell>
        </row>
        <row r="13141">
          <cell r="F13141" t="str">
            <v xml:space="preserve">11445090       </v>
          </cell>
          <cell r="O13141">
            <v>225</v>
          </cell>
        </row>
        <row r="13142">
          <cell r="F13142" t="str">
            <v xml:space="preserve">11445090       </v>
          </cell>
          <cell r="O13142">
            <v>75</v>
          </cell>
        </row>
        <row r="13143">
          <cell r="F13143" t="str">
            <v xml:space="preserve">11445090       </v>
          </cell>
          <cell r="O13143">
            <v>162</v>
          </cell>
        </row>
        <row r="13144">
          <cell r="F13144" t="str">
            <v xml:space="preserve">11445090       </v>
          </cell>
          <cell r="O13144">
            <v>315</v>
          </cell>
        </row>
        <row r="13145">
          <cell r="F13145" t="str">
            <v xml:space="preserve">11445090       </v>
          </cell>
          <cell r="O13145">
            <v>279</v>
          </cell>
        </row>
        <row r="13146">
          <cell r="F13146" t="str">
            <v xml:space="preserve">11445090       </v>
          </cell>
          <cell r="O13146">
            <v>210</v>
          </cell>
        </row>
        <row r="13147">
          <cell r="F13147" t="str">
            <v xml:space="preserve">11445090       </v>
          </cell>
          <cell r="O13147">
            <v>1026</v>
          </cell>
        </row>
        <row r="13148">
          <cell r="F13148" t="str">
            <v xml:space="preserve">11445090       </v>
          </cell>
          <cell r="O13148">
            <v>180</v>
          </cell>
        </row>
        <row r="13149">
          <cell r="F13149" t="str">
            <v xml:space="preserve">900327148      </v>
          </cell>
          <cell r="O13149">
            <v>75</v>
          </cell>
        </row>
        <row r="13150">
          <cell r="F13150" t="str">
            <v xml:space="preserve">375997         </v>
          </cell>
          <cell r="O13150">
            <v>9</v>
          </cell>
        </row>
        <row r="13151">
          <cell r="F13151" t="str">
            <v xml:space="preserve">375997         </v>
          </cell>
          <cell r="O13151">
            <v>15</v>
          </cell>
        </row>
        <row r="13152">
          <cell r="F13152" t="str">
            <v xml:space="preserve">375997         </v>
          </cell>
          <cell r="O13152">
            <v>702</v>
          </cell>
        </row>
        <row r="13153">
          <cell r="F13153" t="str">
            <v xml:space="preserve">375997         </v>
          </cell>
          <cell r="O13153">
            <v>495</v>
          </cell>
        </row>
        <row r="13154">
          <cell r="F13154" t="str">
            <v xml:space="preserve">375997         </v>
          </cell>
          <cell r="O13154">
            <v>45</v>
          </cell>
        </row>
        <row r="13155">
          <cell r="F13155" t="str">
            <v xml:space="preserve">1068972221     </v>
          </cell>
          <cell r="O13155">
            <v>180</v>
          </cell>
        </row>
        <row r="13156">
          <cell r="F13156" t="str">
            <v xml:space="preserve">3158780        </v>
          </cell>
          <cell r="O13156">
            <v>360</v>
          </cell>
        </row>
        <row r="13157">
          <cell r="F13157" t="str">
            <v xml:space="preserve">1010164223     </v>
          </cell>
          <cell r="O13157">
            <v>522</v>
          </cell>
        </row>
        <row r="13158">
          <cell r="F13158" t="str">
            <v xml:space="preserve">1015995477     </v>
          </cell>
          <cell r="O13158">
            <v>45</v>
          </cell>
        </row>
        <row r="13159">
          <cell r="F13159" t="str">
            <v xml:space="preserve">1015995477     </v>
          </cell>
          <cell r="O13159">
            <v>126</v>
          </cell>
        </row>
        <row r="13160">
          <cell r="F13160" t="str">
            <v xml:space="preserve">3159567        </v>
          </cell>
          <cell r="O13160">
            <v>882</v>
          </cell>
        </row>
        <row r="13161">
          <cell r="F13161" t="str">
            <v xml:space="preserve">3159567        </v>
          </cell>
          <cell r="O13161">
            <v>495</v>
          </cell>
        </row>
        <row r="13162">
          <cell r="F13162" t="str">
            <v xml:space="preserve">80351964       </v>
          </cell>
          <cell r="O13162">
            <v>54</v>
          </cell>
        </row>
        <row r="13163">
          <cell r="F13163" t="str">
            <v xml:space="preserve">80351964       </v>
          </cell>
          <cell r="O13163">
            <v>45</v>
          </cell>
        </row>
        <row r="13164">
          <cell r="F13164" t="str">
            <v xml:space="preserve">80351964       </v>
          </cell>
          <cell r="O13164">
            <v>216</v>
          </cell>
        </row>
        <row r="13165">
          <cell r="F13165" t="str">
            <v xml:space="preserve">80351964       </v>
          </cell>
          <cell r="O13165">
            <v>45</v>
          </cell>
        </row>
        <row r="13166">
          <cell r="F13166" t="str">
            <v xml:space="preserve">23624338       </v>
          </cell>
          <cell r="O13166">
            <v>1260</v>
          </cell>
        </row>
        <row r="13167">
          <cell r="F13167" t="str">
            <v xml:space="preserve">74282624       </v>
          </cell>
          <cell r="O13167">
            <v>540</v>
          </cell>
        </row>
        <row r="13168">
          <cell r="F13168" t="str">
            <v xml:space="preserve">4090572        </v>
          </cell>
          <cell r="O13168">
            <v>45</v>
          </cell>
        </row>
        <row r="13169">
          <cell r="F13169" t="str">
            <v xml:space="preserve">4090572        </v>
          </cell>
          <cell r="O13169">
            <v>15</v>
          </cell>
        </row>
        <row r="13170">
          <cell r="F13170" t="str">
            <v xml:space="preserve">4090572        </v>
          </cell>
          <cell r="O13170">
            <v>468</v>
          </cell>
        </row>
        <row r="13171">
          <cell r="F13171" t="str">
            <v xml:space="preserve">79589699       </v>
          </cell>
          <cell r="O13171">
            <v>18</v>
          </cell>
        </row>
        <row r="13172">
          <cell r="F13172" t="str">
            <v xml:space="preserve">80024551       </v>
          </cell>
          <cell r="O13172">
            <v>54</v>
          </cell>
        </row>
        <row r="13173">
          <cell r="F13173" t="str">
            <v xml:space="preserve">80024551       </v>
          </cell>
          <cell r="O13173">
            <v>1062</v>
          </cell>
        </row>
        <row r="13174">
          <cell r="F13174" t="str">
            <v xml:space="preserve">80024551       </v>
          </cell>
          <cell r="O13174">
            <v>315</v>
          </cell>
        </row>
        <row r="13175">
          <cell r="F13175" t="str">
            <v xml:space="preserve">80024551       </v>
          </cell>
          <cell r="O13175">
            <v>105</v>
          </cell>
        </row>
        <row r="13176">
          <cell r="F13176" t="str">
            <v xml:space="preserve">4198272        </v>
          </cell>
          <cell r="O13176">
            <v>140</v>
          </cell>
        </row>
        <row r="13177">
          <cell r="F13177" t="str">
            <v xml:space="preserve">4198272        </v>
          </cell>
          <cell r="O13177">
            <v>180</v>
          </cell>
        </row>
        <row r="13178">
          <cell r="F13178" t="str">
            <v xml:space="preserve">4090806        </v>
          </cell>
          <cell r="O13178">
            <v>81</v>
          </cell>
        </row>
        <row r="13179">
          <cell r="F13179" t="str">
            <v xml:space="preserve">4090806        </v>
          </cell>
          <cell r="O13179">
            <v>90</v>
          </cell>
        </row>
        <row r="13180">
          <cell r="F13180" t="str">
            <v xml:space="preserve">4090806        </v>
          </cell>
          <cell r="O13180">
            <v>702</v>
          </cell>
        </row>
        <row r="13181">
          <cell r="F13181" t="str">
            <v xml:space="preserve">4090806        </v>
          </cell>
          <cell r="O13181">
            <v>180</v>
          </cell>
        </row>
        <row r="13182">
          <cell r="F13182" t="str">
            <v xml:space="preserve">98330118       </v>
          </cell>
          <cell r="O13182">
            <v>735</v>
          </cell>
        </row>
        <row r="13183">
          <cell r="F13183" t="str">
            <v xml:space="preserve">98330118       </v>
          </cell>
          <cell r="O13183">
            <v>36</v>
          </cell>
        </row>
        <row r="13184">
          <cell r="F13184" t="str">
            <v xml:space="preserve">1126452165     </v>
          </cell>
          <cell r="O13184">
            <v>555</v>
          </cell>
        </row>
        <row r="13185">
          <cell r="F13185" t="str">
            <v xml:space="preserve">1126452165     </v>
          </cell>
          <cell r="O13185">
            <v>18</v>
          </cell>
        </row>
        <row r="13186">
          <cell r="F13186" t="str">
            <v xml:space="preserve">1126452165     </v>
          </cell>
          <cell r="O13186">
            <v>45</v>
          </cell>
        </row>
        <row r="13187">
          <cell r="F13187" t="str">
            <v xml:space="preserve">3171403        </v>
          </cell>
          <cell r="O13187">
            <v>9</v>
          </cell>
        </row>
        <row r="13188">
          <cell r="F13188" t="str">
            <v xml:space="preserve">3171403        </v>
          </cell>
          <cell r="O13188">
            <v>306</v>
          </cell>
        </row>
        <row r="13189">
          <cell r="F13189" t="str">
            <v xml:space="preserve">3171403        </v>
          </cell>
          <cell r="O13189">
            <v>135</v>
          </cell>
        </row>
        <row r="13190">
          <cell r="F13190" t="str">
            <v xml:space="preserve">83218584       </v>
          </cell>
          <cell r="O13190">
            <v>285</v>
          </cell>
        </row>
        <row r="13191">
          <cell r="F13191" t="str">
            <v xml:space="preserve">83218584       </v>
          </cell>
          <cell r="O13191">
            <v>18</v>
          </cell>
        </row>
        <row r="13192">
          <cell r="F13192" t="str">
            <v xml:space="preserve">83218584       </v>
          </cell>
          <cell r="O13192">
            <v>180</v>
          </cell>
        </row>
        <row r="13193">
          <cell r="F13193" t="str">
            <v xml:space="preserve">83218584       </v>
          </cell>
          <cell r="O13193">
            <v>165</v>
          </cell>
        </row>
        <row r="13194">
          <cell r="F13194" t="str">
            <v xml:space="preserve">83218584       </v>
          </cell>
          <cell r="O13194">
            <v>36</v>
          </cell>
        </row>
        <row r="13195">
          <cell r="F13195" t="str">
            <v xml:space="preserve">83218584       </v>
          </cell>
          <cell r="O13195">
            <v>90</v>
          </cell>
        </row>
        <row r="13196">
          <cell r="F13196" t="str">
            <v xml:space="preserve">7305728        </v>
          </cell>
          <cell r="O13196">
            <v>90</v>
          </cell>
        </row>
        <row r="13197">
          <cell r="F13197" t="str">
            <v xml:space="preserve">7305728        </v>
          </cell>
          <cell r="O13197">
            <v>378</v>
          </cell>
        </row>
        <row r="13198">
          <cell r="F13198" t="str">
            <v xml:space="preserve">7305728        </v>
          </cell>
          <cell r="O13198">
            <v>45</v>
          </cell>
        </row>
        <row r="13199">
          <cell r="F13199" t="str">
            <v xml:space="preserve">51856228       </v>
          </cell>
          <cell r="O13199">
            <v>45</v>
          </cell>
        </row>
        <row r="13200">
          <cell r="F13200" t="str">
            <v xml:space="preserve">51856228       </v>
          </cell>
          <cell r="O13200">
            <v>1584</v>
          </cell>
        </row>
        <row r="13201">
          <cell r="F13201" t="str">
            <v xml:space="preserve">51856228       </v>
          </cell>
          <cell r="O13201">
            <v>315</v>
          </cell>
        </row>
        <row r="13202">
          <cell r="F13202" t="str">
            <v xml:space="preserve">830133323      </v>
          </cell>
          <cell r="O13202">
            <v>180</v>
          </cell>
        </row>
        <row r="13203">
          <cell r="F13203" t="str">
            <v xml:space="preserve">830133323      </v>
          </cell>
          <cell r="O13203">
            <v>90</v>
          </cell>
        </row>
        <row r="13204">
          <cell r="F13204" t="str">
            <v xml:space="preserve">1097404034     </v>
          </cell>
          <cell r="O13204">
            <v>81</v>
          </cell>
        </row>
        <row r="13205">
          <cell r="F13205" t="str">
            <v xml:space="preserve">1097404034     </v>
          </cell>
          <cell r="O13205">
            <v>795</v>
          </cell>
        </row>
        <row r="13206">
          <cell r="F13206" t="str">
            <v xml:space="preserve">1097404034     </v>
          </cell>
          <cell r="O13206">
            <v>378</v>
          </cell>
        </row>
        <row r="13207">
          <cell r="F13207" t="str">
            <v xml:space="preserve">1097404034     </v>
          </cell>
          <cell r="O13207">
            <v>270</v>
          </cell>
        </row>
        <row r="13208">
          <cell r="F13208" t="str">
            <v xml:space="preserve">1097404034     </v>
          </cell>
          <cell r="O13208">
            <v>4.5</v>
          </cell>
        </row>
        <row r="13209">
          <cell r="F13209" t="str">
            <v xml:space="preserve">10185600       </v>
          </cell>
          <cell r="O13209">
            <v>45</v>
          </cell>
        </row>
        <row r="13210">
          <cell r="F13210" t="str">
            <v xml:space="preserve">10185600       </v>
          </cell>
          <cell r="O13210">
            <v>180</v>
          </cell>
        </row>
        <row r="13211">
          <cell r="F13211" t="str">
            <v xml:space="preserve">10185600       </v>
          </cell>
          <cell r="O13211">
            <v>720</v>
          </cell>
        </row>
        <row r="13212">
          <cell r="F13212" t="str">
            <v xml:space="preserve">15989735       </v>
          </cell>
          <cell r="O13212">
            <v>4.5</v>
          </cell>
        </row>
        <row r="13213">
          <cell r="F13213" t="str">
            <v xml:space="preserve">15989735       </v>
          </cell>
          <cell r="O13213">
            <v>225</v>
          </cell>
        </row>
        <row r="13214">
          <cell r="F13214" t="str">
            <v xml:space="preserve">15989735       </v>
          </cell>
          <cell r="O13214">
            <v>1782</v>
          </cell>
        </row>
        <row r="13215">
          <cell r="F13215" t="str">
            <v xml:space="preserve">15989735       </v>
          </cell>
          <cell r="O13215">
            <v>180</v>
          </cell>
        </row>
        <row r="13216">
          <cell r="F13216" t="str">
            <v xml:space="preserve">94071517       </v>
          </cell>
          <cell r="O13216">
            <v>375</v>
          </cell>
        </row>
        <row r="13217">
          <cell r="F13217" t="str">
            <v xml:space="preserve">94071517       </v>
          </cell>
          <cell r="O13217">
            <v>90</v>
          </cell>
        </row>
        <row r="13218">
          <cell r="F13218" t="str">
            <v xml:space="preserve">94071517       </v>
          </cell>
          <cell r="O13218">
            <v>45</v>
          </cell>
        </row>
        <row r="13219">
          <cell r="F13219" t="str">
            <v xml:space="preserve">8435389        </v>
          </cell>
          <cell r="O13219">
            <v>90</v>
          </cell>
        </row>
        <row r="13220">
          <cell r="F13220" t="str">
            <v xml:space="preserve">8458310        </v>
          </cell>
          <cell r="O13220">
            <v>45</v>
          </cell>
        </row>
        <row r="13221">
          <cell r="F13221" t="str">
            <v xml:space="preserve">8458310        </v>
          </cell>
          <cell r="O13221">
            <v>216</v>
          </cell>
        </row>
        <row r="13222">
          <cell r="F13222" t="str">
            <v xml:space="preserve">8458310        </v>
          </cell>
          <cell r="O13222">
            <v>90</v>
          </cell>
        </row>
        <row r="13223">
          <cell r="F13223" t="str">
            <v xml:space="preserve">901269856      </v>
          </cell>
          <cell r="O13223">
            <v>144</v>
          </cell>
        </row>
        <row r="13224">
          <cell r="F13224" t="str">
            <v xml:space="preserve">1039696881     </v>
          </cell>
          <cell r="O13224">
            <v>9</v>
          </cell>
        </row>
        <row r="13225">
          <cell r="F13225" t="str">
            <v xml:space="preserve">1039696881     </v>
          </cell>
          <cell r="O13225">
            <v>1620</v>
          </cell>
        </row>
        <row r="13226">
          <cell r="F13226" t="str">
            <v xml:space="preserve">1092154547     </v>
          </cell>
          <cell r="O13226">
            <v>144</v>
          </cell>
        </row>
        <row r="13227">
          <cell r="F13227" t="str">
            <v xml:space="preserve">1092154547     </v>
          </cell>
          <cell r="O13227">
            <v>90</v>
          </cell>
        </row>
        <row r="13228">
          <cell r="F13228" t="str">
            <v xml:space="preserve">1092154547     </v>
          </cell>
          <cell r="O13228">
            <v>450</v>
          </cell>
        </row>
        <row r="13229">
          <cell r="F13229" t="str">
            <v xml:space="preserve">901299892      </v>
          </cell>
          <cell r="O13229">
            <v>8700</v>
          </cell>
        </row>
        <row r="13230">
          <cell r="F13230" t="str">
            <v xml:space="preserve">901299892      </v>
          </cell>
          <cell r="O13230">
            <v>1350</v>
          </cell>
        </row>
        <row r="13231">
          <cell r="F13231" t="str">
            <v xml:space="preserve">91352291       </v>
          </cell>
          <cell r="O13231">
            <v>45</v>
          </cell>
        </row>
        <row r="13232">
          <cell r="F13232" t="str">
            <v xml:space="preserve">91352291       </v>
          </cell>
          <cell r="O13232">
            <v>252</v>
          </cell>
        </row>
        <row r="13233">
          <cell r="F13233" t="str">
            <v xml:space="preserve">91352291       </v>
          </cell>
          <cell r="O13233">
            <v>45</v>
          </cell>
        </row>
        <row r="13234">
          <cell r="F13234" t="str">
            <v xml:space="preserve">91352291       </v>
          </cell>
          <cell r="O13234">
            <v>60</v>
          </cell>
        </row>
        <row r="13235">
          <cell r="F13235" t="str">
            <v xml:space="preserve">91352291       </v>
          </cell>
          <cell r="O13235">
            <v>396</v>
          </cell>
        </row>
        <row r="13236">
          <cell r="F13236" t="str">
            <v xml:space="preserve">15381508       </v>
          </cell>
          <cell r="O13236">
            <v>195</v>
          </cell>
        </row>
        <row r="13237">
          <cell r="F13237" t="str">
            <v xml:space="preserve">15381508       </v>
          </cell>
          <cell r="O13237">
            <v>180</v>
          </cell>
        </row>
        <row r="13238">
          <cell r="F13238" t="str">
            <v xml:space="preserve">15381508       </v>
          </cell>
          <cell r="O13238">
            <v>180</v>
          </cell>
        </row>
        <row r="13239">
          <cell r="F13239" t="str">
            <v xml:space="preserve">15381508       </v>
          </cell>
          <cell r="O13239">
            <v>315</v>
          </cell>
        </row>
        <row r="13240">
          <cell r="F13240" t="str">
            <v xml:space="preserve">15381508       </v>
          </cell>
          <cell r="O13240">
            <v>306</v>
          </cell>
        </row>
        <row r="13241">
          <cell r="F13241" t="str">
            <v xml:space="preserve">15381508       </v>
          </cell>
          <cell r="O13241">
            <v>45</v>
          </cell>
        </row>
        <row r="13242">
          <cell r="F13242" t="str">
            <v xml:space="preserve">10178861       </v>
          </cell>
          <cell r="O13242">
            <v>15</v>
          </cell>
        </row>
        <row r="13243">
          <cell r="F13243" t="str">
            <v xml:space="preserve">10178861       </v>
          </cell>
          <cell r="O13243">
            <v>756</v>
          </cell>
        </row>
        <row r="13244">
          <cell r="F13244" t="str">
            <v xml:space="preserve">10178861       </v>
          </cell>
          <cell r="O13244">
            <v>180</v>
          </cell>
        </row>
        <row r="13245">
          <cell r="F13245" t="str">
            <v xml:space="preserve">6802563        </v>
          </cell>
          <cell r="O13245">
            <v>390</v>
          </cell>
        </row>
        <row r="13246">
          <cell r="F13246" t="str">
            <v xml:space="preserve">6802563        </v>
          </cell>
          <cell r="O13246">
            <v>60</v>
          </cell>
        </row>
        <row r="13247">
          <cell r="F13247" t="str">
            <v xml:space="preserve">6802563        </v>
          </cell>
          <cell r="O13247">
            <v>90</v>
          </cell>
        </row>
        <row r="13248">
          <cell r="F13248" t="str">
            <v xml:space="preserve">1105671149     </v>
          </cell>
          <cell r="O13248">
            <v>610</v>
          </cell>
        </row>
        <row r="13249">
          <cell r="F13249" t="str">
            <v xml:space="preserve">1105671149     </v>
          </cell>
          <cell r="O13249">
            <v>144</v>
          </cell>
        </row>
        <row r="13250">
          <cell r="F13250" t="str">
            <v xml:space="preserve">1105671149     </v>
          </cell>
          <cell r="O13250">
            <v>90</v>
          </cell>
        </row>
        <row r="13251">
          <cell r="F13251" t="str">
            <v xml:space="preserve">1105671149     </v>
          </cell>
          <cell r="O13251">
            <v>720</v>
          </cell>
        </row>
        <row r="13252">
          <cell r="F13252" t="str">
            <v xml:space="preserve">88273778       </v>
          </cell>
          <cell r="O13252">
            <v>45</v>
          </cell>
        </row>
        <row r="13253">
          <cell r="F13253" t="str">
            <v xml:space="preserve">88273778       </v>
          </cell>
          <cell r="O13253">
            <v>315</v>
          </cell>
        </row>
        <row r="13254">
          <cell r="F13254" t="str">
            <v xml:space="preserve">88273778       </v>
          </cell>
          <cell r="O13254">
            <v>45</v>
          </cell>
        </row>
        <row r="13255">
          <cell r="F13255" t="str">
            <v xml:space="preserve">10174892       </v>
          </cell>
          <cell r="O13255">
            <v>360</v>
          </cell>
        </row>
        <row r="13256">
          <cell r="F13256" t="str">
            <v xml:space="preserve">10174892       </v>
          </cell>
          <cell r="O13256">
            <v>180</v>
          </cell>
        </row>
        <row r="13257">
          <cell r="F13257" t="str">
            <v xml:space="preserve">74283129       </v>
          </cell>
          <cell r="O13257">
            <v>540</v>
          </cell>
        </row>
        <row r="13258">
          <cell r="F13258" t="str">
            <v xml:space="preserve">74283129       </v>
          </cell>
          <cell r="O13258">
            <v>315</v>
          </cell>
        </row>
        <row r="13259">
          <cell r="F13259" t="str">
            <v xml:space="preserve">7250220        </v>
          </cell>
          <cell r="O13259">
            <v>144</v>
          </cell>
        </row>
        <row r="13260">
          <cell r="F13260" t="str">
            <v xml:space="preserve">7250220        </v>
          </cell>
          <cell r="O13260">
            <v>60</v>
          </cell>
        </row>
        <row r="13261">
          <cell r="F13261" t="str">
            <v xml:space="preserve">7250220        </v>
          </cell>
          <cell r="O13261">
            <v>255</v>
          </cell>
        </row>
        <row r="13262">
          <cell r="F13262" t="str">
            <v xml:space="preserve">7250220        </v>
          </cell>
          <cell r="O13262">
            <v>126</v>
          </cell>
        </row>
        <row r="13263">
          <cell r="F13263" t="str">
            <v xml:space="preserve">98763233       </v>
          </cell>
          <cell r="O13263">
            <v>27</v>
          </cell>
        </row>
        <row r="13264">
          <cell r="F13264" t="str">
            <v xml:space="preserve">98763233       </v>
          </cell>
          <cell r="O13264">
            <v>1098</v>
          </cell>
        </row>
        <row r="13265">
          <cell r="F13265" t="str">
            <v xml:space="preserve">98711342       </v>
          </cell>
          <cell r="O13265">
            <v>4.5</v>
          </cell>
        </row>
        <row r="13266">
          <cell r="F13266" t="str">
            <v xml:space="preserve">98711342       </v>
          </cell>
          <cell r="O13266">
            <v>576</v>
          </cell>
        </row>
        <row r="13267">
          <cell r="F13267" t="str">
            <v xml:space="preserve">98711342       </v>
          </cell>
          <cell r="O13267">
            <v>135</v>
          </cell>
        </row>
        <row r="13268">
          <cell r="F13268" t="str">
            <v xml:space="preserve">901301637      </v>
          </cell>
          <cell r="O13268">
            <v>1185</v>
          </cell>
        </row>
        <row r="13269">
          <cell r="F13269" t="str">
            <v xml:space="preserve">901301637      </v>
          </cell>
          <cell r="O13269">
            <v>225</v>
          </cell>
        </row>
        <row r="13270">
          <cell r="F13270" t="str">
            <v xml:space="preserve">901301637      </v>
          </cell>
          <cell r="O13270">
            <v>6534</v>
          </cell>
        </row>
        <row r="13271">
          <cell r="F13271" t="str">
            <v xml:space="preserve">901301637      </v>
          </cell>
          <cell r="O13271">
            <v>18</v>
          </cell>
        </row>
        <row r="13272">
          <cell r="F13272" t="str">
            <v xml:space="preserve">1090397527     </v>
          </cell>
          <cell r="O13272">
            <v>705</v>
          </cell>
        </row>
        <row r="13273">
          <cell r="F13273" t="str">
            <v xml:space="preserve">1090397527     </v>
          </cell>
          <cell r="O13273">
            <v>54</v>
          </cell>
        </row>
        <row r="13274">
          <cell r="F13274" t="str">
            <v xml:space="preserve">1090397527     </v>
          </cell>
          <cell r="O13274">
            <v>540</v>
          </cell>
        </row>
        <row r="13275">
          <cell r="F13275" t="str">
            <v xml:space="preserve">1090397527     </v>
          </cell>
          <cell r="O13275">
            <v>435</v>
          </cell>
        </row>
        <row r="13276">
          <cell r="F13276" t="str">
            <v xml:space="preserve">1090397527     </v>
          </cell>
          <cell r="O13276">
            <v>225</v>
          </cell>
        </row>
        <row r="13277">
          <cell r="F13277" t="str">
            <v xml:space="preserve">1090397527     </v>
          </cell>
          <cell r="O13277">
            <v>15</v>
          </cell>
        </row>
        <row r="13278">
          <cell r="F13278" t="str">
            <v xml:space="preserve">1090397527     </v>
          </cell>
          <cell r="O13278">
            <v>45</v>
          </cell>
        </row>
        <row r="13279">
          <cell r="F13279" t="str">
            <v xml:space="preserve">1090397527     </v>
          </cell>
          <cell r="O13279">
            <v>75</v>
          </cell>
        </row>
        <row r="13280">
          <cell r="F13280" t="str">
            <v xml:space="preserve">1090397527     </v>
          </cell>
          <cell r="O13280">
            <v>504</v>
          </cell>
        </row>
        <row r="13281">
          <cell r="F13281" t="str">
            <v xml:space="preserve">1090397527     </v>
          </cell>
          <cell r="O13281">
            <v>90</v>
          </cell>
        </row>
        <row r="13282">
          <cell r="F13282" t="str">
            <v xml:space="preserve">1090397527     </v>
          </cell>
          <cell r="O13282">
            <v>300</v>
          </cell>
        </row>
        <row r="13283">
          <cell r="F13283" t="str">
            <v xml:space="preserve">1090397527     </v>
          </cell>
          <cell r="O13283">
            <v>90</v>
          </cell>
        </row>
        <row r="13284">
          <cell r="F13284" t="str">
            <v xml:space="preserve">1100623000     </v>
          </cell>
          <cell r="O13284">
            <v>15</v>
          </cell>
        </row>
        <row r="13285">
          <cell r="F13285" t="str">
            <v xml:space="preserve">1100623000     </v>
          </cell>
          <cell r="O13285">
            <v>720</v>
          </cell>
        </row>
        <row r="13286">
          <cell r="F13286" t="str">
            <v xml:space="preserve">1053331458     </v>
          </cell>
          <cell r="O13286">
            <v>612</v>
          </cell>
        </row>
        <row r="13287">
          <cell r="F13287" t="str">
            <v xml:space="preserve">1053331458     </v>
          </cell>
          <cell r="O13287">
            <v>225</v>
          </cell>
        </row>
        <row r="13288">
          <cell r="F13288" t="str">
            <v xml:space="preserve">73126502       </v>
          </cell>
          <cell r="O13288">
            <v>225</v>
          </cell>
        </row>
        <row r="13289">
          <cell r="F13289" t="str">
            <v xml:space="preserve">73126502       </v>
          </cell>
          <cell r="O13289">
            <v>144</v>
          </cell>
        </row>
        <row r="13290">
          <cell r="F13290" t="str">
            <v xml:space="preserve">70303177       </v>
          </cell>
          <cell r="O13290">
            <v>1650</v>
          </cell>
        </row>
        <row r="13291">
          <cell r="F13291" t="str">
            <v xml:space="preserve">70303177       </v>
          </cell>
          <cell r="O13291">
            <v>180</v>
          </cell>
        </row>
        <row r="13292">
          <cell r="F13292" t="str">
            <v xml:space="preserve">70303177       </v>
          </cell>
          <cell r="O13292">
            <v>900</v>
          </cell>
        </row>
        <row r="13293">
          <cell r="F13293" t="str">
            <v xml:space="preserve">70303177       </v>
          </cell>
          <cell r="O13293">
            <v>540</v>
          </cell>
        </row>
        <row r="13294">
          <cell r="F13294" t="str">
            <v xml:space="preserve">70303177       </v>
          </cell>
          <cell r="O13294">
            <v>90</v>
          </cell>
        </row>
        <row r="13295">
          <cell r="F13295" t="str">
            <v xml:space="preserve">71142360       </v>
          </cell>
          <cell r="O13295">
            <v>150</v>
          </cell>
        </row>
        <row r="13296">
          <cell r="F13296" t="str">
            <v xml:space="preserve">71142360       </v>
          </cell>
          <cell r="O13296">
            <v>126</v>
          </cell>
        </row>
        <row r="13297">
          <cell r="F13297" t="str">
            <v xml:space="preserve">71142360       </v>
          </cell>
          <cell r="O13297">
            <v>90</v>
          </cell>
        </row>
        <row r="13298">
          <cell r="F13298" t="str">
            <v xml:space="preserve">71142360       </v>
          </cell>
          <cell r="O13298">
            <v>615</v>
          </cell>
        </row>
        <row r="13299">
          <cell r="F13299" t="str">
            <v xml:space="preserve">71142360       </v>
          </cell>
          <cell r="O13299">
            <v>360</v>
          </cell>
        </row>
        <row r="13300">
          <cell r="F13300" t="str">
            <v xml:space="preserve">71142360       </v>
          </cell>
          <cell r="O13300">
            <v>180</v>
          </cell>
        </row>
        <row r="13301">
          <cell r="F13301" t="str">
            <v xml:space="preserve">71142360       </v>
          </cell>
          <cell r="O13301">
            <v>9</v>
          </cell>
        </row>
        <row r="13302">
          <cell r="F13302" t="str">
            <v xml:space="preserve">71142360       </v>
          </cell>
          <cell r="O13302">
            <v>165</v>
          </cell>
        </row>
        <row r="13303">
          <cell r="F13303" t="str">
            <v xml:space="preserve">71142360       </v>
          </cell>
          <cell r="O13303">
            <v>558</v>
          </cell>
        </row>
        <row r="13304">
          <cell r="F13304" t="str">
            <v xml:space="preserve">71142360       </v>
          </cell>
          <cell r="O13304">
            <v>90</v>
          </cell>
        </row>
        <row r="13305">
          <cell r="F13305" t="str">
            <v xml:space="preserve">43656575       </v>
          </cell>
          <cell r="O13305">
            <v>18</v>
          </cell>
        </row>
        <row r="13306">
          <cell r="F13306" t="str">
            <v xml:space="preserve">43656575       </v>
          </cell>
          <cell r="O13306">
            <v>9</v>
          </cell>
        </row>
        <row r="13307">
          <cell r="F13307" t="str">
            <v xml:space="preserve">43656575       </v>
          </cell>
          <cell r="O13307">
            <v>1584</v>
          </cell>
        </row>
        <row r="13308">
          <cell r="F13308" t="str">
            <v xml:space="preserve">43656575       </v>
          </cell>
          <cell r="O13308">
            <v>270</v>
          </cell>
        </row>
        <row r="13309">
          <cell r="F13309" t="str">
            <v xml:space="preserve">43656575       </v>
          </cell>
          <cell r="O13309">
            <v>2448</v>
          </cell>
        </row>
        <row r="13310">
          <cell r="F13310" t="str">
            <v xml:space="preserve">43656575       </v>
          </cell>
          <cell r="O13310">
            <v>450</v>
          </cell>
        </row>
        <row r="13311">
          <cell r="F13311" t="str">
            <v xml:space="preserve">16836063       </v>
          </cell>
          <cell r="O13311">
            <v>15</v>
          </cell>
        </row>
        <row r="13312">
          <cell r="F13312" t="str">
            <v xml:space="preserve">16836063       </v>
          </cell>
          <cell r="O13312">
            <v>324</v>
          </cell>
        </row>
        <row r="13313">
          <cell r="F13313" t="str">
            <v xml:space="preserve">16836063       </v>
          </cell>
          <cell r="O13313">
            <v>45</v>
          </cell>
        </row>
        <row r="13314">
          <cell r="F13314" t="str">
            <v xml:space="preserve">91180797       </v>
          </cell>
          <cell r="O13314">
            <v>285</v>
          </cell>
        </row>
        <row r="13315">
          <cell r="F13315" t="str">
            <v xml:space="preserve">91180797       </v>
          </cell>
          <cell r="O13315">
            <v>432</v>
          </cell>
        </row>
        <row r="13316">
          <cell r="F13316" t="str">
            <v xml:space="preserve">17421056       </v>
          </cell>
          <cell r="O13316">
            <v>30</v>
          </cell>
        </row>
        <row r="13317">
          <cell r="F13317" t="str">
            <v xml:space="preserve">17421056       </v>
          </cell>
          <cell r="O13317">
            <v>60</v>
          </cell>
        </row>
        <row r="13318">
          <cell r="F13318" t="str">
            <v xml:space="preserve">73559455       </v>
          </cell>
          <cell r="O13318">
            <v>15</v>
          </cell>
        </row>
        <row r="13319">
          <cell r="F13319" t="str">
            <v xml:space="preserve">73559455       </v>
          </cell>
          <cell r="O13319">
            <v>45</v>
          </cell>
        </row>
        <row r="13320">
          <cell r="F13320" t="str">
            <v xml:space="preserve">73559455       </v>
          </cell>
          <cell r="O13320">
            <v>120</v>
          </cell>
        </row>
        <row r="13321">
          <cell r="F13321" t="str">
            <v xml:space="preserve">73559455       </v>
          </cell>
          <cell r="O13321">
            <v>252</v>
          </cell>
        </row>
        <row r="13322">
          <cell r="F13322" t="str">
            <v xml:space="preserve">800141645      </v>
          </cell>
          <cell r="O13322">
            <v>90</v>
          </cell>
        </row>
        <row r="13323">
          <cell r="F13323" t="str">
            <v xml:space="preserve">900406436      </v>
          </cell>
          <cell r="O13323">
            <v>135</v>
          </cell>
        </row>
        <row r="13324">
          <cell r="F13324" t="str">
            <v xml:space="preserve">94262420       </v>
          </cell>
          <cell r="O13324">
            <v>90</v>
          </cell>
        </row>
        <row r="13325">
          <cell r="F13325" t="str">
            <v xml:space="preserve">94262420       </v>
          </cell>
          <cell r="O13325">
            <v>360</v>
          </cell>
        </row>
        <row r="13326">
          <cell r="F13326" t="str">
            <v xml:space="preserve">94262420       </v>
          </cell>
          <cell r="O13326">
            <v>270</v>
          </cell>
        </row>
        <row r="13327">
          <cell r="F13327" t="str">
            <v xml:space="preserve">860001697      </v>
          </cell>
          <cell r="O13327">
            <v>346.32</v>
          </cell>
        </row>
        <row r="13328">
          <cell r="F13328" t="str">
            <v xml:space="preserve">1214745372     </v>
          </cell>
          <cell r="O13328">
            <v>360</v>
          </cell>
        </row>
        <row r="13329">
          <cell r="F13329" t="str">
            <v xml:space="preserve">860005265      </v>
          </cell>
          <cell r="O13329">
            <v>1098</v>
          </cell>
        </row>
        <row r="13330">
          <cell r="F13330" t="str">
            <v xml:space="preserve">860005265      </v>
          </cell>
          <cell r="O13330">
            <v>699.25</v>
          </cell>
        </row>
        <row r="13331">
          <cell r="F13331" t="str">
            <v xml:space="preserve">860001697      </v>
          </cell>
          <cell r="O13331">
            <v>150.9</v>
          </cell>
        </row>
        <row r="13332">
          <cell r="F13332" t="str">
            <v xml:space="preserve">007            </v>
          </cell>
          <cell r="O13332">
            <v>75</v>
          </cell>
        </row>
        <row r="13333">
          <cell r="F13333" t="str">
            <v xml:space="preserve">007            </v>
          </cell>
          <cell r="O13333">
            <v>360</v>
          </cell>
        </row>
        <row r="13334">
          <cell r="F13334" t="str">
            <v xml:space="preserve">007            </v>
          </cell>
          <cell r="O13334">
            <v>180</v>
          </cell>
        </row>
        <row r="13335">
          <cell r="F13335" t="str">
            <v xml:space="preserve">800052377      </v>
          </cell>
          <cell r="O13335">
            <v>54</v>
          </cell>
        </row>
        <row r="13336">
          <cell r="F13336" t="str">
            <v xml:space="preserve">800052377      </v>
          </cell>
          <cell r="O13336">
            <v>54</v>
          </cell>
        </row>
        <row r="13337">
          <cell r="F13337" t="str">
            <v xml:space="preserve">805018495      </v>
          </cell>
          <cell r="O13337">
            <v>126</v>
          </cell>
        </row>
        <row r="13338">
          <cell r="F13338" t="str">
            <v xml:space="preserve">890302594      </v>
          </cell>
          <cell r="O13338">
            <v>18</v>
          </cell>
        </row>
        <row r="13339">
          <cell r="F13339" t="str">
            <v xml:space="preserve">890302594      </v>
          </cell>
          <cell r="O13339">
            <v>90</v>
          </cell>
        </row>
        <row r="13340">
          <cell r="F13340" t="str">
            <v xml:space="preserve">890903939      </v>
          </cell>
          <cell r="O13340">
            <v>95</v>
          </cell>
        </row>
        <row r="13341">
          <cell r="F13341" t="str">
            <v xml:space="preserve">890903939      </v>
          </cell>
          <cell r="O13341">
            <v>114</v>
          </cell>
        </row>
        <row r="13342">
          <cell r="F13342" t="str">
            <v xml:space="preserve">900772446      </v>
          </cell>
          <cell r="O13342">
            <v>18</v>
          </cell>
        </row>
        <row r="13343">
          <cell r="F13343" t="str">
            <v xml:space="preserve">800067861      </v>
          </cell>
          <cell r="O13343">
            <v>104.5</v>
          </cell>
        </row>
        <row r="13344">
          <cell r="F13344" t="str">
            <v xml:space="preserve">800226901      </v>
          </cell>
          <cell r="O13344">
            <v>180</v>
          </cell>
        </row>
        <row r="13345">
          <cell r="F13345" t="str">
            <v xml:space="preserve">860001697      </v>
          </cell>
          <cell r="O13345">
            <v>415.75</v>
          </cell>
        </row>
        <row r="13346">
          <cell r="F13346" t="str">
            <v xml:space="preserve">860001697      </v>
          </cell>
          <cell r="O13346">
            <v>534.07000000000005</v>
          </cell>
        </row>
        <row r="13347">
          <cell r="F13347" t="str">
            <v xml:space="preserve">901079460      </v>
          </cell>
          <cell r="O13347">
            <v>327.05</v>
          </cell>
        </row>
        <row r="13348">
          <cell r="F13348" t="str">
            <v xml:space="preserve">101            </v>
          </cell>
          <cell r="O13348">
            <v>54</v>
          </cell>
        </row>
        <row r="13349">
          <cell r="F13349" t="str">
            <v xml:space="preserve">101            </v>
          </cell>
          <cell r="O13349">
            <v>54</v>
          </cell>
        </row>
        <row r="13350">
          <cell r="F13350" t="str">
            <v xml:space="preserve">7318024        </v>
          </cell>
          <cell r="O13350">
            <v>210</v>
          </cell>
        </row>
        <row r="13351">
          <cell r="F13351" t="str">
            <v xml:space="preserve">7318024        </v>
          </cell>
          <cell r="O13351">
            <v>144</v>
          </cell>
        </row>
        <row r="13352">
          <cell r="F13352" t="str">
            <v xml:space="preserve">800255713      </v>
          </cell>
          <cell r="O13352">
            <v>320</v>
          </cell>
        </row>
        <row r="13353">
          <cell r="F13353" t="str">
            <v xml:space="preserve">102            </v>
          </cell>
          <cell r="O13353">
            <v>45</v>
          </cell>
        </row>
        <row r="13354">
          <cell r="F13354" t="str">
            <v xml:space="preserve">102            </v>
          </cell>
          <cell r="O13354">
            <v>54</v>
          </cell>
        </row>
        <row r="13355">
          <cell r="F13355" t="str">
            <v xml:space="preserve">102            </v>
          </cell>
          <cell r="O13355">
            <v>135</v>
          </cell>
        </row>
        <row r="13356">
          <cell r="F13356" t="str">
            <v xml:space="preserve">102            </v>
          </cell>
          <cell r="O13356">
            <v>30</v>
          </cell>
        </row>
        <row r="13357">
          <cell r="F13357" t="str">
            <v xml:space="preserve">901555731      </v>
          </cell>
          <cell r="O13357">
            <v>18</v>
          </cell>
        </row>
        <row r="13358">
          <cell r="F13358" t="str">
            <v xml:space="preserve">901555731      </v>
          </cell>
          <cell r="O13358">
            <v>45</v>
          </cell>
        </row>
        <row r="13359">
          <cell r="F13359" t="str">
            <v xml:space="preserve">404            </v>
          </cell>
          <cell r="O13359">
            <v>255</v>
          </cell>
        </row>
        <row r="13360">
          <cell r="F13360" t="str">
            <v xml:space="preserve">404            </v>
          </cell>
          <cell r="O13360">
            <v>270</v>
          </cell>
        </row>
        <row r="13361">
          <cell r="F13361" t="str">
            <v xml:space="preserve">73186091       </v>
          </cell>
          <cell r="O13361">
            <v>420</v>
          </cell>
        </row>
        <row r="13362">
          <cell r="F13362" t="str">
            <v xml:space="preserve">73186091       </v>
          </cell>
          <cell r="O13362">
            <v>45</v>
          </cell>
        </row>
        <row r="13363">
          <cell r="F13363" t="str">
            <v xml:space="preserve">212            </v>
          </cell>
          <cell r="O13363">
            <v>576</v>
          </cell>
        </row>
        <row r="13364">
          <cell r="F13364" t="str">
            <v xml:space="preserve">212            </v>
          </cell>
          <cell r="O13364">
            <v>675</v>
          </cell>
        </row>
        <row r="13365">
          <cell r="F13365" t="str">
            <v xml:space="preserve">901110439      </v>
          </cell>
          <cell r="O13365">
            <v>216</v>
          </cell>
        </row>
        <row r="13366">
          <cell r="F13366" t="str">
            <v xml:space="preserve">901110439      </v>
          </cell>
          <cell r="O13366">
            <v>90</v>
          </cell>
        </row>
        <row r="13367">
          <cell r="F13367" t="str">
            <v xml:space="preserve">800167200      </v>
          </cell>
          <cell r="O13367">
            <v>54</v>
          </cell>
        </row>
        <row r="13368">
          <cell r="F13368" t="str">
            <v xml:space="preserve">800230447      </v>
          </cell>
          <cell r="O13368">
            <v>140</v>
          </cell>
        </row>
        <row r="13369">
          <cell r="F13369" t="str">
            <v xml:space="preserve">830006735      </v>
          </cell>
          <cell r="O13369">
            <v>631.29999999999995</v>
          </cell>
        </row>
        <row r="13370">
          <cell r="F13370" t="str">
            <v xml:space="preserve">830094679      </v>
          </cell>
          <cell r="O13370">
            <v>120</v>
          </cell>
        </row>
        <row r="13371">
          <cell r="F13371" t="str">
            <v xml:space="preserve">830099238      </v>
          </cell>
          <cell r="O13371">
            <v>0</v>
          </cell>
        </row>
        <row r="13372">
          <cell r="F13372" t="str">
            <v xml:space="preserve">860002119      </v>
          </cell>
          <cell r="O13372">
            <v>90</v>
          </cell>
        </row>
        <row r="13373">
          <cell r="F13373" t="str">
            <v xml:space="preserve">860054073      </v>
          </cell>
          <cell r="O13373">
            <v>144</v>
          </cell>
        </row>
        <row r="13374">
          <cell r="F13374" t="str">
            <v xml:space="preserve">890903475      </v>
          </cell>
          <cell r="O13374">
            <v>60</v>
          </cell>
        </row>
        <row r="13375">
          <cell r="F13375" t="str">
            <v xml:space="preserve">899999049      </v>
          </cell>
          <cell r="O13375">
            <v>36</v>
          </cell>
        </row>
        <row r="13376">
          <cell r="F13376" t="str">
            <v xml:space="preserve">890201881      </v>
          </cell>
          <cell r="O13376">
            <v>300</v>
          </cell>
        </row>
        <row r="13377">
          <cell r="F13377" t="str">
            <v xml:space="preserve">890201881      </v>
          </cell>
          <cell r="O13377">
            <v>180</v>
          </cell>
        </row>
        <row r="13378">
          <cell r="F13378" t="str">
            <v xml:space="preserve">890201881      </v>
          </cell>
          <cell r="O13378">
            <v>105</v>
          </cell>
        </row>
        <row r="13379">
          <cell r="F13379" t="str">
            <v xml:space="preserve">890201881      </v>
          </cell>
          <cell r="O13379">
            <v>60</v>
          </cell>
        </row>
        <row r="13380">
          <cell r="F13380" t="str">
            <v xml:space="preserve">1104405256     </v>
          </cell>
          <cell r="O13380">
            <v>18</v>
          </cell>
        </row>
        <row r="13381">
          <cell r="F13381" t="str">
            <v xml:space="preserve">1104405256     </v>
          </cell>
          <cell r="O13381">
            <v>18</v>
          </cell>
        </row>
        <row r="13382">
          <cell r="F13382" t="str">
            <v xml:space="preserve">1104405256     </v>
          </cell>
          <cell r="O13382">
            <v>600</v>
          </cell>
        </row>
        <row r="13383">
          <cell r="F13383" t="str">
            <v xml:space="preserve">1104405256     </v>
          </cell>
          <cell r="O13383">
            <v>720</v>
          </cell>
        </row>
        <row r="13384">
          <cell r="F13384" t="str">
            <v xml:space="preserve">407            </v>
          </cell>
          <cell r="O13384">
            <v>108</v>
          </cell>
        </row>
        <row r="13385">
          <cell r="F13385" t="str">
            <v xml:space="preserve">800090890      </v>
          </cell>
          <cell r="O13385">
            <v>57</v>
          </cell>
        </row>
        <row r="13386">
          <cell r="F13386" t="str">
            <v xml:space="preserve">800090890      </v>
          </cell>
          <cell r="O13386">
            <v>57</v>
          </cell>
        </row>
        <row r="13387">
          <cell r="F13387" t="str">
            <v xml:space="preserve">811014849      </v>
          </cell>
          <cell r="O13387">
            <v>90</v>
          </cell>
        </row>
        <row r="13388">
          <cell r="F13388" t="str">
            <v xml:space="preserve">811014849      </v>
          </cell>
          <cell r="O13388">
            <v>162</v>
          </cell>
        </row>
        <row r="13389">
          <cell r="F13389" t="str">
            <v xml:space="preserve">890903939      </v>
          </cell>
          <cell r="O13389">
            <v>1165.5999999999999</v>
          </cell>
        </row>
        <row r="13390">
          <cell r="F13390" t="str">
            <v xml:space="preserve">890903939      </v>
          </cell>
          <cell r="O13390">
            <v>214.8</v>
          </cell>
        </row>
        <row r="13391">
          <cell r="F13391" t="str">
            <v xml:space="preserve">890903939      </v>
          </cell>
          <cell r="O13391">
            <v>222.54</v>
          </cell>
        </row>
        <row r="13392">
          <cell r="F13392" t="str">
            <v xml:space="preserve">211            </v>
          </cell>
          <cell r="O13392">
            <v>15</v>
          </cell>
        </row>
        <row r="13393">
          <cell r="F13393" t="str">
            <v xml:space="preserve">211            </v>
          </cell>
          <cell r="O13393">
            <v>1512</v>
          </cell>
        </row>
        <row r="13394">
          <cell r="F13394" t="str">
            <v xml:space="preserve">211            </v>
          </cell>
          <cell r="O13394">
            <v>90</v>
          </cell>
        </row>
        <row r="13395">
          <cell r="F13395" t="str">
            <v xml:space="preserve">900512255      </v>
          </cell>
          <cell r="O13395">
            <v>54</v>
          </cell>
        </row>
        <row r="13396">
          <cell r="F13396" t="str">
            <v xml:space="preserve">900512255      </v>
          </cell>
          <cell r="O13396">
            <v>45</v>
          </cell>
        </row>
        <row r="13397">
          <cell r="F13397" t="str">
            <v xml:space="preserve">802015827      </v>
          </cell>
          <cell r="O13397">
            <v>30</v>
          </cell>
        </row>
        <row r="13398">
          <cell r="F13398" t="str">
            <v xml:space="preserve">802015827      </v>
          </cell>
          <cell r="O13398">
            <v>60</v>
          </cell>
        </row>
        <row r="13399">
          <cell r="F13399" t="str">
            <v xml:space="preserve">811032699      </v>
          </cell>
          <cell r="O13399">
            <v>54</v>
          </cell>
        </row>
        <row r="13400">
          <cell r="F13400" t="str">
            <v xml:space="preserve">830095213      </v>
          </cell>
          <cell r="O13400">
            <v>216</v>
          </cell>
        </row>
        <row r="13401">
          <cell r="F13401" t="str">
            <v xml:space="preserve">890903939      </v>
          </cell>
          <cell r="O13401">
            <v>303.16000000000003</v>
          </cell>
        </row>
        <row r="13402">
          <cell r="F13402" t="str">
            <v xml:space="preserve">900749094      </v>
          </cell>
          <cell r="O13402">
            <v>72</v>
          </cell>
        </row>
        <row r="13403">
          <cell r="F13403" t="str">
            <v xml:space="preserve">900820045      </v>
          </cell>
          <cell r="O13403">
            <v>108</v>
          </cell>
        </row>
        <row r="13404">
          <cell r="F13404" t="str">
            <v xml:space="preserve">900820045      </v>
          </cell>
          <cell r="O13404">
            <v>36</v>
          </cell>
        </row>
        <row r="13405">
          <cell r="F13405" t="str">
            <v xml:space="preserve">901000237      </v>
          </cell>
          <cell r="O13405">
            <v>90</v>
          </cell>
        </row>
        <row r="13406">
          <cell r="F13406" t="str">
            <v xml:space="preserve">901196694      </v>
          </cell>
          <cell r="O13406">
            <v>36</v>
          </cell>
        </row>
        <row r="13407">
          <cell r="F13407" t="str">
            <v xml:space="preserve">901218264      </v>
          </cell>
          <cell r="O13407">
            <v>60</v>
          </cell>
        </row>
        <row r="13408">
          <cell r="F13408" t="str">
            <v xml:space="preserve">860001697      </v>
          </cell>
          <cell r="O13408">
            <v>987.15</v>
          </cell>
        </row>
        <row r="13409">
          <cell r="F13409" t="str">
            <v xml:space="preserve">800229035      </v>
          </cell>
          <cell r="O13409">
            <v>75</v>
          </cell>
        </row>
        <row r="13410">
          <cell r="F13410" t="str">
            <v xml:space="preserve">800229035      </v>
          </cell>
          <cell r="O13410">
            <v>180</v>
          </cell>
        </row>
        <row r="13411">
          <cell r="F13411" t="str">
            <v xml:space="preserve">800229035      </v>
          </cell>
          <cell r="O13411">
            <v>60</v>
          </cell>
        </row>
        <row r="13412">
          <cell r="F13412" t="str">
            <v xml:space="preserve">811016729      </v>
          </cell>
          <cell r="O13412">
            <v>15</v>
          </cell>
        </row>
        <row r="13413">
          <cell r="F13413" t="str">
            <v xml:space="preserve">811016729      </v>
          </cell>
          <cell r="O13413">
            <v>36</v>
          </cell>
        </row>
        <row r="13414">
          <cell r="F13414" t="str">
            <v xml:space="preserve">890322007      </v>
          </cell>
          <cell r="O13414">
            <v>15</v>
          </cell>
        </row>
        <row r="13415">
          <cell r="F13415" t="str">
            <v xml:space="preserve">900049818      </v>
          </cell>
          <cell r="O13415">
            <v>30</v>
          </cell>
        </row>
        <row r="13416">
          <cell r="F13416" t="str">
            <v xml:space="preserve">900603554      </v>
          </cell>
          <cell r="O13416">
            <v>54</v>
          </cell>
        </row>
        <row r="13417">
          <cell r="F13417" t="str">
            <v xml:space="preserve">901046830      </v>
          </cell>
          <cell r="O13417">
            <v>420</v>
          </cell>
        </row>
        <row r="13418">
          <cell r="F13418" t="str">
            <v xml:space="preserve">830094679      </v>
          </cell>
          <cell r="O13418">
            <v>591.4</v>
          </cell>
        </row>
        <row r="13419">
          <cell r="F13419" t="str">
            <v xml:space="preserve">79845495       </v>
          </cell>
          <cell r="O13419">
            <v>151.5</v>
          </cell>
        </row>
        <row r="13420">
          <cell r="F13420" t="str">
            <v xml:space="preserve">810004836      </v>
          </cell>
          <cell r="O13420">
            <v>946.7</v>
          </cell>
        </row>
        <row r="13421">
          <cell r="F13421" t="str">
            <v xml:space="preserve">830016868      </v>
          </cell>
          <cell r="O13421">
            <v>600.20000000000005</v>
          </cell>
        </row>
        <row r="13422">
          <cell r="F13422" t="str">
            <v xml:space="preserve">900417711      </v>
          </cell>
          <cell r="O13422">
            <v>221.1</v>
          </cell>
        </row>
        <row r="13423">
          <cell r="F13423" t="str">
            <v xml:space="preserve">1125788575     </v>
          </cell>
          <cell r="O13423">
            <v>170.6</v>
          </cell>
        </row>
        <row r="13424">
          <cell r="F13424" t="str">
            <v xml:space="preserve">19236581       </v>
          </cell>
          <cell r="O13424">
            <v>867.9</v>
          </cell>
        </row>
        <row r="13425">
          <cell r="F13425" t="str">
            <v xml:space="preserve">29352455       </v>
          </cell>
          <cell r="O13425">
            <v>65</v>
          </cell>
        </row>
        <row r="13426">
          <cell r="F13426" t="str">
            <v xml:space="preserve">830107617      </v>
          </cell>
          <cell r="O13426">
            <v>1980</v>
          </cell>
        </row>
        <row r="13427">
          <cell r="F13427" t="str">
            <v xml:space="preserve">890300431      </v>
          </cell>
          <cell r="O13427">
            <v>1453.5</v>
          </cell>
        </row>
        <row r="13428">
          <cell r="F13428" t="str">
            <v xml:space="preserve">900233101      </v>
          </cell>
          <cell r="O13428">
            <v>1078.4000000000001</v>
          </cell>
        </row>
        <row r="13429">
          <cell r="F13429" t="str">
            <v xml:space="preserve">900465987      </v>
          </cell>
          <cell r="O13429">
            <v>454.7</v>
          </cell>
        </row>
        <row r="13430">
          <cell r="F13430" t="str">
            <v xml:space="preserve">900870666      </v>
          </cell>
          <cell r="O13430">
            <v>1346.5</v>
          </cell>
        </row>
        <row r="13431">
          <cell r="F13431" t="str">
            <v xml:space="preserve">901177420      </v>
          </cell>
          <cell r="O13431">
            <v>665.7</v>
          </cell>
        </row>
        <row r="13432">
          <cell r="F13432" t="str">
            <v xml:space="preserve">901578626      </v>
          </cell>
          <cell r="O13432">
            <v>50.1</v>
          </cell>
        </row>
        <row r="13433">
          <cell r="F13433" t="str">
            <v xml:space="preserve">7128442        </v>
          </cell>
          <cell r="O13433">
            <v>75.7</v>
          </cell>
        </row>
        <row r="13434">
          <cell r="F13434" t="str">
            <v xml:space="preserve">820005385      </v>
          </cell>
          <cell r="O13434">
            <v>1301</v>
          </cell>
        </row>
        <row r="13435">
          <cell r="F13435" t="str">
            <v xml:space="preserve">826003171      </v>
          </cell>
          <cell r="O13435">
            <v>1749.3</v>
          </cell>
        </row>
        <row r="13436">
          <cell r="F13436" t="str">
            <v xml:space="preserve">832004366      </v>
          </cell>
          <cell r="O13436">
            <v>500.3</v>
          </cell>
        </row>
        <row r="13437">
          <cell r="F13437" t="str">
            <v xml:space="preserve">900432294      </v>
          </cell>
          <cell r="O13437">
            <v>77.099999999999994</v>
          </cell>
        </row>
        <row r="13438">
          <cell r="F13438" t="str">
            <v xml:space="preserve">901488798      </v>
          </cell>
          <cell r="O13438">
            <v>250.3</v>
          </cell>
        </row>
        <row r="13439">
          <cell r="F13439" t="str">
            <v xml:space="preserve">9527088        </v>
          </cell>
          <cell r="O13439">
            <v>141.9</v>
          </cell>
        </row>
        <row r="13440">
          <cell r="F13440" t="str">
            <v xml:space="preserve">1007542479     </v>
          </cell>
          <cell r="O13440">
            <v>115.2</v>
          </cell>
        </row>
        <row r="13441">
          <cell r="F13441" t="str">
            <v xml:space="preserve">80412196       </v>
          </cell>
          <cell r="O13441">
            <v>118.2</v>
          </cell>
        </row>
        <row r="13442">
          <cell r="F13442" t="str">
            <v xml:space="preserve">80414539       </v>
          </cell>
          <cell r="O13442">
            <v>56.7</v>
          </cell>
        </row>
        <row r="13443">
          <cell r="F13443" t="str">
            <v xml:space="preserve">830010738      </v>
          </cell>
          <cell r="O13443">
            <v>164.3</v>
          </cell>
        </row>
        <row r="13444">
          <cell r="F13444" t="str">
            <v xml:space="preserve">860001697      </v>
          </cell>
          <cell r="O13444">
            <v>299.2</v>
          </cell>
        </row>
        <row r="13445">
          <cell r="F13445" t="str">
            <v xml:space="preserve">110            </v>
          </cell>
          <cell r="O13445">
            <v>252</v>
          </cell>
        </row>
        <row r="13446">
          <cell r="F13446" t="str">
            <v xml:space="preserve">203            </v>
          </cell>
          <cell r="O13446">
            <v>54</v>
          </cell>
        </row>
        <row r="13447">
          <cell r="F13447" t="str">
            <v xml:space="preserve">900445736      </v>
          </cell>
          <cell r="O13447">
            <v>45</v>
          </cell>
        </row>
        <row r="13448">
          <cell r="F13448" t="str">
            <v xml:space="preserve">900445736      </v>
          </cell>
          <cell r="O13448">
            <v>45</v>
          </cell>
        </row>
        <row r="13449">
          <cell r="F13449" t="str">
            <v xml:space="preserve">900445736      </v>
          </cell>
          <cell r="O13449">
            <v>45</v>
          </cell>
        </row>
        <row r="13450">
          <cell r="F13450" t="str">
            <v xml:space="preserve">900445736      </v>
          </cell>
          <cell r="O13450">
            <v>72</v>
          </cell>
        </row>
        <row r="13451">
          <cell r="F13451" t="str">
            <v xml:space="preserve">900445736      </v>
          </cell>
          <cell r="O13451">
            <v>45</v>
          </cell>
        </row>
        <row r="13452">
          <cell r="F13452" t="str">
            <v xml:space="preserve">212            </v>
          </cell>
          <cell r="O13452">
            <v>45</v>
          </cell>
        </row>
        <row r="13453">
          <cell r="F13453" t="str">
            <v xml:space="preserve">212            </v>
          </cell>
          <cell r="O13453">
            <v>30</v>
          </cell>
        </row>
        <row r="13454">
          <cell r="F13454" t="str">
            <v xml:space="preserve">212            </v>
          </cell>
          <cell r="O13454">
            <v>18</v>
          </cell>
        </row>
        <row r="13455">
          <cell r="F13455" t="str">
            <v xml:space="preserve">203            </v>
          </cell>
          <cell r="O13455">
            <v>27</v>
          </cell>
        </row>
        <row r="13456">
          <cell r="F13456" t="str">
            <v xml:space="preserve">203            </v>
          </cell>
          <cell r="O13456">
            <v>15</v>
          </cell>
        </row>
        <row r="13457">
          <cell r="F13457" t="str">
            <v xml:space="preserve">203            </v>
          </cell>
          <cell r="O13457">
            <v>126</v>
          </cell>
        </row>
        <row r="13458">
          <cell r="F13458" t="str">
            <v xml:space="preserve">203            </v>
          </cell>
          <cell r="O13458">
            <v>135</v>
          </cell>
        </row>
        <row r="13459">
          <cell r="F13459" t="str">
            <v xml:space="preserve">21650387       </v>
          </cell>
          <cell r="O13459">
            <v>36</v>
          </cell>
        </row>
        <row r="13460">
          <cell r="F13460" t="str">
            <v xml:space="preserve">811012427      </v>
          </cell>
          <cell r="O13460">
            <v>45</v>
          </cell>
        </row>
        <row r="13461">
          <cell r="F13461" t="str">
            <v xml:space="preserve">811037915      </v>
          </cell>
          <cell r="O13461">
            <v>126</v>
          </cell>
        </row>
        <row r="13462">
          <cell r="F13462" t="str">
            <v xml:space="preserve">890985417      </v>
          </cell>
          <cell r="O13462">
            <v>36</v>
          </cell>
        </row>
        <row r="13463">
          <cell r="F13463" t="str">
            <v xml:space="preserve">890985417      </v>
          </cell>
          <cell r="O13463">
            <v>36</v>
          </cell>
        </row>
        <row r="13464">
          <cell r="F13464" t="str">
            <v xml:space="preserve">890985417      </v>
          </cell>
          <cell r="O13464">
            <v>18</v>
          </cell>
        </row>
        <row r="13465">
          <cell r="F13465" t="str">
            <v xml:space="preserve">890985417      </v>
          </cell>
          <cell r="O13465">
            <v>18</v>
          </cell>
        </row>
        <row r="13466">
          <cell r="F13466" t="str">
            <v xml:space="preserve">890985417      </v>
          </cell>
          <cell r="O13466">
            <v>18</v>
          </cell>
        </row>
        <row r="13467">
          <cell r="F13467" t="str">
            <v xml:space="preserve">900199056      </v>
          </cell>
          <cell r="O13467">
            <v>90</v>
          </cell>
        </row>
        <row r="13468">
          <cell r="F13468" t="str">
            <v xml:space="preserve">900445736      </v>
          </cell>
          <cell r="O13468">
            <v>45</v>
          </cell>
        </row>
        <row r="13469">
          <cell r="F13469" t="str">
            <v xml:space="preserve">900445736      </v>
          </cell>
          <cell r="O13469">
            <v>45</v>
          </cell>
        </row>
        <row r="13470">
          <cell r="F13470" t="str">
            <v xml:space="preserve">900445736      </v>
          </cell>
          <cell r="O13470">
            <v>45</v>
          </cell>
        </row>
        <row r="13471">
          <cell r="F13471" t="str">
            <v xml:space="preserve">900445736      </v>
          </cell>
          <cell r="O13471">
            <v>45</v>
          </cell>
        </row>
        <row r="13472">
          <cell r="F13472" t="str">
            <v xml:space="preserve">900445736      </v>
          </cell>
          <cell r="O13472">
            <v>45</v>
          </cell>
        </row>
        <row r="13473">
          <cell r="F13473" t="str">
            <v xml:space="preserve">900445736      </v>
          </cell>
          <cell r="O13473">
            <v>18</v>
          </cell>
        </row>
        <row r="13474">
          <cell r="F13474" t="str">
            <v xml:space="preserve">900445736      </v>
          </cell>
          <cell r="O13474">
            <v>45</v>
          </cell>
        </row>
        <row r="13475">
          <cell r="F13475" t="str">
            <v xml:space="preserve">900445736      </v>
          </cell>
          <cell r="O13475">
            <v>18</v>
          </cell>
        </row>
        <row r="13476">
          <cell r="F13476" t="str">
            <v xml:space="preserve">900880568      </v>
          </cell>
          <cell r="O13476">
            <v>54</v>
          </cell>
        </row>
        <row r="13477">
          <cell r="F13477" t="str">
            <v xml:space="preserve">98699317       </v>
          </cell>
          <cell r="O13477">
            <v>18</v>
          </cell>
        </row>
        <row r="13478">
          <cell r="F13478" t="str">
            <v xml:space="preserve">213            </v>
          </cell>
          <cell r="O13478">
            <v>486</v>
          </cell>
        </row>
        <row r="13479">
          <cell r="F13479" t="str">
            <v xml:space="preserve">213            </v>
          </cell>
          <cell r="O13479">
            <v>90</v>
          </cell>
        </row>
        <row r="13480">
          <cell r="F13480" t="str">
            <v xml:space="preserve">213            </v>
          </cell>
          <cell r="O13480">
            <v>450</v>
          </cell>
        </row>
        <row r="13481">
          <cell r="F13481" t="str">
            <v xml:space="preserve">70052771       </v>
          </cell>
          <cell r="O13481">
            <v>45</v>
          </cell>
        </row>
        <row r="13482">
          <cell r="F13482" t="str">
            <v xml:space="preserve">811022351      </v>
          </cell>
          <cell r="O13482">
            <v>108</v>
          </cell>
        </row>
        <row r="13483">
          <cell r="F13483" t="str">
            <v xml:space="preserve">811035741      </v>
          </cell>
          <cell r="O13483">
            <v>117</v>
          </cell>
        </row>
        <row r="13484">
          <cell r="F13484" t="str">
            <v xml:space="preserve">860013809      </v>
          </cell>
          <cell r="O13484">
            <v>144</v>
          </cell>
        </row>
        <row r="13485">
          <cell r="F13485" t="str">
            <v xml:space="preserve">890900424      </v>
          </cell>
          <cell r="O13485">
            <v>45</v>
          </cell>
        </row>
        <row r="13486">
          <cell r="F13486" t="str">
            <v xml:space="preserve">890904713      </v>
          </cell>
          <cell r="O13486">
            <v>15</v>
          </cell>
        </row>
        <row r="13487">
          <cell r="F13487" t="str">
            <v xml:space="preserve">890906407      </v>
          </cell>
          <cell r="O13487">
            <v>72</v>
          </cell>
        </row>
        <row r="13488">
          <cell r="F13488" t="str">
            <v xml:space="preserve">899999049      </v>
          </cell>
          <cell r="O13488">
            <v>66</v>
          </cell>
        </row>
        <row r="13489">
          <cell r="F13489" t="str">
            <v xml:space="preserve">900743223      </v>
          </cell>
          <cell r="O13489">
            <v>84</v>
          </cell>
        </row>
        <row r="13490">
          <cell r="F13490" t="str">
            <v xml:space="preserve">901436775      </v>
          </cell>
          <cell r="O13490">
            <v>135</v>
          </cell>
        </row>
        <row r="13491">
          <cell r="F13491" t="str">
            <v xml:space="preserve">210            </v>
          </cell>
          <cell r="O13491">
            <v>828</v>
          </cell>
        </row>
        <row r="13492">
          <cell r="F13492" t="str">
            <v xml:space="preserve">210            </v>
          </cell>
          <cell r="O13492">
            <v>540</v>
          </cell>
        </row>
        <row r="13493">
          <cell r="F13493" t="str">
            <v xml:space="preserve">210            </v>
          </cell>
          <cell r="O13493">
            <v>315</v>
          </cell>
        </row>
        <row r="13494">
          <cell r="F13494" t="str">
            <v xml:space="preserve">101            </v>
          </cell>
          <cell r="O13494">
            <v>9</v>
          </cell>
        </row>
        <row r="13495">
          <cell r="F13495" t="str">
            <v xml:space="preserve">101            </v>
          </cell>
          <cell r="O13495">
            <v>180</v>
          </cell>
        </row>
        <row r="13496">
          <cell r="F13496" t="str">
            <v xml:space="preserve">101            </v>
          </cell>
          <cell r="O13496">
            <v>216</v>
          </cell>
        </row>
        <row r="13497">
          <cell r="F13497" t="str">
            <v xml:space="preserve">101            </v>
          </cell>
          <cell r="O13497">
            <v>15</v>
          </cell>
        </row>
        <row r="13498">
          <cell r="F13498" t="str">
            <v xml:space="preserve">101            </v>
          </cell>
          <cell r="O13498">
            <v>18</v>
          </cell>
        </row>
        <row r="13499">
          <cell r="F13499" t="str">
            <v xml:space="preserve">101            </v>
          </cell>
          <cell r="O13499">
            <v>9</v>
          </cell>
        </row>
        <row r="13500">
          <cell r="F13500" t="str">
            <v xml:space="preserve">210            </v>
          </cell>
          <cell r="O13500">
            <v>1512</v>
          </cell>
        </row>
        <row r="13501">
          <cell r="F13501" t="str">
            <v xml:space="preserve">210            </v>
          </cell>
          <cell r="O13501">
            <v>45</v>
          </cell>
        </row>
        <row r="13502">
          <cell r="F13502" t="str">
            <v xml:space="preserve">860020382      </v>
          </cell>
          <cell r="O13502">
            <v>90</v>
          </cell>
        </row>
        <row r="13503">
          <cell r="F13503" t="str">
            <v xml:space="preserve">404            </v>
          </cell>
          <cell r="O13503">
            <v>180</v>
          </cell>
        </row>
        <row r="13504">
          <cell r="F13504" t="str">
            <v xml:space="preserve">404            </v>
          </cell>
          <cell r="O13504">
            <v>72</v>
          </cell>
        </row>
        <row r="13505">
          <cell r="F13505" t="str">
            <v xml:space="preserve">210            </v>
          </cell>
          <cell r="O13505">
            <v>15</v>
          </cell>
        </row>
        <row r="13506">
          <cell r="F13506" t="str">
            <v xml:space="preserve">210            </v>
          </cell>
          <cell r="O13506">
            <v>342</v>
          </cell>
        </row>
        <row r="13507">
          <cell r="F13507" t="str">
            <v xml:space="preserve">98654170       </v>
          </cell>
          <cell r="O13507">
            <v>54</v>
          </cell>
        </row>
        <row r="13508">
          <cell r="F13508" t="str">
            <v xml:space="preserve">98654170       </v>
          </cell>
          <cell r="O13508">
            <v>54</v>
          </cell>
        </row>
        <row r="13509">
          <cell r="F13509" t="str">
            <v xml:space="preserve">800003267      </v>
          </cell>
          <cell r="O13509">
            <v>126</v>
          </cell>
        </row>
        <row r="13510">
          <cell r="F13510" t="str">
            <v xml:space="preserve">800068285      </v>
          </cell>
          <cell r="O13510">
            <v>18</v>
          </cell>
        </row>
        <row r="13511">
          <cell r="F13511" t="str">
            <v xml:space="preserve">800115720      </v>
          </cell>
          <cell r="O13511">
            <v>18</v>
          </cell>
        </row>
        <row r="13512">
          <cell r="F13512" t="str">
            <v xml:space="preserve">800161451      </v>
          </cell>
          <cell r="O13512">
            <v>18</v>
          </cell>
        </row>
        <row r="13513">
          <cell r="F13513" t="str">
            <v xml:space="preserve">805026018      </v>
          </cell>
          <cell r="O13513">
            <v>18</v>
          </cell>
        </row>
        <row r="13514">
          <cell r="F13514" t="str">
            <v xml:space="preserve">890302609      </v>
          </cell>
          <cell r="O13514">
            <v>186</v>
          </cell>
        </row>
        <row r="13515">
          <cell r="F13515" t="str">
            <v xml:space="preserve">890302609      </v>
          </cell>
          <cell r="O13515">
            <v>126</v>
          </cell>
        </row>
        <row r="13516">
          <cell r="F13516" t="str">
            <v xml:space="preserve">890321924      </v>
          </cell>
          <cell r="O13516">
            <v>54</v>
          </cell>
        </row>
        <row r="13517">
          <cell r="F13517" t="str">
            <v xml:space="preserve">890903939      </v>
          </cell>
          <cell r="O13517">
            <v>301</v>
          </cell>
        </row>
        <row r="13518">
          <cell r="F13518" t="str">
            <v xml:space="preserve">901255672      </v>
          </cell>
          <cell r="O13518">
            <v>18</v>
          </cell>
        </row>
        <row r="13519">
          <cell r="F13519" t="str">
            <v xml:space="preserve">811020038      </v>
          </cell>
          <cell r="O13519">
            <v>54</v>
          </cell>
        </row>
        <row r="13520">
          <cell r="F13520" t="str">
            <v xml:space="preserve">830095563      </v>
          </cell>
          <cell r="O13520">
            <v>0</v>
          </cell>
        </row>
        <row r="13521">
          <cell r="F13521" t="str">
            <v xml:space="preserve">830095563      </v>
          </cell>
          <cell r="O13521">
            <v>0</v>
          </cell>
        </row>
        <row r="13522">
          <cell r="F13522" t="str">
            <v xml:space="preserve">860001697      </v>
          </cell>
          <cell r="O13522">
            <v>235.58</v>
          </cell>
        </row>
        <row r="13523">
          <cell r="F13523" t="str">
            <v xml:space="preserve">860001697      </v>
          </cell>
          <cell r="O13523">
            <v>494.79</v>
          </cell>
        </row>
        <row r="13524">
          <cell r="F13524" t="str">
            <v xml:space="preserve">70900706       </v>
          </cell>
          <cell r="O13524">
            <v>750</v>
          </cell>
        </row>
        <row r="13525">
          <cell r="F13525" t="str">
            <v xml:space="preserve">70900706       </v>
          </cell>
          <cell r="O13525">
            <v>360</v>
          </cell>
        </row>
        <row r="13526">
          <cell r="F13526" t="str">
            <v xml:space="preserve">900662475      </v>
          </cell>
          <cell r="O13526">
            <v>2696.7</v>
          </cell>
        </row>
        <row r="13527">
          <cell r="F13527" t="str">
            <v xml:space="preserve">52790620       </v>
          </cell>
          <cell r="O13527">
            <v>2412</v>
          </cell>
        </row>
        <row r="13528">
          <cell r="F13528" t="str">
            <v xml:space="preserve">5581295        </v>
          </cell>
          <cell r="O13528">
            <v>225</v>
          </cell>
        </row>
        <row r="13529">
          <cell r="F13529" t="str">
            <v xml:space="preserve">5581295        </v>
          </cell>
          <cell r="O13529">
            <v>90</v>
          </cell>
        </row>
        <row r="13530">
          <cell r="F13530" t="str">
            <v xml:space="preserve">106            </v>
          </cell>
          <cell r="O13530">
            <v>180</v>
          </cell>
        </row>
        <row r="13531">
          <cell r="F13531" t="str">
            <v xml:space="preserve">212            </v>
          </cell>
          <cell r="O13531">
            <v>90</v>
          </cell>
        </row>
        <row r="13532">
          <cell r="F13532" t="str">
            <v xml:space="preserve">890985417      </v>
          </cell>
          <cell r="O13532">
            <v>45</v>
          </cell>
        </row>
        <row r="13533">
          <cell r="F13533" t="str">
            <v xml:space="preserve">900495908      </v>
          </cell>
          <cell r="O13533">
            <v>45</v>
          </cell>
        </row>
        <row r="13534">
          <cell r="F13534" t="str">
            <v xml:space="preserve">900495908      </v>
          </cell>
          <cell r="O13534">
            <v>18</v>
          </cell>
        </row>
        <row r="13535">
          <cell r="F13535" t="str">
            <v xml:space="preserve">900495908      </v>
          </cell>
          <cell r="O13535">
            <v>18</v>
          </cell>
        </row>
        <row r="13536">
          <cell r="F13536" t="str">
            <v xml:space="preserve">41730437       </v>
          </cell>
          <cell r="O13536">
            <v>673.3</v>
          </cell>
        </row>
        <row r="13537">
          <cell r="F13537" t="str">
            <v xml:space="preserve">15930557       </v>
          </cell>
          <cell r="O13537">
            <v>495</v>
          </cell>
        </row>
        <row r="13538">
          <cell r="F13538" t="str">
            <v xml:space="preserve">22058643       </v>
          </cell>
          <cell r="O13538">
            <v>774.3</v>
          </cell>
        </row>
        <row r="13539">
          <cell r="F13539" t="str">
            <v xml:space="preserve">811014849      </v>
          </cell>
          <cell r="O13539">
            <v>924.4</v>
          </cell>
        </row>
        <row r="13540">
          <cell r="F13540" t="str">
            <v xml:space="preserve">811037075      </v>
          </cell>
          <cell r="O13540">
            <v>1272.5</v>
          </cell>
        </row>
        <row r="13541">
          <cell r="F13541" t="str">
            <v xml:space="preserve">212            </v>
          </cell>
          <cell r="O13541">
            <v>15</v>
          </cell>
        </row>
        <row r="13542">
          <cell r="F13542" t="str">
            <v xml:space="preserve">212            </v>
          </cell>
          <cell r="O13542">
            <v>18</v>
          </cell>
        </row>
        <row r="13543">
          <cell r="F13543" t="str">
            <v xml:space="preserve">212            </v>
          </cell>
          <cell r="O13543">
            <v>45</v>
          </cell>
        </row>
        <row r="13544">
          <cell r="F13544" t="str">
            <v xml:space="preserve">800237815      </v>
          </cell>
          <cell r="O13544">
            <v>45</v>
          </cell>
        </row>
        <row r="13545">
          <cell r="F13545" t="str">
            <v xml:space="preserve">830027386      </v>
          </cell>
          <cell r="O13545">
            <v>144</v>
          </cell>
        </row>
        <row r="13546">
          <cell r="F13546" t="str">
            <v xml:space="preserve">890900161      </v>
          </cell>
          <cell r="O13546">
            <v>210</v>
          </cell>
        </row>
        <row r="13547">
          <cell r="F13547" t="str">
            <v xml:space="preserve">890903939      </v>
          </cell>
          <cell r="O13547">
            <v>167.7</v>
          </cell>
        </row>
        <row r="13548">
          <cell r="F13548" t="str">
            <v xml:space="preserve">900105031      </v>
          </cell>
          <cell r="O13548">
            <v>15</v>
          </cell>
        </row>
        <row r="13549">
          <cell r="F13549" t="str">
            <v xml:space="preserve">900157685      </v>
          </cell>
          <cell r="O13549">
            <v>45</v>
          </cell>
        </row>
        <row r="13550">
          <cell r="F13550" t="str">
            <v xml:space="preserve">900603554      </v>
          </cell>
          <cell r="O13550">
            <v>36</v>
          </cell>
        </row>
        <row r="13551">
          <cell r="F13551" t="str">
            <v xml:space="preserve">901172312      </v>
          </cell>
          <cell r="O13551">
            <v>15</v>
          </cell>
        </row>
        <row r="13552">
          <cell r="F13552" t="str">
            <v xml:space="preserve">805007674      </v>
          </cell>
          <cell r="O13552">
            <v>45</v>
          </cell>
        </row>
        <row r="13553">
          <cell r="F13553" t="str">
            <v xml:space="preserve">805012977      </v>
          </cell>
          <cell r="O13553">
            <v>126</v>
          </cell>
        </row>
        <row r="13554">
          <cell r="F13554" t="str">
            <v xml:space="preserve">860020382      </v>
          </cell>
          <cell r="O13554">
            <v>36</v>
          </cell>
        </row>
        <row r="13555">
          <cell r="F13555" t="str">
            <v xml:space="preserve">890308085      </v>
          </cell>
          <cell r="O13555">
            <v>90</v>
          </cell>
        </row>
        <row r="13556">
          <cell r="F13556" t="str">
            <v xml:space="preserve">890312630      </v>
          </cell>
          <cell r="O13556">
            <v>48</v>
          </cell>
        </row>
        <row r="13557">
          <cell r="F13557" t="str">
            <v xml:space="preserve">890332889      </v>
          </cell>
          <cell r="O13557">
            <v>78</v>
          </cell>
        </row>
        <row r="13558">
          <cell r="F13558" t="str">
            <v xml:space="preserve">899999049      </v>
          </cell>
          <cell r="O13558">
            <v>72</v>
          </cell>
        </row>
        <row r="13559">
          <cell r="F13559" t="str">
            <v xml:space="preserve">899999049      </v>
          </cell>
          <cell r="O13559">
            <v>54</v>
          </cell>
        </row>
        <row r="13560">
          <cell r="F13560" t="str">
            <v xml:space="preserve">900204935      </v>
          </cell>
          <cell r="O13560">
            <v>54</v>
          </cell>
        </row>
        <row r="13561">
          <cell r="F13561" t="str">
            <v xml:space="preserve">900818921      </v>
          </cell>
          <cell r="O13561">
            <v>369</v>
          </cell>
        </row>
        <row r="13562">
          <cell r="F13562" t="str">
            <v xml:space="preserve">900896300      </v>
          </cell>
          <cell r="O13562">
            <v>108</v>
          </cell>
        </row>
        <row r="13563">
          <cell r="F13563" t="str">
            <v xml:space="preserve">901026262      </v>
          </cell>
          <cell r="O13563">
            <v>54</v>
          </cell>
        </row>
        <row r="13564">
          <cell r="F13564" t="str">
            <v xml:space="preserve">203            </v>
          </cell>
          <cell r="O13564">
            <v>18</v>
          </cell>
        </row>
        <row r="13565">
          <cell r="F13565" t="str">
            <v xml:space="preserve">212            </v>
          </cell>
          <cell r="O13565">
            <v>15</v>
          </cell>
        </row>
        <row r="13566">
          <cell r="F13566" t="str">
            <v xml:space="preserve">212            </v>
          </cell>
          <cell r="O13566">
            <v>195</v>
          </cell>
        </row>
        <row r="13567">
          <cell r="F13567" t="str">
            <v xml:space="preserve">212            </v>
          </cell>
          <cell r="O13567">
            <v>54</v>
          </cell>
        </row>
        <row r="13568">
          <cell r="F13568" t="str">
            <v xml:space="preserve">900495908      </v>
          </cell>
          <cell r="O13568">
            <v>45</v>
          </cell>
        </row>
        <row r="13569">
          <cell r="F13569" t="str">
            <v xml:space="preserve">860403972      </v>
          </cell>
          <cell r="O13569">
            <v>2290.1999999999998</v>
          </cell>
        </row>
        <row r="13570">
          <cell r="F13570" t="str">
            <v xml:space="preserve">1093770953     </v>
          </cell>
          <cell r="O13570">
            <v>35.6</v>
          </cell>
        </row>
        <row r="13571">
          <cell r="F13571" t="str">
            <v xml:space="preserve">1093800773     </v>
          </cell>
          <cell r="O13571">
            <v>68</v>
          </cell>
        </row>
        <row r="13572">
          <cell r="F13572" t="str">
            <v xml:space="preserve">13373455       </v>
          </cell>
          <cell r="O13572">
            <v>169.2</v>
          </cell>
        </row>
        <row r="13573">
          <cell r="F13573" t="str">
            <v xml:space="preserve">5546993        </v>
          </cell>
          <cell r="O13573">
            <v>148.6</v>
          </cell>
        </row>
        <row r="13574">
          <cell r="F13574" t="str">
            <v xml:space="preserve">5546993        </v>
          </cell>
          <cell r="O13574">
            <v>167.8</v>
          </cell>
        </row>
        <row r="13575">
          <cell r="F13575" t="str">
            <v xml:space="preserve">890500531      </v>
          </cell>
          <cell r="O13575">
            <v>102.3</v>
          </cell>
        </row>
        <row r="13576">
          <cell r="F13576" t="str">
            <v xml:space="preserve">900067125      </v>
          </cell>
          <cell r="O13576">
            <v>2800</v>
          </cell>
        </row>
        <row r="13577">
          <cell r="F13577" t="str">
            <v xml:space="preserve">900163342      </v>
          </cell>
          <cell r="O13577">
            <v>120.4</v>
          </cell>
        </row>
        <row r="13578">
          <cell r="F13578" t="str">
            <v xml:space="preserve">900163342      </v>
          </cell>
          <cell r="O13578">
            <v>66.900000000000006</v>
          </cell>
        </row>
        <row r="13579">
          <cell r="F13579" t="str">
            <v xml:space="preserve">900265983      </v>
          </cell>
          <cell r="O13579">
            <v>308</v>
          </cell>
        </row>
        <row r="13580">
          <cell r="F13580" t="str">
            <v xml:space="preserve">900395536      </v>
          </cell>
          <cell r="O13580">
            <v>106.1</v>
          </cell>
        </row>
        <row r="13581">
          <cell r="F13581" t="str">
            <v xml:space="preserve">900395536      </v>
          </cell>
          <cell r="O13581">
            <v>86.5</v>
          </cell>
        </row>
        <row r="13582">
          <cell r="F13582" t="str">
            <v xml:space="preserve">900497346      </v>
          </cell>
          <cell r="O13582">
            <v>285.60000000000002</v>
          </cell>
        </row>
        <row r="13583">
          <cell r="F13583" t="str">
            <v xml:space="preserve">900740022      </v>
          </cell>
          <cell r="O13583">
            <v>420.4</v>
          </cell>
        </row>
        <row r="13584">
          <cell r="F13584" t="str">
            <v xml:space="preserve">900740022      </v>
          </cell>
          <cell r="O13584">
            <v>155.19999999999999</v>
          </cell>
        </row>
        <row r="13585">
          <cell r="F13585" t="str">
            <v xml:space="preserve">901377572      </v>
          </cell>
          <cell r="O13585">
            <v>135.9</v>
          </cell>
        </row>
        <row r="13586">
          <cell r="F13586" t="str">
            <v xml:space="preserve">1144138380     </v>
          </cell>
          <cell r="O13586">
            <v>97.8</v>
          </cell>
        </row>
        <row r="13587">
          <cell r="F13587" t="str">
            <v xml:space="preserve">29229813       </v>
          </cell>
          <cell r="O13587">
            <v>83.3</v>
          </cell>
        </row>
        <row r="13588">
          <cell r="F13588" t="str">
            <v xml:space="preserve">6256980        </v>
          </cell>
          <cell r="O13588">
            <v>130.1</v>
          </cell>
        </row>
        <row r="13589">
          <cell r="F13589" t="str">
            <v xml:space="preserve">66719542       </v>
          </cell>
          <cell r="O13589">
            <v>74.599999999999994</v>
          </cell>
        </row>
        <row r="13590">
          <cell r="F13590" t="str">
            <v xml:space="preserve">76312079       </v>
          </cell>
          <cell r="O13590">
            <v>51.8</v>
          </cell>
        </row>
        <row r="13591">
          <cell r="F13591" t="str">
            <v xml:space="preserve">890308786      </v>
          </cell>
          <cell r="O13591">
            <v>3159</v>
          </cell>
        </row>
        <row r="13592">
          <cell r="F13592" t="str">
            <v xml:space="preserve">900598527      </v>
          </cell>
          <cell r="O13592">
            <v>367.9</v>
          </cell>
        </row>
        <row r="13593">
          <cell r="F13593" t="str">
            <v xml:space="preserve">900700313      </v>
          </cell>
          <cell r="O13593">
            <v>147.9</v>
          </cell>
        </row>
        <row r="13594">
          <cell r="F13594" t="str">
            <v xml:space="preserve">900702496      </v>
          </cell>
          <cell r="O13594">
            <v>607.6</v>
          </cell>
        </row>
        <row r="13595">
          <cell r="F13595" t="str">
            <v xml:space="preserve">13874825       </v>
          </cell>
          <cell r="O13595">
            <v>209.2</v>
          </cell>
        </row>
        <row r="13596">
          <cell r="F13596" t="str">
            <v xml:space="preserve">17286711       </v>
          </cell>
          <cell r="O13596">
            <v>43.6</v>
          </cell>
        </row>
        <row r="13597">
          <cell r="F13597" t="str">
            <v xml:space="preserve">804002825      </v>
          </cell>
          <cell r="O13597">
            <v>1261.4000000000001</v>
          </cell>
        </row>
        <row r="13598">
          <cell r="F13598" t="str">
            <v xml:space="preserve">804002825      </v>
          </cell>
          <cell r="O13598">
            <v>2395.6</v>
          </cell>
        </row>
        <row r="13599">
          <cell r="F13599" t="str">
            <v xml:space="preserve">804002825      </v>
          </cell>
          <cell r="O13599">
            <v>3132</v>
          </cell>
        </row>
        <row r="13600">
          <cell r="F13600" t="str">
            <v xml:space="preserve">890201881      </v>
          </cell>
          <cell r="O13600">
            <v>501.5</v>
          </cell>
        </row>
        <row r="13601">
          <cell r="F13601" t="str">
            <v xml:space="preserve">890201881      </v>
          </cell>
          <cell r="O13601">
            <v>1472.1</v>
          </cell>
        </row>
        <row r="13602">
          <cell r="F13602" t="str">
            <v xml:space="preserve">890201881      </v>
          </cell>
          <cell r="O13602">
            <v>1936.7</v>
          </cell>
        </row>
        <row r="13603">
          <cell r="F13603" t="str">
            <v xml:space="preserve">901452546      </v>
          </cell>
          <cell r="O13603">
            <v>118.8</v>
          </cell>
        </row>
        <row r="13604">
          <cell r="F13604" t="str">
            <v xml:space="preserve">91112503       </v>
          </cell>
          <cell r="O13604">
            <v>800.7</v>
          </cell>
        </row>
        <row r="13605">
          <cell r="F13605" t="str">
            <v xml:space="preserve">830016868      </v>
          </cell>
          <cell r="O13605">
            <v>301.10000000000002</v>
          </cell>
        </row>
        <row r="13606">
          <cell r="F13606" t="str">
            <v xml:space="preserve">830016868      </v>
          </cell>
          <cell r="O13606">
            <v>283.3</v>
          </cell>
        </row>
        <row r="13607">
          <cell r="F13607" t="str">
            <v xml:space="preserve">860002536      </v>
          </cell>
          <cell r="O13607">
            <v>1261.2</v>
          </cell>
        </row>
        <row r="13608">
          <cell r="F13608" t="str">
            <v xml:space="preserve">900425471      </v>
          </cell>
          <cell r="O13608">
            <v>1463.7</v>
          </cell>
        </row>
        <row r="13609">
          <cell r="F13609" t="str">
            <v xml:space="preserve">900474647      </v>
          </cell>
          <cell r="O13609">
            <v>1070.0999999999999</v>
          </cell>
        </row>
        <row r="13610">
          <cell r="F13610" t="str">
            <v xml:space="preserve">811014849      </v>
          </cell>
          <cell r="O13610">
            <v>640.9</v>
          </cell>
        </row>
        <row r="13611">
          <cell r="F13611" t="str">
            <v xml:space="preserve">890910131      </v>
          </cell>
          <cell r="O13611">
            <v>192.9</v>
          </cell>
        </row>
        <row r="13612">
          <cell r="F13612" t="str">
            <v xml:space="preserve">890910131      </v>
          </cell>
          <cell r="O13612">
            <v>668.4</v>
          </cell>
        </row>
        <row r="13613">
          <cell r="F13613" t="str">
            <v xml:space="preserve">901008628      </v>
          </cell>
          <cell r="O13613">
            <v>394</v>
          </cell>
        </row>
        <row r="13614">
          <cell r="F13614" t="str">
            <v xml:space="preserve">890903939      </v>
          </cell>
          <cell r="O13614">
            <v>180</v>
          </cell>
        </row>
        <row r="13615">
          <cell r="F13615" t="str">
            <v xml:space="preserve">830010738      </v>
          </cell>
          <cell r="O13615">
            <v>284.8</v>
          </cell>
        </row>
        <row r="13616">
          <cell r="F13616" t="str">
            <v xml:space="preserve">860527701      </v>
          </cell>
          <cell r="O13616">
            <v>3002</v>
          </cell>
        </row>
        <row r="13617">
          <cell r="F13617" t="str">
            <v xml:space="preserve">860527701      </v>
          </cell>
          <cell r="O13617">
            <v>3001.3</v>
          </cell>
        </row>
        <row r="13618">
          <cell r="F13618" t="str">
            <v xml:space="preserve">808001297      </v>
          </cell>
          <cell r="O13618">
            <v>352.7</v>
          </cell>
        </row>
        <row r="13619">
          <cell r="F13619" t="str">
            <v xml:space="preserve">811014849      </v>
          </cell>
          <cell r="O13619">
            <v>2116.3000000000002</v>
          </cell>
        </row>
        <row r="13620">
          <cell r="F13620" t="str">
            <v xml:space="preserve">900180331      </v>
          </cell>
          <cell r="O13620">
            <v>141.19999999999999</v>
          </cell>
        </row>
        <row r="13621">
          <cell r="F13621" t="str">
            <v xml:space="preserve">900180331      </v>
          </cell>
          <cell r="O13621">
            <v>2300.6</v>
          </cell>
        </row>
        <row r="13622">
          <cell r="F13622" t="str">
            <v xml:space="preserve">900180331      </v>
          </cell>
          <cell r="O13622">
            <v>2508.1999999999998</v>
          </cell>
        </row>
        <row r="13623">
          <cell r="F13623" t="str">
            <v xml:space="preserve">52790620       </v>
          </cell>
          <cell r="O13623">
            <v>225</v>
          </cell>
        </row>
        <row r="13624">
          <cell r="F13624" t="str">
            <v xml:space="preserve">52790620       </v>
          </cell>
          <cell r="O13624">
            <v>225</v>
          </cell>
        </row>
        <row r="13625">
          <cell r="F13625" t="str">
            <v xml:space="preserve">808001297      </v>
          </cell>
          <cell r="O13625">
            <v>45</v>
          </cell>
        </row>
        <row r="13626">
          <cell r="F13626" t="str">
            <v xml:space="preserve">41662799       </v>
          </cell>
          <cell r="O13626">
            <v>91.7</v>
          </cell>
        </row>
        <row r="13627">
          <cell r="F13627" t="str">
            <v xml:space="preserve">800032071      </v>
          </cell>
          <cell r="O13627">
            <v>513.5</v>
          </cell>
        </row>
        <row r="13628">
          <cell r="F13628" t="str">
            <v xml:space="preserve">800222102      </v>
          </cell>
          <cell r="O13628">
            <v>283.8</v>
          </cell>
        </row>
        <row r="13629">
          <cell r="F13629" t="str">
            <v xml:space="preserve">80421320       </v>
          </cell>
          <cell r="O13629">
            <v>49</v>
          </cell>
        </row>
        <row r="13630">
          <cell r="F13630" t="str">
            <v xml:space="preserve">811014849      </v>
          </cell>
          <cell r="O13630">
            <v>503.7</v>
          </cell>
        </row>
        <row r="13631">
          <cell r="F13631" t="str">
            <v xml:space="preserve">891300382      </v>
          </cell>
          <cell r="O13631">
            <v>181.8</v>
          </cell>
        </row>
        <row r="13632">
          <cell r="F13632" t="str">
            <v xml:space="preserve">70900706       </v>
          </cell>
          <cell r="O13632">
            <v>90</v>
          </cell>
        </row>
        <row r="13633">
          <cell r="F13633" t="str">
            <v xml:space="preserve">70900706       </v>
          </cell>
          <cell r="O13633">
            <v>90</v>
          </cell>
        </row>
        <row r="13634">
          <cell r="F13634" t="str">
            <v xml:space="preserve">70900706       </v>
          </cell>
          <cell r="O13634">
            <v>90</v>
          </cell>
        </row>
        <row r="13635">
          <cell r="F13635" t="str">
            <v xml:space="preserve">890903939      </v>
          </cell>
          <cell r="O13635">
            <v>0</v>
          </cell>
        </row>
        <row r="13636">
          <cell r="F13636" t="str">
            <v xml:space="preserve">830058506      </v>
          </cell>
          <cell r="O13636">
            <v>28966</v>
          </cell>
        </row>
        <row r="13637">
          <cell r="F13637" t="str">
            <v xml:space="preserve">901019138      </v>
          </cell>
          <cell r="O13637">
            <v>28580</v>
          </cell>
        </row>
        <row r="13638">
          <cell r="F13638" t="str">
            <v xml:space="preserve">860001697      </v>
          </cell>
          <cell r="O13638">
            <v>255.16</v>
          </cell>
        </row>
        <row r="13639">
          <cell r="F13639" t="str">
            <v xml:space="preserve">860001697      </v>
          </cell>
          <cell r="O13639">
            <v>201.62</v>
          </cell>
        </row>
        <row r="13640">
          <cell r="F13640" t="str">
            <v xml:space="preserve">003            </v>
          </cell>
          <cell r="O13640">
            <v>97.98</v>
          </cell>
        </row>
        <row r="13641">
          <cell r="F13641" t="str">
            <v xml:space="preserve">003            </v>
          </cell>
          <cell r="O13641">
            <v>583.62</v>
          </cell>
        </row>
        <row r="13642">
          <cell r="F13642" t="str">
            <v xml:space="preserve">003            </v>
          </cell>
          <cell r="O13642">
            <v>358.29</v>
          </cell>
        </row>
        <row r="13643">
          <cell r="F13643" t="str">
            <v xml:space="preserve">003            </v>
          </cell>
          <cell r="O13643">
            <v>99.02</v>
          </cell>
        </row>
        <row r="13644">
          <cell r="F13644" t="str">
            <v xml:space="preserve">003            </v>
          </cell>
          <cell r="O13644">
            <v>2500.5</v>
          </cell>
        </row>
        <row r="13645">
          <cell r="F13645" t="str">
            <v xml:space="preserve">003            </v>
          </cell>
          <cell r="O13645">
            <v>1559.87</v>
          </cell>
        </row>
        <row r="13646">
          <cell r="F13646" t="str">
            <v xml:space="preserve">003            </v>
          </cell>
          <cell r="O13646">
            <v>1654.09</v>
          </cell>
        </row>
        <row r="13647">
          <cell r="F13647" t="str">
            <v xml:space="preserve">003            </v>
          </cell>
          <cell r="O13647">
            <v>1255.32</v>
          </cell>
        </row>
        <row r="13648">
          <cell r="F13648" t="str">
            <v xml:space="preserve">003            </v>
          </cell>
          <cell r="O13648">
            <v>445.27</v>
          </cell>
        </row>
        <row r="13649">
          <cell r="F13649" t="str">
            <v xml:space="preserve">003            </v>
          </cell>
          <cell r="O13649">
            <v>1415.51</v>
          </cell>
        </row>
        <row r="13650">
          <cell r="F13650" t="str">
            <v xml:space="preserve">003            </v>
          </cell>
          <cell r="O13650">
            <v>167.8</v>
          </cell>
        </row>
        <row r="13651">
          <cell r="F13651" t="str">
            <v xml:space="preserve">003            </v>
          </cell>
          <cell r="O13651">
            <v>91.39</v>
          </cell>
        </row>
        <row r="13652">
          <cell r="F13652" t="str">
            <v xml:space="preserve">003            </v>
          </cell>
          <cell r="O13652">
            <v>643.26</v>
          </cell>
        </row>
        <row r="13653">
          <cell r="F13653" t="str">
            <v xml:space="preserve">003            </v>
          </cell>
          <cell r="O13653">
            <v>6444.27</v>
          </cell>
        </row>
        <row r="13654">
          <cell r="F13654" t="str">
            <v xml:space="preserve">003            </v>
          </cell>
          <cell r="O13654">
            <v>4085.33</v>
          </cell>
        </row>
        <row r="13655">
          <cell r="F13655" t="str">
            <v xml:space="preserve">003            </v>
          </cell>
          <cell r="O13655">
            <v>4323.8999999999996</v>
          </cell>
        </row>
        <row r="13656">
          <cell r="F13656" t="str">
            <v xml:space="preserve">003            </v>
          </cell>
          <cell r="O13656">
            <v>242.2</v>
          </cell>
        </row>
        <row r="13657">
          <cell r="F13657" t="str">
            <v xml:space="preserve">003            </v>
          </cell>
          <cell r="O13657">
            <v>1856.02</v>
          </cell>
        </row>
        <row r="13658">
          <cell r="F13658" t="str">
            <v xml:space="preserve">003            </v>
          </cell>
          <cell r="O13658">
            <v>821.16</v>
          </cell>
        </row>
        <row r="13659">
          <cell r="F13659" t="str">
            <v xml:space="preserve">003            </v>
          </cell>
          <cell r="O13659">
            <v>217.64</v>
          </cell>
        </row>
        <row r="13660">
          <cell r="F13660" t="str">
            <v xml:space="preserve">003            </v>
          </cell>
          <cell r="O13660">
            <v>1137.49</v>
          </cell>
        </row>
        <row r="13661">
          <cell r="F13661" t="str">
            <v xml:space="preserve">003            </v>
          </cell>
          <cell r="O13661">
            <v>847.83</v>
          </cell>
        </row>
        <row r="13662">
          <cell r="F13662" t="str">
            <v xml:space="preserve">003            </v>
          </cell>
          <cell r="O13662">
            <v>196.07</v>
          </cell>
        </row>
        <row r="13663">
          <cell r="F13663" t="str">
            <v xml:space="preserve">003            </v>
          </cell>
          <cell r="O13663">
            <v>106.16</v>
          </cell>
        </row>
        <row r="13664">
          <cell r="F13664" t="str">
            <v xml:space="preserve">003            </v>
          </cell>
          <cell r="O13664">
            <v>29.7</v>
          </cell>
        </row>
        <row r="13665">
          <cell r="F13665" t="str">
            <v xml:space="preserve">003            </v>
          </cell>
          <cell r="O13665">
            <v>163.08000000000001</v>
          </cell>
        </row>
        <row r="13666">
          <cell r="F13666" t="str">
            <v xml:space="preserve">51958738       </v>
          </cell>
          <cell r="O13666">
            <v>410.8</v>
          </cell>
        </row>
        <row r="13667">
          <cell r="F13667" t="str">
            <v xml:space="preserve">800210865      </v>
          </cell>
          <cell r="O13667">
            <v>162.22999999999999</v>
          </cell>
        </row>
        <row r="13668">
          <cell r="F13668" t="str">
            <v xml:space="preserve">830026277      </v>
          </cell>
          <cell r="O13668">
            <v>1640.37</v>
          </cell>
        </row>
        <row r="13669">
          <cell r="F13669" t="str">
            <v xml:space="preserve">860033045      </v>
          </cell>
          <cell r="O13669">
            <v>301.93</v>
          </cell>
        </row>
        <row r="13670">
          <cell r="F13670" t="str">
            <v xml:space="preserve">860033045      </v>
          </cell>
          <cell r="O13670">
            <v>1172.43</v>
          </cell>
        </row>
        <row r="13671">
          <cell r="F13671" t="str">
            <v xml:space="preserve">830016868      </v>
          </cell>
          <cell r="O13671">
            <v>600.29999999999995</v>
          </cell>
        </row>
        <row r="13672">
          <cell r="F13672" t="str">
            <v xml:space="preserve">860032450      </v>
          </cell>
          <cell r="O13672">
            <v>1200.0999999999999</v>
          </cell>
        </row>
        <row r="13673">
          <cell r="F13673" t="str">
            <v xml:space="preserve">901244271      </v>
          </cell>
          <cell r="O13673">
            <v>905.5</v>
          </cell>
        </row>
        <row r="13674">
          <cell r="F13674" t="str">
            <v xml:space="preserve">800220087      </v>
          </cell>
          <cell r="O13674">
            <v>2400.1</v>
          </cell>
        </row>
        <row r="13675">
          <cell r="F13675" t="str">
            <v xml:space="preserve">900343005      </v>
          </cell>
          <cell r="O13675">
            <v>1379.8</v>
          </cell>
        </row>
        <row r="13676">
          <cell r="F13676" t="str">
            <v xml:space="preserve">900343005      </v>
          </cell>
          <cell r="O13676">
            <v>1008.4</v>
          </cell>
        </row>
        <row r="13677">
          <cell r="F13677" t="str">
            <v xml:space="preserve">900974484      </v>
          </cell>
          <cell r="O13677">
            <v>1868.1</v>
          </cell>
        </row>
        <row r="13678">
          <cell r="F13678" t="str">
            <v xml:space="preserve">800209179      </v>
          </cell>
          <cell r="O13678">
            <v>45</v>
          </cell>
        </row>
        <row r="13679">
          <cell r="F13679" t="str">
            <v xml:space="preserve">805005148      </v>
          </cell>
          <cell r="O13679">
            <v>1116</v>
          </cell>
        </row>
        <row r="13680">
          <cell r="F13680" t="str">
            <v xml:space="preserve">805005148      </v>
          </cell>
          <cell r="O13680">
            <v>90</v>
          </cell>
        </row>
        <row r="13681">
          <cell r="F13681" t="str">
            <v xml:space="preserve">805005148      </v>
          </cell>
          <cell r="O13681">
            <v>1260</v>
          </cell>
        </row>
        <row r="13682">
          <cell r="F13682" t="str">
            <v xml:space="preserve">805005148      </v>
          </cell>
          <cell r="O13682">
            <v>180</v>
          </cell>
        </row>
        <row r="13683">
          <cell r="F13683" t="str">
            <v xml:space="preserve">805005148      </v>
          </cell>
          <cell r="O13683">
            <v>1080</v>
          </cell>
        </row>
        <row r="13684">
          <cell r="F13684" t="str">
            <v xml:space="preserve">805005148      </v>
          </cell>
          <cell r="O13684">
            <v>1134</v>
          </cell>
        </row>
        <row r="13685">
          <cell r="F13685" t="str">
            <v xml:space="preserve">805005148      </v>
          </cell>
          <cell r="O13685">
            <v>45</v>
          </cell>
        </row>
        <row r="13686">
          <cell r="F13686" t="str">
            <v xml:space="preserve">900094966      </v>
          </cell>
          <cell r="O13686">
            <v>18</v>
          </cell>
        </row>
        <row r="13687">
          <cell r="F13687" t="str">
            <v xml:space="preserve">1130605276     </v>
          </cell>
          <cell r="O13687">
            <v>9</v>
          </cell>
        </row>
        <row r="13688">
          <cell r="F13688" t="str">
            <v xml:space="preserve">1130605276     </v>
          </cell>
          <cell r="O13688">
            <v>18</v>
          </cell>
        </row>
        <row r="13689">
          <cell r="F13689" t="str">
            <v xml:space="preserve">1130605276     </v>
          </cell>
          <cell r="O13689">
            <v>75</v>
          </cell>
        </row>
        <row r="13690">
          <cell r="F13690" t="str">
            <v xml:space="preserve">1130605276     </v>
          </cell>
          <cell r="O13690">
            <v>594</v>
          </cell>
        </row>
        <row r="13691">
          <cell r="F13691" t="str">
            <v xml:space="preserve">1130605276     </v>
          </cell>
          <cell r="O13691">
            <v>135</v>
          </cell>
        </row>
        <row r="13692">
          <cell r="F13692" t="str">
            <v xml:space="preserve">94050412       </v>
          </cell>
          <cell r="O13692">
            <v>450</v>
          </cell>
        </row>
        <row r="13693">
          <cell r="F13693" t="str">
            <v xml:space="preserve">94050412       </v>
          </cell>
          <cell r="O13693">
            <v>90</v>
          </cell>
        </row>
        <row r="13694">
          <cell r="F13694" t="str">
            <v xml:space="preserve">805023628      </v>
          </cell>
          <cell r="O13694">
            <v>180</v>
          </cell>
        </row>
        <row r="13695">
          <cell r="F13695" t="str">
            <v xml:space="preserve">88275315       </v>
          </cell>
          <cell r="O13695">
            <v>18</v>
          </cell>
        </row>
        <row r="13696">
          <cell r="F13696" t="str">
            <v xml:space="preserve">88275315       </v>
          </cell>
          <cell r="O13696">
            <v>63</v>
          </cell>
        </row>
        <row r="13697">
          <cell r="F13697" t="str">
            <v xml:space="preserve">88275315       </v>
          </cell>
          <cell r="O13697">
            <v>60</v>
          </cell>
        </row>
        <row r="13698">
          <cell r="F13698" t="str">
            <v xml:space="preserve">88275315       </v>
          </cell>
          <cell r="O13698">
            <v>1800</v>
          </cell>
        </row>
        <row r="13699">
          <cell r="F13699" t="str">
            <v xml:space="preserve">88275315       </v>
          </cell>
          <cell r="O13699">
            <v>180</v>
          </cell>
        </row>
        <row r="13700">
          <cell r="F13700" t="str">
            <v xml:space="preserve">890315430      </v>
          </cell>
          <cell r="O13700">
            <v>1350</v>
          </cell>
        </row>
        <row r="13701">
          <cell r="F13701" t="str">
            <v xml:space="preserve">900136052      </v>
          </cell>
          <cell r="O13701">
            <v>18</v>
          </cell>
        </row>
        <row r="13702">
          <cell r="F13702" t="str">
            <v xml:space="preserve">900446063      </v>
          </cell>
          <cell r="O13702">
            <v>9</v>
          </cell>
        </row>
        <row r="13703">
          <cell r="F13703" t="str">
            <v xml:space="preserve">900446063      </v>
          </cell>
          <cell r="O13703">
            <v>18</v>
          </cell>
        </row>
        <row r="13704">
          <cell r="F13704" t="str">
            <v xml:space="preserve">94464104       </v>
          </cell>
          <cell r="O13704">
            <v>432</v>
          </cell>
        </row>
        <row r="13705">
          <cell r="F13705" t="str">
            <v xml:space="preserve">94464104       </v>
          </cell>
          <cell r="O13705">
            <v>225</v>
          </cell>
        </row>
        <row r="13706">
          <cell r="F13706" t="str">
            <v xml:space="preserve">94464104       </v>
          </cell>
          <cell r="O13706">
            <v>30</v>
          </cell>
        </row>
        <row r="13707">
          <cell r="F13707" t="str">
            <v xml:space="preserve">94464104       </v>
          </cell>
          <cell r="O13707">
            <v>15</v>
          </cell>
        </row>
        <row r="13708">
          <cell r="F13708" t="str">
            <v xml:space="preserve">94464104       </v>
          </cell>
          <cell r="O13708">
            <v>396</v>
          </cell>
        </row>
        <row r="13709">
          <cell r="F13709" t="str">
            <v xml:space="preserve">94464104       </v>
          </cell>
          <cell r="O13709">
            <v>252</v>
          </cell>
        </row>
        <row r="13710">
          <cell r="F13710" t="str">
            <v xml:space="preserve">16458005       </v>
          </cell>
          <cell r="O13710">
            <v>180</v>
          </cell>
        </row>
        <row r="13711">
          <cell r="F13711" t="str">
            <v xml:space="preserve">16458005       </v>
          </cell>
          <cell r="O13711">
            <v>15</v>
          </cell>
        </row>
        <row r="13712">
          <cell r="F13712" t="str">
            <v xml:space="preserve">94419930       </v>
          </cell>
          <cell r="O13712">
            <v>252</v>
          </cell>
        </row>
        <row r="13713">
          <cell r="F13713" t="str">
            <v xml:space="preserve">94419930       </v>
          </cell>
          <cell r="O13713">
            <v>45</v>
          </cell>
        </row>
        <row r="13714">
          <cell r="F13714" t="str">
            <v xml:space="preserve">94420019       </v>
          </cell>
          <cell r="O13714">
            <v>30</v>
          </cell>
        </row>
        <row r="13715">
          <cell r="F13715" t="str">
            <v xml:space="preserve">94420019       </v>
          </cell>
          <cell r="O13715">
            <v>216</v>
          </cell>
        </row>
        <row r="13716">
          <cell r="F13716" t="str">
            <v xml:space="preserve">94420019       </v>
          </cell>
          <cell r="O13716">
            <v>45</v>
          </cell>
        </row>
        <row r="13717">
          <cell r="F13717" t="str">
            <v xml:space="preserve">16669313       </v>
          </cell>
          <cell r="O13717">
            <v>15</v>
          </cell>
        </row>
        <row r="13718">
          <cell r="F13718" t="str">
            <v xml:space="preserve">16669313       </v>
          </cell>
          <cell r="O13718">
            <v>882</v>
          </cell>
        </row>
        <row r="13719">
          <cell r="F13719" t="str">
            <v xml:space="preserve">16669313       </v>
          </cell>
          <cell r="O13719">
            <v>90</v>
          </cell>
        </row>
        <row r="13720">
          <cell r="F13720" t="str">
            <v xml:space="preserve">900034686      </v>
          </cell>
          <cell r="O13720">
            <v>18</v>
          </cell>
        </row>
        <row r="13721">
          <cell r="F13721" t="str">
            <v xml:space="preserve">900034686      </v>
          </cell>
          <cell r="O13721">
            <v>135</v>
          </cell>
        </row>
        <row r="13722">
          <cell r="F13722" t="str">
            <v xml:space="preserve">75099432       </v>
          </cell>
          <cell r="O13722">
            <v>18</v>
          </cell>
        </row>
        <row r="13723">
          <cell r="F13723" t="str">
            <v xml:space="preserve">75099432       </v>
          </cell>
          <cell r="O13723">
            <v>585</v>
          </cell>
        </row>
        <row r="13724">
          <cell r="F13724" t="str">
            <v xml:space="preserve">75099432       </v>
          </cell>
          <cell r="O13724">
            <v>90</v>
          </cell>
        </row>
        <row r="13725">
          <cell r="F13725" t="str">
            <v xml:space="preserve">75099432       </v>
          </cell>
          <cell r="O13725">
            <v>135</v>
          </cell>
        </row>
        <row r="13726">
          <cell r="F13726" t="str">
            <v xml:space="preserve">9696643        </v>
          </cell>
          <cell r="O13726">
            <v>2805</v>
          </cell>
        </row>
        <row r="13727">
          <cell r="F13727" t="str">
            <v xml:space="preserve">9696643        </v>
          </cell>
          <cell r="O13727">
            <v>666</v>
          </cell>
        </row>
        <row r="13728">
          <cell r="F13728" t="str">
            <v xml:space="preserve">10237057       </v>
          </cell>
          <cell r="O13728">
            <v>45</v>
          </cell>
        </row>
        <row r="13729">
          <cell r="F13729" t="str">
            <v xml:space="preserve">10237057       </v>
          </cell>
          <cell r="O13729">
            <v>54</v>
          </cell>
        </row>
        <row r="13730">
          <cell r="F13730" t="str">
            <v xml:space="preserve">10237057       </v>
          </cell>
          <cell r="O13730">
            <v>30</v>
          </cell>
        </row>
        <row r="13731">
          <cell r="F13731" t="str">
            <v xml:space="preserve">890801447      </v>
          </cell>
          <cell r="O13731">
            <v>0</v>
          </cell>
        </row>
        <row r="13732">
          <cell r="F13732" t="str">
            <v xml:space="preserve">901555731      </v>
          </cell>
          <cell r="O13732">
            <v>0</v>
          </cell>
        </row>
        <row r="13733">
          <cell r="F13733" t="str">
            <v xml:space="preserve">901555731      </v>
          </cell>
          <cell r="O13733">
            <v>0</v>
          </cell>
        </row>
        <row r="13734">
          <cell r="F13734" t="str">
            <v xml:space="preserve">901555731      </v>
          </cell>
          <cell r="O13734">
            <v>90</v>
          </cell>
        </row>
        <row r="13735">
          <cell r="F13735" t="str">
            <v xml:space="preserve">6157942        </v>
          </cell>
          <cell r="O13735">
            <v>18</v>
          </cell>
        </row>
        <row r="13736">
          <cell r="F13736" t="str">
            <v xml:space="preserve">6157942        </v>
          </cell>
          <cell r="O13736">
            <v>375</v>
          </cell>
        </row>
        <row r="13737">
          <cell r="F13737" t="str">
            <v xml:space="preserve">6157942        </v>
          </cell>
          <cell r="O13737">
            <v>180</v>
          </cell>
        </row>
        <row r="13738">
          <cell r="F13738" t="str">
            <v xml:space="preserve">1111745154     </v>
          </cell>
          <cell r="O13738">
            <v>300</v>
          </cell>
        </row>
        <row r="13739">
          <cell r="F13739" t="str">
            <v xml:space="preserve">1111745154     </v>
          </cell>
          <cell r="O13739">
            <v>72</v>
          </cell>
        </row>
        <row r="13740">
          <cell r="F13740" t="str">
            <v xml:space="preserve">1111745154     </v>
          </cell>
          <cell r="O13740">
            <v>90</v>
          </cell>
        </row>
        <row r="13741">
          <cell r="F13741" t="str">
            <v xml:space="preserve">1111745154     </v>
          </cell>
          <cell r="O13741">
            <v>45</v>
          </cell>
        </row>
        <row r="13742">
          <cell r="F13742" t="str">
            <v xml:space="preserve">16456104       </v>
          </cell>
          <cell r="O13742">
            <v>165</v>
          </cell>
        </row>
        <row r="13743">
          <cell r="F13743" t="str">
            <v xml:space="preserve">71734502       </v>
          </cell>
          <cell r="O13743">
            <v>135</v>
          </cell>
        </row>
        <row r="13744">
          <cell r="F13744" t="str">
            <v xml:space="preserve">14471042       </v>
          </cell>
          <cell r="O13744">
            <v>195</v>
          </cell>
        </row>
        <row r="13745">
          <cell r="F13745" t="str">
            <v xml:space="preserve">16214926       </v>
          </cell>
          <cell r="O13745">
            <v>30</v>
          </cell>
        </row>
        <row r="13746">
          <cell r="F13746" t="str">
            <v xml:space="preserve">16214926       </v>
          </cell>
          <cell r="O13746">
            <v>45</v>
          </cell>
        </row>
        <row r="13747">
          <cell r="F13747" t="str">
            <v xml:space="preserve">29233836       </v>
          </cell>
          <cell r="O13747">
            <v>240</v>
          </cell>
        </row>
        <row r="13748">
          <cell r="F13748" t="str">
            <v xml:space="preserve">10007888       </v>
          </cell>
          <cell r="O13748">
            <v>72</v>
          </cell>
        </row>
        <row r="13749">
          <cell r="F13749" t="str">
            <v xml:space="preserve">10007888       </v>
          </cell>
          <cell r="O13749">
            <v>120</v>
          </cell>
        </row>
        <row r="13750">
          <cell r="F13750" t="str">
            <v xml:space="preserve">10007888       </v>
          </cell>
          <cell r="O13750">
            <v>45</v>
          </cell>
        </row>
        <row r="13751">
          <cell r="F13751" t="str">
            <v xml:space="preserve">1088256267     </v>
          </cell>
          <cell r="O13751">
            <v>60</v>
          </cell>
        </row>
        <row r="13752">
          <cell r="F13752" t="str">
            <v xml:space="preserve">1088256267     </v>
          </cell>
          <cell r="O13752">
            <v>36</v>
          </cell>
        </row>
        <row r="13753">
          <cell r="F13753" t="str">
            <v xml:space="preserve">1088256267     </v>
          </cell>
          <cell r="O13753">
            <v>90</v>
          </cell>
        </row>
        <row r="13754">
          <cell r="F13754" t="str">
            <v xml:space="preserve">1088256267     </v>
          </cell>
          <cell r="O13754">
            <v>15</v>
          </cell>
        </row>
        <row r="13755">
          <cell r="F13755" t="str">
            <v xml:space="preserve">15896671       </v>
          </cell>
          <cell r="O13755">
            <v>9</v>
          </cell>
        </row>
        <row r="13756">
          <cell r="F13756" t="str">
            <v xml:space="preserve">15896671       </v>
          </cell>
          <cell r="O13756">
            <v>9</v>
          </cell>
        </row>
        <row r="13757">
          <cell r="F13757" t="str">
            <v xml:space="preserve">15896671       </v>
          </cell>
          <cell r="O13757">
            <v>495</v>
          </cell>
        </row>
        <row r="13758">
          <cell r="F13758" t="str">
            <v xml:space="preserve">15896671       </v>
          </cell>
          <cell r="O13758">
            <v>90</v>
          </cell>
        </row>
        <row r="13759">
          <cell r="F13759" t="str">
            <v xml:space="preserve">16225682       </v>
          </cell>
          <cell r="O13759">
            <v>450</v>
          </cell>
        </row>
        <row r="13760">
          <cell r="F13760" t="str">
            <v xml:space="preserve">16225682       </v>
          </cell>
          <cell r="O13760">
            <v>36</v>
          </cell>
        </row>
        <row r="13761">
          <cell r="F13761" t="str">
            <v xml:space="preserve">16225682       </v>
          </cell>
          <cell r="O13761">
            <v>45</v>
          </cell>
        </row>
        <row r="13762">
          <cell r="F13762" t="str">
            <v xml:space="preserve">10144092       </v>
          </cell>
          <cell r="O13762">
            <v>225</v>
          </cell>
        </row>
        <row r="13763">
          <cell r="F13763" t="str">
            <v xml:space="preserve">10144092       </v>
          </cell>
          <cell r="O13763">
            <v>18</v>
          </cell>
        </row>
        <row r="13764">
          <cell r="F13764" t="str">
            <v xml:space="preserve">10144092       </v>
          </cell>
          <cell r="O13764">
            <v>90</v>
          </cell>
        </row>
        <row r="13765">
          <cell r="F13765" t="str">
            <v xml:space="preserve">24835836       </v>
          </cell>
          <cell r="O13765">
            <v>270</v>
          </cell>
        </row>
        <row r="13766">
          <cell r="F13766" t="str">
            <v xml:space="preserve">24835836       </v>
          </cell>
          <cell r="O13766">
            <v>36</v>
          </cell>
        </row>
        <row r="13767">
          <cell r="F13767" t="str">
            <v xml:space="preserve">18596221       </v>
          </cell>
          <cell r="O13767">
            <v>180</v>
          </cell>
        </row>
        <row r="13768">
          <cell r="F13768" t="str">
            <v xml:space="preserve">18596221       </v>
          </cell>
          <cell r="O13768">
            <v>18</v>
          </cell>
        </row>
        <row r="13769">
          <cell r="F13769" t="str">
            <v xml:space="preserve">805005148      </v>
          </cell>
          <cell r="O13769">
            <v>45</v>
          </cell>
        </row>
        <row r="13770">
          <cell r="F13770" t="str">
            <v xml:space="preserve">805005148      </v>
          </cell>
          <cell r="O13770">
            <v>1386</v>
          </cell>
        </row>
        <row r="13771">
          <cell r="F13771" t="str">
            <v xml:space="preserve">805005148      </v>
          </cell>
          <cell r="O13771">
            <v>270</v>
          </cell>
        </row>
        <row r="13772">
          <cell r="F13772" t="str">
            <v xml:space="preserve">805005148      </v>
          </cell>
          <cell r="O13772">
            <v>2196</v>
          </cell>
        </row>
        <row r="13773">
          <cell r="F13773" t="str">
            <v xml:space="preserve">10303909       </v>
          </cell>
          <cell r="O13773">
            <v>225</v>
          </cell>
        </row>
        <row r="13774">
          <cell r="F13774" t="str">
            <v xml:space="preserve">76323227       </v>
          </cell>
          <cell r="O13774">
            <v>105</v>
          </cell>
        </row>
        <row r="13775">
          <cell r="F13775" t="str">
            <v xml:space="preserve">76323227       </v>
          </cell>
          <cell r="O13775">
            <v>3906</v>
          </cell>
        </row>
        <row r="13776">
          <cell r="F13776" t="str">
            <v xml:space="preserve">76323227       </v>
          </cell>
          <cell r="O13776">
            <v>1485</v>
          </cell>
        </row>
        <row r="13777">
          <cell r="F13777" t="str">
            <v xml:space="preserve">76323227       </v>
          </cell>
          <cell r="O13777">
            <v>180</v>
          </cell>
        </row>
        <row r="13778">
          <cell r="F13778" t="str">
            <v xml:space="preserve">10532222       </v>
          </cell>
          <cell r="O13778">
            <v>15</v>
          </cell>
        </row>
        <row r="13779">
          <cell r="F13779" t="str">
            <v xml:space="preserve">10532222       </v>
          </cell>
          <cell r="O13779">
            <v>180</v>
          </cell>
        </row>
        <row r="13780">
          <cell r="F13780" t="str">
            <v xml:space="preserve">10532222       </v>
          </cell>
          <cell r="O13780">
            <v>45</v>
          </cell>
        </row>
        <row r="13781">
          <cell r="F13781" t="str">
            <v xml:space="preserve">10755493       </v>
          </cell>
          <cell r="O13781">
            <v>540</v>
          </cell>
        </row>
        <row r="13782">
          <cell r="F13782" t="str">
            <v xml:space="preserve">10292388       </v>
          </cell>
          <cell r="O13782">
            <v>612</v>
          </cell>
        </row>
        <row r="13783">
          <cell r="F13783" t="str">
            <v xml:space="preserve">10292388       </v>
          </cell>
          <cell r="O13783">
            <v>270</v>
          </cell>
        </row>
        <row r="13784">
          <cell r="F13784" t="str">
            <v xml:space="preserve">76331539       </v>
          </cell>
          <cell r="O13784">
            <v>75</v>
          </cell>
        </row>
        <row r="13785">
          <cell r="F13785" t="str">
            <v xml:space="preserve">76331539       </v>
          </cell>
          <cell r="O13785">
            <v>918</v>
          </cell>
        </row>
        <row r="13786">
          <cell r="F13786" t="str">
            <v xml:space="preserve">76331539       </v>
          </cell>
          <cell r="O13786">
            <v>90</v>
          </cell>
        </row>
        <row r="13787">
          <cell r="F13787" t="str">
            <v xml:space="preserve">89009557       </v>
          </cell>
          <cell r="O13787">
            <v>30</v>
          </cell>
        </row>
        <row r="13788">
          <cell r="F13788" t="str">
            <v xml:space="preserve">89009557       </v>
          </cell>
          <cell r="O13788">
            <v>72</v>
          </cell>
        </row>
        <row r="13789">
          <cell r="F13789" t="str">
            <v xml:space="preserve">89009557       </v>
          </cell>
          <cell r="O13789">
            <v>45</v>
          </cell>
        </row>
        <row r="13790">
          <cell r="F13790" t="str">
            <v xml:space="preserve">9900047        </v>
          </cell>
          <cell r="O13790">
            <v>9</v>
          </cell>
        </row>
        <row r="13791">
          <cell r="F13791" t="str">
            <v xml:space="preserve">9900047        </v>
          </cell>
          <cell r="O13791">
            <v>60</v>
          </cell>
        </row>
        <row r="13792">
          <cell r="F13792" t="str">
            <v xml:space="preserve">9900047        </v>
          </cell>
          <cell r="O13792">
            <v>72</v>
          </cell>
        </row>
        <row r="13793">
          <cell r="F13793" t="str">
            <v xml:space="preserve">4613715        </v>
          </cell>
          <cell r="O13793">
            <v>54</v>
          </cell>
        </row>
        <row r="13794">
          <cell r="F13794" t="str">
            <v xml:space="preserve">4613715        </v>
          </cell>
          <cell r="O13794">
            <v>270</v>
          </cell>
        </row>
        <row r="13795">
          <cell r="F13795" t="str">
            <v xml:space="preserve">4613715        </v>
          </cell>
          <cell r="O13795">
            <v>18</v>
          </cell>
        </row>
        <row r="13796">
          <cell r="F13796" t="str">
            <v xml:space="preserve">4613715        </v>
          </cell>
          <cell r="O13796">
            <v>360</v>
          </cell>
        </row>
        <row r="13797">
          <cell r="F13797" t="str">
            <v xml:space="preserve">4613715        </v>
          </cell>
          <cell r="O13797">
            <v>342</v>
          </cell>
        </row>
        <row r="13798">
          <cell r="F13798" t="str">
            <v xml:space="preserve">4613715        </v>
          </cell>
          <cell r="O13798">
            <v>45</v>
          </cell>
        </row>
        <row r="13799">
          <cell r="F13799" t="str">
            <v xml:space="preserve">6110295        </v>
          </cell>
          <cell r="O13799">
            <v>9</v>
          </cell>
        </row>
        <row r="13800">
          <cell r="F13800" t="str">
            <v xml:space="preserve">6110295        </v>
          </cell>
          <cell r="O13800">
            <v>450</v>
          </cell>
        </row>
        <row r="13801">
          <cell r="F13801" t="str">
            <v xml:space="preserve">6110295        </v>
          </cell>
          <cell r="O13801">
            <v>288</v>
          </cell>
        </row>
        <row r="13802">
          <cell r="F13802" t="str">
            <v xml:space="preserve">6110295        </v>
          </cell>
          <cell r="O13802">
            <v>90</v>
          </cell>
        </row>
        <row r="13803">
          <cell r="F13803" t="str">
            <v xml:space="preserve">805005148      </v>
          </cell>
          <cell r="O13803">
            <v>9</v>
          </cell>
        </row>
        <row r="13804">
          <cell r="F13804" t="str">
            <v xml:space="preserve">805005148      </v>
          </cell>
          <cell r="O13804">
            <v>45</v>
          </cell>
        </row>
        <row r="13805">
          <cell r="F13805" t="str">
            <v xml:space="preserve">805005148      </v>
          </cell>
          <cell r="O13805">
            <v>180</v>
          </cell>
        </row>
        <row r="13806">
          <cell r="F13806" t="str">
            <v xml:space="preserve">805005148      </v>
          </cell>
          <cell r="O13806">
            <v>2520</v>
          </cell>
        </row>
        <row r="13807">
          <cell r="F13807" t="str">
            <v xml:space="preserve">805005148      </v>
          </cell>
          <cell r="O13807">
            <v>270</v>
          </cell>
        </row>
        <row r="13808">
          <cell r="F13808" t="str">
            <v xml:space="preserve">10488839       </v>
          </cell>
          <cell r="O13808">
            <v>9</v>
          </cell>
        </row>
        <row r="13809">
          <cell r="F13809" t="str">
            <v xml:space="preserve">10488839       </v>
          </cell>
          <cell r="O13809">
            <v>15</v>
          </cell>
        </row>
        <row r="13810">
          <cell r="F13810" t="str">
            <v xml:space="preserve">10488839       </v>
          </cell>
          <cell r="O13810">
            <v>1080</v>
          </cell>
        </row>
        <row r="13811">
          <cell r="F13811" t="str">
            <v xml:space="preserve">10484782       </v>
          </cell>
          <cell r="O13811">
            <v>216</v>
          </cell>
        </row>
        <row r="13812">
          <cell r="F13812" t="str">
            <v xml:space="preserve">10484782       </v>
          </cell>
          <cell r="O13812">
            <v>2502</v>
          </cell>
        </row>
        <row r="13813">
          <cell r="F13813" t="str">
            <v xml:space="preserve">16849293       </v>
          </cell>
          <cell r="O13813">
            <v>126</v>
          </cell>
        </row>
        <row r="13814">
          <cell r="F13814" t="str">
            <v xml:space="preserve">16849293       </v>
          </cell>
          <cell r="O13814">
            <v>54</v>
          </cell>
        </row>
        <row r="13815">
          <cell r="F13815" t="str">
            <v xml:space="preserve">10555516       </v>
          </cell>
          <cell r="O13815">
            <v>432</v>
          </cell>
        </row>
        <row r="13816">
          <cell r="F13816" t="str">
            <v xml:space="preserve">10555516       </v>
          </cell>
          <cell r="O13816">
            <v>180</v>
          </cell>
        </row>
        <row r="13817">
          <cell r="F13817" t="str">
            <v xml:space="preserve">10555516       </v>
          </cell>
          <cell r="O13817">
            <v>45</v>
          </cell>
        </row>
        <row r="13818">
          <cell r="F13818" t="str">
            <v xml:space="preserve">900444531      </v>
          </cell>
          <cell r="O13818">
            <v>90</v>
          </cell>
        </row>
        <row r="13819">
          <cell r="F13819" t="str">
            <v xml:space="preserve">900893538      </v>
          </cell>
          <cell r="O13819">
            <v>18</v>
          </cell>
        </row>
        <row r="13820">
          <cell r="F13820" t="str">
            <v xml:space="preserve">79736632       </v>
          </cell>
          <cell r="O13820">
            <v>270</v>
          </cell>
        </row>
        <row r="13821">
          <cell r="F13821" t="str">
            <v xml:space="preserve">79736632       </v>
          </cell>
          <cell r="O13821">
            <v>810</v>
          </cell>
        </row>
        <row r="13822">
          <cell r="F13822" t="str">
            <v xml:space="preserve">79263601       </v>
          </cell>
          <cell r="O13822">
            <v>720</v>
          </cell>
        </row>
        <row r="13823">
          <cell r="F13823" t="str">
            <v xml:space="preserve">79263601       </v>
          </cell>
          <cell r="O13823">
            <v>90</v>
          </cell>
        </row>
        <row r="13824">
          <cell r="F13824" t="str">
            <v xml:space="preserve">26050336       </v>
          </cell>
          <cell r="O13824">
            <v>126</v>
          </cell>
        </row>
        <row r="13825">
          <cell r="F13825" t="str">
            <v xml:space="preserve">830001241      </v>
          </cell>
          <cell r="O13825">
            <v>270</v>
          </cell>
        </row>
        <row r="13826">
          <cell r="F13826" t="str">
            <v xml:space="preserve">91360601       </v>
          </cell>
          <cell r="O13826">
            <v>675</v>
          </cell>
        </row>
        <row r="13827">
          <cell r="F13827" t="str">
            <v xml:space="preserve">91360601       </v>
          </cell>
          <cell r="O13827">
            <v>30</v>
          </cell>
        </row>
        <row r="13828">
          <cell r="F13828" t="str">
            <v xml:space="preserve">91360601       </v>
          </cell>
          <cell r="O13828">
            <v>1782</v>
          </cell>
        </row>
        <row r="13829">
          <cell r="F13829" t="str">
            <v xml:space="preserve">91360601       </v>
          </cell>
          <cell r="O13829">
            <v>9</v>
          </cell>
        </row>
        <row r="13830">
          <cell r="F13830" t="str">
            <v xml:space="preserve">79824837       </v>
          </cell>
          <cell r="O13830">
            <v>2052</v>
          </cell>
        </row>
        <row r="13831">
          <cell r="F13831" t="str">
            <v xml:space="preserve">79824837       </v>
          </cell>
          <cell r="O13831">
            <v>360</v>
          </cell>
        </row>
        <row r="13832">
          <cell r="F13832" t="str">
            <v xml:space="preserve">79824837       </v>
          </cell>
          <cell r="O13832">
            <v>2052</v>
          </cell>
        </row>
        <row r="13833">
          <cell r="F13833" t="str">
            <v xml:space="preserve">79824837       </v>
          </cell>
          <cell r="O13833">
            <v>225</v>
          </cell>
        </row>
        <row r="13834">
          <cell r="F13834" t="str">
            <v xml:space="preserve">79824837       </v>
          </cell>
          <cell r="O13834">
            <v>2736</v>
          </cell>
        </row>
        <row r="13835">
          <cell r="F13835" t="str">
            <v xml:space="preserve">79824837       </v>
          </cell>
          <cell r="O13835">
            <v>225</v>
          </cell>
        </row>
        <row r="13836">
          <cell r="F13836" t="str">
            <v xml:space="preserve">79824837       </v>
          </cell>
          <cell r="O13836">
            <v>2304</v>
          </cell>
        </row>
        <row r="13837">
          <cell r="F13837" t="str">
            <v xml:space="preserve">79824837       </v>
          </cell>
          <cell r="O13837">
            <v>270</v>
          </cell>
        </row>
        <row r="13838">
          <cell r="F13838" t="str">
            <v xml:space="preserve">860513290      </v>
          </cell>
          <cell r="O13838">
            <v>18</v>
          </cell>
        </row>
        <row r="13839">
          <cell r="F13839" t="str">
            <v xml:space="preserve">900459366      </v>
          </cell>
          <cell r="O13839">
            <v>2664</v>
          </cell>
        </row>
        <row r="13840">
          <cell r="F13840" t="str">
            <v xml:space="preserve">900459366      </v>
          </cell>
          <cell r="O13840">
            <v>180</v>
          </cell>
        </row>
        <row r="13841">
          <cell r="F13841" t="str">
            <v xml:space="preserve">900459366      </v>
          </cell>
          <cell r="O13841">
            <v>54</v>
          </cell>
        </row>
        <row r="13842">
          <cell r="F13842" t="str">
            <v xml:space="preserve">900459366      </v>
          </cell>
          <cell r="O13842">
            <v>9</v>
          </cell>
        </row>
        <row r="13843">
          <cell r="F13843" t="str">
            <v xml:space="preserve">900459366      </v>
          </cell>
          <cell r="O13843">
            <v>210</v>
          </cell>
        </row>
        <row r="13844">
          <cell r="F13844" t="str">
            <v xml:space="preserve">900459366      </v>
          </cell>
          <cell r="O13844">
            <v>2340</v>
          </cell>
        </row>
        <row r="13845">
          <cell r="F13845" t="str">
            <v xml:space="preserve">900459366      </v>
          </cell>
          <cell r="O13845">
            <v>270</v>
          </cell>
        </row>
        <row r="13846">
          <cell r="F13846" t="str">
            <v xml:space="preserve">900459366      </v>
          </cell>
          <cell r="O13846">
            <v>15</v>
          </cell>
        </row>
        <row r="13847">
          <cell r="F13847" t="str">
            <v xml:space="preserve">900459366      </v>
          </cell>
          <cell r="O13847">
            <v>36</v>
          </cell>
        </row>
        <row r="13848">
          <cell r="F13848" t="str">
            <v xml:space="preserve">71312536       </v>
          </cell>
          <cell r="O13848">
            <v>540</v>
          </cell>
        </row>
        <row r="13849">
          <cell r="F13849" t="str">
            <v xml:space="preserve">71215358       </v>
          </cell>
          <cell r="O13849">
            <v>15</v>
          </cell>
        </row>
        <row r="13850">
          <cell r="F13850" t="str">
            <v xml:space="preserve">71215358       </v>
          </cell>
          <cell r="O13850">
            <v>90</v>
          </cell>
        </row>
        <row r="13851">
          <cell r="F13851" t="str">
            <v xml:space="preserve">71215358       </v>
          </cell>
          <cell r="O13851">
            <v>135</v>
          </cell>
        </row>
        <row r="13852">
          <cell r="F13852" t="str">
            <v xml:space="preserve">91179385       </v>
          </cell>
          <cell r="O13852">
            <v>15</v>
          </cell>
        </row>
        <row r="13853">
          <cell r="F13853" t="str">
            <v xml:space="preserve">91179385       </v>
          </cell>
          <cell r="O13853">
            <v>648</v>
          </cell>
        </row>
        <row r="13854">
          <cell r="F13854" t="str">
            <v xml:space="preserve">91179385       </v>
          </cell>
          <cell r="O13854">
            <v>315</v>
          </cell>
        </row>
        <row r="13855">
          <cell r="F13855" t="str">
            <v xml:space="preserve">91179385       </v>
          </cell>
          <cell r="O13855">
            <v>396</v>
          </cell>
        </row>
        <row r="13856">
          <cell r="F13856" t="str">
            <v xml:space="preserve">91179385       </v>
          </cell>
          <cell r="O13856">
            <v>225</v>
          </cell>
        </row>
        <row r="13857">
          <cell r="F13857" t="str">
            <v xml:space="preserve">88158577       </v>
          </cell>
          <cell r="O13857">
            <v>450</v>
          </cell>
        </row>
        <row r="13858">
          <cell r="F13858" t="str">
            <v xml:space="preserve">88158577       </v>
          </cell>
          <cell r="O13858">
            <v>540</v>
          </cell>
        </row>
        <row r="13859">
          <cell r="F13859" t="str">
            <v xml:space="preserve">88158577       </v>
          </cell>
          <cell r="O13859">
            <v>675</v>
          </cell>
        </row>
        <row r="13860">
          <cell r="F13860" t="str">
            <v xml:space="preserve">79384689       </v>
          </cell>
          <cell r="O13860">
            <v>120</v>
          </cell>
        </row>
        <row r="13861">
          <cell r="F13861" t="str">
            <v xml:space="preserve">79384689       </v>
          </cell>
          <cell r="O13861">
            <v>45</v>
          </cell>
        </row>
        <row r="13862">
          <cell r="F13862" t="str">
            <v xml:space="preserve">13458443       </v>
          </cell>
          <cell r="O13862">
            <v>150</v>
          </cell>
        </row>
        <row r="13863">
          <cell r="F13863" t="str">
            <v xml:space="preserve">13494934       </v>
          </cell>
          <cell r="O13863">
            <v>240</v>
          </cell>
        </row>
        <row r="13864">
          <cell r="F13864" t="str">
            <v xml:space="preserve">13494934       </v>
          </cell>
          <cell r="O13864">
            <v>135</v>
          </cell>
        </row>
        <row r="13865">
          <cell r="F13865" t="str">
            <v xml:space="preserve">13494934       </v>
          </cell>
          <cell r="O13865">
            <v>285</v>
          </cell>
        </row>
        <row r="13866">
          <cell r="F13866" t="str">
            <v xml:space="preserve">13494934       </v>
          </cell>
          <cell r="O13866">
            <v>108</v>
          </cell>
        </row>
        <row r="13867">
          <cell r="F13867" t="str">
            <v xml:space="preserve">13494934       </v>
          </cell>
          <cell r="O13867">
            <v>270</v>
          </cell>
        </row>
        <row r="13868">
          <cell r="F13868" t="str">
            <v xml:space="preserve">88188644       </v>
          </cell>
          <cell r="O13868">
            <v>420</v>
          </cell>
        </row>
        <row r="13869">
          <cell r="F13869" t="str">
            <v xml:space="preserve">88188644       </v>
          </cell>
          <cell r="O13869">
            <v>720</v>
          </cell>
        </row>
        <row r="13870">
          <cell r="F13870" t="str">
            <v xml:space="preserve">901449776      </v>
          </cell>
          <cell r="O13870">
            <v>45</v>
          </cell>
        </row>
        <row r="13871">
          <cell r="F13871" t="str">
            <v xml:space="preserve">1117502076     </v>
          </cell>
          <cell r="O13871">
            <v>375</v>
          </cell>
        </row>
        <row r="13872">
          <cell r="F13872" t="str">
            <v xml:space="preserve">1117502076     </v>
          </cell>
          <cell r="O13872">
            <v>54</v>
          </cell>
        </row>
        <row r="13873">
          <cell r="F13873" t="str">
            <v xml:space="preserve">1117502076     </v>
          </cell>
          <cell r="O13873">
            <v>90</v>
          </cell>
        </row>
        <row r="13874">
          <cell r="F13874" t="str">
            <v xml:space="preserve">5689927        </v>
          </cell>
          <cell r="O13874">
            <v>738</v>
          </cell>
        </row>
        <row r="13875">
          <cell r="F13875" t="str">
            <v xml:space="preserve">5689927        </v>
          </cell>
          <cell r="O13875">
            <v>270</v>
          </cell>
        </row>
        <row r="13876">
          <cell r="F13876" t="str">
            <v xml:space="preserve">13862691       </v>
          </cell>
          <cell r="O13876">
            <v>900</v>
          </cell>
        </row>
        <row r="13877">
          <cell r="F13877" t="str">
            <v xml:space="preserve">13862691       </v>
          </cell>
          <cell r="O13877">
            <v>360</v>
          </cell>
        </row>
        <row r="13878">
          <cell r="F13878" t="str">
            <v xml:space="preserve">91266362       </v>
          </cell>
          <cell r="O13878">
            <v>90</v>
          </cell>
        </row>
        <row r="13879">
          <cell r="F13879" t="str">
            <v xml:space="preserve">13537217       </v>
          </cell>
          <cell r="O13879">
            <v>126</v>
          </cell>
        </row>
        <row r="13880">
          <cell r="F13880" t="str">
            <v xml:space="preserve">91179643       </v>
          </cell>
          <cell r="O13880">
            <v>90</v>
          </cell>
        </row>
        <row r="13881">
          <cell r="F13881" t="str">
            <v xml:space="preserve">91178985       </v>
          </cell>
          <cell r="O13881">
            <v>4320</v>
          </cell>
        </row>
        <row r="13882">
          <cell r="F13882" t="str">
            <v xml:space="preserve">890503966      </v>
          </cell>
          <cell r="O13882">
            <v>3375</v>
          </cell>
        </row>
        <row r="13883">
          <cell r="F13883" t="str">
            <v xml:space="preserve">890503966      </v>
          </cell>
          <cell r="O13883">
            <v>540</v>
          </cell>
        </row>
        <row r="13884">
          <cell r="F13884" t="str">
            <v xml:space="preserve">890503966      </v>
          </cell>
          <cell r="O13884">
            <v>1215</v>
          </cell>
        </row>
        <row r="13885">
          <cell r="F13885" t="str">
            <v xml:space="preserve">74080481       </v>
          </cell>
          <cell r="O13885">
            <v>180</v>
          </cell>
        </row>
        <row r="13886">
          <cell r="F13886" t="str">
            <v xml:space="preserve">74080481       </v>
          </cell>
          <cell r="O13886">
            <v>9</v>
          </cell>
        </row>
        <row r="13887">
          <cell r="F13887" t="str">
            <v xml:space="preserve">91067422       </v>
          </cell>
          <cell r="O13887">
            <v>210</v>
          </cell>
        </row>
        <row r="13888">
          <cell r="F13888" t="str">
            <v xml:space="preserve">91067422       </v>
          </cell>
          <cell r="O13888">
            <v>18</v>
          </cell>
        </row>
        <row r="13889">
          <cell r="F13889" t="str">
            <v xml:space="preserve">91067422       </v>
          </cell>
          <cell r="O13889">
            <v>90</v>
          </cell>
        </row>
        <row r="13890">
          <cell r="F13890" t="str">
            <v xml:space="preserve">91067422       </v>
          </cell>
          <cell r="O13890">
            <v>30</v>
          </cell>
        </row>
        <row r="13891">
          <cell r="F13891" t="str">
            <v xml:space="preserve">91067422       </v>
          </cell>
          <cell r="O13891">
            <v>18</v>
          </cell>
        </row>
        <row r="13892">
          <cell r="F13892" t="str">
            <v xml:space="preserve">91067422       </v>
          </cell>
          <cell r="O13892">
            <v>45</v>
          </cell>
        </row>
        <row r="13893">
          <cell r="F13893" t="str">
            <v xml:space="preserve">91272730       </v>
          </cell>
          <cell r="O13893">
            <v>195</v>
          </cell>
        </row>
        <row r="13894">
          <cell r="F13894" t="str">
            <v xml:space="preserve">91272730       </v>
          </cell>
          <cell r="O13894">
            <v>108</v>
          </cell>
        </row>
        <row r="13895">
          <cell r="F13895" t="str">
            <v xml:space="preserve">78033625       </v>
          </cell>
          <cell r="O13895">
            <v>15</v>
          </cell>
        </row>
        <row r="13896">
          <cell r="F13896" t="str">
            <v xml:space="preserve">78033625       </v>
          </cell>
          <cell r="O13896">
            <v>1980</v>
          </cell>
        </row>
        <row r="13897">
          <cell r="F13897" t="str">
            <v xml:space="preserve">9083821        </v>
          </cell>
          <cell r="O13897">
            <v>465</v>
          </cell>
        </row>
        <row r="13898">
          <cell r="F13898" t="str">
            <v xml:space="preserve">9083821        </v>
          </cell>
          <cell r="O13898">
            <v>846</v>
          </cell>
        </row>
        <row r="13899">
          <cell r="F13899" t="str">
            <v xml:space="preserve">85477397       </v>
          </cell>
          <cell r="O13899">
            <v>1800</v>
          </cell>
        </row>
        <row r="13900">
          <cell r="F13900" t="str">
            <v xml:space="preserve">85477397       </v>
          </cell>
          <cell r="O13900">
            <v>360</v>
          </cell>
        </row>
        <row r="13901">
          <cell r="F13901" t="str">
            <v xml:space="preserve">30853980       </v>
          </cell>
          <cell r="O13901">
            <v>216</v>
          </cell>
        </row>
        <row r="13902">
          <cell r="F13902" t="str">
            <v xml:space="preserve">30853980       </v>
          </cell>
          <cell r="O13902">
            <v>15</v>
          </cell>
        </row>
        <row r="13903">
          <cell r="F13903" t="str">
            <v xml:space="preserve">17842923       </v>
          </cell>
          <cell r="O13903">
            <v>2205</v>
          </cell>
        </row>
        <row r="13904">
          <cell r="F13904" t="str">
            <v xml:space="preserve">17842923       </v>
          </cell>
          <cell r="O13904">
            <v>450</v>
          </cell>
        </row>
        <row r="13905">
          <cell r="F13905" t="str">
            <v xml:space="preserve">17842923       </v>
          </cell>
          <cell r="O13905">
            <v>414</v>
          </cell>
        </row>
        <row r="13906">
          <cell r="F13906" t="str">
            <v xml:space="preserve">91288772       </v>
          </cell>
          <cell r="O13906">
            <v>432</v>
          </cell>
        </row>
        <row r="13907">
          <cell r="F13907" t="str">
            <v xml:space="preserve">91288772       </v>
          </cell>
          <cell r="O13907">
            <v>270</v>
          </cell>
        </row>
        <row r="13908">
          <cell r="F13908" t="str">
            <v xml:space="preserve">91288772       </v>
          </cell>
          <cell r="O13908">
            <v>705</v>
          </cell>
        </row>
        <row r="13909">
          <cell r="F13909" t="str">
            <v xml:space="preserve">77191750       </v>
          </cell>
          <cell r="O13909">
            <v>738</v>
          </cell>
        </row>
        <row r="13910">
          <cell r="F13910" t="str">
            <v xml:space="preserve">77191750       </v>
          </cell>
          <cell r="O13910">
            <v>360</v>
          </cell>
        </row>
        <row r="13911">
          <cell r="F13911" t="str">
            <v xml:space="preserve">77191750       </v>
          </cell>
          <cell r="O13911">
            <v>90</v>
          </cell>
        </row>
        <row r="13912">
          <cell r="F13912" t="str">
            <v xml:space="preserve">91213004       </v>
          </cell>
          <cell r="O13912">
            <v>300</v>
          </cell>
        </row>
        <row r="13913">
          <cell r="F13913" t="str">
            <v xml:space="preserve">91213004       </v>
          </cell>
          <cell r="O13913">
            <v>720</v>
          </cell>
        </row>
        <row r="13914">
          <cell r="F13914" t="str">
            <v xml:space="preserve">72196317       </v>
          </cell>
          <cell r="O13914">
            <v>9</v>
          </cell>
        </row>
        <row r="13915">
          <cell r="F13915" t="str">
            <v xml:space="preserve">72196317       </v>
          </cell>
          <cell r="O13915">
            <v>180</v>
          </cell>
        </row>
        <row r="13916">
          <cell r="F13916" t="str">
            <v xml:space="preserve">72196317       </v>
          </cell>
          <cell r="O13916">
            <v>225</v>
          </cell>
        </row>
        <row r="13917">
          <cell r="F13917" t="str">
            <v xml:space="preserve">72196317       </v>
          </cell>
          <cell r="O13917">
            <v>1500</v>
          </cell>
        </row>
        <row r="13918">
          <cell r="F13918" t="str">
            <v xml:space="preserve">72196317       </v>
          </cell>
          <cell r="O13918">
            <v>180</v>
          </cell>
        </row>
        <row r="13919">
          <cell r="F13919" t="str">
            <v xml:space="preserve">72196317       </v>
          </cell>
          <cell r="O13919">
            <v>240</v>
          </cell>
        </row>
        <row r="13920">
          <cell r="F13920" t="str">
            <v xml:space="preserve">72196317       </v>
          </cell>
          <cell r="O13920">
            <v>36</v>
          </cell>
        </row>
        <row r="13921">
          <cell r="F13921" t="str">
            <v xml:space="preserve">72196317       </v>
          </cell>
          <cell r="O13921">
            <v>45</v>
          </cell>
        </row>
        <row r="13922">
          <cell r="F13922" t="str">
            <v xml:space="preserve">72196317       </v>
          </cell>
          <cell r="O13922">
            <v>90</v>
          </cell>
        </row>
        <row r="13923">
          <cell r="F13923" t="str">
            <v xml:space="preserve">1047231108     </v>
          </cell>
          <cell r="O13923">
            <v>810</v>
          </cell>
        </row>
        <row r="13924">
          <cell r="F13924" t="str">
            <v xml:space="preserve">73079740       </v>
          </cell>
          <cell r="O13924">
            <v>4.5</v>
          </cell>
        </row>
        <row r="13925">
          <cell r="F13925" t="str">
            <v xml:space="preserve">73079740       </v>
          </cell>
          <cell r="O13925">
            <v>45</v>
          </cell>
        </row>
        <row r="13926">
          <cell r="F13926" t="str">
            <v xml:space="preserve">73079740       </v>
          </cell>
          <cell r="O13926">
            <v>612</v>
          </cell>
        </row>
        <row r="13927">
          <cell r="F13927" t="str">
            <v xml:space="preserve">73079740       </v>
          </cell>
          <cell r="O13927">
            <v>90</v>
          </cell>
        </row>
        <row r="13928">
          <cell r="F13928" t="str">
            <v xml:space="preserve">1120352593     </v>
          </cell>
          <cell r="O13928">
            <v>9</v>
          </cell>
        </row>
        <row r="13929">
          <cell r="F13929" t="str">
            <v xml:space="preserve">1120352593     </v>
          </cell>
          <cell r="O13929">
            <v>60</v>
          </cell>
        </row>
        <row r="13930">
          <cell r="F13930" t="str">
            <v xml:space="preserve">1120352593     </v>
          </cell>
          <cell r="O13930">
            <v>2628</v>
          </cell>
        </row>
        <row r="13931">
          <cell r="F13931" t="str">
            <v xml:space="preserve">1120352593     </v>
          </cell>
          <cell r="O13931">
            <v>360</v>
          </cell>
        </row>
        <row r="13932">
          <cell r="F13932" t="str">
            <v xml:space="preserve">94479814       </v>
          </cell>
          <cell r="O13932">
            <v>30</v>
          </cell>
        </row>
        <row r="13933">
          <cell r="F13933" t="str">
            <v xml:space="preserve">94479814       </v>
          </cell>
          <cell r="O13933">
            <v>36</v>
          </cell>
        </row>
        <row r="13934">
          <cell r="F13934" t="str">
            <v xml:space="preserve">11255578       </v>
          </cell>
          <cell r="O13934">
            <v>27</v>
          </cell>
        </row>
        <row r="13935">
          <cell r="F13935" t="str">
            <v xml:space="preserve">11255578       </v>
          </cell>
          <cell r="O13935">
            <v>45</v>
          </cell>
        </row>
        <row r="13936">
          <cell r="F13936" t="str">
            <v xml:space="preserve">11255578       </v>
          </cell>
          <cell r="O13936">
            <v>306</v>
          </cell>
        </row>
        <row r="13937">
          <cell r="F13937" t="str">
            <v xml:space="preserve">11255578       </v>
          </cell>
          <cell r="O13937">
            <v>270</v>
          </cell>
        </row>
        <row r="13938">
          <cell r="F13938" t="str">
            <v xml:space="preserve">79827688       </v>
          </cell>
          <cell r="O13938">
            <v>9</v>
          </cell>
        </row>
        <row r="13939">
          <cell r="F13939" t="str">
            <v xml:space="preserve">79827688       </v>
          </cell>
          <cell r="O13939">
            <v>90</v>
          </cell>
        </row>
        <row r="13940">
          <cell r="F13940" t="str">
            <v xml:space="preserve">79827688       </v>
          </cell>
          <cell r="O13940">
            <v>162</v>
          </cell>
        </row>
        <row r="13941">
          <cell r="F13941" t="str">
            <v xml:space="preserve">79827688       </v>
          </cell>
          <cell r="O13941">
            <v>30</v>
          </cell>
        </row>
        <row r="13942">
          <cell r="F13942" t="str">
            <v xml:space="preserve">79827688       </v>
          </cell>
          <cell r="O13942">
            <v>126</v>
          </cell>
        </row>
        <row r="13943">
          <cell r="F13943" t="str">
            <v xml:space="preserve">92520690       </v>
          </cell>
          <cell r="O13943">
            <v>15</v>
          </cell>
        </row>
        <row r="13944">
          <cell r="F13944" t="str">
            <v xml:space="preserve">92520690       </v>
          </cell>
          <cell r="O13944">
            <v>630</v>
          </cell>
        </row>
        <row r="13945">
          <cell r="F13945" t="str">
            <v xml:space="preserve">80266206       </v>
          </cell>
          <cell r="O13945">
            <v>63</v>
          </cell>
        </row>
        <row r="13946">
          <cell r="F13946" t="str">
            <v xml:space="preserve">80266206       </v>
          </cell>
          <cell r="O13946">
            <v>324</v>
          </cell>
        </row>
        <row r="13947">
          <cell r="F13947" t="str">
            <v xml:space="preserve">80266206       </v>
          </cell>
          <cell r="O13947">
            <v>135</v>
          </cell>
        </row>
        <row r="13948">
          <cell r="F13948" t="str">
            <v xml:space="preserve">1111739602     </v>
          </cell>
          <cell r="O13948">
            <v>360</v>
          </cell>
        </row>
        <row r="13949">
          <cell r="F13949" t="str">
            <v xml:space="preserve">1111739602     </v>
          </cell>
          <cell r="O13949">
            <v>1275</v>
          </cell>
        </row>
        <row r="13950">
          <cell r="F13950" t="str">
            <v xml:space="preserve">88168843       </v>
          </cell>
          <cell r="O13950">
            <v>180</v>
          </cell>
        </row>
        <row r="13951">
          <cell r="F13951" t="str">
            <v xml:space="preserve">79266522       </v>
          </cell>
          <cell r="O13951">
            <v>216</v>
          </cell>
        </row>
        <row r="13952">
          <cell r="F13952" t="str">
            <v xml:space="preserve">79221604       </v>
          </cell>
          <cell r="O13952">
            <v>15</v>
          </cell>
        </row>
        <row r="13953">
          <cell r="F13953" t="str">
            <v xml:space="preserve">79221604       </v>
          </cell>
          <cell r="O13953">
            <v>360</v>
          </cell>
        </row>
        <row r="13954">
          <cell r="F13954" t="str">
            <v xml:space="preserve">79221604       </v>
          </cell>
          <cell r="O13954">
            <v>45</v>
          </cell>
        </row>
        <row r="13955">
          <cell r="F13955" t="str">
            <v xml:space="preserve">79221604       </v>
          </cell>
          <cell r="O13955">
            <v>18</v>
          </cell>
        </row>
        <row r="13956">
          <cell r="F13956" t="str">
            <v xml:space="preserve">79221604       </v>
          </cell>
          <cell r="O13956">
            <v>15</v>
          </cell>
        </row>
        <row r="13957">
          <cell r="F13957" t="str">
            <v xml:space="preserve">79221604       </v>
          </cell>
          <cell r="O13957">
            <v>180</v>
          </cell>
        </row>
        <row r="13958">
          <cell r="F13958" t="str">
            <v xml:space="preserve">79221604       </v>
          </cell>
          <cell r="O13958">
            <v>45</v>
          </cell>
        </row>
        <row r="13959">
          <cell r="F13959" t="str">
            <v xml:space="preserve">9867640        </v>
          </cell>
          <cell r="O13959">
            <v>75</v>
          </cell>
        </row>
        <row r="13960">
          <cell r="F13960" t="str">
            <v xml:space="preserve">9867640        </v>
          </cell>
          <cell r="O13960">
            <v>36</v>
          </cell>
        </row>
        <row r="13961">
          <cell r="F13961" t="str">
            <v xml:space="preserve">9867640        </v>
          </cell>
          <cell r="O13961">
            <v>90</v>
          </cell>
        </row>
        <row r="13962">
          <cell r="F13962" t="str">
            <v xml:space="preserve">10315862       </v>
          </cell>
          <cell r="O13962">
            <v>15</v>
          </cell>
        </row>
        <row r="13963">
          <cell r="F13963" t="str">
            <v xml:space="preserve">10315862       </v>
          </cell>
          <cell r="O13963">
            <v>360</v>
          </cell>
        </row>
        <row r="13964">
          <cell r="F13964" t="str">
            <v xml:space="preserve">10315862       </v>
          </cell>
          <cell r="O13964">
            <v>45</v>
          </cell>
        </row>
        <row r="13965">
          <cell r="F13965" t="str">
            <v xml:space="preserve">80021718       </v>
          </cell>
          <cell r="O13965">
            <v>1980</v>
          </cell>
        </row>
        <row r="13966">
          <cell r="F13966" t="str">
            <v xml:space="preserve">80021718       </v>
          </cell>
          <cell r="O13966">
            <v>495</v>
          </cell>
        </row>
        <row r="13967">
          <cell r="F13967" t="str">
            <v xml:space="preserve">74170036       </v>
          </cell>
          <cell r="O13967">
            <v>198</v>
          </cell>
        </row>
        <row r="13968">
          <cell r="F13968" t="str">
            <v xml:space="preserve">74170036       </v>
          </cell>
          <cell r="O13968">
            <v>270</v>
          </cell>
        </row>
        <row r="13969">
          <cell r="F13969" t="str">
            <v xml:space="preserve">7305518        </v>
          </cell>
          <cell r="O13969">
            <v>1440</v>
          </cell>
        </row>
        <row r="13970">
          <cell r="F13970" t="str">
            <v xml:space="preserve">7305518        </v>
          </cell>
          <cell r="O13970">
            <v>450</v>
          </cell>
        </row>
        <row r="13971">
          <cell r="F13971" t="str">
            <v xml:space="preserve">7305425        </v>
          </cell>
          <cell r="O13971">
            <v>45</v>
          </cell>
        </row>
        <row r="13972">
          <cell r="F13972" t="str">
            <v xml:space="preserve">7305425        </v>
          </cell>
          <cell r="O13972">
            <v>360</v>
          </cell>
        </row>
        <row r="13973">
          <cell r="F13973" t="str">
            <v xml:space="preserve">7305425        </v>
          </cell>
          <cell r="O13973">
            <v>135</v>
          </cell>
        </row>
        <row r="13974">
          <cell r="F13974" t="str">
            <v xml:space="preserve">4252280        </v>
          </cell>
          <cell r="O13974">
            <v>450</v>
          </cell>
        </row>
        <row r="13975">
          <cell r="F13975" t="str">
            <v xml:space="preserve">4252280        </v>
          </cell>
          <cell r="O13975">
            <v>135</v>
          </cell>
        </row>
        <row r="13976">
          <cell r="F13976" t="str">
            <v xml:space="preserve">80730783       </v>
          </cell>
          <cell r="O13976">
            <v>15</v>
          </cell>
        </row>
        <row r="13977">
          <cell r="F13977" t="str">
            <v xml:space="preserve">80730783       </v>
          </cell>
          <cell r="O13977">
            <v>774</v>
          </cell>
        </row>
        <row r="13978">
          <cell r="F13978" t="str">
            <v xml:space="preserve">79734086       </v>
          </cell>
          <cell r="O13978">
            <v>15</v>
          </cell>
        </row>
        <row r="13979">
          <cell r="F13979" t="str">
            <v xml:space="preserve">79734086       </v>
          </cell>
          <cell r="O13979">
            <v>90</v>
          </cell>
        </row>
        <row r="13980">
          <cell r="F13980" t="str">
            <v xml:space="preserve">79734086       </v>
          </cell>
          <cell r="O13980">
            <v>432</v>
          </cell>
        </row>
        <row r="13981">
          <cell r="F13981" t="str">
            <v xml:space="preserve">17783299       </v>
          </cell>
          <cell r="O13981">
            <v>3075</v>
          </cell>
        </row>
        <row r="13982">
          <cell r="F13982" t="str">
            <v xml:space="preserve">17783299       </v>
          </cell>
          <cell r="O13982">
            <v>630</v>
          </cell>
        </row>
        <row r="13983">
          <cell r="F13983" t="str">
            <v xml:space="preserve">17655129       </v>
          </cell>
          <cell r="O13983">
            <v>450</v>
          </cell>
        </row>
        <row r="13984">
          <cell r="F13984" t="str">
            <v xml:space="preserve">17655129       </v>
          </cell>
          <cell r="O13984">
            <v>135</v>
          </cell>
        </row>
        <row r="13985">
          <cell r="F13985" t="str">
            <v xml:space="preserve">1083686504     </v>
          </cell>
          <cell r="O13985">
            <v>90</v>
          </cell>
        </row>
        <row r="13986">
          <cell r="F13986" t="str">
            <v xml:space="preserve">1083686504     </v>
          </cell>
          <cell r="O13986">
            <v>225</v>
          </cell>
        </row>
        <row r="13987">
          <cell r="F13987" t="str">
            <v xml:space="preserve">12256895       </v>
          </cell>
          <cell r="O13987">
            <v>1275</v>
          </cell>
        </row>
        <row r="13988">
          <cell r="F13988" t="str">
            <v xml:space="preserve">12256895       </v>
          </cell>
          <cell r="O13988">
            <v>225</v>
          </cell>
        </row>
        <row r="13989">
          <cell r="F13989" t="str">
            <v xml:space="preserve">3024873        </v>
          </cell>
          <cell r="O13989">
            <v>225</v>
          </cell>
        </row>
        <row r="13990">
          <cell r="F13990" t="str">
            <v xml:space="preserve">19389409       </v>
          </cell>
          <cell r="O13990">
            <v>45</v>
          </cell>
        </row>
        <row r="13991">
          <cell r="F13991" t="str">
            <v xml:space="preserve">19389409       </v>
          </cell>
          <cell r="O13991">
            <v>306</v>
          </cell>
        </row>
        <row r="13992">
          <cell r="F13992" t="str">
            <v xml:space="preserve">19389409       </v>
          </cell>
          <cell r="O13992">
            <v>90</v>
          </cell>
        </row>
        <row r="13993">
          <cell r="F13993" t="str">
            <v xml:space="preserve">18185538       </v>
          </cell>
          <cell r="O13993">
            <v>600</v>
          </cell>
        </row>
        <row r="13994">
          <cell r="F13994" t="str">
            <v xml:space="preserve">18185538       </v>
          </cell>
          <cell r="O13994">
            <v>54</v>
          </cell>
        </row>
        <row r="13995">
          <cell r="F13995" t="str">
            <v xml:space="preserve">18185538       </v>
          </cell>
          <cell r="O13995">
            <v>45</v>
          </cell>
        </row>
        <row r="13996">
          <cell r="F13996" t="str">
            <v xml:space="preserve">18185538       </v>
          </cell>
          <cell r="O13996">
            <v>45</v>
          </cell>
        </row>
        <row r="13997">
          <cell r="F13997" t="str">
            <v xml:space="preserve">18185538       </v>
          </cell>
          <cell r="O13997">
            <v>360</v>
          </cell>
        </row>
        <row r="13998">
          <cell r="F13998" t="str">
            <v xml:space="preserve">18185538       </v>
          </cell>
          <cell r="O13998">
            <v>45</v>
          </cell>
        </row>
        <row r="13999">
          <cell r="F13999" t="str">
            <v xml:space="preserve">12266504       </v>
          </cell>
          <cell r="O13999">
            <v>555</v>
          </cell>
        </row>
        <row r="14000">
          <cell r="F14000" t="str">
            <v xml:space="preserve">12266504       </v>
          </cell>
          <cell r="O14000">
            <v>420</v>
          </cell>
        </row>
        <row r="14001">
          <cell r="F14001" t="str">
            <v xml:space="preserve">12266504       </v>
          </cell>
          <cell r="O14001">
            <v>18</v>
          </cell>
        </row>
        <row r="14002">
          <cell r="F14002" t="str">
            <v xml:space="preserve">12266504       </v>
          </cell>
          <cell r="O14002">
            <v>45</v>
          </cell>
        </row>
        <row r="14003">
          <cell r="F14003" t="str">
            <v xml:space="preserve">12231586       </v>
          </cell>
          <cell r="O14003">
            <v>150</v>
          </cell>
        </row>
        <row r="14004">
          <cell r="F14004" t="str">
            <v xml:space="preserve">12231586       </v>
          </cell>
          <cell r="O14004">
            <v>36</v>
          </cell>
        </row>
        <row r="14005">
          <cell r="F14005" t="str">
            <v xml:space="preserve">12231586       </v>
          </cell>
          <cell r="O14005">
            <v>270</v>
          </cell>
        </row>
        <row r="14006">
          <cell r="F14006" t="str">
            <v xml:space="preserve">83042067       </v>
          </cell>
          <cell r="O14006">
            <v>255</v>
          </cell>
        </row>
        <row r="14007">
          <cell r="F14007" t="str">
            <v xml:space="preserve">83042067       </v>
          </cell>
          <cell r="O14007">
            <v>225</v>
          </cell>
        </row>
        <row r="14008">
          <cell r="F14008" t="str">
            <v xml:space="preserve">83042067       </v>
          </cell>
          <cell r="O14008">
            <v>36</v>
          </cell>
        </row>
        <row r="14009">
          <cell r="F14009" t="str">
            <v xml:space="preserve">83042067       </v>
          </cell>
          <cell r="O14009">
            <v>135</v>
          </cell>
        </row>
        <row r="14010">
          <cell r="F14010" t="str">
            <v xml:space="preserve">18144684       </v>
          </cell>
          <cell r="O14010">
            <v>150</v>
          </cell>
        </row>
        <row r="14011">
          <cell r="F14011" t="str">
            <v xml:space="preserve">18144684       </v>
          </cell>
          <cell r="O14011">
            <v>18</v>
          </cell>
        </row>
        <row r="14012">
          <cell r="F14012" t="str">
            <v xml:space="preserve">18144684       </v>
          </cell>
          <cell r="O14012">
            <v>90</v>
          </cell>
        </row>
        <row r="14013">
          <cell r="F14013" t="str">
            <v xml:space="preserve">18144684       </v>
          </cell>
          <cell r="O14013">
            <v>180</v>
          </cell>
        </row>
        <row r="14014">
          <cell r="F14014" t="str">
            <v xml:space="preserve">18144684       </v>
          </cell>
          <cell r="O14014">
            <v>36</v>
          </cell>
        </row>
        <row r="14015">
          <cell r="F14015" t="str">
            <v xml:space="preserve">18144684       </v>
          </cell>
          <cell r="O14015">
            <v>45</v>
          </cell>
        </row>
        <row r="14016">
          <cell r="F14016" t="str">
            <v xml:space="preserve">16864143       </v>
          </cell>
          <cell r="O14016">
            <v>450</v>
          </cell>
        </row>
        <row r="14017">
          <cell r="F14017" t="str">
            <v xml:space="preserve">16864143       </v>
          </cell>
          <cell r="O14017">
            <v>36</v>
          </cell>
        </row>
        <row r="14018">
          <cell r="F14018" t="str">
            <v xml:space="preserve">16864143       </v>
          </cell>
          <cell r="O14018">
            <v>45</v>
          </cell>
        </row>
        <row r="14019">
          <cell r="F14019" t="str">
            <v xml:space="preserve">1062292334     </v>
          </cell>
          <cell r="O14019">
            <v>300</v>
          </cell>
        </row>
        <row r="14020">
          <cell r="F14020" t="str">
            <v xml:space="preserve">1062292334     </v>
          </cell>
          <cell r="O14020">
            <v>630</v>
          </cell>
        </row>
        <row r="14021">
          <cell r="F14021" t="str">
            <v xml:space="preserve">1062292334     </v>
          </cell>
          <cell r="O14021">
            <v>45</v>
          </cell>
        </row>
        <row r="14022">
          <cell r="F14022" t="str">
            <v xml:space="preserve">1062292334     </v>
          </cell>
          <cell r="O14022">
            <v>120</v>
          </cell>
        </row>
        <row r="14023">
          <cell r="F14023" t="str">
            <v xml:space="preserve">1062292334     </v>
          </cell>
          <cell r="O14023">
            <v>396</v>
          </cell>
        </row>
        <row r="14024">
          <cell r="F14024" t="str">
            <v xml:space="preserve">93287188       </v>
          </cell>
          <cell r="O14024">
            <v>30</v>
          </cell>
        </row>
        <row r="14025">
          <cell r="F14025" t="str">
            <v xml:space="preserve">93287188       </v>
          </cell>
          <cell r="O14025">
            <v>630</v>
          </cell>
        </row>
        <row r="14026">
          <cell r="F14026" t="str">
            <v xml:space="preserve">93287188       </v>
          </cell>
          <cell r="O14026">
            <v>90</v>
          </cell>
        </row>
        <row r="14027">
          <cell r="F14027" t="str">
            <v xml:space="preserve">11445090       </v>
          </cell>
          <cell r="O14027">
            <v>18</v>
          </cell>
        </row>
        <row r="14028">
          <cell r="F14028" t="str">
            <v xml:space="preserve">11445090       </v>
          </cell>
          <cell r="O14028">
            <v>90</v>
          </cell>
        </row>
        <row r="14029">
          <cell r="F14029" t="str">
            <v xml:space="preserve">11445090       </v>
          </cell>
          <cell r="O14029">
            <v>15</v>
          </cell>
        </row>
        <row r="14030">
          <cell r="F14030" t="str">
            <v xml:space="preserve">11445090       </v>
          </cell>
          <cell r="O14030">
            <v>360</v>
          </cell>
        </row>
        <row r="14031">
          <cell r="F14031" t="str">
            <v xml:space="preserve">860513290      </v>
          </cell>
          <cell r="O14031">
            <v>9</v>
          </cell>
        </row>
        <row r="14032">
          <cell r="F14032" t="str">
            <v xml:space="preserve">860513290      </v>
          </cell>
          <cell r="O14032">
            <v>18</v>
          </cell>
        </row>
        <row r="14033">
          <cell r="F14033" t="str">
            <v xml:space="preserve">901118744      </v>
          </cell>
          <cell r="O14033">
            <v>63</v>
          </cell>
        </row>
        <row r="14034">
          <cell r="F14034" t="str">
            <v xml:space="preserve">375997         </v>
          </cell>
          <cell r="O14034">
            <v>15</v>
          </cell>
        </row>
        <row r="14035">
          <cell r="F14035" t="str">
            <v xml:space="preserve">375997         </v>
          </cell>
          <cell r="O14035">
            <v>234</v>
          </cell>
        </row>
        <row r="14036">
          <cell r="F14036" t="str">
            <v xml:space="preserve">375997         </v>
          </cell>
          <cell r="O14036">
            <v>90</v>
          </cell>
        </row>
        <row r="14037">
          <cell r="F14037" t="str">
            <v xml:space="preserve">830133323      </v>
          </cell>
          <cell r="O14037">
            <v>90</v>
          </cell>
        </row>
        <row r="14038">
          <cell r="F14038" t="str">
            <v xml:space="preserve">830133323      </v>
          </cell>
          <cell r="O14038">
            <v>90</v>
          </cell>
        </row>
        <row r="14039">
          <cell r="F14039" t="str">
            <v xml:space="preserve">3158780        </v>
          </cell>
          <cell r="O14039">
            <v>486</v>
          </cell>
        </row>
        <row r="14040">
          <cell r="F14040" t="str">
            <v xml:space="preserve">3158780        </v>
          </cell>
          <cell r="O14040">
            <v>90</v>
          </cell>
        </row>
        <row r="14041">
          <cell r="F14041" t="str">
            <v xml:space="preserve">3159567        </v>
          </cell>
          <cell r="O14041">
            <v>540</v>
          </cell>
        </row>
        <row r="14042">
          <cell r="F14042" t="str">
            <v xml:space="preserve">3159567        </v>
          </cell>
          <cell r="O14042">
            <v>45</v>
          </cell>
        </row>
        <row r="14043">
          <cell r="F14043" t="str">
            <v xml:space="preserve">80277771       </v>
          </cell>
          <cell r="O14043">
            <v>105</v>
          </cell>
        </row>
        <row r="14044">
          <cell r="F14044" t="str">
            <v xml:space="preserve">80277771       </v>
          </cell>
          <cell r="O14044">
            <v>756</v>
          </cell>
        </row>
        <row r="14045">
          <cell r="F14045" t="str">
            <v xml:space="preserve">80277771       </v>
          </cell>
          <cell r="O14045">
            <v>450</v>
          </cell>
        </row>
        <row r="14046">
          <cell r="F14046" t="str">
            <v xml:space="preserve">830133323      </v>
          </cell>
          <cell r="O14046">
            <v>270</v>
          </cell>
        </row>
        <row r="14047">
          <cell r="F14047" t="str">
            <v xml:space="preserve">830133323      </v>
          </cell>
          <cell r="O14047">
            <v>36</v>
          </cell>
        </row>
        <row r="14048">
          <cell r="F14048" t="str">
            <v xml:space="preserve">830133323      </v>
          </cell>
          <cell r="O14048">
            <v>18</v>
          </cell>
        </row>
        <row r="14049">
          <cell r="F14049" t="str">
            <v xml:space="preserve">830133323      </v>
          </cell>
          <cell r="O14049">
            <v>45</v>
          </cell>
        </row>
        <row r="14050">
          <cell r="F14050" t="str">
            <v xml:space="preserve">80351964       </v>
          </cell>
          <cell r="O14050">
            <v>81</v>
          </cell>
        </row>
        <row r="14051">
          <cell r="F14051" t="str">
            <v xml:space="preserve">80351964       </v>
          </cell>
          <cell r="O14051">
            <v>108</v>
          </cell>
        </row>
        <row r="14052">
          <cell r="F14052" t="str">
            <v xml:space="preserve">80351964       </v>
          </cell>
          <cell r="O14052">
            <v>45</v>
          </cell>
        </row>
        <row r="14053">
          <cell r="F14053" t="str">
            <v xml:space="preserve">80283261       </v>
          </cell>
          <cell r="O14053">
            <v>450</v>
          </cell>
        </row>
        <row r="14054">
          <cell r="F14054" t="str">
            <v xml:space="preserve">80283261       </v>
          </cell>
          <cell r="O14054">
            <v>45</v>
          </cell>
        </row>
        <row r="14055">
          <cell r="F14055" t="str">
            <v xml:space="preserve">1072422938     </v>
          </cell>
          <cell r="O14055">
            <v>828</v>
          </cell>
        </row>
        <row r="14056">
          <cell r="F14056" t="str">
            <v xml:space="preserve">1072422938     </v>
          </cell>
          <cell r="O14056">
            <v>135</v>
          </cell>
        </row>
        <row r="14057">
          <cell r="F14057" t="str">
            <v xml:space="preserve">1072422938     </v>
          </cell>
          <cell r="O14057">
            <v>30</v>
          </cell>
        </row>
        <row r="14058">
          <cell r="F14058" t="str">
            <v xml:space="preserve">80276442       </v>
          </cell>
          <cell r="O14058">
            <v>450</v>
          </cell>
        </row>
        <row r="14059">
          <cell r="F14059" t="str">
            <v xml:space="preserve">80276442       </v>
          </cell>
          <cell r="O14059">
            <v>90</v>
          </cell>
        </row>
        <row r="14060">
          <cell r="F14060" t="str">
            <v xml:space="preserve">830133323      </v>
          </cell>
          <cell r="O14060">
            <v>45</v>
          </cell>
        </row>
        <row r="14061">
          <cell r="F14061" t="str">
            <v xml:space="preserve">79210220       </v>
          </cell>
          <cell r="O14061">
            <v>216</v>
          </cell>
        </row>
        <row r="14062">
          <cell r="F14062" t="str">
            <v xml:space="preserve">80024551       </v>
          </cell>
          <cell r="O14062">
            <v>63</v>
          </cell>
        </row>
        <row r="14063">
          <cell r="F14063" t="str">
            <v xml:space="preserve">80024551       </v>
          </cell>
          <cell r="O14063">
            <v>15</v>
          </cell>
        </row>
        <row r="14064">
          <cell r="F14064" t="str">
            <v xml:space="preserve">80024551       </v>
          </cell>
          <cell r="O14064">
            <v>1332</v>
          </cell>
        </row>
        <row r="14065">
          <cell r="F14065" t="str">
            <v xml:space="preserve">80024551       </v>
          </cell>
          <cell r="O14065">
            <v>450</v>
          </cell>
        </row>
        <row r="14066">
          <cell r="F14066" t="str">
            <v xml:space="preserve">80004213       </v>
          </cell>
          <cell r="O14066">
            <v>165</v>
          </cell>
        </row>
        <row r="14067">
          <cell r="F14067" t="str">
            <v xml:space="preserve">80004213       </v>
          </cell>
          <cell r="O14067">
            <v>738</v>
          </cell>
        </row>
        <row r="14068">
          <cell r="F14068" t="str">
            <v xml:space="preserve">80004213       </v>
          </cell>
          <cell r="O14068">
            <v>180</v>
          </cell>
        </row>
        <row r="14069">
          <cell r="F14069" t="str">
            <v xml:space="preserve">98330118       </v>
          </cell>
          <cell r="O14069">
            <v>300</v>
          </cell>
        </row>
        <row r="14070">
          <cell r="F14070" t="str">
            <v xml:space="preserve">98330118       </v>
          </cell>
          <cell r="O14070">
            <v>36</v>
          </cell>
        </row>
        <row r="14071">
          <cell r="F14071" t="str">
            <v xml:space="preserve">1126452165     </v>
          </cell>
          <cell r="O14071">
            <v>345</v>
          </cell>
        </row>
        <row r="14072">
          <cell r="F14072" t="str">
            <v xml:space="preserve">1126452165     </v>
          </cell>
          <cell r="O14072">
            <v>18</v>
          </cell>
        </row>
        <row r="14073">
          <cell r="F14073" t="str">
            <v xml:space="preserve">1126452165     </v>
          </cell>
          <cell r="O14073">
            <v>45</v>
          </cell>
        </row>
        <row r="14074">
          <cell r="F14074" t="str">
            <v xml:space="preserve">79339314       </v>
          </cell>
          <cell r="O14074">
            <v>120</v>
          </cell>
        </row>
        <row r="14075">
          <cell r="F14075" t="str">
            <v xml:space="preserve">79339314       </v>
          </cell>
          <cell r="O14075">
            <v>54</v>
          </cell>
        </row>
        <row r="14076">
          <cell r="F14076" t="str">
            <v xml:space="preserve">79339314       </v>
          </cell>
          <cell r="O14076">
            <v>135</v>
          </cell>
        </row>
        <row r="14077">
          <cell r="F14077" t="str">
            <v xml:space="preserve">3171403        </v>
          </cell>
          <cell r="O14077">
            <v>15</v>
          </cell>
        </row>
        <row r="14078">
          <cell r="F14078" t="str">
            <v xml:space="preserve">3171403        </v>
          </cell>
          <cell r="O14078">
            <v>234</v>
          </cell>
        </row>
        <row r="14079">
          <cell r="F14079" t="str">
            <v xml:space="preserve">3171403        </v>
          </cell>
          <cell r="O14079">
            <v>90</v>
          </cell>
        </row>
        <row r="14080">
          <cell r="F14080" t="str">
            <v xml:space="preserve">83218584       </v>
          </cell>
          <cell r="O14080">
            <v>54</v>
          </cell>
        </row>
        <row r="14081">
          <cell r="F14081" t="str">
            <v xml:space="preserve">83218584       </v>
          </cell>
          <cell r="O14081">
            <v>90</v>
          </cell>
        </row>
        <row r="14082">
          <cell r="F14082" t="str">
            <v xml:space="preserve">83218584       </v>
          </cell>
          <cell r="O14082">
            <v>195</v>
          </cell>
        </row>
        <row r="14083">
          <cell r="F14083" t="str">
            <v xml:space="preserve">63316163       </v>
          </cell>
          <cell r="O14083">
            <v>1440</v>
          </cell>
        </row>
        <row r="14084">
          <cell r="F14084" t="str">
            <v xml:space="preserve">63316163       </v>
          </cell>
          <cell r="O14084">
            <v>450</v>
          </cell>
        </row>
        <row r="14085">
          <cell r="F14085" t="str">
            <v xml:space="preserve">1114887745     </v>
          </cell>
          <cell r="O14085">
            <v>540</v>
          </cell>
        </row>
        <row r="14086">
          <cell r="F14086" t="str">
            <v xml:space="preserve">1112626290     </v>
          </cell>
          <cell r="O14086">
            <v>198</v>
          </cell>
        </row>
        <row r="14087">
          <cell r="F14087" t="str">
            <v xml:space="preserve">1112626290     </v>
          </cell>
          <cell r="O14087">
            <v>225</v>
          </cell>
        </row>
        <row r="14088">
          <cell r="F14088" t="str">
            <v xml:space="preserve">1112626290     </v>
          </cell>
          <cell r="O14088">
            <v>450</v>
          </cell>
        </row>
        <row r="14089">
          <cell r="F14089" t="str">
            <v xml:space="preserve">1112626290     </v>
          </cell>
          <cell r="O14089">
            <v>45</v>
          </cell>
        </row>
        <row r="14090">
          <cell r="F14090" t="str">
            <v xml:space="preserve">1097404034     </v>
          </cell>
          <cell r="O14090">
            <v>360</v>
          </cell>
        </row>
        <row r="14091">
          <cell r="F14091" t="str">
            <v xml:space="preserve">1097404034     </v>
          </cell>
          <cell r="O14091">
            <v>72</v>
          </cell>
        </row>
        <row r="14092">
          <cell r="F14092" t="str">
            <v xml:space="preserve">1097404034     </v>
          </cell>
          <cell r="O14092">
            <v>45</v>
          </cell>
        </row>
        <row r="14093">
          <cell r="F14093" t="str">
            <v xml:space="preserve">7545517        </v>
          </cell>
          <cell r="O14093">
            <v>135</v>
          </cell>
        </row>
        <row r="14094">
          <cell r="F14094" t="str">
            <v xml:space="preserve">7545517        </v>
          </cell>
          <cell r="O14094">
            <v>144</v>
          </cell>
        </row>
        <row r="14095">
          <cell r="F14095" t="str">
            <v xml:space="preserve">94071517       </v>
          </cell>
          <cell r="O14095">
            <v>330</v>
          </cell>
        </row>
        <row r="14096">
          <cell r="F14096" t="str">
            <v xml:space="preserve">94071517       </v>
          </cell>
          <cell r="O14096">
            <v>18</v>
          </cell>
        </row>
        <row r="14097">
          <cell r="F14097" t="str">
            <v xml:space="preserve">94071517       </v>
          </cell>
          <cell r="O14097">
            <v>45</v>
          </cell>
        </row>
        <row r="14098">
          <cell r="F14098" t="str">
            <v xml:space="preserve">8435389        </v>
          </cell>
          <cell r="O14098">
            <v>342</v>
          </cell>
        </row>
        <row r="14099">
          <cell r="F14099" t="str">
            <v xml:space="preserve">8101796        </v>
          </cell>
          <cell r="O14099">
            <v>300</v>
          </cell>
        </row>
        <row r="14100">
          <cell r="F14100" t="str">
            <v xml:space="preserve">8101796        </v>
          </cell>
          <cell r="O14100">
            <v>4500</v>
          </cell>
        </row>
        <row r="14101">
          <cell r="F14101" t="str">
            <v xml:space="preserve">8101796        </v>
          </cell>
          <cell r="O14101">
            <v>225</v>
          </cell>
        </row>
        <row r="14102">
          <cell r="F14102" t="str">
            <v xml:space="preserve">71174894       </v>
          </cell>
          <cell r="O14102">
            <v>2835</v>
          </cell>
        </row>
        <row r="14103">
          <cell r="F14103" t="str">
            <v xml:space="preserve">71174894       </v>
          </cell>
          <cell r="O14103">
            <v>54</v>
          </cell>
        </row>
        <row r="14104">
          <cell r="F14104" t="str">
            <v xml:space="preserve">1101440685     </v>
          </cell>
          <cell r="O14104">
            <v>435</v>
          </cell>
        </row>
        <row r="14105">
          <cell r="F14105" t="str">
            <v xml:space="preserve">1101440685     </v>
          </cell>
          <cell r="O14105">
            <v>774</v>
          </cell>
        </row>
        <row r="14106">
          <cell r="F14106" t="str">
            <v xml:space="preserve">1023722736     </v>
          </cell>
          <cell r="O14106">
            <v>750</v>
          </cell>
        </row>
        <row r="14107">
          <cell r="F14107" t="str">
            <v xml:space="preserve">1039696881     </v>
          </cell>
          <cell r="O14107">
            <v>27</v>
          </cell>
        </row>
        <row r="14108">
          <cell r="F14108" t="str">
            <v xml:space="preserve">1039696881     </v>
          </cell>
          <cell r="O14108">
            <v>9</v>
          </cell>
        </row>
        <row r="14109">
          <cell r="F14109" t="str">
            <v xml:space="preserve">1039696881     </v>
          </cell>
          <cell r="O14109">
            <v>2034</v>
          </cell>
        </row>
        <row r="14110">
          <cell r="F14110" t="str">
            <v xml:space="preserve">1039696881     </v>
          </cell>
          <cell r="O14110">
            <v>9</v>
          </cell>
        </row>
        <row r="14111">
          <cell r="F14111" t="str">
            <v xml:space="preserve">1039696881     </v>
          </cell>
          <cell r="O14111">
            <v>1494</v>
          </cell>
        </row>
        <row r="14112">
          <cell r="F14112" t="str">
            <v xml:space="preserve">16186973       </v>
          </cell>
          <cell r="O14112">
            <v>36</v>
          </cell>
        </row>
        <row r="14113">
          <cell r="F14113" t="str">
            <v xml:space="preserve">16186973       </v>
          </cell>
          <cell r="O14113">
            <v>30</v>
          </cell>
        </row>
        <row r="14114">
          <cell r="F14114" t="str">
            <v xml:space="preserve">16186973       </v>
          </cell>
          <cell r="O14114">
            <v>450</v>
          </cell>
        </row>
        <row r="14115">
          <cell r="F14115" t="str">
            <v xml:space="preserve">16186973       </v>
          </cell>
          <cell r="O14115">
            <v>45</v>
          </cell>
        </row>
        <row r="14116">
          <cell r="F14116" t="str">
            <v xml:space="preserve">1070329625     </v>
          </cell>
          <cell r="O14116">
            <v>90</v>
          </cell>
        </row>
        <row r="14117">
          <cell r="F14117" t="str">
            <v xml:space="preserve">1070329625     </v>
          </cell>
          <cell r="O14117">
            <v>1800</v>
          </cell>
        </row>
        <row r="14118">
          <cell r="F14118" t="str">
            <v xml:space="preserve">1092154547     </v>
          </cell>
          <cell r="O14118">
            <v>9</v>
          </cell>
        </row>
        <row r="14119">
          <cell r="F14119" t="str">
            <v xml:space="preserve">1092154547     </v>
          </cell>
          <cell r="O14119">
            <v>252</v>
          </cell>
        </row>
        <row r="14120">
          <cell r="F14120" t="str">
            <v xml:space="preserve">1092154547     </v>
          </cell>
          <cell r="O14120">
            <v>90</v>
          </cell>
        </row>
        <row r="14121">
          <cell r="F14121" t="str">
            <v xml:space="preserve">91352291       </v>
          </cell>
          <cell r="O14121">
            <v>30</v>
          </cell>
        </row>
        <row r="14122">
          <cell r="F14122" t="str">
            <v xml:space="preserve">91352291       </v>
          </cell>
          <cell r="O14122">
            <v>360</v>
          </cell>
        </row>
        <row r="14123">
          <cell r="F14123" t="str">
            <v xml:space="preserve">15381508       </v>
          </cell>
          <cell r="O14123">
            <v>90</v>
          </cell>
        </row>
        <row r="14124">
          <cell r="F14124" t="str">
            <v xml:space="preserve">15381508       </v>
          </cell>
          <cell r="O14124">
            <v>108</v>
          </cell>
        </row>
        <row r="14125">
          <cell r="F14125" t="str">
            <v xml:space="preserve">15381508       </v>
          </cell>
          <cell r="O14125">
            <v>180</v>
          </cell>
        </row>
        <row r="14126">
          <cell r="F14126" t="str">
            <v xml:space="preserve">1105671149     </v>
          </cell>
          <cell r="O14126">
            <v>90</v>
          </cell>
        </row>
        <row r="14127">
          <cell r="F14127" t="str">
            <v xml:space="preserve">1105671149     </v>
          </cell>
          <cell r="O14127">
            <v>75</v>
          </cell>
        </row>
        <row r="14128">
          <cell r="F14128" t="str">
            <v xml:space="preserve">1105671149     </v>
          </cell>
          <cell r="O14128">
            <v>702</v>
          </cell>
        </row>
        <row r="14129">
          <cell r="F14129" t="str">
            <v xml:space="preserve">1105671149     </v>
          </cell>
          <cell r="O14129">
            <v>180</v>
          </cell>
        </row>
        <row r="14130">
          <cell r="F14130" t="str">
            <v xml:space="preserve">88273778       </v>
          </cell>
          <cell r="O14130">
            <v>165</v>
          </cell>
        </row>
        <row r="14131">
          <cell r="F14131" t="str">
            <v xml:space="preserve">98763233       </v>
          </cell>
          <cell r="O14131">
            <v>1476</v>
          </cell>
        </row>
        <row r="14132">
          <cell r="F14132" t="str">
            <v xml:space="preserve">10180926       </v>
          </cell>
          <cell r="O14132">
            <v>210</v>
          </cell>
        </row>
        <row r="14133">
          <cell r="F14133" t="str">
            <v xml:space="preserve">10180926       </v>
          </cell>
          <cell r="O14133">
            <v>468</v>
          </cell>
        </row>
        <row r="14134">
          <cell r="F14134" t="str">
            <v xml:space="preserve">10180926       </v>
          </cell>
          <cell r="O14134">
            <v>90</v>
          </cell>
        </row>
        <row r="14135">
          <cell r="F14135" t="str">
            <v xml:space="preserve">901301637      </v>
          </cell>
          <cell r="O14135">
            <v>885</v>
          </cell>
        </row>
        <row r="14136">
          <cell r="F14136" t="str">
            <v xml:space="preserve">901301637      </v>
          </cell>
          <cell r="O14136">
            <v>5742</v>
          </cell>
        </row>
        <row r="14137">
          <cell r="F14137" t="str">
            <v xml:space="preserve">901301637      </v>
          </cell>
          <cell r="O14137">
            <v>765</v>
          </cell>
        </row>
        <row r="14138">
          <cell r="F14138" t="str">
            <v xml:space="preserve">1036942800     </v>
          </cell>
          <cell r="O14138">
            <v>216</v>
          </cell>
        </row>
        <row r="14139">
          <cell r="F14139" t="str">
            <v xml:space="preserve">1036942800     </v>
          </cell>
          <cell r="O14139">
            <v>135</v>
          </cell>
        </row>
        <row r="14140">
          <cell r="F14140" t="str">
            <v xml:space="preserve">28686722       </v>
          </cell>
          <cell r="O14140">
            <v>1350</v>
          </cell>
        </row>
        <row r="14141">
          <cell r="F14141" t="str">
            <v xml:space="preserve">28686722       </v>
          </cell>
          <cell r="O14141">
            <v>675</v>
          </cell>
        </row>
        <row r="14142">
          <cell r="F14142" t="str">
            <v xml:space="preserve">900689732      </v>
          </cell>
          <cell r="O14142">
            <v>90</v>
          </cell>
        </row>
        <row r="14143">
          <cell r="F14143" t="str">
            <v xml:space="preserve">900689732      </v>
          </cell>
          <cell r="O14143">
            <v>90</v>
          </cell>
        </row>
        <row r="14144">
          <cell r="F14144" t="str">
            <v xml:space="preserve">900689732      </v>
          </cell>
          <cell r="O14144">
            <v>36</v>
          </cell>
        </row>
        <row r="14145">
          <cell r="F14145" t="str">
            <v xml:space="preserve">900689732      </v>
          </cell>
          <cell r="O14145">
            <v>54</v>
          </cell>
        </row>
        <row r="14146">
          <cell r="F14146" t="str">
            <v xml:space="preserve">900689732      </v>
          </cell>
          <cell r="O14146">
            <v>90</v>
          </cell>
        </row>
        <row r="14147">
          <cell r="F14147" t="str">
            <v xml:space="preserve">94420654       </v>
          </cell>
          <cell r="O14147">
            <v>306</v>
          </cell>
        </row>
        <row r="14148">
          <cell r="F14148" t="str">
            <v xml:space="preserve">1090397527     </v>
          </cell>
          <cell r="O14148">
            <v>225</v>
          </cell>
        </row>
        <row r="14149">
          <cell r="F14149" t="str">
            <v xml:space="preserve">1090397527     </v>
          </cell>
          <cell r="O14149">
            <v>360</v>
          </cell>
        </row>
        <row r="14150">
          <cell r="F14150" t="str">
            <v xml:space="preserve">1090397527     </v>
          </cell>
          <cell r="O14150">
            <v>360</v>
          </cell>
        </row>
        <row r="14151">
          <cell r="F14151" t="str">
            <v xml:space="preserve">1090397527     </v>
          </cell>
          <cell r="O14151">
            <v>225</v>
          </cell>
        </row>
        <row r="14152">
          <cell r="F14152" t="str">
            <v xml:space="preserve">1090397527     </v>
          </cell>
          <cell r="O14152">
            <v>585</v>
          </cell>
        </row>
        <row r="14153">
          <cell r="F14153" t="str">
            <v xml:space="preserve">1090397527     </v>
          </cell>
          <cell r="O14153">
            <v>285</v>
          </cell>
        </row>
        <row r="14154">
          <cell r="F14154" t="str">
            <v xml:space="preserve">1090397527     </v>
          </cell>
          <cell r="O14154">
            <v>945</v>
          </cell>
        </row>
        <row r="14155">
          <cell r="F14155" t="str">
            <v xml:space="preserve">1090397527     </v>
          </cell>
          <cell r="O14155">
            <v>180</v>
          </cell>
        </row>
        <row r="14156">
          <cell r="F14156" t="str">
            <v xml:space="preserve">1090397527     </v>
          </cell>
          <cell r="O14156">
            <v>135</v>
          </cell>
        </row>
        <row r="14157">
          <cell r="F14157" t="str">
            <v xml:space="preserve">73126502       </v>
          </cell>
          <cell r="O14157">
            <v>300</v>
          </cell>
        </row>
        <row r="14158">
          <cell r="F14158" t="str">
            <v xml:space="preserve">73126502       </v>
          </cell>
          <cell r="O14158">
            <v>108</v>
          </cell>
        </row>
        <row r="14159">
          <cell r="F14159" t="str">
            <v xml:space="preserve">83221998       </v>
          </cell>
          <cell r="O14159">
            <v>150</v>
          </cell>
        </row>
        <row r="14160">
          <cell r="F14160" t="str">
            <v xml:space="preserve">83221998       </v>
          </cell>
          <cell r="O14160">
            <v>324</v>
          </cell>
        </row>
        <row r="14161">
          <cell r="F14161" t="str">
            <v xml:space="preserve">83221998       </v>
          </cell>
          <cell r="O14161">
            <v>135</v>
          </cell>
        </row>
        <row r="14162">
          <cell r="F14162" t="str">
            <v xml:space="preserve">71142360       </v>
          </cell>
          <cell r="O14162">
            <v>90</v>
          </cell>
        </row>
        <row r="14163">
          <cell r="F14163" t="str">
            <v xml:space="preserve">71142360       </v>
          </cell>
          <cell r="O14163">
            <v>486</v>
          </cell>
        </row>
        <row r="14164">
          <cell r="F14164" t="str">
            <v xml:space="preserve">71142360       </v>
          </cell>
          <cell r="O14164">
            <v>1455</v>
          </cell>
        </row>
        <row r="14165">
          <cell r="F14165" t="str">
            <v xml:space="preserve">71142360       </v>
          </cell>
          <cell r="O14165">
            <v>180</v>
          </cell>
        </row>
        <row r="14166">
          <cell r="F14166" t="str">
            <v xml:space="preserve">24341063       </v>
          </cell>
          <cell r="O14166">
            <v>4.5</v>
          </cell>
        </row>
        <row r="14167">
          <cell r="F14167" t="str">
            <v xml:space="preserve">24341063       </v>
          </cell>
          <cell r="O14167">
            <v>36</v>
          </cell>
        </row>
        <row r="14168">
          <cell r="F14168" t="str">
            <v xml:space="preserve">24341063       </v>
          </cell>
          <cell r="O14168">
            <v>1200</v>
          </cell>
        </row>
        <row r="14169">
          <cell r="F14169" t="str">
            <v xml:space="preserve">24341063       </v>
          </cell>
          <cell r="O14169">
            <v>234</v>
          </cell>
        </row>
        <row r="14170">
          <cell r="F14170" t="str">
            <v xml:space="preserve">24341063       </v>
          </cell>
          <cell r="O14170">
            <v>135</v>
          </cell>
        </row>
        <row r="14171">
          <cell r="F14171" t="str">
            <v xml:space="preserve">901178932      </v>
          </cell>
          <cell r="O14171">
            <v>54</v>
          </cell>
        </row>
        <row r="14172">
          <cell r="F14172" t="str">
            <v xml:space="preserve">860001697      </v>
          </cell>
          <cell r="O14172">
            <v>528.66</v>
          </cell>
        </row>
        <row r="14173">
          <cell r="F14173" t="str">
            <v xml:space="preserve">860001697      </v>
          </cell>
          <cell r="O14173">
            <v>186.4</v>
          </cell>
        </row>
        <row r="14174">
          <cell r="F14174" t="str">
            <v xml:space="preserve">1214745372     </v>
          </cell>
          <cell r="O14174">
            <v>468</v>
          </cell>
        </row>
        <row r="14175">
          <cell r="F14175" t="str">
            <v xml:space="preserve">93419128       </v>
          </cell>
          <cell r="O14175">
            <v>90</v>
          </cell>
        </row>
        <row r="14176">
          <cell r="F14176" t="str">
            <v xml:space="preserve">93419128       </v>
          </cell>
          <cell r="O14176">
            <v>630</v>
          </cell>
        </row>
        <row r="14177">
          <cell r="F14177" t="str">
            <v xml:space="preserve">93419128       </v>
          </cell>
          <cell r="O14177">
            <v>90</v>
          </cell>
        </row>
        <row r="14178">
          <cell r="F14178" t="str">
            <v xml:space="preserve">860002523      </v>
          </cell>
          <cell r="O14178">
            <v>120</v>
          </cell>
        </row>
        <row r="14179">
          <cell r="F14179" t="str">
            <v xml:space="preserve">860005265      </v>
          </cell>
          <cell r="O14179">
            <v>1096</v>
          </cell>
        </row>
        <row r="14180">
          <cell r="F14180" t="str">
            <v xml:space="preserve">860005265      </v>
          </cell>
          <cell r="O14180">
            <v>663.7</v>
          </cell>
        </row>
        <row r="14181">
          <cell r="F14181" t="str">
            <v xml:space="preserve">14229053       </v>
          </cell>
          <cell r="O14181">
            <v>150</v>
          </cell>
        </row>
        <row r="14182">
          <cell r="F14182" t="str">
            <v xml:space="preserve">203            </v>
          </cell>
          <cell r="O14182">
            <v>54</v>
          </cell>
        </row>
        <row r="14183">
          <cell r="F14183" t="str">
            <v xml:space="preserve">203            </v>
          </cell>
          <cell r="O14183">
            <v>90</v>
          </cell>
        </row>
        <row r="14184">
          <cell r="F14184" t="str">
            <v xml:space="preserve">203            </v>
          </cell>
          <cell r="O14184">
            <v>72</v>
          </cell>
        </row>
        <row r="14185">
          <cell r="F14185" t="str">
            <v xml:space="preserve">203            </v>
          </cell>
          <cell r="O14185">
            <v>90</v>
          </cell>
        </row>
        <row r="14186">
          <cell r="F14186" t="str">
            <v xml:space="preserve">900084859      </v>
          </cell>
          <cell r="O14186">
            <v>45</v>
          </cell>
        </row>
        <row r="14187">
          <cell r="F14187" t="str">
            <v xml:space="preserve">900084859      </v>
          </cell>
          <cell r="O14187">
            <v>90</v>
          </cell>
        </row>
        <row r="14188">
          <cell r="F14188" t="str">
            <v xml:space="preserve">901485271      </v>
          </cell>
          <cell r="O14188">
            <v>18</v>
          </cell>
        </row>
        <row r="14189">
          <cell r="F14189" t="str">
            <v xml:space="preserve">901485271      </v>
          </cell>
          <cell r="O14189">
            <v>45</v>
          </cell>
        </row>
        <row r="14190">
          <cell r="F14190" t="str">
            <v xml:space="preserve">901485271      </v>
          </cell>
          <cell r="O14190">
            <v>18</v>
          </cell>
        </row>
        <row r="14191">
          <cell r="F14191" t="str">
            <v xml:space="preserve">901485271      </v>
          </cell>
          <cell r="O14191">
            <v>45</v>
          </cell>
        </row>
        <row r="14192">
          <cell r="F14192" t="str">
            <v xml:space="preserve">901485271      </v>
          </cell>
          <cell r="O14192">
            <v>180</v>
          </cell>
        </row>
        <row r="14193">
          <cell r="F14193" t="str">
            <v xml:space="preserve">821000169      </v>
          </cell>
          <cell r="O14193">
            <v>102</v>
          </cell>
        </row>
        <row r="14194">
          <cell r="F14194" t="str">
            <v xml:space="preserve">890903939      </v>
          </cell>
          <cell r="O14194">
            <v>204</v>
          </cell>
        </row>
        <row r="14195">
          <cell r="F14195" t="str">
            <v xml:space="preserve">901547329      </v>
          </cell>
          <cell r="O14195">
            <v>675</v>
          </cell>
        </row>
        <row r="14196">
          <cell r="F14196" t="str">
            <v xml:space="preserve">800032071      </v>
          </cell>
          <cell r="O14196">
            <v>120</v>
          </cell>
        </row>
        <row r="14197">
          <cell r="F14197" t="str">
            <v xml:space="preserve">800032071      </v>
          </cell>
          <cell r="O14197">
            <v>80</v>
          </cell>
        </row>
        <row r="14198">
          <cell r="F14198" t="str">
            <v xml:space="preserve">800226901      </v>
          </cell>
          <cell r="O14198">
            <v>60</v>
          </cell>
        </row>
        <row r="14199">
          <cell r="F14199" t="str">
            <v xml:space="preserve">830503491      </v>
          </cell>
          <cell r="O14199">
            <v>60</v>
          </cell>
        </row>
        <row r="14200">
          <cell r="F14200" t="str">
            <v xml:space="preserve">860001697      </v>
          </cell>
          <cell r="O14200">
            <v>347.2</v>
          </cell>
        </row>
        <row r="14201">
          <cell r="F14201" t="str">
            <v xml:space="preserve">860001697      </v>
          </cell>
          <cell r="O14201">
            <v>350</v>
          </cell>
        </row>
        <row r="14202">
          <cell r="F14202" t="str">
            <v xml:space="preserve">860001697      </v>
          </cell>
          <cell r="O14202">
            <v>404.55</v>
          </cell>
        </row>
        <row r="14203">
          <cell r="F14203" t="str">
            <v xml:space="preserve">860005265      </v>
          </cell>
          <cell r="O14203">
            <v>161.97999999999999</v>
          </cell>
        </row>
        <row r="14204">
          <cell r="F14204" t="str">
            <v xml:space="preserve">860502509      </v>
          </cell>
          <cell r="O14204">
            <v>217.8</v>
          </cell>
        </row>
        <row r="14205">
          <cell r="F14205" t="str">
            <v xml:space="preserve">860502509      </v>
          </cell>
          <cell r="O14205">
            <v>77.05</v>
          </cell>
        </row>
        <row r="14206">
          <cell r="F14206" t="str">
            <v xml:space="preserve">890909001      </v>
          </cell>
          <cell r="O14206">
            <v>39.4</v>
          </cell>
        </row>
        <row r="14207">
          <cell r="F14207" t="str">
            <v xml:space="preserve">900239671      </v>
          </cell>
          <cell r="O14207">
            <v>72</v>
          </cell>
        </row>
        <row r="14208">
          <cell r="F14208" t="str">
            <v xml:space="preserve">901079460      </v>
          </cell>
          <cell r="O14208">
            <v>291.10000000000002</v>
          </cell>
        </row>
        <row r="14209">
          <cell r="F14209" t="str">
            <v xml:space="preserve">891300382      </v>
          </cell>
          <cell r="O14209">
            <v>216</v>
          </cell>
        </row>
        <row r="14210">
          <cell r="F14210" t="str">
            <v xml:space="preserve">101            </v>
          </cell>
          <cell r="O14210">
            <v>90</v>
          </cell>
        </row>
        <row r="14211">
          <cell r="F14211" t="str">
            <v xml:space="preserve">101            </v>
          </cell>
          <cell r="O14211">
            <v>30</v>
          </cell>
        </row>
        <row r="14212">
          <cell r="F14212" t="str">
            <v xml:space="preserve">101            </v>
          </cell>
          <cell r="O14212">
            <v>18</v>
          </cell>
        </row>
        <row r="14213">
          <cell r="F14213" t="str">
            <v xml:space="preserve">101            </v>
          </cell>
          <cell r="O14213">
            <v>4.5</v>
          </cell>
        </row>
        <row r="14214">
          <cell r="F14214" t="str">
            <v xml:space="preserve">101            </v>
          </cell>
          <cell r="O14214">
            <v>180</v>
          </cell>
        </row>
        <row r="14215">
          <cell r="F14215" t="str">
            <v xml:space="preserve">102            </v>
          </cell>
          <cell r="O14215">
            <v>45</v>
          </cell>
        </row>
        <row r="14216">
          <cell r="F14216" t="str">
            <v xml:space="preserve">30305213       </v>
          </cell>
          <cell r="O14216">
            <v>81</v>
          </cell>
        </row>
        <row r="14217">
          <cell r="F14217" t="str">
            <v xml:space="preserve">30305213       </v>
          </cell>
          <cell r="O14217">
            <v>45</v>
          </cell>
        </row>
        <row r="14218">
          <cell r="F14218" t="str">
            <v xml:space="preserve">800042175      </v>
          </cell>
          <cell r="O14218">
            <v>36</v>
          </cell>
        </row>
        <row r="14219">
          <cell r="F14219" t="str">
            <v xml:space="preserve">800044807      </v>
          </cell>
          <cell r="O14219">
            <v>90</v>
          </cell>
        </row>
        <row r="14220">
          <cell r="F14220" t="str">
            <v xml:space="preserve">800090890      </v>
          </cell>
          <cell r="O14220">
            <v>36</v>
          </cell>
        </row>
        <row r="14221">
          <cell r="F14221" t="str">
            <v xml:space="preserve">800185306      </v>
          </cell>
          <cell r="O14221">
            <v>18</v>
          </cell>
        </row>
        <row r="14222">
          <cell r="F14222" t="str">
            <v xml:space="preserve">811014849      </v>
          </cell>
          <cell r="O14222">
            <v>90</v>
          </cell>
        </row>
        <row r="14223">
          <cell r="F14223" t="str">
            <v xml:space="preserve">890903939      </v>
          </cell>
          <cell r="O14223">
            <v>144</v>
          </cell>
        </row>
        <row r="14224">
          <cell r="F14224" t="str">
            <v xml:space="preserve">900204935      </v>
          </cell>
          <cell r="O14224">
            <v>72</v>
          </cell>
        </row>
        <row r="14225">
          <cell r="F14225" t="str">
            <v xml:space="preserve">900543878      </v>
          </cell>
          <cell r="O14225">
            <v>18</v>
          </cell>
        </row>
        <row r="14226">
          <cell r="F14226" t="str">
            <v xml:space="preserve">900543878      </v>
          </cell>
          <cell r="O14226">
            <v>18</v>
          </cell>
        </row>
        <row r="14227">
          <cell r="F14227" t="str">
            <v xml:space="preserve">901555731      </v>
          </cell>
          <cell r="O14227">
            <v>18</v>
          </cell>
        </row>
        <row r="14228">
          <cell r="F14228" t="str">
            <v xml:space="preserve">901555731      </v>
          </cell>
          <cell r="O14228">
            <v>270</v>
          </cell>
        </row>
        <row r="14229">
          <cell r="F14229" t="str">
            <v xml:space="preserve">901555731      </v>
          </cell>
          <cell r="O14229">
            <v>18</v>
          </cell>
        </row>
        <row r="14230">
          <cell r="F14230" t="str">
            <v xml:space="preserve">73186091       </v>
          </cell>
          <cell r="O14230">
            <v>555</v>
          </cell>
        </row>
        <row r="14231">
          <cell r="F14231" t="str">
            <v xml:space="preserve">8795144        </v>
          </cell>
          <cell r="O14231">
            <v>210</v>
          </cell>
        </row>
        <row r="14232">
          <cell r="F14232" t="str">
            <v xml:space="preserve">8795144        </v>
          </cell>
          <cell r="O14232">
            <v>54</v>
          </cell>
        </row>
        <row r="14233">
          <cell r="F14233" t="str">
            <v xml:space="preserve">900893950      </v>
          </cell>
          <cell r="O14233">
            <v>18</v>
          </cell>
        </row>
        <row r="14234">
          <cell r="F14234" t="str">
            <v xml:space="preserve">212            </v>
          </cell>
          <cell r="O14234">
            <v>885</v>
          </cell>
        </row>
        <row r="14235">
          <cell r="F14235" t="str">
            <v xml:space="preserve">212            </v>
          </cell>
          <cell r="O14235">
            <v>882</v>
          </cell>
        </row>
        <row r="14236">
          <cell r="F14236" t="str">
            <v xml:space="preserve">212            </v>
          </cell>
          <cell r="O14236">
            <v>270</v>
          </cell>
        </row>
        <row r="14237">
          <cell r="F14237" t="str">
            <v xml:space="preserve">800211643      </v>
          </cell>
          <cell r="O14237">
            <v>77.25</v>
          </cell>
        </row>
        <row r="14238">
          <cell r="F14238" t="str">
            <v xml:space="preserve">800244560      </v>
          </cell>
          <cell r="O14238">
            <v>36</v>
          </cell>
        </row>
        <row r="14239">
          <cell r="F14239" t="str">
            <v xml:space="preserve">811014849      </v>
          </cell>
          <cell r="O14239">
            <v>118.9</v>
          </cell>
        </row>
        <row r="14240">
          <cell r="F14240" t="str">
            <v xml:space="preserve">811047008      </v>
          </cell>
          <cell r="O14240">
            <v>36</v>
          </cell>
        </row>
        <row r="14241">
          <cell r="F14241" t="str">
            <v xml:space="preserve">830006735      </v>
          </cell>
          <cell r="O14241">
            <v>524.89</v>
          </cell>
        </row>
        <row r="14242">
          <cell r="F14242" t="str">
            <v xml:space="preserve">860001697      </v>
          </cell>
          <cell r="O14242">
            <v>529.4</v>
          </cell>
        </row>
        <row r="14243">
          <cell r="F14243" t="str">
            <v xml:space="preserve">860002536      </v>
          </cell>
          <cell r="O14243">
            <v>15</v>
          </cell>
        </row>
        <row r="14244">
          <cell r="F14244" t="str">
            <v xml:space="preserve">860002536      </v>
          </cell>
          <cell r="O14244">
            <v>30</v>
          </cell>
        </row>
        <row r="14245">
          <cell r="F14245" t="str">
            <v xml:space="preserve">860002536      </v>
          </cell>
          <cell r="O14245">
            <v>90</v>
          </cell>
        </row>
        <row r="14246">
          <cell r="F14246" t="str">
            <v xml:space="preserve">860020382      </v>
          </cell>
          <cell r="O14246">
            <v>40</v>
          </cell>
        </row>
        <row r="14247">
          <cell r="F14247" t="str">
            <v xml:space="preserve">899999049      </v>
          </cell>
          <cell r="O14247">
            <v>90</v>
          </cell>
        </row>
        <row r="14248">
          <cell r="F14248" t="str">
            <v xml:space="preserve">900049818      </v>
          </cell>
          <cell r="O14248">
            <v>16</v>
          </cell>
        </row>
        <row r="14249">
          <cell r="F14249" t="str">
            <v xml:space="preserve">900163286      </v>
          </cell>
          <cell r="O14249">
            <v>36</v>
          </cell>
        </row>
        <row r="14250">
          <cell r="F14250" t="str">
            <v xml:space="preserve">900603554      </v>
          </cell>
          <cell r="O14250">
            <v>162</v>
          </cell>
        </row>
        <row r="14251">
          <cell r="F14251" t="str">
            <v xml:space="preserve">811014849      </v>
          </cell>
          <cell r="O14251">
            <v>111</v>
          </cell>
        </row>
        <row r="14252">
          <cell r="F14252" t="str">
            <v xml:space="preserve">811014849      </v>
          </cell>
          <cell r="O14252">
            <v>368.25</v>
          </cell>
        </row>
        <row r="14253">
          <cell r="F14253" t="str">
            <v xml:space="preserve">890205142      </v>
          </cell>
          <cell r="O14253">
            <v>2160</v>
          </cell>
        </row>
        <row r="14254">
          <cell r="F14254" t="str">
            <v xml:space="preserve">890205142      </v>
          </cell>
          <cell r="O14254">
            <v>1440</v>
          </cell>
        </row>
        <row r="14255">
          <cell r="F14255" t="str">
            <v xml:space="preserve">899999049      </v>
          </cell>
          <cell r="O14255">
            <v>126</v>
          </cell>
        </row>
        <row r="14256">
          <cell r="F14256" t="str">
            <v xml:space="preserve">900319753      </v>
          </cell>
          <cell r="O14256">
            <v>120</v>
          </cell>
        </row>
        <row r="14257">
          <cell r="F14257" t="str">
            <v xml:space="preserve">800090890      </v>
          </cell>
          <cell r="O14257">
            <v>32</v>
          </cell>
        </row>
        <row r="14258">
          <cell r="F14258" t="str">
            <v xml:space="preserve">811014849      </v>
          </cell>
          <cell r="O14258">
            <v>252</v>
          </cell>
        </row>
        <row r="14259">
          <cell r="F14259" t="str">
            <v xml:space="preserve">811014849      </v>
          </cell>
          <cell r="O14259">
            <v>90</v>
          </cell>
        </row>
        <row r="14260">
          <cell r="F14260" t="str">
            <v xml:space="preserve">890903939      </v>
          </cell>
          <cell r="O14260">
            <v>1139.5</v>
          </cell>
        </row>
        <row r="14261">
          <cell r="F14261" t="str">
            <v xml:space="preserve">890903939      </v>
          </cell>
          <cell r="O14261">
            <v>197.75</v>
          </cell>
        </row>
        <row r="14262">
          <cell r="F14262" t="str">
            <v xml:space="preserve">890903939      </v>
          </cell>
          <cell r="O14262">
            <v>239.98</v>
          </cell>
        </row>
        <row r="14263">
          <cell r="F14263" t="str">
            <v xml:space="preserve">211            </v>
          </cell>
          <cell r="O14263">
            <v>450</v>
          </cell>
        </row>
        <row r="14264">
          <cell r="F14264" t="str">
            <v xml:space="preserve">211            </v>
          </cell>
          <cell r="O14264">
            <v>108</v>
          </cell>
        </row>
        <row r="14265">
          <cell r="F14265" t="str">
            <v xml:space="preserve">211            </v>
          </cell>
          <cell r="O14265">
            <v>45</v>
          </cell>
        </row>
        <row r="14266">
          <cell r="F14266" t="str">
            <v xml:space="preserve">860001697      </v>
          </cell>
          <cell r="O14266">
            <v>571.61</v>
          </cell>
        </row>
        <row r="14267">
          <cell r="F14267" t="str">
            <v xml:space="preserve">860001697      </v>
          </cell>
          <cell r="O14267">
            <v>230.95</v>
          </cell>
        </row>
        <row r="14268">
          <cell r="F14268" t="str">
            <v xml:space="preserve">860001697      </v>
          </cell>
          <cell r="O14268">
            <v>140.80000000000001</v>
          </cell>
        </row>
        <row r="14269">
          <cell r="F14269" t="str">
            <v xml:space="preserve">800220041      </v>
          </cell>
          <cell r="O14269">
            <v>75</v>
          </cell>
        </row>
        <row r="14270">
          <cell r="F14270" t="str">
            <v xml:space="preserve">806008873      </v>
          </cell>
          <cell r="O14270">
            <v>360</v>
          </cell>
        </row>
        <row r="14271">
          <cell r="F14271" t="str">
            <v xml:space="preserve">811016729      </v>
          </cell>
          <cell r="O14271">
            <v>72</v>
          </cell>
        </row>
        <row r="14272">
          <cell r="F14272" t="str">
            <v xml:space="preserve">811032699      </v>
          </cell>
          <cell r="O14272">
            <v>36</v>
          </cell>
        </row>
        <row r="14273">
          <cell r="F14273" t="str">
            <v xml:space="preserve">830095213      </v>
          </cell>
          <cell r="O14273">
            <v>180</v>
          </cell>
        </row>
        <row r="14274">
          <cell r="F14274" t="str">
            <v xml:space="preserve">830095213      </v>
          </cell>
          <cell r="O14274">
            <v>270</v>
          </cell>
        </row>
        <row r="14275">
          <cell r="F14275" t="str">
            <v xml:space="preserve">860013771      </v>
          </cell>
          <cell r="O14275">
            <v>150</v>
          </cell>
        </row>
        <row r="14276">
          <cell r="F14276" t="str">
            <v xml:space="preserve">890903939      </v>
          </cell>
          <cell r="O14276">
            <v>379.04</v>
          </cell>
        </row>
        <row r="14277">
          <cell r="F14277" t="str">
            <v xml:space="preserve">900093075      </v>
          </cell>
          <cell r="O14277">
            <v>36</v>
          </cell>
        </row>
        <row r="14278">
          <cell r="F14278" t="str">
            <v xml:space="preserve">900557954      </v>
          </cell>
          <cell r="O14278">
            <v>60</v>
          </cell>
        </row>
        <row r="14279">
          <cell r="F14279" t="str">
            <v xml:space="preserve">830009573      </v>
          </cell>
          <cell r="O14279">
            <v>45</v>
          </cell>
        </row>
        <row r="14280">
          <cell r="F14280" t="str">
            <v xml:space="preserve">830009573      </v>
          </cell>
          <cell r="O14280">
            <v>60</v>
          </cell>
        </row>
        <row r="14281">
          <cell r="F14281" t="str">
            <v xml:space="preserve">830010908      </v>
          </cell>
          <cell r="O14281">
            <v>40</v>
          </cell>
        </row>
        <row r="14282">
          <cell r="F14282" t="str">
            <v xml:space="preserve">830036921      </v>
          </cell>
          <cell r="O14282">
            <v>407.2</v>
          </cell>
        </row>
        <row r="14283">
          <cell r="F14283" t="str">
            <v xml:space="preserve">860001697      </v>
          </cell>
          <cell r="O14283">
            <v>924.65</v>
          </cell>
        </row>
        <row r="14284">
          <cell r="F14284" t="str">
            <v xml:space="preserve">800229035      </v>
          </cell>
          <cell r="O14284">
            <v>60</v>
          </cell>
        </row>
        <row r="14285">
          <cell r="F14285" t="str">
            <v xml:space="preserve">800229035      </v>
          </cell>
          <cell r="O14285">
            <v>90</v>
          </cell>
        </row>
        <row r="14286">
          <cell r="F14286" t="str">
            <v xml:space="preserve">800229035      </v>
          </cell>
          <cell r="O14286">
            <v>60</v>
          </cell>
        </row>
        <row r="14287">
          <cell r="F14287" t="str">
            <v xml:space="preserve">830503491      </v>
          </cell>
          <cell r="O14287">
            <v>75</v>
          </cell>
        </row>
        <row r="14288">
          <cell r="F14288" t="str">
            <v xml:space="preserve">890903024      </v>
          </cell>
          <cell r="O14288">
            <v>75</v>
          </cell>
        </row>
        <row r="14289">
          <cell r="F14289" t="str">
            <v xml:space="preserve">890903939      </v>
          </cell>
          <cell r="O14289">
            <v>403.79</v>
          </cell>
        </row>
        <row r="14290">
          <cell r="F14290" t="str">
            <v xml:space="preserve">900477325      </v>
          </cell>
          <cell r="O14290">
            <v>75</v>
          </cell>
        </row>
        <row r="14291">
          <cell r="F14291" t="str">
            <v xml:space="preserve">901017528      </v>
          </cell>
          <cell r="O14291">
            <v>330</v>
          </cell>
        </row>
        <row r="14292">
          <cell r="F14292" t="str">
            <v xml:space="preserve">830085642      </v>
          </cell>
          <cell r="O14292">
            <v>954.1</v>
          </cell>
        </row>
        <row r="14293">
          <cell r="F14293" t="str">
            <v xml:space="preserve">10215830       </v>
          </cell>
          <cell r="O14293">
            <v>161</v>
          </cell>
        </row>
        <row r="14294">
          <cell r="F14294" t="str">
            <v xml:space="preserve">30281441       </v>
          </cell>
          <cell r="O14294">
            <v>41.3</v>
          </cell>
        </row>
        <row r="14295">
          <cell r="F14295" t="str">
            <v xml:space="preserve">30310943       </v>
          </cell>
          <cell r="O14295">
            <v>81.900000000000006</v>
          </cell>
        </row>
        <row r="14296">
          <cell r="F14296" t="str">
            <v xml:space="preserve">830107617      </v>
          </cell>
          <cell r="O14296">
            <v>-3920</v>
          </cell>
        </row>
        <row r="14297">
          <cell r="F14297" t="str">
            <v xml:space="preserve">830107617      </v>
          </cell>
          <cell r="O14297">
            <v>-2368</v>
          </cell>
        </row>
        <row r="14298">
          <cell r="F14298" t="str">
            <v xml:space="preserve">10753476       </v>
          </cell>
          <cell r="O14298">
            <v>115.1</v>
          </cell>
        </row>
        <row r="14299">
          <cell r="F14299" t="str">
            <v xml:space="preserve">70906745       </v>
          </cell>
          <cell r="O14299">
            <v>161</v>
          </cell>
        </row>
        <row r="14300">
          <cell r="F14300" t="str">
            <v xml:space="preserve">805020621      </v>
          </cell>
          <cell r="O14300">
            <v>299</v>
          </cell>
        </row>
        <row r="14301">
          <cell r="F14301" t="str">
            <v xml:space="preserve">817004851      </v>
          </cell>
          <cell r="O14301">
            <v>243.8</v>
          </cell>
        </row>
        <row r="14302">
          <cell r="F14302" t="str">
            <v xml:space="preserve">900475886      </v>
          </cell>
          <cell r="O14302">
            <v>3671.4</v>
          </cell>
        </row>
        <row r="14303">
          <cell r="F14303" t="str">
            <v xml:space="preserve">901362189      </v>
          </cell>
          <cell r="O14303">
            <v>41.3</v>
          </cell>
        </row>
        <row r="14304">
          <cell r="F14304" t="str">
            <v xml:space="preserve">7120547        </v>
          </cell>
          <cell r="O14304">
            <v>46.5</v>
          </cell>
        </row>
        <row r="14305">
          <cell r="F14305" t="str">
            <v xml:space="preserve">7128297        </v>
          </cell>
          <cell r="O14305">
            <v>650.20000000000005</v>
          </cell>
        </row>
        <row r="14306">
          <cell r="F14306" t="str">
            <v xml:space="preserve">79981193       </v>
          </cell>
          <cell r="O14306">
            <v>88.6</v>
          </cell>
        </row>
        <row r="14307">
          <cell r="F14307" t="str">
            <v xml:space="preserve">832006599      </v>
          </cell>
          <cell r="O14307">
            <v>5000.3</v>
          </cell>
        </row>
        <row r="14308">
          <cell r="F14308" t="str">
            <v xml:space="preserve">900917429      </v>
          </cell>
          <cell r="O14308">
            <v>422.7</v>
          </cell>
        </row>
        <row r="14309">
          <cell r="F14309" t="str">
            <v xml:space="preserve">900992422      </v>
          </cell>
          <cell r="O14309">
            <v>6517.6</v>
          </cell>
        </row>
        <row r="14310">
          <cell r="F14310" t="str">
            <v xml:space="preserve">860002536      </v>
          </cell>
          <cell r="O14310">
            <v>1951.1</v>
          </cell>
        </row>
        <row r="14311">
          <cell r="F14311" t="str">
            <v xml:space="preserve">860002536      </v>
          </cell>
          <cell r="O14311">
            <v>668</v>
          </cell>
        </row>
        <row r="14312">
          <cell r="F14312" t="str">
            <v xml:space="preserve">900327148      </v>
          </cell>
          <cell r="O14312">
            <v>390.7</v>
          </cell>
        </row>
        <row r="14313">
          <cell r="F14313" t="str">
            <v xml:space="preserve">830042112      </v>
          </cell>
          <cell r="O14313">
            <v>90</v>
          </cell>
        </row>
        <row r="14314">
          <cell r="F14314" t="str">
            <v xml:space="preserve">900084859      </v>
          </cell>
          <cell r="O14314">
            <v>45</v>
          </cell>
        </row>
        <row r="14315">
          <cell r="F14315" t="str">
            <v xml:space="preserve">900084859      </v>
          </cell>
          <cell r="O14315">
            <v>18</v>
          </cell>
        </row>
        <row r="14316">
          <cell r="F14316" t="str">
            <v xml:space="preserve">900084859      </v>
          </cell>
          <cell r="O14316">
            <v>18</v>
          </cell>
        </row>
        <row r="14317">
          <cell r="F14317" t="str">
            <v xml:space="preserve">70052771       </v>
          </cell>
          <cell r="O14317">
            <v>36</v>
          </cell>
        </row>
        <row r="14318">
          <cell r="F14318" t="str">
            <v xml:space="preserve">800147650      </v>
          </cell>
          <cell r="O14318">
            <v>120</v>
          </cell>
        </row>
        <row r="14319">
          <cell r="F14319" t="str">
            <v xml:space="preserve">800160280      </v>
          </cell>
          <cell r="O14319">
            <v>15</v>
          </cell>
        </row>
        <row r="14320">
          <cell r="F14320" t="str">
            <v xml:space="preserve">811014849      </v>
          </cell>
          <cell r="O14320">
            <v>180</v>
          </cell>
        </row>
        <row r="14321">
          <cell r="F14321" t="str">
            <v xml:space="preserve">811014849      </v>
          </cell>
          <cell r="O14321">
            <v>54</v>
          </cell>
        </row>
        <row r="14322">
          <cell r="F14322" t="str">
            <v xml:space="preserve">811014849      </v>
          </cell>
          <cell r="O14322">
            <v>36</v>
          </cell>
        </row>
        <row r="14323">
          <cell r="F14323" t="str">
            <v xml:space="preserve">860013809      </v>
          </cell>
          <cell r="O14323">
            <v>144</v>
          </cell>
        </row>
        <row r="14324">
          <cell r="F14324" t="str">
            <v xml:space="preserve">860020382      </v>
          </cell>
          <cell r="O14324">
            <v>75</v>
          </cell>
        </row>
        <row r="14325">
          <cell r="F14325" t="str">
            <v xml:space="preserve">890904996      </v>
          </cell>
          <cell r="O14325">
            <v>75</v>
          </cell>
        </row>
        <row r="14326">
          <cell r="F14326" t="str">
            <v xml:space="preserve">890904996      </v>
          </cell>
          <cell r="O14326">
            <v>162</v>
          </cell>
        </row>
        <row r="14327">
          <cell r="F14327" t="str">
            <v xml:space="preserve">890907406      </v>
          </cell>
          <cell r="O14327">
            <v>15</v>
          </cell>
        </row>
        <row r="14328">
          <cell r="F14328" t="str">
            <v xml:space="preserve">899999049      </v>
          </cell>
          <cell r="O14328">
            <v>36</v>
          </cell>
        </row>
        <row r="14329">
          <cell r="F14329" t="str">
            <v xml:space="preserve">901436775      </v>
          </cell>
          <cell r="O14329">
            <v>165</v>
          </cell>
        </row>
        <row r="14330">
          <cell r="F14330" t="str">
            <v xml:space="preserve">210            </v>
          </cell>
          <cell r="O14330">
            <v>1026</v>
          </cell>
        </row>
        <row r="14331">
          <cell r="F14331" t="str">
            <v xml:space="preserve">210            </v>
          </cell>
          <cell r="O14331">
            <v>45</v>
          </cell>
        </row>
        <row r="14332">
          <cell r="F14332" t="str">
            <v xml:space="preserve">210            </v>
          </cell>
          <cell r="O14332">
            <v>1080</v>
          </cell>
        </row>
        <row r="14333">
          <cell r="F14333" t="str">
            <v xml:space="preserve">101            </v>
          </cell>
          <cell r="O14333">
            <v>288</v>
          </cell>
        </row>
        <row r="14334">
          <cell r="F14334" t="str">
            <v xml:space="preserve">101            </v>
          </cell>
          <cell r="O14334">
            <v>15</v>
          </cell>
        </row>
        <row r="14335">
          <cell r="F14335" t="str">
            <v xml:space="preserve">101            </v>
          </cell>
          <cell r="O14335">
            <v>18</v>
          </cell>
        </row>
        <row r="14336">
          <cell r="F14336" t="str">
            <v xml:space="preserve">101            </v>
          </cell>
          <cell r="O14336">
            <v>15</v>
          </cell>
        </row>
        <row r="14337">
          <cell r="F14337" t="str">
            <v xml:space="preserve">101            </v>
          </cell>
          <cell r="O14337">
            <v>54</v>
          </cell>
        </row>
        <row r="14338">
          <cell r="F14338" t="str">
            <v xml:space="preserve">890903939      </v>
          </cell>
          <cell r="O14338">
            <v>76</v>
          </cell>
        </row>
        <row r="14339">
          <cell r="F14339" t="str">
            <v xml:space="preserve">404            </v>
          </cell>
          <cell r="O14339">
            <v>255</v>
          </cell>
        </row>
        <row r="14340">
          <cell r="F14340" t="str">
            <v xml:space="preserve">404            </v>
          </cell>
          <cell r="O14340">
            <v>36</v>
          </cell>
        </row>
        <row r="14341">
          <cell r="F14341" t="str">
            <v xml:space="preserve">208            </v>
          </cell>
          <cell r="O14341">
            <v>15</v>
          </cell>
        </row>
        <row r="14342">
          <cell r="F14342" t="str">
            <v xml:space="preserve">860001697      </v>
          </cell>
          <cell r="O14342">
            <v>387</v>
          </cell>
        </row>
        <row r="14343">
          <cell r="F14343" t="str">
            <v xml:space="preserve">860001697      </v>
          </cell>
          <cell r="O14343">
            <v>749.3</v>
          </cell>
        </row>
        <row r="14344">
          <cell r="F14344" t="str">
            <v xml:space="preserve">210            </v>
          </cell>
          <cell r="O14344">
            <v>9</v>
          </cell>
        </row>
        <row r="14345">
          <cell r="F14345" t="str">
            <v xml:space="preserve">210            </v>
          </cell>
          <cell r="O14345">
            <v>414</v>
          </cell>
        </row>
        <row r="14346">
          <cell r="F14346" t="str">
            <v xml:space="preserve">811020038      </v>
          </cell>
          <cell r="O14346">
            <v>18</v>
          </cell>
        </row>
        <row r="14347">
          <cell r="F14347" t="str">
            <v xml:space="preserve">811047008      </v>
          </cell>
          <cell r="O14347">
            <v>54</v>
          </cell>
        </row>
        <row r="14348">
          <cell r="F14348" t="str">
            <v xml:space="preserve">817001693      </v>
          </cell>
          <cell r="O14348">
            <v>18</v>
          </cell>
        </row>
        <row r="14349">
          <cell r="F14349" t="str">
            <v xml:space="preserve">817004766      </v>
          </cell>
          <cell r="O14349">
            <v>108</v>
          </cell>
        </row>
        <row r="14350">
          <cell r="F14350" t="str">
            <v xml:space="preserve">830057186      </v>
          </cell>
          <cell r="O14350">
            <v>18</v>
          </cell>
        </row>
        <row r="14351">
          <cell r="F14351" t="str">
            <v xml:space="preserve">860000615      </v>
          </cell>
          <cell r="O14351">
            <v>36</v>
          </cell>
        </row>
        <row r="14352">
          <cell r="F14352" t="str">
            <v xml:space="preserve">890301602      </v>
          </cell>
          <cell r="O14352">
            <v>36</v>
          </cell>
        </row>
        <row r="14353">
          <cell r="F14353" t="str">
            <v xml:space="preserve">890301602      </v>
          </cell>
          <cell r="O14353">
            <v>360</v>
          </cell>
        </row>
        <row r="14354">
          <cell r="F14354" t="str">
            <v xml:space="preserve">890302609      </v>
          </cell>
          <cell r="O14354">
            <v>156</v>
          </cell>
        </row>
        <row r="14355">
          <cell r="F14355" t="str">
            <v xml:space="preserve">890304607      </v>
          </cell>
          <cell r="O14355">
            <v>90</v>
          </cell>
        </row>
        <row r="14356">
          <cell r="F14356" t="str">
            <v xml:space="preserve">890321924      </v>
          </cell>
          <cell r="O14356">
            <v>18</v>
          </cell>
        </row>
        <row r="14357">
          <cell r="F14357" t="str">
            <v xml:space="preserve">890805453      </v>
          </cell>
          <cell r="O14357">
            <v>36</v>
          </cell>
        </row>
        <row r="14358">
          <cell r="F14358" t="str">
            <v xml:space="preserve">890903939      </v>
          </cell>
          <cell r="O14358">
            <v>207</v>
          </cell>
        </row>
        <row r="14359">
          <cell r="F14359" t="str">
            <v xml:space="preserve">890903939      </v>
          </cell>
          <cell r="O14359">
            <v>167</v>
          </cell>
        </row>
        <row r="14360">
          <cell r="F14360" t="str">
            <v xml:space="preserve">900233101      </v>
          </cell>
          <cell r="O14360">
            <v>72</v>
          </cell>
        </row>
        <row r="14361">
          <cell r="F14361" t="str">
            <v xml:space="preserve">901167377      </v>
          </cell>
          <cell r="O14361">
            <v>88</v>
          </cell>
        </row>
        <row r="14362">
          <cell r="F14362" t="str">
            <v xml:space="preserve">407            </v>
          </cell>
          <cell r="O14362">
            <v>0</v>
          </cell>
        </row>
        <row r="14363">
          <cell r="F14363" t="str">
            <v xml:space="preserve">407            </v>
          </cell>
          <cell r="O14363">
            <v>0</v>
          </cell>
        </row>
        <row r="14364">
          <cell r="F14364" t="str">
            <v xml:space="preserve">830095563      </v>
          </cell>
          <cell r="O14364">
            <v>60</v>
          </cell>
        </row>
        <row r="14365">
          <cell r="F14365" t="str">
            <v xml:space="preserve">830095563      </v>
          </cell>
          <cell r="O14365">
            <v>270</v>
          </cell>
        </row>
        <row r="14366">
          <cell r="F14366" t="str">
            <v xml:space="preserve">830095563      </v>
          </cell>
          <cell r="O14366">
            <v>270</v>
          </cell>
        </row>
        <row r="14367">
          <cell r="F14367" t="str">
            <v xml:space="preserve">830095563      </v>
          </cell>
          <cell r="O14367">
            <v>540</v>
          </cell>
        </row>
        <row r="14368">
          <cell r="F14368" t="str">
            <v xml:space="preserve">800049083      </v>
          </cell>
          <cell r="O14368">
            <v>510</v>
          </cell>
        </row>
        <row r="14369">
          <cell r="F14369" t="str">
            <v xml:space="preserve">39538743       </v>
          </cell>
          <cell r="O14369">
            <v>40.200000000000003</v>
          </cell>
        </row>
        <row r="14370">
          <cell r="F14370" t="str">
            <v xml:space="preserve">65823154       </v>
          </cell>
          <cell r="O14370">
            <v>85.3</v>
          </cell>
        </row>
        <row r="14371">
          <cell r="F14371" t="str">
            <v xml:space="preserve">75056610       </v>
          </cell>
          <cell r="O14371">
            <v>201.9</v>
          </cell>
        </row>
        <row r="14372">
          <cell r="F14372" t="str">
            <v xml:space="preserve">800141632      </v>
          </cell>
          <cell r="O14372">
            <v>77.5</v>
          </cell>
        </row>
        <row r="14373">
          <cell r="F14373" t="str">
            <v xml:space="preserve">800141632      </v>
          </cell>
          <cell r="O14373">
            <v>112.2</v>
          </cell>
        </row>
        <row r="14374">
          <cell r="F14374" t="str">
            <v xml:space="preserve">800141632      </v>
          </cell>
          <cell r="O14374">
            <v>69.099999999999994</v>
          </cell>
        </row>
        <row r="14375">
          <cell r="F14375" t="str">
            <v xml:space="preserve">800141632      </v>
          </cell>
          <cell r="O14375">
            <v>1211.8</v>
          </cell>
        </row>
        <row r="14376">
          <cell r="F14376" t="str">
            <v xml:space="preserve">860020194      </v>
          </cell>
          <cell r="O14376">
            <v>151.19999999999999</v>
          </cell>
        </row>
        <row r="14377">
          <cell r="F14377" t="str">
            <v xml:space="preserve">900565514      </v>
          </cell>
          <cell r="O14377">
            <v>85.1</v>
          </cell>
        </row>
        <row r="14378">
          <cell r="F14378" t="str">
            <v xml:space="preserve">901010840      </v>
          </cell>
          <cell r="O14378">
            <v>954</v>
          </cell>
        </row>
        <row r="14379">
          <cell r="F14379" t="str">
            <v xml:space="preserve">900411999      </v>
          </cell>
          <cell r="O14379">
            <v>72</v>
          </cell>
        </row>
        <row r="14380">
          <cell r="F14380" t="str">
            <v xml:space="preserve">110            </v>
          </cell>
          <cell r="O14380">
            <v>9</v>
          </cell>
        </row>
        <row r="14381">
          <cell r="F14381" t="str">
            <v xml:space="preserve">110            </v>
          </cell>
          <cell r="O14381">
            <v>15</v>
          </cell>
        </row>
        <row r="14382">
          <cell r="F14382" t="str">
            <v xml:space="preserve">110            </v>
          </cell>
          <cell r="O14382">
            <v>432</v>
          </cell>
        </row>
        <row r="14383">
          <cell r="F14383" t="str">
            <v xml:space="preserve">212            </v>
          </cell>
          <cell r="O14383">
            <v>18</v>
          </cell>
        </row>
        <row r="14384">
          <cell r="F14384" t="str">
            <v xml:space="preserve">212            </v>
          </cell>
          <cell r="O14384">
            <v>15</v>
          </cell>
        </row>
        <row r="14385">
          <cell r="F14385" t="str">
            <v xml:space="preserve">212            </v>
          </cell>
          <cell r="O14385">
            <v>162</v>
          </cell>
        </row>
        <row r="14386">
          <cell r="F14386" t="str">
            <v xml:space="preserve">212            </v>
          </cell>
          <cell r="O14386">
            <v>45</v>
          </cell>
        </row>
        <row r="14387">
          <cell r="F14387" t="str">
            <v xml:space="preserve">19261549       </v>
          </cell>
          <cell r="O14387">
            <v>87.7</v>
          </cell>
        </row>
        <row r="14388">
          <cell r="F14388" t="str">
            <v xml:space="preserve">20369504       </v>
          </cell>
          <cell r="O14388">
            <v>36.4</v>
          </cell>
        </row>
        <row r="14389">
          <cell r="F14389" t="str">
            <v xml:space="preserve">20369504       </v>
          </cell>
          <cell r="O14389">
            <v>90.3</v>
          </cell>
        </row>
        <row r="14390">
          <cell r="F14390" t="str">
            <v xml:space="preserve">830010738      </v>
          </cell>
          <cell r="O14390">
            <v>1912.1</v>
          </cell>
        </row>
        <row r="14391">
          <cell r="F14391" t="str">
            <v xml:space="preserve">860002119      </v>
          </cell>
          <cell r="O14391">
            <v>1574.3</v>
          </cell>
        </row>
        <row r="14392">
          <cell r="F14392" t="str">
            <v xml:space="preserve">860527701      </v>
          </cell>
          <cell r="O14392">
            <v>1002.3</v>
          </cell>
        </row>
        <row r="14393">
          <cell r="F14393" t="str">
            <v xml:space="preserve">860527701      </v>
          </cell>
          <cell r="O14393">
            <v>1000</v>
          </cell>
        </row>
        <row r="14394">
          <cell r="F14394" t="str">
            <v xml:space="preserve">860527701      </v>
          </cell>
          <cell r="O14394">
            <v>2003.6</v>
          </cell>
        </row>
        <row r="14395">
          <cell r="F14395" t="str">
            <v xml:space="preserve">900641936      </v>
          </cell>
          <cell r="O14395">
            <v>91.3</v>
          </cell>
        </row>
        <row r="14396">
          <cell r="F14396" t="str">
            <v xml:space="preserve">890900161      </v>
          </cell>
          <cell r="O14396">
            <v>914.6</v>
          </cell>
        </row>
        <row r="14397">
          <cell r="F14397" t="str">
            <v xml:space="preserve">79095204       </v>
          </cell>
          <cell r="O14397">
            <v>468</v>
          </cell>
        </row>
        <row r="14398">
          <cell r="F14398" t="str">
            <v xml:space="preserve">79095204       </v>
          </cell>
          <cell r="O14398">
            <v>360</v>
          </cell>
        </row>
        <row r="14399">
          <cell r="F14399" t="str">
            <v xml:space="preserve">212            </v>
          </cell>
          <cell r="O14399">
            <v>15</v>
          </cell>
        </row>
        <row r="14400">
          <cell r="F14400" t="str">
            <v xml:space="preserve">212            </v>
          </cell>
          <cell r="O14400">
            <v>18</v>
          </cell>
        </row>
        <row r="14401">
          <cell r="F14401" t="str">
            <v xml:space="preserve">800039849      </v>
          </cell>
          <cell r="O14401">
            <v>150</v>
          </cell>
        </row>
        <row r="14402">
          <cell r="F14402" t="str">
            <v xml:space="preserve">811014849      </v>
          </cell>
          <cell r="O14402">
            <v>72</v>
          </cell>
        </row>
        <row r="14403">
          <cell r="F14403" t="str">
            <v xml:space="preserve">890900161      </v>
          </cell>
          <cell r="O14403">
            <v>45</v>
          </cell>
        </row>
        <row r="14404">
          <cell r="F14404" t="str">
            <v xml:space="preserve">890900161      </v>
          </cell>
          <cell r="O14404">
            <v>30</v>
          </cell>
        </row>
        <row r="14405">
          <cell r="F14405" t="str">
            <v xml:space="preserve">900313945      </v>
          </cell>
          <cell r="O14405">
            <v>105</v>
          </cell>
        </row>
        <row r="14406">
          <cell r="F14406" t="str">
            <v xml:space="preserve">900631756      </v>
          </cell>
          <cell r="O14406">
            <v>30</v>
          </cell>
        </row>
        <row r="14407">
          <cell r="F14407" t="str">
            <v xml:space="preserve">805011264      </v>
          </cell>
          <cell r="O14407">
            <v>36</v>
          </cell>
        </row>
        <row r="14408">
          <cell r="F14408" t="str">
            <v xml:space="preserve">805011264      </v>
          </cell>
          <cell r="O14408">
            <v>15</v>
          </cell>
        </row>
        <row r="14409">
          <cell r="F14409" t="str">
            <v xml:space="preserve">805012977      </v>
          </cell>
          <cell r="O14409">
            <v>90</v>
          </cell>
        </row>
        <row r="14410">
          <cell r="F14410" t="str">
            <v xml:space="preserve">830052685      </v>
          </cell>
          <cell r="O14410">
            <v>54</v>
          </cell>
        </row>
        <row r="14411">
          <cell r="F14411" t="str">
            <v xml:space="preserve">860020382      </v>
          </cell>
          <cell r="O14411">
            <v>54</v>
          </cell>
        </row>
        <row r="14412">
          <cell r="F14412" t="str">
            <v xml:space="preserve">860020382      </v>
          </cell>
          <cell r="O14412">
            <v>36</v>
          </cell>
        </row>
        <row r="14413">
          <cell r="F14413" t="str">
            <v xml:space="preserve">890307885      </v>
          </cell>
          <cell r="O14413">
            <v>139.5</v>
          </cell>
        </row>
        <row r="14414">
          <cell r="F14414" t="str">
            <v xml:space="preserve">890311251      </v>
          </cell>
          <cell r="O14414">
            <v>54</v>
          </cell>
        </row>
        <row r="14415">
          <cell r="F14415" t="str">
            <v xml:space="preserve">890311251      </v>
          </cell>
          <cell r="O14415">
            <v>54</v>
          </cell>
        </row>
        <row r="14416">
          <cell r="F14416" t="str">
            <v xml:space="preserve">890322007      </v>
          </cell>
          <cell r="O14416">
            <v>306</v>
          </cell>
        </row>
        <row r="14417">
          <cell r="F14417" t="str">
            <v xml:space="preserve">900818921      </v>
          </cell>
          <cell r="O14417">
            <v>385</v>
          </cell>
        </row>
        <row r="14418">
          <cell r="F14418" t="str">
            <v xml:space="preserve">900896300      </v>
          </cell>
          <cell r="O14418">
            <v>198</v>
          </cell>
        </row>
        <row r="14419">
          <cell r="F14419" t="str">
            <v xml:space="preserve">901026262      </v>
          </cell>
          <cell r="O14419">
            <v>90</v>
          </cell>
        </row>
        <row r="14420">
          <cell r="F14420" t="str">
            <v xml:space="preserve">212            </v>
          </cell>
          <cell r="O14420">
            <v>90</v>
          </cell>
        </row>
        <row r="14421">
          <cell r="F14421" t="str">
            <v xml:space="preserve">212            </v>
          </cell>
          <cell r="O14421">
            <v>90</v>
          </cell>
        </row>
        <row r="14422">
          <cell r="F14422" t="str">
            <v xml:space="preserve">212            </v>
          </cell>
          <cell r="O14422">
            <v>15</v>
          </cell>
        </row>
        <row r="14423">
          <cell r="F14423" t="str">
            <v xml:space="preserve">212            </v>
          </cell>
          <cell r="O14423">
            <v>30</v>
          </cell>
        </row>
        <row r="14424">
          <cell r="F14424" t="str">
            <v xml:space="preserve">900495908      </v>
          </cell>
          <cell r="O14424">
            <v>45</v>
          </cell>
        </row>
        <row r="14425">
          <cell r="F14425" t="str">
            <v xml:space="preserve">1088315297     </v>
          </cell>
          <cell r="O14425">
            <v>26</v>
          </cell>
        </row>
        <row r="14426">
          <cell r="F14426" t="str">
            <v xml:space="preserve">14967883       </v>
          </cell>
          <cell r="O14426">
            <v>4588.3999999999996</v>
          </cell>
        </row>
        <row r="14427">
          <cell r="F14427" t="str">
            <v xml:space="preserve">31949653       </v>
          </cell>
          <cell r="O14427">
            <v>2037.6</v>
          </cell>
        </row>
        <row r="14428">
          <cell r="F14428" t="str">
            <v xml:space="preserve">805016657      </v>
          </cell>
          <cell r="O14428">
            <v>1205.4000000000001</v>
          </cell>
        </row>
        <row r="14429">
          <cell r="F14429" t="str">
            <v xml:space="preserve">815003959      </v>
          </cell>
          <cell r="O14429">
            <v>1499</v>
          </cell>
        </row>
        <row r="14430">
          <cell r="F14430" t="str">
            <v xml:space="preserve">900030756      </v>
          </cell>
          <cell r="O14430">
            <v>2759.2</v>
          </cell>
        </row>
        <row r="14431">
          <cell r="F14431" t="str">
            <v xml:space="preserve">900434637      </v>
          </cell>
          <cell r="O14431">
            <v>1030.9000000000001</v>
          </cell>
        </row>
        <row r="14432">
          <cell r="F14432" t="str">
            <v xml:space="preserve">79581982       </v>
          </cell>
          <cell r="O14432">
            <v>282.39999999999998</v>
          </cell>
        </row>
        <row r="14433">
          <cell r="F14433" t="str">
            <v xml:space="preserve">800134497      </v>
          </cell>
          <cell r="O14433">
            <v>1457.5</v>
          </cell>
        </row>
        <row r="14434">
          <cell r="F14434" t="str">
            <v xml:space="preserve">860011109      </v>
          </cell>
          <cell r="O14434">
            <v>1629.7</v>
          </cell>
        </row>
        <row r="14435">
          <cell r="F14435" t="str">
            <v xml:space="preserve">42795633       </v>
          </cell>
          <cell r="O14435">
            <v>252.8</v>
          </cell>
        </row>
        <row r="14436">
          <cell r="F14436" t="str">
            <v xml:space="preserve">811025289      </v>
          </cell>
          <cell r="O14436">
            <v>728.9</v>
          </cell>
        </row>
        <row r="14437">
          <cell r="F14437" t="str">
            <v xml:space="preserve">830010738      </v>
          </cell>
          <cell r="O14437">
            <v>125.6</v>
          </cell>
        </row>
        <row r="14438">
          <cell r="F14438" t="str">
            <v xml:space="preserve">900280406      </v>
          </cell>
          <cell r="O14438">
            <v>94.1</v>
          </cell>
        </row>
        <row r="14439">
          <cell r="F14439" t="str">
            <v xml:space="preserve">900280406      </v>
          </cell>
          <cell r="O14439">
            <v>91.7</v>
          </cell>
        </row>
        <row r="14440">
          <cell r="F14440" t="str">
            <v xml:space="preserve">900617912      </v>
          </cell>
          <cell r="O14440">
            <v>114.6</v>
          </cell>
        </row>
        <row r="14441">
          <cell r="F14441" t="str">
            <v xml:space="preserve">900652958      </v>
          </cell>
          <cell r="O14441">
            <v>177.5</v>
          </cell>
        </row>
        <row r="14442">
          <cell r="F14442" t="str">
            <v xml:space="preserve">901142147      </v>
          </cell>
          <cell r="O14442">
            <v>352.6</v>
          </cell>
        </row>
        <row r="14443">
          <cell r="F14443" t="str">
            <v xml:space="preserve">830092234      </v>
          </cell>
          <cell r="O14443">
            <v>956.7</v>
          </cell>
        </row>
        <row r="14444">
          <cell r="F14444" t="str">
            <v xml:space="preserve">860013771      </v>
          </cell>
          <cell r="O14444">
            <v>4850</v>
          </cell>
        </row>
        <row r="14445">
          <cell r="F14445" t="str">
            <v xml:space="preserve">860351923      </v>
          </cell>
          <cell r="O14445">
            <v>346.3</v>
          </cell>
        </row>
        <row r="14446">
          <cell r="F14446" t="str">
            <v xml:space="preserve">900474647      </v>
          </cell>
          <cell r="O14446">
            <v>1148.9000000000001</v>
          </cell>
        </row>
        <row r="14447">
          <cell r="F14447" t="str">
            <v xml:space="preserve">52790620       </v>
          </cell>
          <cell r="O14447">
            <v>3090</v>
          </cell>
        </row>
        <row r="14448">
          <cell r="F14448" t="str">
            <v xml:space="preserve">52790620       </v>
          </cell>
          <cell r="O14448">
            <v>1395</v>
          </cell>
        </row>
        <row r="14449">
          <cell r="F14449" t="str">
            <v xml:space="preserve">52790620       </v>
          </cell>
          <cell r="O14449">
            <v>360</v>
          </cell>
        </row>
        <row r="14450">
          <cell r="F14450" t="str">
            <v xml:space="preserve">52790620       </v>
          </cell>
          <cell r="O14450">
            <v>1650</v>
          </cell>
        </row>
        <row r="14451">
          <cell r="F14451" t="str">
            <v xml:space="preserve">800049083      </v>
          </cell>
          <cell r="O14451">
            <v>610</v>
          </cell>
        </row>
        <row r="14452">
          <cell r="F14452" t="str">
            <v xml:space="preserve">830083448      </v>
          </cell>
          <cell r="O14452">
            <v>328.3</v>
          </cell>
        </row>
        <row r="14453">
          <cell r="F14453" t="str">
            <v xml:space="preserve">830106563      </v>
          </cell>
          <cell r="O14453">
            <v>574.6</v>
          </cell>
        </row>
        <row r="14454">
          <cell r="F14454" t="str">
            <v xml:space="preserve">901080720      </v>
          </cell>
          <cell r="O14454">
            <v>170.4</v>
          </cell>
        </row>
        <row r="14455">
          <cell r="F14455" t="str">
            <v xml:space="preserve">811047008      </v>
          </cell>
          <cell r="O14455">
            <v>36</v>
          </cell>
        </row>
        <row r="14456">
          <cell r="F14456" t="str">
            <v xml:space="preserve">890903939      </v>
          </cell>
          <cell r="O14456">
            <v>342</v>
          </cell>
        </row>
        <row r="14457">
          <cell r="F14457" t="str">
            <v xml:space="preserve">890903939      </v>
          </cell>
          <cell r="O14457">
            <v>216</v>
          </cell>
        </row>
        <row r="14458">
          <cell r="F14458" t="str">
            <v xml:space="preserve">890903939      </v>
          </cell>
          <cell r="O14458">
            <v>144</v>
          </cell>
        </row>
        <row r="14459">
          <cell r="F14459" t="str">
            <v xml:space="preserve">890903939      </v>
          </cell>
          <cell r="O14459">
            <v>72</v>
          </cell>
        </row>
        <row r="14460">
          <cell r="F14460" t="str">
            <v xml:space="preserve">890903939      </v>
          </cell>
          <cell r="O14460">
            <v>0</v>
          </cell>
        </row>
        <row r="14461">
          <cell r="F14461" t="str">
            <v xml:space="preserve">29538550       </v>
          </cell>
          <cell r="O14461">
            <v>400.6</v>
          </cell>
        </row>
        <row r="14462">
          <cell r="F14462" t="str">
            <v xml:space="preserve">31914486       </v>
          </cell>
          <cell r="O14462">
            <v>110</v>
          </cell>
        </row>
        <row r="14463">
          <cell r="F14463" t="str">
            <v xml:space="preserve">805016657      </v>
          </cell>
          <cell r="O14463">
            <v>1731.8</v>
          </cell>
        </row>
        <row r="14464">
          <cell r="F14464" t="str">
            <v xml:space="preserve">805016657      </v>
          </cell>
          <cell r="O14464">
            <v>3781.1</v>
          </cell>
        </row>
        <row r="14465">
          <cell r="F14465" t="str">
            <v xml:space="preserve">805016657      </v>
          </cell>
          <cell r="O14465">
            <v>1324.7</v>
          </cell>
        </row>
        <row r="14466">
          <cell r="F14466" t="str">
            <v xml:space="preserve">830107617      </v>
          </cell>
          <cell r="O14466">
            <v>6288</v>
          </cell>
        </row>
        <row r="14467">
          <cell r="F14467" t="str">
            <v xml:space="preserve">890320250      </v>
          </cell>
          <cell r="O14467">
            <v>1025.5999999999999</v>
          </cell>
        </row>
        <row r="14468">
          <cell r="F14468" t="str">
            <v xml:space="preserve">900497719      </v>
          </cell>
          <cell r="O14468">
            <v>176.4</v>
          </cell>
        </row>
        <row r="14469">
          <cell r="F14469" t="str">
            <v xml:space="preserve">900497719      </v>
          </cell>
          <cell r="O14469">
            <v>164.3</v>
          </cell>
        </row>
        <row r="14470">
          <cell r="F14470" t="str">
            <v xml:space="preserve">901089137      </v>
          </cell>
          <cell r="O14470">
            <v>366</v>
          </cell>
        </row>
        <row r="14471">
          <cell r="F14471" t="str">
            <v xml:space="preserve">003            </v>
          </cell>
          <cell r="O14471">
            <v>383.77</v>
          </cell>
        </row>
        <row r="14472">
          <cell r="F14472" t="str">
            <v xml:space="preserve">003            </v>
          </cell>
          <cell r="O14472">
            <v>353.58</v>
          </cell>
        </row>
        <row r="14473">
          <cell r="F14473" t="str">
            <v xml:space="preserve">860001697      </v>
          </cell>
          <cell r="O14473">
            <v>140.47</v>
          </cell>
        </row>
        <row r="14474">
          <cell r="F14474" t="str">
            <v xml:space="preserve">830099238      </v>
          </cell>
          <cell r="O14474">
            <v>-28420.5</v>
          </cell>
        </row>
        <row r="14475">
          <cell r="F14475" t="str">
            <v xml:space="preserve">003            </v>
          </cell>
          <cell r="O14475">
            <v>187.73</v>
          </cell>
        </row>
        <row r="14476">
          <cell r="F14476" t="str">
            <v xml:space="preserve">003            </v>
          </cell>
          <cell r="O14476">
            <v>196.04</v>
          </cell>
        </row>
        <row r="14477">
          <cell r="F14477" t="str">
            <v xml:space="preserve">003            </v>
          </cell>
          <cell r="O14477">
            <v>202.62</v>
          </cell>
        </row>
        <row r="14478">
          <cell r="F14478" t="str">
            <v xml:space="preserve">003            </v>
          </cell>
          <cell r="O14478">
            <v>88.04</v>
          </cell>
        </row>
        <row r="14479">
          <cell r="F14479" t="str">
            <v xml:space="preserve">003            </v>
          </cell>
          <cell r="O14479">
            <v>58.15</v>
          </cell>
        </row>
        <row r="14480">
          <cell r="F14480" t="str">
            <v xml:space="preserve">003            </v>
          </cell>
          <cell r="O14480">
            <v>330.61</v>
          </cell>
        </row>
        <row r="14481">
          <cell r="F14481" t="str">
            <v xml:space="preserve">003            </v>
          </cell>
          <cell r="O14481">
            <v>142.88999999999999</v>
          </cell>
        </row>
        <row r="14482">
          <cell r="F14482" t="str">
            <v xml:space="preserve">003            </v>
          </cell>
          <cell r="O14482">
            <v>18.27</v>
          </cell>
        </row>
        <row r="14483">
          <cell r="F14483" t="str">
            <v xml:space="preserve">003            </v>
          </cell>
          <cell r="O14483">
            <v>199.38</v>
          </cell>
        </row>
        <row r="14484">
          <cell r="F14484" t="str">
            <v xml:space="preserve">003            </v>
          </cell>
          <cell r="O14484">
            <v>93.03</v>
          </cell>
        </row>
        <row r="14485">
          <cell r="F14485" t="str">
            <v xml:space="preserve">003            </v>
          </cell>
          <cell r="O14485">
            <v>139.55000000000001</v>
          </cell>
        </row>
        <row r="14486">
          <cell r="F14486" t="str">
            <v xml:space="preserve">003            </v>
          </cell>
          <cell r="O14486">
            <v>322.3</v>
          </cell>
        </row>
        <row r="14487">
          <cell r="F14487" t="str">
            <v xml:space="preserve">003            </v>
          </cell>
          <cell r="O14487">
            <v>116.31</v>
          </cell>
        </row>
        <row r="14488">
          <cell r="F14488" t="str">
            <v xml:space="preserve">003            </v>
          </cell>
          <cell r="O14488">
            <v>651.30999999999995</v>
          </cell>
        </row>
        <row r="14489">
          <cell r="F14489" t="str">
            <v xml:space="preserve">003            </v>
          </cell>
          <cell r="O14489">
            <v>56.48</v>
          </cell>
        </row>
        <row r="14490">
          <cell r="F14490" t="str">
            <v xml:space="preserve">003            </v>
          </cell>
          <cell r="O14490">
            <v>187.75</v>
          </cell>
        </row>
        <row r="14491">
          <cell r="F14491" t="str">
            <v xml:space="preserve">003            </v>
          </cell>
          <cell r="O14491">
            <v>192.64</v>
          </cell>
        </row>
        <row r="14492">
          <cell r="F14492" t="str">
            <v xml:space="preserve">003            </v>
          </cell>
          <cell r="O14492">
            <v>29.9</v>
          </cell>
        </row>
        <row r="14493">
          <cell r="F14493" t="str">
            <v xml:space="preserve">003            </v>
          </cell>
          <cell r="O14493">
            <v>74.73</v>
          </cell>
        </row>
        <row r="14494">
          <cell r="F14494" t="str">
            <v xml:space="preserve">003            </v>
          </cell>
          <cell r="O14494">
            <v>234.25</v>
          </cell>
        </row>
        <row r="14495">
          <cell r="F14495" t="str">
            <v xml:space="preserve">003            </v>
          </cell>
          <cell r="O14495">
            <v>96.33</v>
          </cell>
        </row>
        <row r="14496">
          <cell r="F14496" t="str">
            <v xml:space="preserve">003            </v>
          </cell>
          <cell r="O14496">
            <v>141.19</v>
          </cell>
        </row>
        <row r="14497">
          <cell r="F14497" t="str">
            <v xml:space="preserve">003            </v>
          </cell>
          <cell r="O14497">
            <v>211</v>
          </cell>
        </row>
        <row r="14498">
          <cell r="F14498" t="str">
            <v xml:space="preserve">003            </v>
          </cell>
          <cell r="O14498">
            <v>436.91</v>
          </cell>
        </row>
        <row r="14499">
          <cell r="F14499" t="str">
            <v xml:space="preserve">003            </v>
          </cell>
          <cell r="O14499">
            <v>89.72</v>
          </cell>
        </row>
        <row r="14500">
          <cell r="F14500" t="str">
            <v xml:space="preserve">003            </v>
          </cell>
          <cell r="O14500">
            <v>295.72000000000003</v>
          </cell>
        </row>
        <row r="14501">
          <cell r="F14501" t="str">
            <v xml:space="preserve">003            </v>
          </cell>
          <cell r="O14501">
            <v>26.59</v>
          </cell>
        </row>
        <row r="14502">
          <cell r="F14502" t="str">
            <v xml:space="preserve">003            </v>
          </cell>
          <cell r="O14502">
            <v>119.63</v>
          </cell>
        </row>
        <row r="14503">
          <cell r="F14503" t="str">
            <v xml:space="preserve">003            </v>
          </cell>
          <cell r="O14503">
            <v>88.04</v>
          </cell>
        </row>
        <row r="14504">
          <cell r="F14504" t="str">
            <v xml:space="preserve">003            </v>
          </cell>
          <cell r="O14504">
            <v>126.27</v>
          </cell>
        </row>
        <row r="14505">
          <cell r="F14505" t="str">
            <v xml:space="preserve">003            </v>
          </cell>
          <cell r="O14505">
            <v>84.72</v>
          </cell>
        </row>
        <row r="14506">
          <cell r="F14506" t="str">
            <v xml:space="preserve">003            </v>
          </cell>
          <cell r="O14506">
            <v>390.42</v>
          </cell>
        </row>
        <row r="14507">
          <cell r="F14507" t="str">
            <v xml:space="preserve">003            </v>
          </cell>
          <cell r="O14507">
            <v>250.87</v>
          </cell>
        </row>
        <row r="14508">
          <cell r="F14508" t="str">
            <v xml:space="preserve">003            </v>
          </cell>
          <cell r="O14508">
            <v>151.18</v>
          </cell>
        </row>
        <row r="14509">
          <cell r="F14509" t="str">
            <v xml:space="preserve">003            </v>
          </cell>
          <cell r="O14509">
            <v>237.58</v>
          </cell>
        </row>
        <row r="14510">
          <cell r="F14510" t="str">
            <v xml:space="preserve">003            </v>
          </cell>
          <cell r="O14510">
            <v>227.62</v>
          </cell>
        </row>
        <row r="14511">
          <cell r="F14511" t="str">
            <v xml:space="preserve">003            </v>
          </cell>
          <cell r="O14511">
            <v>107.99</v>
          </cell>
        </row>
        <row r="14512">
          <cell r="F14512" t="str">
            <v xml:space="preserve">003            </v>
          </cell>
          <cell r="O14512">
            <v>191.06</v>
          </cell>
        </row>
        <row r="14513">
          <cell r="F14513" t="str">
            <v xml:space="preserve">003            </v>
          </cell>
          <cell r="O14513">
            <v>81.05</v>
          </cell>
        </row>
        <row r="14514">
          <cell r="F14514" t="str">
            <v xml:space="preserve">003            </v>
          </cell>
          <cell r="O14514">
            <v>515.03</v>
          </cell>
        </row>
        <row r="14515">
          <cell r="F14515" t="str">
            <v xml:space="preserve">003            </v>
          </cell>
          <cell r="O14515">
            <v>192.74</v>
          </cell>
        </row>
        <row r="14516">
          <cell r="F14516" t="str">
            <v xml:space="preserve">003            </v>
          </cell>
          <cell r="O14516">
            <v>448.58</v>
          </cell>
        </row>
        <row r="14517">
          <cell r="F14517" t="str">
            <v xml:space="preserve">900716459      </v>
          </cell>
          <cell r="O14517">
            <v>3816.47</v>
          </cell>
        </row>
        <row r="14518">
          <cell r="F14518" t="str">
            <v xml:space="preserve">900716459      </v>
          </cell>
          <cell r="O14518">
            <v>3827.29</v>
          </cell>
        </row>
        <row r="14519">
          <cell r="F14519" t="str">
            <v xml:space="preserve">79434442       </v>
          </cell>
          <cell r="O14519">
            <v>157.32</v>
          </cell>
        </row>
        <row r="14520">
          <cell r="F14520" t="str">
            <v xml:space="preserve">800182293      </v>
          </cell>
          <cell r="O14520">
            <v>262.87</v>
          </cell>
        </row>
        <row r="14521">
          <cell r="F14521" t="str">
            <v xml:space="preserve">811014849      </v>
          </cell>
          <cell r="O14521">
            <v>669.9</v>
          </cell>
        </row>
        <row r="14522">
          <cell r="F14522" t="str">
            <v xml:space="preserve">830043931      </v>
          </cell>
          <cell r="O14522">
            <v>122.34</v>
          </cell>
        </row>
        <row r="14523">
          <cell r="F14523" t="str">
            <v xml:space="preserve">830069315      </v>
          </cell>
          <cell r="O14523">
            <v>294.51</v>
          </cell>
        </row>
        <row r="14524">
          <cell r="F14524" t="str">
            <v xml:space="preserve">830094349      </v>
          </cell>
          <cell r="O14524">
            <v>381.83</v>
          </cell>
        </row>
        <row r="14525">
          <cell r="F14525" t="str">
            <v xml:space="preserve">860518994      </v>
          </cell>
          <cell r="O14525">
            <v>45.31</v>
          </cell>
        </row>
        <row r="14526">
          <cell r="F14526" t="str">
            <v xml:space="preserve">891300382      </v>
          </cell>
          <cell r="O14526">
            <v>77.14</v>
          </cell>
        </row>
        <row r="14527">
          <cell r="F14527" t="str">
            <v xml:space="preserve">891300382      </v>
          </cell>
          <cell r="O14527">
            <v>77.25</v>
          </cell>
        </row>
        <row r="14528">
          <cell r="F14528" t="str">
            <v xml:space="preserve">891300382      </v>
          </cell>
          <cell r="O14528">
            <v>79.48</v>
          </cell>
        </row>
        <row r="14529">
          <cell r="F14529" t="str">
            <v xml:space="preserve">901394045      </v>
          </cell>
          <cell r="O14529">
            <v>500.01</v>
          </cell>
        </row>
        <row r="14530">
          <cell r="F14530" t="str">
            <v xml:space="preserve">21065629       </v>
          </cell>
          <cell r="O14530">
            <v>310.5</v>
          </cell>
        </row>
        <row r="14531">
          <cell r="F14531" t="str">
            <v xml:space="preserve">811047008      </v>
          </cell>
          <cell r="O14531">
            <v>173.7</v>
          </cell>
        </row>
        <row r="14532">
          <cell r="F14532" t="str">
            <v xml:space="preserve">832001844      </v>
          </cell>
          <cell r="O14532">
            <v>812</v>
          </cell>
        </row>
        <row r="14533">
          <cell r="F14533" t="str">
            <v xml:space="preserve">860000794      </v>
          </cell>
          <cell r="O14533">
            <v>703.4</v>
          </cell>
        </row>
        <row r="14534">
          <cell r="F14534" t="str">
            <v xml:space="preserve">860512249      </v>
          </cell>
          <cell r="O14534">
            <v>1038</v>
          </cell>
        </row>
        <row r="14535">
          <cell r="F14535" t="str">
            <v xml:space="preserve">860512249      </v>
          </cell>
          <cell r="O14535">
            <v>573</v>
          </cell>
        </row>
        <row r="14536">
          <cell r="F14536" t="str">
            <v xml:space="preserve">900411319      </v>
          </cell>
          <cell r="O14536">
            <v>359</v>
          </cell>
        </row>
        <row r="14537">
          <cell r="F14537" t="str">
            <v xml:space="preserve">830009573      </v>
          </cell>
          <cell r="O14537">
            <v>464.1</v>
          </cell>
        </row>
        <row r="14538">
          <cell r="F14538" t="str">
            <v xml:space="preserve">860058831      </v>
          </cell>
          <cell r="O14538">
            <v>1000.5</v>
          </cell>
        </row>
        <row r="14539">
          <cell r="F14539" t="str">
            <v xml:space="preserve">900992422      </v>
          </cell>
          <cell r="O14539">
            <v>5334.2</v>
          </cell>
        </row>
        <row r="14540">
          <cell r="F14540" t="str">
            <v xml:space="preserve">823001882      </v>
          </cell>
          <cell r="O14540">
            <v>45</v>
          </cell>
        </row>
        <row r="14541">
          <cell r="F14541" t="str">
            <v xml:space="preserve">805005148      </v>
          </cell>
          <cell r="O14541">
            <v>5688</v>
          </cell>
        </row>
        <row r="14542">
          <cell r="F14542" t="str">
            <v xml:space="preserve">805005148      </v>
          </cell>
          <cell r="O14542">
            <v>9</v>
          </cell>
        </row>
        <row r="14543">
          <cell r="F14543" t="str">
            <v xml:space="preserve">805005148      </v>
          </cell>
          <cell r="O14543">
            <v>300</v>
          </cell>
        </row>
        <row r="14544">
          <cell r="F14544" t="str">
            <v xml:space="preserve">805005148      </v>
          </cell>
          <cell r="O14544">
            <v>1350</v>
          </cell>
        </row>
        <row r="14545">
          <cell r="F14545" t="str">
            <v xml:space="preserve">805005148      </v>
          </cell>
          <cell r="O14545">
            <v>630</v>
          </cell>
        </row>
        <row r="14546">
          <cell r="F14546" t="str">
            <v xml:space="preserve">805005148      </v>
          </cell>
          <cell r="O14546">
            <v>9</v>
          </cell>
        </row>
        <row r="14547">
          <cell r="F14547" t="str">
            <v xml:space="preserve">805005148      </v>
          </cell>
          <cell r="O14547">
            <v>18</v>
          </cell>
        </row>
        <row r="14548">
          <cell r="F14548" t="str">
            <v xml:space="preserve">805005148      </v>
          </cell>
          <cell r="O14548">
            <v>1440</v>
          </cell>
        </row>
        <row r="14549">
          <cell r="F14549" t="str">
            <v xml:space="preserve">805005148      </v>
          </cell>
          <cell r="O14549">
            <v>270</v>
          </cell>
        </row>
        <row r="14550">
          <cell r="F14550" t="str">
            <v xml:space="preserve">94050412       </v>
          </cell>
          <cell r="O14550">
            <v>60</v>
          </cell>
        </row>
        <row r="14551">
          <cell r="F14551" t="str">
            <v xml:space="preserve">94050412       </v>
          </cell>
          <cell r="O14551">
            <v>540</v>
          </cell>
        </row>
        <row r="14552">
          <cell r="F14552" t="str">
            <v xml:space="preserve">94050412       </v>
          </cell>
          <cell r="O14552">
            <v>90</v>
          </cell>
        </row>
        <row r="14553">
          <cell r="F14553" t="str">
            <v xml:space="preserve">815004891      </v>
          </cell>
          <cell r="O14553">
            <v>36</v>
          </cell>
        </row>
        <row r="14554">
          <cell r="F14554" t="str">
            <v xml:space="preserve">88275315       </v>
          </cell>
          <cell r="O14554">
            <v>75</v>
          </cell>
        </row>
        <row r="14555">
          <cell r="F14555" t="str">
            <v xml:space="preserve">88275315       </v>
          </cell>
          <cell r="O14555">
            <v>1836</v>
          </cell>
        </row>
        <row r="14556">
          <cell r="F14556" t="str">
            <v xml:space="preserve">88275315       </v>
          </cell>
          <cell r="O14556">
            <v>180</v>
          </cell>
        </row>
        <row r="14557">
          <cell r="F14557" t="str">
            <v xml:space="preserve">88275315       </v>
          </cell>
          <cell r="O14557">
            <v>72</v>
          </cell>
        </row>
        <row r="14558">
          <cell r="F14558" t="str">
            <v xml:space="preserve">94464104       </v>
          </cell>
          <cell r="O14558">
            <v>378</v>
          </cell>
        </row>
        <row r="14559">
          <cell r="F14559" t="str">
            <v xml:space="preserve">16458005       </v>
          </cell>
          <cell r="O14559">
            <v>126</v>
          </cell>
        </row>
        <row r="14560">
          <cell r="F14560" t="str">
            <v xml:space="preserve">901204907      </v>
          </cell>
          <cell r="O14560">
            <v>18</v>
          </cell>
        </row>
        <row r="14561">
          <cell r="F14561" t="str">
            <v xml:space="preserve">901204907      </v>
          </cell>
          <cell r="O14561">
            <v>18</v>
          </cell>
        </row>
        <row r="14562">
          <cell r="F14562" t="str">
            <v xml:space="preserve">94419930       </v>
          </cell>
          <cell r="O14562">
            <v>324</v>
          </cell>
        </row>
        <row r="14563">
          <cell r="F14563" t="str">
            <v xml:space="preserve">94419930       </v>
          </cell>
          <cell r="O14563">
            <v>45</v>
          </cell>
        </row>
        <row r="14564">
          <cell r="F14564" t="str">
            <v xml:space="preserve">94420019       </v>
          </cell>
          <cell r="O14564">
            <v>90</v>
          </cell>
        </row>
        <row r="14565">
          <cell r="F14565" t="str">
            <v xml:space="preserve">16669313       </v>
          </cell>
          <cell r="O14565">
            <v>18</v>
          </cell>
        </row>
        <row r="14566">
          <cell r="F14566" t="str">
            <v xml:space="preserve">16669313       </v>
          </cell>
          <cell r="O14566">
            <v>1278</v>
          </cell>
        </row>
        <row r="14567">
          <cell r="F14567" t="str">
            <v xml:space="preserve">16669313       </v>
          </cell>
          <cell r="O14567">
            <v>72</v>
          </cell>
        </row>
        <row r="14568">
          <cell r="F14568" t="str">
            <v xml:space="preserve">900034686      </v>
          </cell>
          <cell r="O14568">
            <v>126</v>
          </cell>
        </row>
        <row r="14569">
          <cell r="F14569" t="str">
            <v xml:space="preserve">16460421       </v>
          </cell>
          <cell r="O14569">
            <v>30</v>
          </cell>
        </row>
        <row r="14570">
          <cell r="F14570" t="str">
            <v xml:space="preserve">16460421       </v>
          </cell>
          <cell r="O14570">
            <v>1062</v>
          </cell>
        </row>
        <row r="14571">
          <cell r="F14571" t="str">
            <v xml:space="preserve">16460421       </v>
          </cell>
          <cell r="O14571">
            <v>135</v>
          </cell>
        </row>
        <row r="14572">
          <cell r="F14572" t="str">
            <v xml:space="preserve">75074760       </v>
          </cell>
          <cell r="O14572">
            <v>75</v>
          </cell>
        </row>
        <row r="14573">
          <cell r="F14573" t="str">
            <v xml:space="preserve">75074760       </v>
          </cell>
          <cell r="O14573">
            <v>180</v>
          </cell>
        </row>
        <row r="14574">
          <cell r="F14574" t="str">
            <v xml:space="preserve">9910443        </v>
          </cell>
          <cell r="O14574">
            <v>2700</v>
          </cell>
        </row>
        <row r="14575">
          <cell r="F14575" t="str">
            <v xml:space="preserve">10237057       </v>
          </cell>
          <cell r="O14575">
            <v>75</v>
          </cell>
        </row>
        <row r="14576">
          <cell r="F14576" t="str">
            <v xml:space="preserve">10237057       </v>
          </cell>
          <cell r="O14576">
            <v>45</v>
          </cell>
        </row>
        <row r="14577">
          <cell r="F14577" t="str">
            <v xml:space="preserve">901555731      </v>
          </cell>
          <cell r="O14577">
            <v>45</v>
          </cell>
        </row>
        <row r="14578">
          <cell r="F14578" t="str">
            <v xml:space="preserve">94406762       </v>
          </cell>
          <cell r="O14578">
            <v>900</v>
          </cell>
        </row>
        <row r="14579">
          <cell r="F14579" t="str">
            <v xml:space="preserve">94406762       </v>
          </cell>
          <cell r="O14579">
            <v>1680</v>
          </cell>
        </row>
        <row r="14580">
          <cell r="F14580" t="str">
            <v xml:space="preserve">94406762       </v>
          </cell>
          <cell r="O14580">
            <v>135</v>
          </cell>
        </row>
        <row r="14581">
          <cell r="F14581" t="str">
            <v xml:space="preserve">1111745154     </v>
          </cell>
          <cell r="O14581">
            <v>405</v>
          </cell>
        </row>
        <row r="14582">
          <cell r="F14582" t="str">
            <v xml:space="preserve">1111745154     </v>
          </cell>
          <cell r="O14582">
            <v>45</v>
          </cell>
        </row>
        <row r="14583">
          <cell r="F14583" t="str">
            <v xml:space="preserve">16456104       </v>
          </cell>
          <cell r="O14583">
            <v>285</v>
          </cell>
        </row>
        <row r="14584">
          <cell r="F14584" t="str">
            <v xml:space="preserve">71734502       </v>
          </cell>
          <cell r="O14584">
            <v>135</v>
          </cell>
        </row>
        <row r="14585">
          <cell r="F14585" t="str">
            <v xml:space="preserve">14471042       </v>
          </cell>
          <cell r="O14585">
            <v>195</v>
          </cell>
        </row>
        <row r="14586">
          <cell r="F14586" t="str">
            <v xml:space="preserve">16479359       </v>
          </cell>
          <cell r="O14586">
            <v>90</v>
          </cell>
        </row>
        <row r="14587">
          <cell r="F14587" t="str">
            <v xml:space="preserve">10007888       </v>
          </cell>
          <cell r="O14587">
            <v>90</v>
          </cell>
        </row>
        <row r="14588">
          <cell r="F14588" t="str">
            <v xml:space="preserve">10007888       </v>
          </cell>
          <cell r="O14588">
            <v>36</v>
          </cell>
        </row>
        <row r="14589">
          <cell r="F14589" t="str">
            <v xml:space="preserve">1088256267     </v>
          </cell>
          <cell r="O14589">
            <v>18</v>
          </cell>
        </row>
        <row r="14590">
          <cell r="F14590" t="str">
            <v xml:space="preserve">1088256267     </v>
          </cell>
          <cell r="O14590">
            <v>90</v>
          </cell>
        </row>
        <row r="14591">
          <cell r="F14591" t="str">
            <v xml:space="preserve">66676270       </v>
          </cell>
          <cell r="O14591">
            <v>234</v>
          </cell>
        </row>
        <row r="14592">
          <cell r="F14592" t="str">
            <v xml:space="preserve">94228120       </v>
          </cell>
          <cell r="O14592">
            <v>45</v>
          </cell>
        </row>
        <row r="14593">
          <cell r="F14593" t="str">
            <v xml:space="preserve">94228120       </v>
          </cell>
          <cell r="O14593">
            <v>75</v>
          </cell>
        </row>
        <row r="14594">
          <cell r="F14594" t="str">
            <v xml:space="preserve">94228120       </v>
          </cell>
          <cell r="O14594">
            <v>900</v>
          </cell>
        </row>
        <row r="14595">
          <cell r="F14595" t="str">
            <v xml:space="preserve">94228120       </v>
          </cell>
          <cell r="O14595">
            <v>135</v>
          </cell>
        </row>
        <row r="14596">
          <cell r="F14596" t="str">
            <v xml:space="preserve">94228120       </v>
          </cell>
          <cell r="O14596">
            <v>15</v>
          </cell>
        </row>
        <row r="14597">
          <cell r="F14597" t="str">
            <v xml:space="preserve">18531114       </v>
          </cell>
          <cell r="O14597">
            <v>135</v>
          </cell>
        </row>
        <row r="14598">
          <cell r="F14598" t="str">
            <v xml:space="preserve">18531114       </v>
          </cell>
          <cell r="O14598">
            <v>126</v>
          </cell>
        </row>
        <row r="14599">
          <cell r="F14599" t="str">
            <v xml:space="preserve">18531114       </v>
          </cell>
          <cell r="O14599">
            <v>720</v>
          </cell>
        </row>
        <row r="14600">
          <cell r="F14600" t="str">
            <v xml:space="preserve">66679645       </v>
          </cell>
          <cell r="O14600">
            <v>63</v>
          </cell>
        </row>
        <row r="14601">
          <cell r="F14601" t="str">
            <v xml:space="preserve">66679645       </v>
          </cell>
          <cell r="O14601">
            <v>105</v>
          </cell>
        </row>
        <row r="14602">
          <cell r="F14602" t="str">
            <v xml:space="preserve">66679645       </v>
          </cell>
          <cell r="O14602">
            <v>126</v>
          </cell>
        </row>
        <row r="14603">
          <cell r="F14603" t="str">
            <v xml:space="preserve">16225682       </v>
          </cell>
          <cell r="O14603">
            <v>435</v>
          </cell>
        </row>
        <row r="14604">
          <cell r="F14604" t="str">
            <v xml:space="preserve">16225682       </v>
          </cell>
          <cell r="O14604">
            <v>144</v>
          </cell>
        </row>
        <row r="14605">
          <cell r="F14605" t="str">
            <v xml:space="preserve">16225682       </v>
          </cell>
          <cell r="O14605">
            <v>45</v>
          </cell>
        </row>
        <row r="14606">
          <cell r="F14606" t="str">
            <v xml:space="preserve">10144092       </v>
          </cell>
          <cell r="O14606">
            <v>240</v>
          </cell>
        </row>
        <row r="14607">
          <cell r="F14607" t="str">
            <v xml:space="preserve">10144092       </v>
          </cell>
          <cell r="O14607">
            <v>36</v>
          </cell>
        </row>
        <row r="14608">
          <cell r="F14608" t="str">
            <v xml:space="preserve">16225675       </v>
          </cell>
          <cell r="O14608">
            <v>9</v>
          </cell>
        </row>
        <row r="14609">
          <cell r="F14609" t="str">
            <v xml:space="preserve">16225675       </v>
          </cell>
          <cell r="O14609">
            <v>975</v>
          </cell>
        </row>
        <row r="14610">
          <cell r="F14610" t="str">
            <v xml:space="preserve">16225675       </v>
          </cell>
          <cell r="O14610">
            <v>126</v>
          </cell>
        </row>
        <row r="14611">
          <cell r="F14611" t="str">
            <v xml:space="preserve">18596221       </v>
          </cell>
          <cell r="O14611">
            <v>180</v>
          </cell>
        </row>
        <row r="14612">
          <cell r="F14612" t="str">
            <v xml:space="preserve">805005148      </v>
          </cell>
          <cell r="O14612">
            <v>30</v>
          </cell>
        </row>
        <row r="14613">
          <cell r="F14613" t="str">
            <v xml:space="preserve">805005148      </v>
          </cell>
          <cell r="O14613">
            <v>378</v>
          </cell>
        </row>
        <row r="14614">
          <cell r="F14614" t="str">
            <v xml:space="preserve">805005148      </v>
          </cell>
          <cell r="O14614">
            <v>45</v>
          </cell>
        </row>
        <row r="14615">
          <cell r="F14615" t="str">
            <v xml:space="preserve">805005148      </v>
          </cell>
          <cell r="O14615">
            <v>432</v>
          </cell>
        </row>
        <row r="14616">
          <cell r="F14616" t="str">
            <v xml:space="preserve">10303909       </v>
          </cell>
          <cell r="O14616">
            <v>135</v>
          </cell>
        </row>
        <row r="14617">
          <cell r="F14617" t="str">
            <v xml:space="preserve">94373864       </v>
          </cell>
          <cell r="O14617">
            <v>900</v>
          </cell>
        </row>
        <row r="14618">
          <cell r="F14618" t="str">
            <v xml:space="preserve">76336108       </v>
          </cell>
          <cell r="O14618">
            <v>45</v>
          </cell>
        </row>
        <row r="14619">
          <cell r="F14619" t="str">
            <v xml:space="preserve">76336108       </v>
          </cell>
          <cell r="O14619">
            <v>45</v>
          </cell>
        </row>
        <row r="14620">
          <cell r="F14620" t="str">
            <v xml:space="preserve">10532222       </v>
          </cell>
          <cell r="O14620">
            <v>15</v>
          </cell>
        </row>
        <row r="14621">
          <cell r="F14621" t="str">
            <v xml:space="preserve">10532222       </v>
          </cell>
          <cell r="O14621">
            <v>144</v>
          </cell>
        </row>
        <row r="14622">
          <cell r="F14622" t="str">
            <v xml:space="preserve">10532222       </v>
          </cell>
          <cell r="O14622">
            <v>45</v>
          </cell>
        </row>
        <row r="14623">
          <cell r="F14623" t="str">
            <v xml:space="preserve">10755493       </v>
          </cell>
          <cell r="O14623">
            <v>486</v>
          </cell>
        </row>
        <row r="14624">
          <cell r="F14624" t="str">
            <v xml:space="preserve">18389245       </v>
          </cell>
          <cell r="O14624">
            <v>150</v>
          </cell>
        </row>
        <row r="14625">
          <cell r="F14625" t="str">
            <v xml:space="preserve">18416624       </v>
          </cell>
          <cell r="O14625">
            <v>45</v>
          </cell>
        </row>
        <row r="14626">
          <cell r="F14626" t="str">
            <v xml:space="preserve">18416624       </v>
          </cell>
          <cell r="O14626">
            <v>18</v>
          </cell>
        </row>
        <row r="14627">
          <cell r="F14627" t="str">
            <v xml:space="preserve">18416624       </v>
          </cell>
          <cell r="O14627">
            <v>135</v>
          </cell>
        </row>
        <row r="14628">
          <cell r="F14628" t="str">
            <v xml:space="preserve">18416624       </v>
          </cell>
          <cell r="O14628">
            <v>4.5</v>
          </cell>
        </row>
        <row r="14629">
          <cell r="F14629" t="str">
            <v xml:space="preserve">18416624       </v>
          </cell>
          <cell r="O14629">
            <v>30</v>
          </cell>
        </row>
        <row r="14630">
          <cell r="F14630" t="str">
            <v xml:space="preserve">18416624       </v>
          </cell>
          <cell r="O14630">
            <v>18</v>
          </cell>
        </row>
        <row r="14631">
          <cell r="F14631" t="str">
            <v xml:space="preserve">18416624       </v>
          </cell>
          <cell r="O14631">
            <v>45</v>
          </cell>
        </row>
        <row r="14632">
          <cell r="F14632" t="str">
            <v xml:space="preserve">805027024      </v>
          </cell>
          <cell r="O14632">
            <v>15</v>
          </cell>
        </row>
        <row r="14633">
          <cell r="F14633" t="str">
            <v xml:space="preserve">4613715        </v>
          </cell>
          <cell r="O14633">
            <v>54</v>
          </cell>
        </row>
        <row r="14634">
          <cell r="F14634" t="str">
            <v xml:space="preserve">4613715        </v>
          </cell>
          <cell r="O14634">
            <v>1044</v>
          </cell>
        </row>
        <row r="14635">
          <cell r="F14635" t="str">
            <v xml:space="preserve">4613715        </v>
          </cell>
          <cell r="O14635">
            <v>315</v>
          </cell>
        </row>
        <row r="14636">
          <cell r="F14636" t="str">
            <v xml:space="preserve">4613715        </v>
          </cell>
          <cell r="O14636">
            <v>1035</v>
          </cell>
        </row>
        <row r="14637">
          <cell r="F14637" t="str">
            <v xml:space="preserve">4613715        </v>
          </cell>
          <cell r="O14637">
            <v>180</v>
          </cell>
        </row>
        <row r="14638">
          <cell r="F14638" t="str">
            <v xml:space="preserve">4613715        </v>
          </cell>
          <cell r="O14638">
            <v>252</v>
          </cell>
        </row>
        <row r="14639">
          <cell r="F14639" t="str">
            <v xml:space="preserve">4613715        </v>
          </cell>
          <cell r="O14639">
            <v>90</v>
          </cell>
        </row>
        <row r="14640">
          <cell r="F14640" t="str">
            <v xml:space="preserve">9805400        </v>
          </cell>
          <cell r="O14640">
            <v>30</v>
          </cell>
        </row>
        <row r="14641">
          <cell r="F14641" t="str">
            <v xml:space="preserve">9805400        </v>
          </cell>
          <cell r="O14641">
            <v>126</v>
          </cell>
        </row>
        <row r="14642">
          <cell r="F14642" t="str">
            <v xml:space="preserve">9805400        </v>
          </cell>
          <cell r="O14642">
            <v>30</v>
          </cell>
        </row>
        <row r="14643">
          <cell r="F14643" t="str">
            <v xml:space="preserve">9805400        </v>
          </cell>
          <cell r="O14643">
            <v>18</v>
          </cell>
        </row>
        <row r="14644">
          <cell r="F14644" t="str">
            <v xml:space="preserve">805005148      </v>
          </cell>
          <cell r="O14644">
            <v>135</v>
          </cell>
        </row>
        <row r="14645">
          <cell r="F14645" t="str">
            <v xml:space="preserve">805005148      </v>
          </cell>
          <cell r="O14645">
            <v>18</v>
          </cell>
        </row>
        <row r="14646">
          <cell r="F14646" t="str">
            <v xml:space="preserve">805005148      </v>
          </cell>
          <cell r="O14646">
            <v>90</v>
          </cell>
        </row>
        <row r="14647">
          <cell r="F14647" t="str">
            <v xml:space="preserve">805005148      </v>
          </cell>
          <cell r="O14647">
            <v>1440</v>
          </cell>
        </row>
        <row r="14648">
          <cell r="F14648" t="str">
            <v xml:space="preserve">805005148      </v>
          </cell>
          <cell r="O14648">
            <v>936</v>
          </cell>
        </row>
        <row r="14649">
          <cell r="F14649" t="str">
            <v xml:space="preserve">805005148      </v>
          </cell>
          <cell r="O14649">
            <v>1548</v>
          </cell>
        </row>
        <row r="14650">
          <cell r="F14650" t="str">
            <v xml:space="preserve">805005148      </v>
          </cell>
          <cell r="O14650">
            <v>225</v>
          </cell>
        </row>
        <row r="14651">
          <cell r="F14651" t="str">
            <v xml:space="preserve">805005148      </v>
          </cell>
          <cell r="O14651">
            <v>4.5</v>
          </cell>
        </row>
        <row r="14652">
          <cell r="F14652" t="str">
            <v xml:space="preserve">805005148      </v>
          </cell>
          <cell r="O14652">
            <v>252</v>
          </cell>
        </row>
        <row r="14653">
          <cell r="F14653" t="str">
            <v xml:space="preserve">805005148      </v>
          </cell>
          <cell r="O14653">
            <v>45</v>
          </cell>
        </row>
        <row r="14654">
          <cell r="F14654" t="str">
            <v xml:space="preserve">10488839       </v>
          </cell>
          <cell r="O14654">
            <v>9</v>
          </cell>
        </row>
        <row r="14655">
          <cell r="F14655" t="str">
            <v xml:space="preserve">10488839       </v>
          </cell>
          <cell r="O14655">
            <v>30</v>
          </cell>
        </row>
        <row r="14656">
          <cell r="F14656" t="str">
            <v xml:space="preserve">10488839       </v>
          </cell>
          <cell r="O14656">
            <v>45</v>
          </cell>
        </row>
        <row r="14657">
          <cell r="F14657" t="str">
            <v xml:space="preserve">10488839       </v>
          </cell>
          <cell r="O14657">
            <v>1440</v>
          </cell>
        </row>
        <row r="14658">
          <cell r="F14658" t="str">
            <v xml:space="preserve">16843578       </v>
          </cell>
          <cell r="O14658">
            <v>900</v>
          </cell>
        </row>
        <row r="14659">
          <cell r="F14659" t="str">
            <v xml:space="preserve">16843578       </v>
          </cell>
          <cell r="O14659">
            <v>90</v>
          </cell>
        </row>
        <row r="14660">
          <cell r="F14660" t="str">
            <v xml:space="preserve">10484782       </v>
          </cell>
          <cell r="O14660">
            <v>2736</v>
          </cell>
        </row>
        <row r="14661">
          <cell r="F14661" t="str">
            <v xml:space="preserve">16849293       </v>
          </cell>
          <cell r="O14661">
            <v>30</v>
          </cell>
        </row>
        <row r="14662">
          <cell r="F14662" t="str">
            <v xml:space="preserve">16849293       </v>
          </cell>
          <cell r="O14662">
            <v>198</v>
          </cell>
        </row>
        <row r="14663">
          <cell r="F14663" t="str">
            <v xml:space="preserve">79736632       </v>
          </cell>
          <cell r="O14663">
            <v>792</v>
          </cell>
        </row>
        <row r="14664">
          <cell r="F14664" t="str">
            <v xml:space="preserve">79736632       </v>
          </cell>
          <cell r="O14664">
            <v>180</v>
          </cell>
        </row>
        <row r="14665">
          <cell r="F14665" t="str">
            <v xml:space="preserve">26050336       </v>
          </cell>
          <cell r="O14665">
            <v>45</v>
          </cell>
        </row>
        <row r="14666">
          <cell r="F14666" t="str">
            <v xml:space="preserve">26050336       </v>
          </cell>
          <cell r="O14666">
            <v>90</v>
          </cell>
        </row>
        <row r="14667">
          <cell r="F14667" t="str">
            <v xml:space="preserve">26050336       </v>
          </cell>
          <cell r="O14667">
            <v>90</v>
          </cell>
        </row>
        <row r="14668">
          <cell r="F14668" t="str">
            <v xml:space="preserve">900115560      </v>
          </cell>
          <cell r="O14668">
            <v>150</v>
          </cell>
        </row>
        <row r="14669">
          <cell r="F14669" t="str">
            <v xml:space="preserve">18385749       </v>
          </cell>
          <cell r="O14669">
            <v>15</v>
          </cell>
        </row>
        <row r="14670">
          <cell r="F14670" t="str">
            <v xml:space="preserve">18385749       </v>
          </cell>
          <cell r="O14670">
            <v>234</v>
          </cell>
        </row>
        <row r="14671">
          <cell r="F14671" t="str">
            <v xml:space="preserve">18385749       </v>
          </cell>
          <cell r="O14671">
            <v>675</v>
          </cell>
        </row>
        <row r="14672">
          <cell r="F14672" t="str">
            <v xml:space="preserve">79824837       </v>
          </cell>
          <cell r="O14672">
            <v>432</v>
          </cell>
        </row>
        <row r="14673">
          <cell r="F14673" t="str">
            <v xml:space="preserve">1074130475     </v>
          </cell>
          <cell r="O14673">
            <v>846</v>
          </cell>
        </row>
        <row r="14674">
          <cell r="F14674" t="str">
            <v xml:space="preserve">1074130475     </v>
          </cell>
          <cell r="O14674">
            <v>270</v>
          </cell>
        </row>
        <row r="14675">
          <cell r="F14675" t="str">
            <v xml:space="preserve">1074130475     </v>
          </cell>
          <cell r="O14675">
            <v>54</v>
          </cell>
        </row>
        <row r="14676">
          <cell r="F14676" t="str">
            <v xml:space="preserve">3273085        </v>
          </cell>
          <cell r="O14676">
            <v>828</v>
          </cell>
        </row>
        <row r="14677">
          <cell r="F14677" t="str">
            <v xml:space="preserve">3273085        </v>
          </cell>
          <cell r="O14677">
            <v>270</v>
          </cell>
        </row>
        <row r="14678">
          <cell r="F14678" t="str">
            <v xml:space="preserve">71312536       </v>
          </cell>
          <cell r="O14678">
            <v>378</v>
          </cell>
        </row>
        <row r="14679">
          <cell r="F14679" t="str">
            <v xml:space="preserve">71215358       </v>
          </cell>
          <cell r="O14679">
            <v>45</v>
          </cell>
        </row>
        <row r="14680">
          <cell r="F14680" t="str">
            <v xml:space="preserve">71215358       </v>
          </cell>
          <cell r="O14680">
            <v>108</v>
          </cell>
        </row>
        <row r="14681">
          <cell r="F14681" t="str">
            <v xml:space="preserve">71215358       </v>
          </cell>
          <cell r="O14681">
            <v>45</v>
          </cell>
        </row>
        <row r="14682">
          <cell r="F14682" t="str">
            <v xml:space="preserve">71215358       </v>
          </cell>
          <cell r="O14682">
            <v>4.5</v>
          </cell>
        </row>
        <row r="14683">
          <cell r="F14683" t="str">
            <v xml:space="preserve">71215358       </v>
          </cell>
          <cell r="O14683">
            <v>27</v>
          </cell>
        </row>
        <row r="14684">
          <cell r="F14684" t="str">
            <v xml:space="preserve">71215358       </v>
          </cell>
          <cell r="O14684">
            <v>135</v>
          </cell>
        </row>
        <row r="14685">
          <cell r="F14685" t="str">
            <v xml:space="preserve">71215358       </v>
          </cell>
          <cell r="O14685">
            <v>594</v>
          </cell>
        </row>
        <row r="14686">
          <cell r="F14686" t="str">
            <v xml:space="preserve">71215358       </v>
          </cell>
          <cell r="O14686">
            <v>315</v>
          </cell>
        </row>
        <row r="14687">
          <cell r="F14687" t="str">
            <v xml:space="preserve">91179385       </v>
          </cell>
          <cell r="O14687">
            <v>810</v>
          </cell>
        </row>
        <row r="14688">
          <cell r="F14688" t="str">
            <v xml:space="preserve">91179385       </v>
          </cell>
          <cell r="O14688">
            <v>180</v>
          </cell>
        </row>
        <row r="14689">
          <cell r="F14689" t="str">
            <v xml:space="preserve">88275004       </v>
          </cell>
          <cell r="O14689">
            <v>1650</v>
          </cell>
        </row>
        <row r="14690">
          <cell r="F14690" t="str">
            <v xml:space="preserve">88275004       </v>
          </cell>
          <cell r="O14690">
            <v>180</v>
          </cell>
        </row>
        <row r="14691">
          <cell r="F14691" t="str">
            <v xml:space="preserve">88275004       </v>
          </cell>
          <cell r="O14691">
            <v>360</v>
          </cell>
        </row>
        <row r="14692">
          <cell r="F14692" t="str">
            <v xml:space="preserve">79384689       </v>
          </cell>
          <cell r="O14692">
            <v>90</v>
          </cell>
        </row>
        <row r="14693">
          <cell r="F14693" t="str">
            <v xml:space="preserve">79384689       </v>
          </cell>
          <cell r="O14693">
            <v>90</v>
          </cell>
        </row>
        <row r="14694">
          <cell r="F14694" t="str">
            <v xml:space="preserve">88188644       </v>
          </cell>
          <cell r="O14694">
            <v>420</v>
          </cell>
        </row>
        <row r="14695">
          <cell r="F14695" t="str">
            <v xml:space="preserve">88188644       </v>
          </cell>
          <cell r="O14695">
            <v>90</v>
          </cell>
        </row>
        <row r="14696">
          <cell r="F14696" t="str">
            <v xml:space="preserve">900864885      </v>
          </cell>
          <cell r="O14696">
            <v>15</v>
          </cell>
        </row>
        <row r="14697">
          <cell r="F14697" t="str">
            <v xml:space="preserve">1117502076     </v>
          </cell>
          <cell r="O14697">
            <v>144</v>
          </cell>
        </row>
        <row r="14698">
          <cell r="F14698" t="str">
            <v xml:space="preserve">1117502076     </v>
          </cell>
          <cell r="O14698">
            <v>288</v>
          </cell>
        </row>
        <row r="14699">
          <cell r="F14699" t="str">
            <v xml:space="preserve">1117502076     </v>
          </cell>
          <cell r="O14699">
            <v>630</v>
          </cell>
        </row>
        <row r="14700">
          <cell r="F14700" t="str">
            <v xml:space="preserve">1117502076     </v>
          </cell>
          <cell r="O14700">
            <v>90</v>
          </cell>
        </row>
        <row r="14701">
          <cell r="F14701" t="str">
            <v xml:space="preserve">1117502076     </v>
          </cell>
          <cell r="O14701">
            <v>225</v>
          </cell>
        </row>
        <row r="14702">
          <cell r="F14702" t="str">
            <v xml:space="preserve">5689927        </v>
          </cell>
          <cell r="O14702">
            <v>738</v>
          </cell>
        </row>
        <row r="14703">
          <cell r="F14703" t="str">
            <v xml:space="preserve">5689927        </v>
          </cell>
          <cell r="O14703">
            <v>270</v>
          </cell>
        </row>
        <row r="14704">
          <cell r="F14704" t="str">
            <v xml:space="preserve">13537217       </v>
          </cell>
          <cell r="O14704">
            <v>1620</v>
          </cell>
        </row>
        <row r="14705">
          <cell r="F14705" t="str">
            <v xml:space="preserve">13537217       </v>
          </cell>
          <cell r="O14705">
            <v>225</v>
          </cell>
        </row>
        <row r="14706">
          <cell r="F14706" t="str">
            <v xml:space="preserve">91179643       </v>
          </cell>
          <cell r="O14706">
            <v>108</v>
          </cell>
        </row>
        <row r="14707">
          <cell r="F14707" t="str">
            <v xml:space="preserve">91179643       </v>
          </cell>
          <cell r="O14707">
            <v>45</v>
          </cell>
        </row>
        <row r="14708">
          <cell r="F14708" t="str">
            <v xml:space="preserve">91178985       </v>
          </cell>
          <cell r="O14708">
            <v>825</v>
          </cell>
        </row>
        <row r="14709">
          <cell r="F14709" t="str">
            <v xml:space="preserve">890503966      </v>
          </cell>
          <cell r="O14709">
            <v>3375</v>
          </cell>
        </row>
        <row r="14710">
          <cell r="F14710" t="str">
            <v xml:space="preserve">890503966      </v>
          </cell>
          <cell r="O14710">
            <v>540</v>
          </cell>
        </row>
        <row r="14711">
          <cell r="F14711" t="str">
            <v xml:space="preserve">890503966      </v>
          </cell>
          <cell r="O14711">
            <v>990</v>
          </cell>
        </row>
        <row r="14712">
          <cell r="F14712" t="str">
            <v xml:space="preserve">890503966      </v>
          </cell>
          <cell r="O14712">
            <v>225</v>
          </cell>
        </row>
        <row r="14713">
          <cell r="F14713" t="str">
            <v xml:space="preserve">91222539       </v>
          </cell>
          <cell r="O14713">
            <v>1152</v>
          </cell>
        </row>
        <row r="14714">
          <cell r="F14714" t="str">
            <v xml:space="preserve">91222539       </v>
          </cell>
          <cell r="O14714">
            <v>315</v>
          </cell>
        </row>
        <row r="14715">
          <cell r="F14715" t="str">
            <v xml:space="preserve">91222539       </v>
          </cell>
          <cell r="O14715">
            <v>75</v>
          </cell>
        </row>
        <row r="14716">
          <cell r="F14716" t="str">
            <v xml:space="preserve">91222539       </v>
          </cell>
          <cell r="O14716">
            <v>180</v>
          </cell>
        </row>
        <row r="14717">
          <cell r="F14717" t="str">
            <v xml:space="preserve">91222539       </v>
          </cell>
          <cell r="O14717">
            <v>45</v>
          </cell>
        </row>
        <row r="14718">
          <cell r="F14718" t="str">
            <v xml:space="preserve">13702886       </v>
          </cell>
          <cell r="O14718">
            <v>270</v>
          </cell>
        </row>
        <row r="14719">
          <cell r="F14719" t="str">
            <v xml:space="preserve">13702886       </v>
          </cell>
          <cell r="O14719">
            <v>342</v>
          </cell>
        </row>
        <row r="14720">
          <cell r="F14720" t="str">
            <v xml:space="preserve">13702886       </v>
          </cell>
          <cell r="O14720">
            <v>90</v>
          </cell>
        </row>
        <row r="14721">
          <cell r="F14721" t="str">
            <v xml:space="preserve">13702886       </v>
          </cell>
          <cell r="O14721">
            <v>210</v>
          </cell>
        </row>
        <row r="14722">
          <cell r="F14722" t="str">
            <v xml:space="preserve">13702886       </v>
          </cell>
          <cell r="O14722">
            <v>108</v>
          </cell>
        </row>
        <row r="14723">
          <cell r="F14723" t="str">
            <v xml:space="preserve">13702886       </v>
          </cell>
          <cell r="O14723">
            <v>270</v>
          </cell>
        </row>
        <row r="14724">
          <cell r="F14724" t="str">
            <v xml:space="preserve">91067422       </v>
          </cell>
          <cell r="O14724">
            <v>150</v>
          </cell>
        </row>
        <row r="14725">
          <cell r="F14725" t="str">
            <v xml:space="preserve">91067422       </v>
          </cell>
          <cell r="O14725">
            <v>36</v>
          </cell>
        </row>
        <row r="14726">
          <cell r="F14726" t="str">
            <v xml:space="preserve">91067422       </v>
          </cell>
          <cell r="O14726">
            <v>90</v>
          </cell>
        </row>
        <row r="14727">
          <cell r="F14727" t="str">
            <v xml:space="preserve">91067422       </v>
          </cell>
          <cell r="O14727">
            <v>180</v>
          </cell>
        </row>
        <row r="14728">
          <cell r="F14728" t="str">
            <v xml:space="preserve">91272730       </v>
          </cell>
          <cell r="O14728">
            <v>30</v>
          </cell>
        </row>
        <row r="14729">
          <cell r="F14729" t="str">
            <v xml:space="preserve">91272730       </v>
          </cell>
          <cell r="O14729">
            <v>54</v>
          </cell>
        </row>
        <row r="14730">
          <cell r="F14730" t="str">
            <v xml:space="preserve">91272730       </v>
          </cell>
          <cell r="O14730">
            <v>90</v>
          </cell>
        </row>
        <row r="14731">
          <cell r="F14731" t="str">
            <v xml:space="preserve">26229305       </v>
          </cell>
          <cell r="O14731">
            <v>1380</v>
          </cell>
        </row>
        <row r="14732">
          <cell r="F14732" t="str">
            <v xml:space="preserve">26229305       </v>
          </cell>
          <cell r="O14732">
            <v>1650</v>
          </cell>
        </row>
        <row r="14733">
          <cell r="F14733" t="str">
            <v xml:space="preserve">26229305       </v>
          </cell>
          <cell r="O14733">
            <v>90</v>
          </cell>
        </row>
        <row r="14734">
          <cell r="F14734" t="str">
            <v xml:space="preserve">901096204      </v>
          </cell>
          <cell r="O14734">
            <v>1944</v>
          </cell>
        </row>
        <row r="14735">
          <cell r="F14735" t="str">
            <v xml:space="preserve">901096204      </v>
          </cell>
          <cell r="O14735">
            <v>90</v>
          </cell>
        </row>
        <row r="14736">
          <cell r="F14736" t="str">
            <v xml:space="preserve">901096204      </v>
          </cell>
          <cell r="O14736">
            <v>60</v>
          </cell>
        </row>
        <row r="14737">
          <cell r="F14737" t="str">
            <v xml:space="preserve">901096204      </v>
          </cell>
          <cell r="O14737">
            <v>36</v>
          </cell>
        </row>
        <row r="14738">
          <cell r="F14738" t="str">
            <v xml:space="preserve">9083821        </v>
          </cell>
          <cell r="O14738">
            <v>195</v>
          </cell>
        </row>
        <row r="14739">
          <cell r="F14739" t="str">
            <v xml:space="preserve">9083821        </v>
          </cell>
          <cell r="O14739">
            <v>522</v>
          </cell>
        </row>
        <row r="14740">
          <cell r="F14740" t="str">
            <v xml:space="preserve">9083821        </v>
          </cell>
          <cell r="O14740">
            <v>75</v>
          </cell>
        </row>
        <row r="14741">
          <cell r="F14741" t="str">
            <v xml:space="preserve">9083821        </v>
          </cell>
          <cell r="O14741">
            <v>270</v>
          </cell>
        </row>
        <row r="14742">
          <cell r="F14742" t="str">
            <v xml:space="preserve">30853980       </v>
          </cell>
          <cell r="O14742">
            <v>15</v>
          </cell>
        </row>
        <row r="14743">
          <cell r="F14743" t="str">
            <v xml:space="preserve">72137594       </v>
          </cell>
          <cell r="O14743">
            <v>390</v>
          </cell>
        </row>
        <row r="14744">
          <cell r="F14744" t="str">
            <v xml:space="preserve">72137594       </v>
          </cell>
          <cell r="O14744">
            <v>378</v>
          </cell>
        </row>
        <row r="14745">
          <cell r="F14745" t="str">
            <v xml:space="preserve">73238025       </v>
          </cell>
          <cell r="O14745">
            <v>5418</v>
          </cell>
        </row>
        <row r="14746">
          <cell r="F14746" t="str">
            <v xml:space="preserve">77191750       </v>
          </cell>
          <cell r="O14746">
            <v>738</v>
          </cell>
        </row>
        <row r="14747">
          <cell r="F14747" t="str">
            <v xml:space="preserve">91177584       </v>
          </cell>
          <cell r="O14747">
            <v>450</v>
          </cell>
        </row>
        <row r="14748">
          <cell r="F14748" t="str">
            <v xml:space="preserve">91213004       </v>
          </cell>
          <cell r="O14748">
            <v>540</v>
          </cell>
        </row>
        <row r="14749">
          <cell r="F14749" t="str">
            <v xml:space="preserve">72196317       </v>
          </cell>
          <cell r="O14749">
            <v>435</v>
          </cell>
        </row>
        <row r="14750">
          <cell r="F14750" t="str">
            <v xml:space="preserve">72196317       </v>
          </cell>
          <cell r="O14750">
            <v>108</v>
          </cell>
        </row>
        <row r="14751">
          <cell r="F14751" t="str">
            <v xml:space="preserve">72196317       </v>
          </cell>
          <cell r="O14751">
            <v>135</v>
          </cell>
        </row>
        <row r="14752">
          <cell r="F14752" t="str">
            <v xml:space="preserve">72196317       </v>
          </cell>
          <cell r="O14752">
            <v>4.5</v>
          </cell>
        </row>
        <row r="14753">
          <cell r="F14753" t="str">
            <v xml:space="preserve">72196317       </v>
          </cell>
          <cell r="O14753">
            <v>36</v>
          </cell>
        </row>
        <row r="14754">
          <cell r="F14754" t="str">
            <v xml:space="preserve">72196317       </v>
          </cell>
          <cell r="O14754">
            <v>255</v>
          </cell>
        </row>
        <row r="14755">
          <cell r="F14755" t="str">
            <v xml:space="preserve">72196317       </v>
          </cell>
          <cell r="O14755">
            <v>60</v>
          </cell>
        </row>
        <row r="14756">
          <cell r="F14756" t="str">
            <v xml:space="preserve">72196317       </v>
          </cell>
          <cell r="O14756">
            <v>108</v>
          </cell>
        </row>
        <row r="14757">
          <cell r="F14757" t="str">
            <v xml:space="preserve">1047231108     </v>
          </cell>
          <cell r="O14757">
            <v>795</v>
          </cell>
        </row>
        <row r="14758">
          <cell r="F14758" t="str">
            <v xml:space="preserve">1047349327     </v>
          </cell>
          <cell r="O14758">
            <v>216</v>
          </cell>
        </row>
        <row r="14759">
          <cell r="F14759" t="str">
            <v xml:space="preserve">15047548       </v>
          </cell>
          <cell r="O14759">
            <v>30</v>
          </cell>
        </row>
        <row r="14760">
          <cell r="F14760" t="str">
            <v xml:space="preserve">15047548       </v>
          </cell>
          <cell r="O14760">
            <v>414</v>
          </cell>
        </row>
        <row r="14761">
          <cell r="F14761" t="str">
            <v xml:space="preserve">15047548       </v>
          </cell>
          <cell r="O14761">
            <v>30</v>
          </cell>
        </row>
        <row r="14762">
          <cell r="F14762" t="str">
            <v xml:space="preserve">15047548       </v>
          </cell>
          <cell r="O14762">
            <v>396</v>
          </cell>
        </row>
        <row r="14763">
          <cell r="F14763" t="str">
            <v xml:space="preserve">18531333       </v>
          </cell>
          <cell r="O14763">
            <v>450</v>
          </cell>
        </row>
        <row r="14764">
          <cell r="F14764" t="str">
            <v xml:space="preserve">18531333       </v>
          </cell>
          <cell r="O14764">
            <v>180</v>
          </cell>
        </row>
        <row r="14765">
          <cell r="F14765" t="str">
            <v xml:space="preserve">79827688       </v>
          </cell>
          <cell r="O14765">
            <v>360</v>
          </cell>
        </row>
        <row r="14766">
          <cell r="F14766" t="str">
            <v xml:space="preserve">74280490       </v>
          </cell>
          <cell r="O14766">
            <v>9</v>
          </cell>
        </row>
        <row r="14767">
          <cell r="F14767" t="str">
            <v xml:space="preserve">74280490       </v>
          </cell>
          <cell r="O14767">
            <v>1440</v>
          </cell>
        </row>
        <row r="14768">
          <cell r="F14768" t="str">
            <v xml:space="preserve">74280490       </v>
          </cell>
          <cell r="O14768">
            <v>720</v>
          </cell>
        </row>
        <row r="14769">
          <cell r="F14769" t="str">
            <v xml:space="preserve">70752579       </v>
          </cell>
          <cell r="O14769">
            <v>210</v>
          </cell>
        </row>
        <row r="14770">
          <cell r="F14770" t="str">
            <v xml:space="preserve">70752579       </v>
          </cell>
          <cell r="O14770">
            <v>90</v>
          </cell>
        </row>
        <row r="14771">
          <cell r="F14771" t="str">
            <v xml:space="preserve">70752579       </v>
          </cell>
          <cell r="O14771">
            <v>210</v>
          </cell>
        </row>
        <row r="14772">
          <cell r="F14772" t="str">
            <v xml:space="preserve">70752579       </v>
          </cell>
          <cell r="O14772">
            <v>45</v>
          </cell>
        </row>
        <row r="14773">
          <cell r="F14773" t="str">
            <v xml:space="preserve">80266206       </v>
          </cell>
          <cell r="O14773">
            <v>72</v>
          </cell>
        </row>
        <row r="14774">
          <cell r="F14774" t="str">
            <v xml:space="preserve">80266206       </v>
          </cell>
          <cell r="O14774">
            <v>15</v>
          </cell>
        </row>
        <row r="14775">
          <cell r="F14775" t="str">
            <v xml:space="preserve">80266206       </v>
          </cell>
          <cell r="O14775">
            <v>324</v>
          </cell>
        </row>
        <row r="14776">
          <cell r="F14776" t="str">
            <v xml:space="preserve">79119755       </v>
          </cell>
          <cell r="O14776">
            <v>828</v>
          </cell>
        </row>
        <row r="14777">
          <cell r="F14777" t="str">
            <v xml:space="preserve">1111739602     </v>
          </cell>
          <cell r="O14777">
            <v>675</v>
          </cell>
        </row>
        <row r="14778">
          <cell r="F14778" t="str">
            <v xml:space="preserve">1111739602     </v>
          </cell>
          <cell r="O14778">
            <v>45</v>
          </cell>
        </row>
        <row r="14779">
          <cell r="F14779" t="str">
            <v xml:space="preserve">88168843       </v>
          </cell>
          <cell r="O14779">
            <v>30</v>
          </cell>
        </row>
        <row r="14780">
          <cell r="F14780" t="str">
            <v xml:space="preserve">88168843       </v>
          </cell>
          <cell r="O14780">
            <v>90</v>
          </cell>
        </row>
        <row r="14781">
          <cell r="F14781" t="str">
            <v xml:space="preserve">88168843       </v>
          </cell>
          <cell r="O14781">
            <v>90</v>
          </cell>
        </row>
        <row r="14782">
          <cell r="F14782" t="str">
            <v xml:space="preserve">79266522       </v>
          </cell>
          <cell r="O14782">
            <v>225</v>
          </cell>
        </row>
        <row r="14783">
          <cell r="F14783" t="str">
            <v xml:space="preserve">9867640        </v>
          </cell>
          <cell r="O14783">
            <v>9</v>
          </cell>
        </row>
        <row r="14784">
          <cell r="F14784" t="str">
            <v xml:space="preserve">9867640        </v>
          </cell>
          <cell r="O14784">
            <v>165</v>
          </cell>
        </row>
        <row r="14785">
          <cell r="F14785" t="str">
            <v xml:space="preserve">9867640        </v>
          </cell>
          <cell r="O14785">
            <v>108</v>
          </cell>
        </row>
        <row r="14786">
          <cell r="F14786" t="str">
            <v xml:space="preserve">9867640        </v>
          </cell>
          <cell r="O14786">
            <v>45</v>
          </cell>
        </row>
        <row r="14787">
          <cell r="F14787" t="str">
            <v xml:space="preserve">10315862       </v>
          </cell>
          <cell r="O14787">
            <v>252</v>
          </cell>
        </row>
        <row r="14788">
          <cell r="F14788" t="str">
            <v xml:space="preserve">10315862       </v>
          </cell>
          <cell r="O14788">
            <v>45</v>
          </cell>
        </row>
        <row r="14789">
          <cell r="F14789" t="str">
            <v xml:space="preserve">1103101503     </v>
          </cell>
          <cell r="O14789">
            <v>234</v>
          </cell>
        </row>
        <row r="14790">
          <cell r="F14790" t="str">
            <v xml:space="preserve">1103101503     </v>
          </cell>
          <cell r="O14790">
            <v>45</v>
          </cell>
        </row>
        <row r="14791">
          <cell r="F14791" t="str">
            <v xml:space="preserve">92260572       </v>
          </cell>
          <cell r="O14791">
            <v>360</v>
          </cell>
        </row>
        <row r="14792">
          <cell r="F14792" t="str">
            <v xml:space="preserve">73166349       </v>
          </cell>
          <cell r="O14792">
            <v>105</v>
          </cell>
        </row>
        <row r="14793">
          <cell r="F14793" t="str">
            <v xml:space="preserve">73166349       </v>
          </cell>
          <cell r="O14793">
            <v>450</v>
          </cell>
        </row>
        <row r="14794">
          <cell r="F14794" t="str">
            <v xml:space="preserve">73166349       </v>
          </cell>
          <cell r="O14794">
            <v>45</v>
          </cell>
        </row>
        <row r="14795">
          <cell r="F14795" t="str">
            <v xml:space="preserve">91540489       </v>
          </cell>
          <cell r="O14795">
            <v>1200</v>
          </cell>
        </row>
        <row r="14796">
          <cell r="F14796" t="str">
            <v xml:space="preserve">91540489       </v>
          </cell>
          <cell r="O14796">
            <v>180</v>
          </cell>
        </row>
        <row r="14797">
          <cell r="F14797" t="str">
            <v xml:space="preserve">91540489       </v>
          </cell>
          <cell r="O14797">
            <v>90</v>
          </cell>
        </row>
        <row r="14798">
          <cell r="F14798" t="str">
            <v xml:space="preserve">74170036       </v>
          </cell>
          <cell r="O14798">
            <v>180</v>
          </cell>
        </row>
        <row r="14799">
          <cell r="F14799" t="str">
            <v xml:space="preserve">74170036       </v>
          </cell>
          <cell r="O14799">
            <v>270</v>
          </cell>
        </row>
        <row r="14800">
          <cell r="F14800" t="str">
            <v xml:space="preserve">7305518        </v>
          </cell>
          <cell r="O14800">
            <v>1458</v>
          </cell>
        </row>
        <row r="14801">
          <cell r="F14801" t="str">
            <v xml:space="preserve">7305518        </v>
          </cell>
          <cell r="O14801">
            <v>990</v>
          </cell>
        </row>
        <row r="14802">
          <cell r="F14802" t="str">
            <v xml:space="preserve">901547550      </v>
          </cell>
          <cell r="O14802">
            <v>90</v>
          </cell>
        </row>
        <row r="14803">
          <cell r="F14803" t="str">
            <v xml:space="preserve">7223456        </v>
          </cell>
          <cell r="O14803">
            <v>738</v>
          </cell>
        </row>
        <row r="14804">
          <cell r="F14804" t="str">
            <v xml:space="preserve">7223456        </v>
          </cell>
          <cell r="O14804">
            <v>270</v>
          </cell>
        </row>
        <row r="14805">
          <cell r="F14805" t="str">
            <v xml:space="preserve">7305425        </v>
          </cell>
          <cell r="O14805">
            <v>15</v>
          </cell>
        </row>
        <row r="14806">
          <cell r="F14806" t="str">
            <v xml:space="preserve">7305425        </v>
          </cell>
          <cell r="O14806">
            <v>594</v>
          </cell>
        </row>
        <row r="14807">
          <cell r="F14807" t="str">
            <v xml:space="preserve">7305425        </v>
          </cell>
          <cell r="O14807">
            <v>225</v>
          </cell>
        </row>
        <row r="14808">
          <cell r="F14808" t="str">
            <v xml:space="preserve">7301411        </v>
          </cell>
          <cell r="O14808">
            <v>756</v>
          </cell>
        </row>
        <row r="14809">
          <cell r="F14809" t="str">
            <v xml:space="preserve">7301411        </v>
          </cell>
          <cell r="O14809">
            <v>270</v>
          </cell>
        </row>
        <row r="14810">
          <cell r="F14810" t="str">
            <v xml:space="preserve">17783299       </v>
          </cell>
          <cell r="O14810">
            <v>1200</v>
          </cell>
        </row>
        <row r="14811">
          <cell r="F14811" t="str">
            <v xml:space="preserve">17783299       </v>
          </cell>
          <cell r="O14811">
            <v>720</v>
          </cell>
        </row>
        <row r="14812">
          <cell r="F14812" t="str">
            <v xml:space="preserve">35250577       </v>
          </cell>
          <cell r="O14812">
            <v>324</v>
          </cell>
        </row>
        <row r="14813">
          <cell r="F14813" t="str">
            <v xml:space="preserve">35250577       </v>
          </cell>
          <cell r="O14813">
            <v>90</v>
          </cell>
        </row>
        <row r="14814">
          <cell r="F14814" t="str">
            <v xml:space="preserve">35250577       </v>
          </cell>
          <cell r="O14814">
            <v>45</v>
          </cell>
        </row>
        <row r="14815">
          <cell r="F14815" t="str">
            <v xml:space="preserve">35250577       </v>
          </cell>
          <cell r="O14815">
            <v>135</v>
          </cell>
        </row>
        <row r="14816">
          <cell r="F14816" t="str">
            <v xml:space="preserve">800130632      </v>
          </cell>
          <cell r="O14816">
            <v>36</v>
          </cell>
        </row>
        <row r="14817">
          <cell r="F14817" t="str">
            <v xml:space="preserve">800130632      </v>
          </cell>
          <cell r="O14817">
            <v>45</v>
          </cell>
        </row>
        <row r="14818">
          <cell r="F14818" t="str">
            <v xml:space="preserve">11320273       </v>
          </cell>
          <cell r="O14818">
            <v>1062</v>
          </cell>
        </row>
        <row r="14819">
          <cell r="F14819" t="str">
            <v xml:space="preserve">11320273       </v>
          </cell>
          <cell r="O14819">
            <v>405</v>
          </cell>
        </row>
        <row r="14820">
          <cell r="F14820" t="str">
            <v xml:space="preserve">5348905        </v>
          </cell>
          <cell r="O14820">
            <v>1065</v>
          </cell>
        </row>
        <row r="14821">
          <cell r="F14821" t="str">
            <v xml:space="preserve">5348905        </v>
          </cell>
          <cell r="O14821">
            <v>990</v>
          </cell>
        </row>
        <row r="14822">
          <cell r="F14822" t="str">
            <v xml:space="preserve">12266504       </v>
          </cell>
          <cell r="O14822">
            <v>345</v>
          </cell>
        </row>
        <row r="14823">
          <cell r="F14823" t="str">
            <v xml:space="preserve">12266504       </v>
          </cell>
          <cell r="O14823">
            <v>45</v>
          </cell>
        </row>
        <row r="14824">
          <cell r="F14824" t="str">
            <v xml:space="preserve">12266504       </v>
          </cell>
          <cell r="O14824">
            <v>375</v>
          </cell>
        </row>
        <row r="14825">
          <cell r="F14825" t="str">
            <v xml:space="preserve">12266504       </v>
          </cell>
          <cell r="O14825">
            <v>36</v>
          </cell>
        </row>
        <row r="14826">
          <cell r="F14826" t="str">
            <v xml:space="preserve">12266504       </v>
          </cell>
          <cell r="O14826">
            <v>135</v>
          </cell>
        </row>
        <row r="14827">
          <cell r="F14827" t="str">
            <v xml:space="preserve">12266504       </v>
          </cell>
          <cell r="O14827">
            <v>240</v>
          </cell>
        </row>
        <row r="14828">
          <cell r="F14828" t="str">
            <v xml:space="preserve">12266504       </v>
          </cell>
          <cell r="O14828">
            <v>36</v>
          </cell>
        </row>
        <row r="14829">
          <cell r="F14829" t="str">
            <v xml:space="preserve">12266504       </v>
          </cell>
          <cell r="O14829">
            <v>45</v>
          </cell>
        </row>
        <row r="14830">
          <cell r="F14830" t="str">
            <v xml:space="preserve">12266504       </v>
          </cell>
          <cell r="O14830">
            <v>660</v>
          </cell>
        </row>
        <row r="14831">
          <cell r="F14831" t="str">
            <v xml:space="preserve">79847779       </v>
          </cell>
          <cell r="O14831">
            <v>1020</v>
          </cell>
        </row>
        <row r="14832">
          <cell r="F14832" t="str">
            <v xml:space="preserve">79847779       </v>
          </cell>
          <cell r="O14832">
            <v>360</v>
          </cell>
        </row>
        <row r="14833">
          <cell r="F14833" t="str">
            <v xml:space="preserve">83042067       </v>
          </cell>
          <cell r="O14833">
            <v>30</v>
          </cell>
        </row>
        <row r="14834">
          <cell r="F14834" t="str">
            <v xml:space="preserve">83042067       </v>
          </cell>
          <cell r="O14834">
            <v>18</v>
          </cell>
        </row>
        <row r="14835">
          <cell r="F14835" t="str">
            <v xml:space="preserve">83042067       </v>
          </cell>
          <cell r="O14835">
            <v>270</v>
          </cell>
        </row>
        <row r="14836">
          <cell r="F14836" t="str">
            <v xml:space="preserve">18104078       </v>
          </cell>
          <cell r="O14836">
            <v>705</v>
          </cell>
        </row>
        <row r="14837">
          <cell r="F14837" t="str">
            <v xml:space="preserve">18104078       </v>
          </cell>
          <cell r="O14837">
            <v>36</v>
          </cell>
        </row>
        <row r="14838">
          <cell r="F14838" t="str">
            <v xml:space="preserve">18104078       </v>
          </cell>
          <cell r="O14838">
            <v>270</v>
          </cell>
        </row>
        <row r="14839">
          <cell r="F14839" t="str">
            <v xml:space="preserve">15945210       </v>
          </cell>
          <cell r="O14839">
            <v>90</v>
          </cell>
        </row>
        <row r="14840">
          <cell r="F14840" t="str">
            <v xml:space="preserve">15945210       </v>
          </cell>
          <cell r="O14840">
            <v>360</v>
          </cell>
        </row>
        <row r="14841">
          <cell r="F14841" t="str">
            <v xml:space="preserve">15945210       </v>
          </cell>
          <cell r="O14841">
            <v>270</v>
          </cell>
        </row>
        <row r="14842">
          <cell r="F14842" t="str">
            <v xml:space="preserve">11445090       </v>
          </cell>
          <cell r="O14842">
            <v>45</v>
          </cell>
        </row>
        <row r="14843">
          <cell r="F14843" t="str">
            <v xml:space="preserve">11445090       </v>
          </cell>
          <cell r="O14843">
            <v>153</v>
          </cell>
        </row>
        <row r="14844">
          <cell r="F14844" t="str">
            <v xml:space="preserve">11445090       </v>
          </cell>
          <cell r="O14844">
            <v>45</v>
          </cell>
        </row>
        <row r="14845">
          <cell r="F14845" t="str">
            <v xml:space="preserve">11445090       </v>
          </cell>
          <cell r="O14845">
            <v>1062</v>
          </cell>
        </row>
        <row r="14846">
          <cell r="F14846" t="str">
            <v xml:space="preserve">11445090       </v>
          </cell>
          <cell r="O14846">
            <v>135</v>
          </cell>
        </row>
        <row r="14847">
          <cell r="F14847" t="str">
            <v xml:space="preserve">860013720      </v>
          </cell>
          <cell r="O14847">
            <v>108</v>
          </cell>
        </row>
        <row r="14848">
          <cell r="F14848" t="str">
            <v xml:space="preserve">1010164223     </v>
          </cell>
          <cell r="O14848">
            <v>612</v>
          </cell>
        </row>
        <row r="14849">
          <cell r="F14849" t="str">
            <v xml:space="preserve">1015995477     </v>
          </cell>
          <cell r="O14849">
            <v>126</v>
          </cell>
        </row>
        <row r="14850">
          <cell r="F14850" t="str">
            <v xml:space="preserve">80351964       </v>
          </cell>
          <cell r="O14850">
            <v>63</v>
          </cell>
        </row>
        <row r="14851">
          <cell r="F14851" t="str">
            <v xml:space="preserve">80351964       </v>
          </cell>
          <cell r="O14851">
            <v>180</v>
          </cell>
        </row>
        <row r="14852">
          <cell r="F14852" t="str">
            <v xml:space="preserve">80351964       </v>
          </cell>
          <cell r="O14852">
            <v>45</v>
          </cell>
        </row>
        <row r="14853">
          <cell r="F14853" t="str">
            <v xml:space="preserve">3085945        </v>
          </cell>
          <cell r="O14853">
            <v>1062</v>
          </cell>
        </row>
        <row r="14854">
          <cell r="F14854" t="str">
            <v xml:space="preserve">3085945        </v>
          </cell>
          <cell r="O14854">
            <v>495</v>
          </cell>
        </row>
        <row r="14855">
          <cell r="F14855" t="str">
            <v xml:space="preserve">830133323      </v>
          </cell>
          <cell r="O14855">
            <v>18</v>
          </cell>
        </row>
        <row r="14856">
          <cell r="F14856" t="str">
            <v xml:space="preserve">830133323      </v>
          </cell>
          <cell r="O14856">
            <v>135</v>
          </cell>
        </row>
        <row r="14857">
          <cell r="F14857" t="str">
            <v xml:space="preserve">3090329        </v>
          </cell>
          <cell r="O14857">
            <v>450</v>
          </cell>
        </row>
        <row r="14858">
          <cell r="F14858" t="str">
            <v xml:space="preserve">3090329        </v>
          </cell>
          <cell r="O14858">
            <v>180</v>
          </cell>
        </row>
        <row r="14859">
          <cell r="F14859" t="str">
            <v xml:space="preserve">1072422938     </v>
          </cell>
          <cell r="O14859">
            <v>15</v>
          </cell>
        </row>
        <row r="14860">
          <cell r="F14860" t="str">
            <v xml:space="preserve">1072422938     </v>
          </cell>
          <cell r="O14860">
            <v>828</v>
          </cell>
        </row>
        <row r="14861">
          <cell r="F14861" t="str">
            <v xml:space="preserve">1072422938     </v>
          </cell>
          <cell r="O14861">
            <v>45</v>
          </cell>
        </row>
        <row r="14862">
          <cell r="F14862" t="str">
            <v xml:space="preserve">4090572        </v>
          </cell>
          <cell r="O14862">
            <v>9</v>
          </cell>
        </row>
        <row r="14863">
          <cell r="F14863" t="str">
            <v xml:space="preserve">4090572        </v>
          </cell>
          <cell r="O14863">
            <v>30</v>
          </cell>
        </row>
        <row r="14864">
          <cell r="F14864" t="str">
            <v xml:space="preserve">4090572        </v>
          </cell>
          <cell r="O14864">
            <v>432</v>
          </cell>
        </row>
        <row r="14865">
          <cell r="F14865" t="str">
            <v xml:space="preserve">4090572        </v>
          </cell>
          <cell r="O14865">
            <v>45</v>
          </cell>
        </row>
        <row r="14866">
          <cell r="F14866" t="str">
            <v xml:space="preserve">79589699       </v>
          </cell>
          <cell r="O14866">
            <v>72</v>
          </cell>
        </row>
        <row r="14867">
          <cell r="F14867" t="str">
            <v xml:space="preserve">80024551       </v>
          </cell>
          <cell r="O14867">
            <v>81</v>
          </cell>
        </row>
        <row r="14868">
          <cell r="F14868" t="str">
            <v xml:space="preserve">80024551       </v>
          </cell>
          <cell r="O14868">
            <v>45</v>
          </cell>
        </row>
        <row r="14869">
          <cell r="F14869" t="str">
            <v xml:space="preserve">80024551       </v>
          </cell>
          <cell r="O14869">
            <v>972</v>
          </cell>
        </row>
        <row r="14870">
          <cell r="F14870" t="str">
            <v xml:space="preserve">80024551       </v>
          </cell>
          <cell r="O14870">
            <v>45</v>
          </cell>
        </row>
        <row r="14871">
          <cell r="F14871" t="str">
            <v xml:space="preserve">811037915      </v>
          </cell>
          <cell r="O14871">
            <v>18</v>
          </cell>
        </row>
        <row r="14872">
          <cell r="F14872" t="str">
            <v xml:space="preserve">830133323      </v>
          </cell>
          <cell r="O14872">
            <v>90</v>
          </cell>
        </row>
        <row r="14873">
          <cell r="F14873" t="str">
            <v xml:space="preserve">900127140      </v>
          </cell>
          <cell r="O14873">
            <v>18</v>
          </cell>
        </row>
        <row r="14874">
          <cell r="F14874" t="str">
            <v xml:space="preserve">4198272        </v>
          </cell>
          <cell r="O14874">
            <v>189</v>
          </cell>
        </row>
        <row r="14875">
          <cell r="F14875" t="str">
            <v xml:space="preserve">4198272        </v>
          </cell>
          <cell r="O14875">
            <v>60</v>
          </cell>
        </row>
        <row r="14876">
          <cell r="F14876" t="str">
            <v xml:space="preserve">4198272        </v>
          </cell>
          <cell r="O14876">
            <v>540</v>
          </cell>
        </row>
        <row r="14877">
          <cell r="F14877" t="str">
            <v xml:space="preserve">4198272        </v>
          </cell>
          <cell r="O14877">
            <v>135</v>
          </cell>
        </row>
        <row r="14878">
          <cell r="F14878" t="str">
            <v xml:space="preserve">4090806        </v>
          </cell>
          <cell r="O14878">
            <v>36</v>
          </cell>
        </row>
        <row r="14879">
          <cell r="F14879" t="str">
            <v xml:space="preserve">4090806        </v>
          </cell>
          <cell r="O14879">
            <v>135</v>
          </cell>
        </row>
        <row r="14880">
          <cell r="F14880" t="str">
            <v xml:space="preserve">4090806        </v>
          </cell>
          <cell r="O14880">
            <v>60</v>
          </cell>
        </row>
        <row r="14881">
          <cell r="F14881" t="str">
            <v xml:space="preserve">4090806        </v>
          </cell>
          <cell r="O14881">
            <v>990</v>
          </cell>
        </row>
        <row r="14882">
          <cell r="F14882" t="str">
            <v xml:space="preserve">4090806        </v>
          </cell>
          <cell r="O14882">
            <v>270</v>
          </cell>
        </row>
        <row r="14883">
          <cell r="F14883" t="str">
            <v xml:space="preserve">80829725       </v>
          </cell>
          <cell r="O14883">
            <v>1260</v>
          </cell>
        </row>
        <row r="14884">
          <cell r="F14884" t="str">
            <v xml:space="preserve">80829725       </v>
          </cell>
          <cell r="O14884">
            <v>450</v>
          </cell>
        </row>
        <row r="14885">
          <cell r="F14885" t="str">
            <v xml:space="preserve">79339314       </v>
          </cell>
          <cell r="O14885">
            <v>105</v>
          </cell>
        </row>
        <row r="14886">
          <cell r="F14886" t="str">
            <v xml:space="preserve">79339314       </v>
          </cell>
          <cell r="O14886">
            <v>126</v>
          </cell>
        </row>
        <row r="14887">
          <cell r="F14887" t="str">
            <v xml:space="preserve">79339314       </v>
          </cell>
          <cell r="O14887">
            <v>135</v>
          </cell>
        </row>
        <row r="14888">
          <cell r="F14888" t="str">
            <v xml:space="preserve">3171403        </v>
          </cell>
          <cell r="O14888">
            <v>9</v>
          </cell>
        </row>
        <row r="14889">
          <cell r="F14889" t="str">
            <v xml:space="preserve">3171403        </v>
          </cell>
          <cell r="O14889">
            <v>60</v>
          </cell>
        </row>
        <row r="14890">
          <cell r="F14890" t="str">
            <v xml:space="preserve">3171403        </v>
          </cell>
          <cell r="O14890">
            <v>450</v>
          </cell>
        </row>
        <row r="14891">
          <cell r="F14891" t="str">
            <v xml:space="preserve">3171403        </v>
          </cell>
          <cell r="O14891">
            <v>315</v>
          </cell>
        </row>
        <row r="14892">
          <cell r="F14892" t="str">
            <v xml:space="preserve">83218584       </v>
          </cell>
          <cell r="O14892">
            <v>495</v>
          </cell>
        </row>
        <row r="14893">
          <cell r="F14893" t="str">
            <v xml:space="preserve">83218584       </v>
          </cell>
          <cell r="O14893">
            <v>555</v>
          </cell>
        </row>
        <row r="14894">
          <cell r="F14894" t="str">
            <v xml:space="preserve">83218584       </v>
          </cell>
          <cell r="O14894">
            <v>162</v>
          </cell>
        </row>
        <row r="14895">
          <cell r="F14895" t="str">
            <v xml:space="preserve">7305728        </v>
          </cell>
          <cell r="O14895">
            <v>90</v>
          </cell>
        </row>
        <row r="14896">
          <cell r="F14896" t="str">
            <v xml:space="preserve">7305728        </v>
          </cell>
          <cell r="O14896">
            <v>480</v>
          </cell>
        </row>
        <row r="14897">
          <cell r="F14897" t="str">
            <v xml:space="preserve">7305728        </v>
          </cell>
          <cell r="O14897">
            <v>414</v>
          </cell>
        </row>
        <row r="14898">
          <cell r="F14898" t="str">
            <v xml:space="preserve">1093217151     </v>
          </cell>
          <cell r="O14898">
            <v>540</v>
          </cell>
        </row>
        <row r="14899">
          <cell r="F14899" t="str">
            <v xml:space="preserve">1097404034     </v>
          </cell>
          <cell r="O14899">
            <v>9</v>
          </cell>
        </row>
        <row r="14900">
          <cell r="F14900" t="str">
            <v xml:space="preserve">1097404034     </v>
          </cell>
          <cell r="O14900">
            <v>75</v>
          </cell>
        </row>
        <row r="14901">
          <cell r="F14901" t="str">
            <v xml:space="preserve">1097404034     </v>
          </cell>
          <cell r="O14901">
            <v>90</v>
          </cell>
        </row>
        <row r="14902">
          <cell r="F14902" t="str">
            <v xml:space="preserve">8435389        </v>
          </cell>
          <cell r="O14902">
            <v>435</v>
          </cell>
        </row>
        <row r="14903">
          <cell r="F14903" t="str">
            <v xml:space="preserve">901269856      </v>
          </cell>
          <cell r="O14903">
            <v>234</v>
          </cell>
        </row>
        <row r="14904">
          <cell r="F14904" t="str">
            <v xml:space="preserve">1023722736     </v>
          </cell>
          <cell r="O14904">
            <v>450</v>
          </cell>
        </row>
        <row r="14905">
          <cell r="F14905" t="str">
            <v xml:space="preserve">1023722736     </v>
          </cell>
          <cell r="O14905">
            <v>54</v>
          </cell>
        </row>
        <row r="14906">
          <cell r="F14906" t="str">
            <v xml:space="preserve">1039696881     </v>
          </cell>
          <cell r="O14906">
            <v>9</v>
          </cell>
        </row>
        <row r="14907">
          <cell r="F14907" t="str">
            <v xml:space="preserve">1039696881     </v>
          </cell>
          <cell r="O14907">
            <v>18</v>
          </cell>
        </row>
        <row r="14908">
          <cell r="F14908" t="str">
            <v xml:space="preserve">1039696881     </v>
          </cell>
          <cell r="O14908">
            <v>1620</v>
          </cell>
        </row>
        <row r="14909">
          <cell r="F14909" t="str">
            <v xml:space="preserve">16186973       </v>
          </cell>
          <cell r="O14909">
            <v>27</v>
          </cell>
        </row>
        <row r="14910">
          <cell r="F14910" t="str">
            <v xml:space="preserve">16186973       </v>
          </cell>
          <cell r="O14910">
            <v>720</v>
          </cell>
        </row>
        <row r="14911">
          <cell r="F14911" t="str">
            <v xml:space="preserve">16186973       </v>
          </cell>
          <cell r="O14911">
            <v>135</v>
          </cell>
        </row>
        <row r="14912">
          <cell r="F14912" t="str">
            <v xml:space="preserve">16553709       </v>
          </cell>
          <cell r="O14912">
            <v>180</v>
          </cell>
        </row>
        <row r="14913">
          <cell r="F14913" t="str">
            <v xml:space="preserve">16553709       </v>
          </cell>
          <cell r="O14913">
            <v>90</v>
          </cell>
        </row>
        <row r="14914">
          <cell r="F14914" t="str">
            <v xml:space="preserve">16553709       </v>
          </cell>
          <cell r="O14914">
            <v>270</v>
          </cell>
        </row>
        <row r="14915">
          <cell r="F14915" t="str">
            <v xml:space="preserve">16553709       </v>
          </cell>
          <cell r="O14915">
            <v>45</v>
          </cell>
        </row>
        <row r="14916">
          <cell r="F14916" t="str">
            <v xml:space="preserve">15342410       </v>
          </cell>
          <cell r="O14916">
            <v>594</v>
          </cell>
        </row>
        <row r="14917">
          <cell r="F14917" t="str">
            <v xml:space="preserve">15342410       </v>
          </cell>
          <cell r="O14917">
            <v>1620</v>
          </cell>
        </row>
        <row r="14918">
          <cell r="F14918" t="str">
            <v xml:space="preserve">15381508       </v>
          </cell>
          <cell r="O14918">
            <v>255</v>
          </cell>
        </row>
        <row r="14919">
          <cell r="F14919" t="str">
            <v xml:space="preserve">15381508       </v>
          </cell>
          <cell r="O14919">
            <v>360</v>
          </cell>
        </row>
        <row r="14920">
          <cell r="F14920" t="str">
            <v xml:space="preserve">15381508       </v>
          </cell>
          <cell r="O14920">
            <v>360</v>
          </cell>
        </row>
        <row r="14921">
          <cell r="F14921" t="str">
            <v xml:space="preserve">1104069879     </v>
          </cell>
          <cell r="O14921">
            <v>750</v>
          </cell>
        </row>
        <row r="14922">
          <cell r="F14922" t="str">
            <v xml:space="preserve">1104069879     </v>
          </cell>
          <cell r="O14922">
            <v>630</v>
          </cell>
        </row>
        <row r="14923">
          <cell r="F14923" t="str">
            <v xml:space="preserve">1105671149     </v>
          </cell>
          <cell r="O14923">
            <v>180</v>
          </cell>
        </row>
        <row r="14924">
          <cell r="F14924" t="str">
            <v xml:space="preserve">1105671149     </v>
          </cell>
          <cell r="O14924">
            <v>165</v>
          </cell>
        </row>
        <row r="14925">
          <cell r="F14925" t="str">
            <v xml:space="preserve">1105671149     </v>
          </cell>
          <cell r="O14925">
            <v>720</v>
          </cell>
        </row>
        <row r="14926">
          <cell r="F14926" t="str">
            <v xml:space="preserve">1105671149     </v>
          </cell>
          <cell r="O14926">
            <v>180</v>
          </cell>
        </row>
        <row r="14927">
          <cell r="F14927" t="str">
            <v xml:space="preserve">88273778       </v>
          </cell>
          <cell r="O14927">
            <v>270</v>
          </cell>
        </row>
        <row r="14928">
          <cell r="F14928" t="str">
            <v xml:space="preserve">10174892       </v>
          </cell>
          <cell r="O14928">
            <v>75</v>
          </cell>
        </row>
        <row r="14929">
          <cell r="F14929" t="str">
            <v xml:space="preserve">10174892       </v>
          </cell>
          <cell r="O14929">
            <v>360</v>
          </cell>
        </row>
        <row r="14930">
          <cell r="F14930" t="str">
            <v xml:space="preserve">10174892       </v>
          </cell>
          <cell r="O14930">
            <v>720</v>
          </cell>
        </row>
        <row r="14931">
          <cell r="F14931" t="str">
            <v xml:space="preserve">10174892       </v>
          </cell>
          <cell r="O14931">
            <v>180</v>
          </cell>
        </row>
        <row r="14932">
          <cell r="F14932" t="str">
            <v xml:space="preserve">13476066       </v>
          </cell>
          <cell r="O14932">
            <v>495</v>
          </cell>
        </row>
        <row r="14933">
          <cell r="F14933" t="str">
            <v xml:space="preserve">13476066       </v>
          </cell>
          <cell r="O14933">
            <v>108</v>
          </cell>
        </row>
        <row r="14934">
          <cell r="F14934" t="str">
            <v xml:space="preserve">13476066       </v>
          </cell>
          <cell r="O14934">
            <v>135</v>
          </cell>
        </row>
        <row r="14935">
          <cell r="F14935" t="str">
            <v xml:space="preserve">13476066       </v>
          </cell>
          <cell r="O14935">
            <v>75</v>
          </cell>
        </row>
        <row r="14936">
          <cell r="F14936" t="str">
            <v xml:space="preserve">13476066       </v>
          </cell>
          <cell r="O14936">
            <v>15</v>
          </cell>
        </row>
        <row r="14937">
          <cell r="F14937" t="str">
            <v xml:space="preserve">13476066       </v>
          </cell>
          <cell r="O14937">
            <v>45</v>
          </cell>
        </row>
        <row r="14938">
          <cell r="F14938" t="str">
            <v xml:space="preserve">98763233       </v>
          </cell>
          <cell r="O14938">
            <v>22.5</v>
          </cell>
        </row>
        <row r="14939">
          <cell r="F14939" t="str">
            <v xml:space="preserve">98763233       </v>
          </cell>
          <cell r="O14939">
            <v>9</v>
          </cell>
        </row>
        <row r="14940">
          <cell r="F14940" t="str">
            <v xml:space="preserve">98763233       </v>
          </cell>
          <cell r="O14940">
            <v>30</v>
          </cell>
        </row>
        <row r="14941">
          <cell r="F14941" t="str">
            <v xml:space="preserve">98763233       </v>
          </cell>
          <cell r="O14941">
            <v>810</v>
          </cell>
        </row>
        <row r="14942">
          <cell r="F14942" t="str">
            <v xml:space="preserve">37726719       </v>
          </cell>
          <cell r="O14942">
            <v>720</v>
          </cell>
        </row>
        <row r="14943">
          <cell r="F14943" t="str">
            <v xml:space="preserve">37726719       </v>
          </cell>
          <cell r="O14943">
            <v>285</v>
          </cell>
        </row>
        <row r="14944">
          <cell r="F14944" t="str">
            <v xml:space="preserve">37726719       </v>
          </cell>
          <cell r="O14944">
            <v>126</v>
          </cell>
        </row>
        <row r="14945">
          <cell r="F14945" t="str">
            <v xml:space="preserve">901113951      </v>
          </cell>
          <cell r="O14945">
            <v>90</v>
          </cell>
        </row>
        <row r="14946">
          <cell r="F14946" t="str">
            <v xml:space="preserve">1036942800     </v>
          </cell>
          <cell r="O14946">
            <v>165</v>
          </cell>
        </row>
        <row r="14947">
          <cell r="F14947" t="str">
            <v xml:space="preserve">1036942800     </v>
          </cell>
          <cell r="O14947">
            <v>270</v>
          </cell>
        </row>
        <row r="14948">
          <cell r="F14948" t="str">
            <v xml:space="preserve">94420654       </v>
          </cell>
          <cell r="O14948">
            <v>216</v>
          </cell>
        </row>
        <row r="14949">
          <cell r="F14949" t="str">
            <v xml:space="preserve">94420654       </v>
          </cell>
          <cell r="O14949">
            <v>45</v>
          </cell>
        </row>
        <row r="14950">
          <cell r="F14950" t="str">
            <v xml:space="preserve">1090397527     </v>
          </cell>
          <cell r="O14950">
            <v>420</v>
          </cell>
        </row>
        <row r="14951">
          <cell r="F14951" t="str">
            <v xml:space="preserve">1090397527     </v>
          </cell>
          <cell r="O14951">
            <v>360</v>
          </cell>
        </row>
        <row r="14952">
          <cell r="F14952" t="str">
            <v xml:space="preserve">1090397527     </v>
          </cell>
          <cell r="O14952">
            <v>18</v>
          </cell>
        </row>
        <row r="14953">
          <cell r="F14953" t="str">
            <v xml:space="preserve">1090397527     </v>
          </cell>
          <cell r="O14953">
            <v>585</v>
          </cell>
        </row>
        <row r="14954">
          <cell r="F14954" t="str">
            <v xml:space="preserve">1090397527     </v>
          </cell>
          <cell r="O14954">
            <v>540</v>
          </cell>
        </row>
        <row r="14955">
          <cell r="F14955" t="str">
            <v xml:space="preserve">1100623000     </v>
          </cell>
          <cell r="O14955">
            <v>45</v>
          </cell>
        </row>
        <row r="14956">
          <cell r="F14956" t="str">
            <v xml:space="preserve">1100623000     </v>
          </cell>
          <cell r="O14956">
            <v>486</v>
          </cell>
        </row>
        <row r="14957">
          <cell r="F14957" t="str">
            <v xml:space="preserve">1100623000     </v>
          </cell>
          <cell r="O14957">
            <v>135</v>
          </cell>
        </row>
        <row r="14958">
          <cell r="F14958" t="str">
            <v xml:space="preserve">1053331458     </v>
          </cell>
          <cell r="O14958">
            <v>15</v>
          </cell>
        </row>
        <row r="14959">
          <cell r="F14959" t="str">
            <v xml:space="preserve">1053331458     </v>
          </cell>
          <cell r="O14959">
            <v>684</v>
          </cell>
        </row>
        <row r="14960">
          <cell r="F14960" t="str">
            <v xml:space="preserve">1053331458     </v>
          </cell>
          <cell r="O14960">
            <v>135</v>
          </cell>
        </row>
        <row r="14961">
          <cell r="F14961" t="str">
            <v xml:space="preserve">71142360       </v>
          </cell>
          <cell r="O14961">
            <v>4.5</v>
          </cell>
        </row>
        <row r="14962">
          <cell r="F14962" t="str">
            <v xml:space="preserve">71142360       </v>
          </cell>
          <cell r="O14962">
            <v>525</v>
          </cell>
        </row>
        <row r="14963">
          <cell r="F14963" t="str">
            <v xml:space="preserve">71142360       </v>
          </cell>
          <cell r="O14963">
            <v>630</v>
          </cell>
        </row>
        <row r="14964">
          <cell r="F14964" t="str">
            <v xml:space="preserve">71142360       </v>
          </cell>
          <cell r="O14964">
            <v>90</v>
          </cell>
        </row>
        <row r="14965">
          <cell r="F14965" t="str">
            <v xml:space="preserve">71142360       </v>
          </cell>
          <cell r="O14965">
            <v>750</v>
          </cell>
        </row>
        <row r="14966">
          <cell r="F14966" t="str">
            <v xml:space="preserve">71142360       </v>
          </cell>
          <cell r="O14966">
            <v>270</v>
          </cell>
        </row>
        <row r="14967">
          <cell r="F14967" t="str">
            <v xml:space="preserve">71142360       </v>
          </cell>
          <cell r="O14967">
            <v>135</v>
          </cell>
        </row>
        <row r="14968">
          <cell r="F14968" t="str">
            <v xml:space="preserve">43656575       </v>
          </cell>
          <cell r="O14968">
            <v>9</v>
          </cell>
        </row>
        <row r="14969">
          <cell r="F14969" t="str">
            <v xml:space="preserve">43656575       </v>
          </cell>
          <cell r="O14969">
            <v>18</v>
          </cell>
        </row>
        <row r="14970">
          <cell r="F14970" t="str">
            <v xml:space="preserve">43656575       </v>
          </cell>
          <cell r="O14970">
            <v>30</v>
          </cell>
        </row>
        <row r="14971">
          <cell r="F14971" t="str">
            <v xml:space="preserve">43656575       </v>
          </cell>
          <cell r="O14971">
            <v>1782</v>
          </cell>
        </row>
        <row r="14972">
          <cell r="F14972" t="str">
            <v xml:space="preserve">43656575       </v>
          </cell>
          <cell r="O14972">
            <v>225</v>
          </cell>
        </row>
        <row r="14973">
          <cell r="F14973" t="str">
            <v xml:space="preserve">43656575       </v>
          </cell>
          <cell r="O14973">
            <v>225</v>
          </cell>
        </row>
        <row r="14974">
          <cell r="F14974" t="str">
            <v xml:space="preserve">73559455       </v>
          </cell>
          <cell r="O14974">
            <v>105</v>
          </cell>
        </row>
        <row r="14975">
          <cell r="F14975" t="str">
            <v xml:space="preserve">73559455       </v>
          </cell>
          <cell r="O14975">
            <v>45</v>
          </cell>
        </row>
        <row r="14976">
          <cell r="F14976" t="str">
            <v xml:space="preserve">73559455       </v>
          </cell>
          <cell r="O14976">
            <v>108</v>
          </cell>
        </row>
        <row r="14977">
          <cell r="F14977" t="str">
            <v xml:space="preserve">73559455       </v>
          </cell>
          <cell r="O14977">
            <v>18</v>
          </cell>
        </row>
        <row r="14978">
          <cell r="F14978" t="str">
            <v xml:space="preserve">890406520      </v>
          </cell>
          <cell r="O14978">
            <v>15</v>
          </cell>
        </row>
        <row r="14979">
          <cell r="F14979" t="str">
            <v xml:space="preserve">94262420       </v>
          </cell>
          <cell r="O14979">
            <v>360</v>
          </cell>
        </row>
        <row r="14980">
          <cell r="F14980" t="str">
            <v xml:space="preserve">94262420       </v>
          </cell>
          <cell r="O14980">
            <v>270</v>
          </cell>
        </row>
        <row r="14981">
          <cell r="F14981" t="str">
            <v xml:space="preserve">1214745372     </v>
          </cell>
          <cell r="O14981">
            <v>270</v>
          </cell>
        </row>
        <row r="14982">
          <cell r="F14982" t="str">
            <v xml:space="preserve">860005265      </v>
          </cell>
          <cell r="O14982">
            <v>1065</v>
          </cell>
        </row>
        <row r="14983">
          <cell r="F14983" t="str">
            <v xml:space="preserve">860005265      </v>
          </cell>
          <cell r="O14983">
            <v>644.79999999999995</v>
          </cell>
        </row>
        <row r="14984">
          <cell r="F14984" t="str">
            <v xml:space="preserve">860047066      </v>
          </cell>
          <cell r="O14984">
            <v>60</v>
          </cell>
        </row>
        <row r="14985">
          <cell r="F14985" t="str">
            <v xml:space="preserve">007            </v>
          </cell>
          <cell r="O14985">
            <v>60</v>
          </cell>
        </row>
        <row r="14986">
          <cell r="F14986" t="str">
            <v xml:space="preserve">007            </v>
          </cell>
          <cell r="O14986">
            <v>180</v>
          </cell>
        </row>
        <row r="14987">
          <cell r="F14987" t="str">
            <v xml:space="preserve">800012375      </v>
          </cell>
          <cell r="O14987">
            <v>162</v>
          </cell>
        </row>
        <row r="14988">
          <cell r="F14988" t="str">
            <v xml:space="preserve">800052377      </v>
          </cell>
          <cell r="O14988">
            <v>54</v>
          </cell>
        </row>
        <row r="14989">
          <cell r="F14989" t="str">
            <v xml:space="preserve">800052377      </v>
          </cell>
          <cell r="O14989">
            <v>72</v>
          </cell>
        </row>
        <row r="14990">
          <cell r="F14990" t="str">
            <v xml:space="preserve">800150267      </v>
          </cell>
          <cell r="O14990">
            <v>36</v>
          </cell>
        </row>
        <row r="14991">
          <cell r="F14991" t="str">
            <v xml:space="preserve">800197463      </v>
          </cell>
          <cell r="O14991">
            <v>36</v>
          </cell>
        </row>
        <row r="14992">
          <cell r="F14992" t="str">
            <v xml:space="preserve">805018495      </v>
          </cell>
          <cell r="O14992">
            <v>162</v>
          </cell>
        </row>
        <row r="14993">
          <cell r="F14993" t="str">
            <v xml:space="preserve">815002042      </v>
          </cell>
          <cell r="O14993">
            <v>108</v>
          </cell>
        </row>
        <row r="14994">
          <cell r="F14994" t="str">
            <v xml:space="preserve">821000169      </v>
          </cell>
          <cell r="O14994">
            <v>112</v>
          </cell>
        </row>
        <row r="14995">
          <cell r="F14995" t="str">
            <v xml:space="preserve">830107617      </v>
          </cell>
          <cell r="O14995">
            <v>54</v>
          </cell>
        </row>
        <row r="14996">
          <cell r="F14996" t="str">
            <v xml:space="preserve">890903939      </v>
          </cell>
          <cell r="O14996">
            <v>111</v>
          </cell>
        </row>
        <row r="14997">
          <cell r="F14997" t="str">
            <v xml:space="preserve">891301549      </v>
          </cell>
          <cell r="O14997">
            <v>72</v>
          </cell>
        </row>
        <row r="14998">
          <cell r="F14998" t="str">
            <v xml:space="preserve">900772446      </v>
          </cell>
          <cell r="O14998">
            <v>18</v>
          </cell>
        </row>
        <row r="14999">
          <cell r="F14999" t="str">
            <v xml:space="preserve">900772446      </v>
          </cell>
          <cell r="O14999">
            <v>36</v>
          </cell>
        </row>
        <row r="15000">
          <cell r="F15000" t="str">
            <v xml:space="preserve">800067861      </v>
          </cell>
          <cell r="O15000">
            <v>87.8</v>
          </cell>
        </row>
        <row r="15001">
          <cell r="F15001" t="str">
            <v xml:space="preserve">811014849      </v>
          </cell>
          <cell r="O15001">
            <v>114.7</v>
          </cell>
        </row>
        <row r="15002">
          <cell r="F15002" t="str">
            <v xml:space="preserve">811020038      </v>
          </cell>
          <cell r="O15002">
            <v>96</v>
          </cell>
        </row>
        <row r="15003">
          <cell r="F15003" t="str">
            <v xml:space="preserve">860001697      </v>
          </cell>
          <cell r="O15003">
            <v>457.85</v>
          </cell>
        </row>
        <row r="15004">
          <cell r="F15004" t="str">
            <v xml:space="preserve">860001697      </v>
          </cell>
          <cell r="O15004">
            <v>497</v>
          </cell>
        </row>
        <row r="15005">
          <cell r="F15005" t="str">
            <v xml:space="preserve">860001697      </v>
          </cell>
          <cell r="O15005">
            <v>226.68</v>
          </cell>
        </row>
        <row r="15006">
          <cell r="F15006" t="str">
            <v xml:space="preserve">900239671      </v>
          </cell>
          <cell r="O15006">
            <v>72</v>
          </cell>
        </row>
        <row r="15007">
          <cell r="F15007" t="str">
            <v xml:space="preserve">203            </v>
          </cell>
          <cell r="O15007">
            <v>18</v>
          </cell>
        </row>
        <row r="15008">
          <cell r="F15008" t="str">
            <v xml:space="preserve">101            </v>
          </cell>
          <cell r="O15008">
            <v>15</v>
          </cell>
        </row>
        <row r="15009">
          <cell r="F15009" t="str">
            <v xml:space="preserve">101            </v>
          </cell>
          <cell r="O15009">
            <v>72</v>
          </cell>
        </row>
        <row r="15010">
          <cell r="F15010" t="str">
            <v xml:space="preserve">101            </v>
          </cell>
          <cell r="O15010">
            <v>4.5</v>
          </cell>
        </row>
        <row r="15011">
          <cell r="F15011" t="str">
            <v xml:space="preserve">101            </v>
          </cell>
          <cell r="O15011">
            <v>30</v>
          </cell>
        </row>
        <row r="15012">
          <cell r="F15012" t="str">
            <v xml:space="preserve">101            </v>
          </cell>
          <cell r="O15012">
            <v>18</v>
          </cell>
        </row>
        <row r="15013">
          <cell r="F15013" t="str">
            <v xml:space="preserve">101            </v>
          </cell>
          <cell r="O15013">
            <v>18</v>
          </cell>
        </row>
        <row r="15014">
          <cell r="F15014" t="str">
            <v xml:space="preserve">101            </v>
          </cell>
          <cell r="O15014">
            <v>90</v>
          </cell>
        </row>
        <row r="15015">
          <cell r="F15015" t="str">
            <v xml:space="preserve">101            </v>
          </cell>
          <cell r="O15015">
            <v>9</v>
          </cell>
        </row>
        <row r="15016">
          <cell r="F15016" t="str">
            <v xml:space="preserve">101            </v>
          </cell>
          <cell r="O15016">
            <v>36</v>
          </cell>
        </row>
        <row r="15017">
          <cell r="F15017" t="str">
            <v xml:space="preserve">891301549      </v>
          </cell>
          <cell r="O15017">
            <v>90</v>
          </cell>
        </row>
        <row r="15018">
          <cell r="F15018" t="str">
            <v xml:space="preserve">102            </v>
          </cell>
          <cell r="O15018">
            <v>15</v>
          </cell>
        </row>
        <row r="15019">
          <cell r="F15019" t="str">
            <v xml:space="preserve">102            </v>
          </cell>
          <cell r="O15019">
            <v>45</v>
          </cell>
        </row>
        <row r="15020">
          <cell r="F15020" t="str">
            <v xml:space="preserve">811014849      </v>
          </cell>
          <cell r="O15020">
            <v>54</v>
          </cell>
        </row>
        <row r="15021">
          <cell r="F15021" t="str">
            <v xml:space="preserve">890800450      </v>
          </cell>
          <cell r="O15021">
            <v>54</v>
          </cell>
        </row>
        <row r="15022">
          <cell r="F15022" t="str">
            <v xml:space="preserve">890800450      </v>
          </cell>
          <cell r="O15022">
            <v>18</v>
          </cell>
        </row>
        <row r="15023">
          <cell r="F15023" t="str">
            <v xml:space="preserve">890805453      </v>
          </cell>
          <cell r="O15023">
            <v>36</v>
          </cell>
        </row>
        <row r="15024">
          <cell r="F15024" t="str">
            <v xml:space="preserve">900543878      </v>
          </cell>
          <cell r="O15024">
            <v>18</v>
          </cell>
        </row>
        <row r="15025">
          <cell r="F15025" t="str">
            <v xml:space="preserve">32772122       </v>
          </cell>
          <cell r="O15025">
            <v>375</v>
          </cell>
        </row>
        <row r="15026">
          <cell r="F15026" t="str">
            <v xml:space="preserve">32772122       </v>
          </cell>
          <cell r="O15026">
            <v>90</v>
          </cell>
        </row>
        <row r="15027">
          <cell r="F15027" t="str">
            <v xml:space="preserve">32772122       </v>
          </cell>
          <cell r="O15027">
            <v>135</v>
          </cell>
        </row>
        <row r="15028">
          <cell r="F15028" t="str">
            <v xml:space="preserve">73186091       </v>
          </cell>
          <cell r="O15028">
            <v>300</v>
          </cell>
        </row>
        <row r="15029">
          <cell r="F15029" t="str">
            <v xml:space="preserve">800230447      </v>
          </cell>
          <cell r="O15029">
            <v>80</v>
          </cell>
        </row>
        <row r="15030">
          <cell r="F15030" t="str">
            <v xml:space="preserve">800244560      </v>
          </cell>
          <cell r="O15030">
            <v>54</v>
          </cell>
        </row>
        <row r="15031">
          <cell r="F15031" t="str">
            <v xml:space="preserve">811047008      </v>
          </cell>
          <cell r="O15031">
            <v>54</v>
          </cell>
        </row>
        <row r="15032">
          <cell r="F15032" t="str">
            <v xml:space="preserve">830094679      </v>
          </cell>
          <cell r="O15032">
            <v>160</v>
          </cell>
        </row>
        <row r="15033">
          <cell r="F15033" t="str">
            <v xml:space="preserve">860031786      </v>
          </cell>
          <cell r="O15033">
            <v>108</v>
          </cell>
        </row>
        <row r="15034">
          <cell r="F15034" t="str">
            <v xml:space="preserve">890903475      </v>
          </cell>
          <cell r="O15034">
            <v>80</v>
          </cell>
        </row>
        <row r="15035">
          <cell r="F15035" t="str">
            <v xml:space="preserve">899999049      </v>
          </cell>
          <cell r="O15035">
            <v>54</v>
          </cell>
        </row>
        <row r="15036">
          <cell r="F15036" t="str">
            <v xml:space="preserve">900049818      </v>
          </cell>
          <cell r="O15036">
            <v>32</v>
          </cell>
        </row>
        <row r="15037">
          <cell r="F15037" t="str">
            <v xml:space="preserve">900603554      </v>
          </cell>
          <cell r="O15037">
            <v>288</v>
          </cell>
        </row>
        <row r="15038">
          <cell r="F15038" t="str">
            <v xml:space="preserve">900805585      </v>
          </cell>
          <cell r="O15038">
            <v>36</v>
          </cell>
        </row>
        <row r="15039">
          <cell r="F15039" t="str">
            <v xml:space="preserve">890201881      </v>
          </cell>
          <cell r="O15039">
            <v>195</v>
          </cell>
        </row>
        <row r="15040">
          <cell r="F15040" t="str">
            <v xml:space="preserve">407            </v>
          </cell>
          <cell r="O15040">
            <v>612</v>
          </cell>
        </row>
        <row r="15041">
          <cell r="F15041" t="str">
            <v xml:space="preserve">800090890      </v>
          </cell>
          <cell r="O15041">
            <v>108</v>
          </cell>
        </row>
        <row r="15042">
          <cell r="F15042" t="str">
            <v xml:space="preserve">811014849      </v>
          </cell>
          <cell r="O15042">
            <v>198</v>
          </cell>
        </row>
        <row r="15043">
          <cell r="F15043" t="str">
            <v xml:space="preserve">811014849      </v>
          </cell>
          <cell r="O15043">
            <v>144</v>
          </cell>
        </row>
        <row r="15044">
          <cell r="F15044" t="str">
            <v xml:space="preserve">890903939      </v>
          </cell>
          <cell r="O15044">
            <v>1092.4000000000001</v>
          </cell>
        </row>
        <row r="15045">
          <cell r="F15045" t="str">
            <v xml:space="preserve">890903939      </v>
          </cell>
          <cell r="O15045">
            <v>158.94999999999999</v>
          </cell>
        </row>
        <row r="15046">
          <cell r="F15046" t="str">
            <v xml:space="preserve">890903939      </v>
          </cell>
          <cell r="O15046">
            <v>242.66</v>
          </cell>
        </row>
        <row r="15047">
          <cell r="F15047" t="str">
            <v xml:space="preserve">211            </v>
          </cell>
          <cell r="O15047">
            <v>1134</v>
          </cell>
        </row>
        <row r="15048">
          <cell r="F15048" t="str">
            <v xml:space="preserve">211            </v>
          </cell>
          <cell r="O15048">
            <v>90</v>
          </cell>
        </row>
        <row r="15049">
          <cell r="F15049" t="str">
            <v xml:space="preserve">211            </v>
          </cell>
          <cell r="O15049">
            <v>90</v>
          </cell>
        </row>
        <row r="15050">
          <cell r="F15050" t="str">
            <v xml:space="preserve">211            </v>
          </cell>
          <cell r="O15050">
            <v>270</v>
          </cell>
        </row>
        <row r="15051">
          <cell r="F15051" t="str">
            <v xml:space="preserve">211            </v>
          </cell>
          <cell r="O15051">
            <v>2520</v>
          </cell>
        </row>
        <row r="15052">
          <cell r="F15052" t="str">
            <v xml:space="preserve">811032699      </v>
          </cell>
          <cell r="O15052">
            <v>36</v>
          </cell>
        </row>
        <row r="15053">
          <cell r="F15053" t="str">
            <v xml:space="preserve">830095213      </v>
          </cell>
          <cell r="O15053">
            <v>216</v>
          </cell>
        </row>
        <row r="15054">
          <cell r="F15054" t="str">
            <v xml:space="preserve">830095213      </v>
          </cell>
          <cell r="O15054">
            <v>90</v>
          </cell>
        </row>
        <row r="15055">
          <cell r="F15055" t="str">
            <v xml:space="preserve">830095213      </v>
          </cell>
          <cell r="O15055">
            <v>216</v>
          </cell>
        </row>
        <row r="15056">
          <cell r="F15056" t="str">
            <v xml:space="preserve">890903939      </v>
          </cell>
          <cell r="O15056">
            <v>360.03</v>
          </cell>
        </row>
        <row r="15057">
          <cell r="F15057" t="str">
            <v xml:space="preserve">900799297      </v>
          </cell>
          <cell r="O15057">
            <v>45</v>
          </cell>
        </row>
        <row r="15058">
          <cell r="F15058" t="str">
            <v xml:space="preserve">900820045      </v>
          </cell>
          <cell r="O15058">
            <v>45</v>
          </cell>
        </row>
        <row r="15059">
          <cell r="F15059" t="str">
            <v xml:space="preserve">900820045      </v>
          </cell>
          <cell r="O15059">
            <v>36</v>
          </cell>
        </row>
        <row r="15060">
          <cell r="F15060" t="str">
            <v xml:space="preserve">830036921      </v>
          </cell>
          <cell r="O15060">
            <v>172.9</v>
          </cell>
        </row>
        <row r="15061">
          <cell r="F15061" t="str">
            <v xml:space="preserve">860001697      </v>
          </cell>
          <cell r="O15061">
            <v>956.2</v>
          </cell>
        </row>
        <row r="15062">
          <cell r="F15062" t="str">
            <v xml:space="preserve">860048371      </v>
          </cell>
          <cell r="O15062">
            <v>40</v>
          </cell>
        </row>
        <row r="15063">
          <cell r="F15063" t="str">
            <v xml:space="preserve">800148119      </v>
          </cell>
          <cell r="O15063">
            <v>60</v>
          </cell>
        </row>
        <row r="15064">
          <cell r="F15064" t="str">
            <v xml:space="preserve">800148119      </v>
          </cell>
          <cell r="O15064">
            <v>60</v>
          </cell>
        </row>
        <row r="15065">
          <cell r="F15065" t="str">
            <v xml:space="preserve">800229035      </v>
          </cell>
          <cell r="O15065">
            <v>90</v>
          </cell>
        </row>
        <row r="15066">
          <cell r="F15066" t="str">
            <v xml:space="preserve">800229035      </v>
          </cell>
          <cell r="O15066">
            <v>150</v>
          </cell>
        </row>
        <row r="15067">
          <cell r="F15067" t="str">
            <v xml:space="preserve">830106563      </v>
          </cell>
          <cell r="O15067">
            <v>711.5</v>
          </cell>
        </row>
        <row r="15068">
          <cell r="F15068" t="str">
            <v xml:space="preserve">890903939      </v>
          </cell>
          <cell r="O15068">
            <v>691.5</v>
          </cell>
        </row>
        <row r="15069">
          <cell r="F15069" t="str">
            <v xml:space="preserve">900274444      </v>
          </cell>
          <cell r="O15069">
            <v>1152.7</v>
          </cell>
        </row>
        <row r="15070">
          <cell r="F15070" t="str">
            <v xml:space="preserve">901008538      </v>
          </cell>
          <cell r="O15070">
            <v>1200</v>
          </cell>
        </row>
        <row r="15071">
          <cell r="F15071" t="str">
            <v xml:space="preserve">901046830      </v>
          </cell>
          <cell r="O15071">
            <v>420</v>
          </cell>
        </row>
        <row r="15072">
          <cell r="F15072" t="str">
            <v xml:space="preserve">1114729720     </v>
          </cell>
          <cell r="O15072">
            <v>120.6</v>
          </cell>
        </row>
        <row r="15073">
          <cell r="F15073" t="str">
            <v xml:space="preserve">16222743       </v>
          </cell>
          <cell r="O15073">
            <v>90.3</v>
          </cell>
        </row>
        <row r="15074">
          <cell r="F15074" t="str">
            <v xml:space="preserve">24626777       </v>
          </cell>
          <cell r="O15074">
            <v>127.1</v>
          </cell>
        </row>
        <row r="15075">
          <cell r="F15075" t="str">
            <v xml:space="preserve">30305213       </v>
          </cell>
          <cell r="O15075">
            <v>34.200000000000003</v>
          </cell>
        </row>
        <row r="15076">
          <cell r="F15076" t="str">
            <v xml:space="preserve">65730531       </v>
          </cell>
          <cell r="O15076">
            <v>73.400000000000006</v>
          </cell>
        </row>
        <row r="15077">
          <cell r="F15077" t="str">
            <v xml:space="preserve">700022216      </v>
          </cell>
          <cell r="O15077">
            <v>403.3</v>
          </cell>
        </row>
        <row r="15078">
          <cell r="F15078" t="str">
            <v xml:space="preserve">7514245        </v>
          </cell>
          <cell r="O15078">
            <v>40.5</v>
          </cell>
        </row>
        <row r="15079">
          <cell r="F15079" t="str">
            <v xml:space="preserve">816006036      </v>
          </cell>
          <cell r="O15079">
            <v>1209.7</v>
          </cell>
        </row>
        <row r="15080">
          <cell r="F15080" t="str">
            <v xml:space="preserve">900211033      </v>
          </cell>
          <cell r="O15080">
            <v>90.8</v>
          </cell>
        </row>
        <row r="15081">
          <cell r="F15081" t="str">
            <v xml:space="preserve">900322842      </v>
          </cell>
          <cell r="O15081">
            <v>100.3</v>
          </cell>
        </row>
        <row r="15082">
          <cell r="F15082" t="str">
            <v xml:space="preserve">901256174      </v>
          </cell>
          <cell r="O15082">
            <v>452.1</v>
          </cell>
        </row>
        <row r="15083">
          <cell r="F15083" t="str">
            <v xml:space="preserve">9865767        </v>
          </cell>
          <cell r="O15083">
            <v>38.9</v>
          </cell>
        </row>
        <row r="15084">
          <cell r="F15084" t="str">
            <v xml:space="preserve">1114729720     </v>
          </cell>
          <cell r="O15084">
            <v>555.4</v>
          </cell>
        </row>
        <row r="15085">
          <cell r="F15085" t="str">
            <v xml:space="preserve">29179775       </v>
          </cell>
          <cell r="O15085">
            <v>200.4</v>
          </cell>
        </row>
        <row r="15086">
          <cell r="F15086" t="str">
            <v xml:space="preserve">890312630      </v>
          </cell>
          <cell r="O15086">
            <v>4703.3</v>
          </cell>
        </row>
        <row r="15087">
          <cell r="F15087" t="str">
            <v xml:space="preserve">19132851       </v>
          </cell>
          <cell r="O15087">
            <v>311</v>
          </cell>
        </row>
        <row r="15088">
          <cell r="F15088" t="str">
            <v xml:space="preserve">19132851       </v>
          </cell>
          <cell r="O15088">
            <v>1605.6</v>
          </cell>
        </row>
        <row r="15089">
          <cell r="F15089" t="str">
            <v xml:space="preserve">30206395       </v>
          </cell>
          <cell r="O15089">
            <v>202.3</v>
          </cell>
        </row>
        <row r="15090">
          <cell r="F15090" t="str">
            <v xml:space="preserve">4173459        </v>
          </cell>
          <cell r="O15090">
            <v>303.89999999999998</v>
          </cell>
        </row>
        <row r="15091">
          <cell r="F15091" t="str">
            <v xml:space="preserve">7315039        </v>
          </cell>
          <cell r="O15091">
            <v>124</v>
          </cell>
        </row>
        <row r="15092">
          <cell r="F15092" t="str">
            <v xml:space="preserve">800231596      </v>
          </cell>
          <cell r="O15092">
            <v>1113.2</v>
          </cell>
        </row>
        <row r="15093">
          <cell r="F15093" t="str">
            <v xml:space="preserve">860032450      </v>
          </cell>
          <cell r="O15093">
            <v>501.2</v>
          </cell>
        </row>
        <row r="15094">
          <cell r="F15094" t="str">
            <v xml:space="preserve">901123983      </v>
          </cell>
          <cell r="O15094">
            <v>1270.5999999999999</v>
          </cell>
        </row>
        <row r="15095">
          <cell r="F15095" t="str">
            <v xml:space="preserve">901409625      </v>
          </cell>
          <cell r="O15095">
            <v>780.5</v>
          </cell>
        </row>
        <row r="15096">
          <cell r="F15096" t="str">
            <v xml:space="preserve">860001697      </v>
          </cell>
          <cell r="O15096">
            <v>332.2</v>
          </cell>
        </row>
        <row r="15097">
          <cell r="F15097" t="str">
            <v xml:space="preserve">860001697      </v>
          </cell>
          <cell r="O15097">
            <v>234.14</v>
          </cell>
        </row>
        <row r="15098">
          <cell r="F15098" t="str">
            <v xml:space="preserve">860001697      </v>
          </cell>
          <cell r="O15098">
            <v>331.98</v>
          </cell>
        </row>
        <row r="15099">
          <cell r="F15099" t="str">
            <v xml:space="preserve">212            </v>
          </cell>
          <cell r="O15099">
            <v>45</v>
          </cell>
        </row>
        <row r="15100">
          <cell r="F15100" t="str">
            <v xml:space="preserve">212            </v>
          </cell>
          <cell r="O15100">
            <v>18</v>
          </cell>
        </row>
        <row r="15101">
          <cell r="F15101" t="str">
            <v xml:space="preserve">900084859      </v>
          </cell>
          <cell r="O15101">
            <v>36</v>
          </cell>
        </row>
        <row r="15102">
          <cell r="F15102" t="str">
            <v xml:space="preserve">213            </v>
          </cell>
          <cell r="O15102">
            <v>285</v>
          </cell>
        </row>
        <row r="15103">
          <cell r="F15103" t="str">
            <v xml:space="preserve">213            </v>
          </cell>
          <cell r="O15103">
            <v>144</v>
          </cell>
        </row>
        <row r="15104">
          <cell r="F15104" t="str">
            <v xml:space="preserve">213            </v>
          </cell>
          <cell r="O15104">
            <v>270</v>
          </cell>
        </row>
        <row r="15105">
          <cell r="F15105" t="str">
            <v xml:space="preserve">70052771       </v>
          </cell>
          <cell r="O15105">
            <v>150</v>
          </cell>
        </row>
        <row r="15106">
          <cell r="F15106" t="str">
            <v xml:space="preserve">800230447      </v>
          </cell>
          <cell r="O15106">
            <v>72</v>
          </cell>
        </row>
        <row r="15107">
          <cell r="F15107" t="str">
            <v xml:space="preserve">811022351      </v>
          </cell>
          <cell r="O15107">
            <v>162</v>
          </cell>
        </row>
        <row r="15108">
          <cell r="F15108" t="str">
            <v xml:space="preserve">811034230      </v>
          </cell>
          <cell r="O15108">
            <v>18</v>
          </cell>
        </row>
        <row r="15109">
          <cell r="F15109" t="str">
            <v xml:space="preserve">811035741      </v>
          </cell>
          <cell r="O15109">
            <v>132</v>
          </cell>
        </row>
        <row r="15110">
          <cell r="F15110" t="str">
            <v xml:space="preserve">860013809      </v>
          </cell>
          <cell r="O15110">
            <v>234</v>
          </cell>
        </row>
        <row r="15111">
          <cell r="F15111" t="str">
            <v xml:space="preserve">890900424      </v>
          </cell>
          <cell r="O15111">
            <v>60</v>
          </cell>
        </row>
        <row r="15112">
          <cell r="F15112" t="str">
            <v xml:space="preserve">890904713      </v>
          </cell>
          <cell r="O15112">
            <v>30</v>
          </cell>
        </row>
        <row r="15113">
          <cell r="F15113" t="str">
            <v xml:space="preserve">890904713      </v>
          </cell>
          <cell r="O15113">
            <v>0</v>
          </cell>
        </row>
        <row r="15114">
          <cell r="F15114" t="str">
            <v xml:space="preserve">890905790      </v>
          </cell>
          <cell r="O15114">
            <v>90</v>
          </cell>
        </row>
        <row r="15115">
          <cell r="F15115" t="str">
            <v xml:space="preserve">890918272      </v>
          </cell>
          <cell r="O15115">
            <v>36</v>
          </cell>
        </row>
        <row r="15116">
          <cell r="F15116" t="str">
            <v xml:space="preserve">890932389      </v>
          </cell>
          <cell r="O15116">
            <v>36</v>
          </cell>
        </row>
        <row r="15117">
          <cell r="F15117" t="str">
            <v xml:space="preserve">899999049      </v>
          </cell>
          <cell r="O15117">
            <v>54</v>
          </cell>
        </row>
        <row r="15118">
          <cell r="F15118" t="str">
            <v xml:space="preserve">900049818      </v>
          </cell>
          <cell r="O15118">
            <v>15</v>
          </cell>
        </row>
        <row r="15119">
          <cell r="F15119" t="str">
            <v xml:space="preserve">900302490      </v>
          </cell>
          <cell r="O15119">
            <v>15</v>
          </cell>
        </row>
        <row r="15120">
          <cell r="F15120" t="str">
            <v xml:space="preserve">900671066      </v>
          </cell>
          <cell r="O15120">
            <v>18</v>
          </cell>
        </row>
        <row r="15121">
          <cell r="F15121" t="str">
            <v xml:space="preserve">901436775      </v>
          </cell>
          <cell r="O15121">
            <v>75</v>
          </cell>
        </row>
        <row r="15122">
          <cell r="F15122" t="str">
            <v xml:space="preserve">901436775      </v>
          </cell>
          <cell r="O15122">
            <v>180</v>
          </cell>
        </row>
        <row r="15123">
          <cell r="F15123" t="str">
            <v xml:space="preserve">210            </v>
          </cell>
          <cell r="O15123">
            <v>450</v>
          </cell>
        </row>
        <row r="15124">
          <cell r="F15124" t="str">
            <v xml:space="preserve">101            </v>
          </cell>
          <cell r="O15124">
            <v>15</v>
          </cell>
        </row>
        <row r="15125">
          <cell r="F15125" t="str">
            <v xml:space="preserve">101            </v>
          </cell>
          <cell r="O15125">
            <v>45</v>
          </cell>
        </row>
        <row r="15126">
          <cell r="F15126" t="str">
            <v xml:space="preserve">101            </v>
          </cell>
          <cell r="O15126">
            <v>4.5</v>
          </cell>
        </row>
        <row r="15127">
          <cell r="F15127" t="str">
            <v xml:space="preserve">101            </v>
          </cell>
          <cell r="O15127">
            <v>45</v>
          </cell>
        </row>
        <row r="15128">
          <cell r="F15128" t="str">
            <v xml:space="preserve">404            </v>
          </cell>
          <cell r="O15128">
            <v>255</v>
          </cell>
        </row>
        <row r="15129">
          <cell r="F15129" t="str">
            <v xml:space="preserve">210            </v>
          </cell>
          <cell r="O15129">
            <v>162</v>
          </cell>
        </row>
        <row r="15130">
          <cell r="F15130" t="str">
            <v xml:space="preserve">210            </v>
          </cell>
          <cell r="O15130">
            <v>90</v>
          </cell>
        </row>
        <row r="15131">
          <cell r="F15131" t="str">
            <v xml:space="preserve">210            </v>
          </cell>
          <cell r="O15131">
            <v>4.5</v>
          </cell>
        </row>
        <row r="15132">
          <cell r="F15132" t="str">
            <v xml:space="preserve">800003267      </v>
          </cell>
          <cell r="O15132">
            <v>126</v>
          </cell>
        </row>
        <row r="15133">
          <cell r="F15133" t="str">
            <v xml:space="preserve">800068285      </v>
          </cell>
          <cell r="O15133">
            <v>18</v>
          </cell>
        </row>
        <row r="15134">
          <cell r="F15134" t="str">
            <v xml:space="preserve">800230447      </v>
          </cell>
          <cell r="O15134">
            <v>45</v>
          </cell>
        </row>
        <row r="15135">
          <cell r="F15135" t="str">
            <v xml:space="preserve">805026018      </v>
          </cell>
          <cell r="O15135">
            <v>54</v>
          </cell>
        </row>
        <row r="15136">
          <cell r="F15136" t="str">
            <v xml:space="preserve">890302609      </v>
          </cell>
          <cell r="O15136">
            <v>150</v>
          </cell>
        </row>
        <row r="15137">
          <cell r="F15137" t="str">
            <v xml:space="preserve">890304607      </v>
          </cell>
          <cell r="O15137">
            <v>36</v>
          </cell>
        </row>
        <row r="15138">
          <cell r="F15138" t="str">
            <v xml:space="preserve">890304611      </v>
          </cell>
          <cell r="O15138">
            <v>15</v>
          </cell>
        </row>
        <row r="15139">
          <cell r="F15139" t="str">
            <v xml:space="preserve">890321924      </v>
          </cell>
          <cell r="O15139">
            <v>18</v>
          </cell>
        </row>
        <row r="15140">
          <cell r="F15140" t="str">
            <v xml:space="preserve">890903939      </v>
          </cell>
          <cell r="O15140">
            <v>245</v>
          </cell>
        </row>
        <row r="15141">
          <cell r="F15141" t="str">
            <v xml:space="preserve">890903939      </v>
          </cell>
          <cell r="O15141">
            <v>263</v>
          </cell>
        </row>
        <row r="15142">
          <cell r="F15142" t="str">
            <v xml:space="preserve">891303109      </v>
          </cell>
          <cell r="O15142">
            <v>18</v>
          </cell>
        </row>
        <row r="15143">
          <cell r="F15143" t="str">
            <v xml:space="preserve">900233101      </v>
          </cell>
          <cell r="O15143">
            <v>90</v>
          </cell>
        </row>
        <row r="15144">
          <cell r="F15144" t="str">
            <v xml:space="preserve">900319753      </v>
          </cell>
          <cell r="O15144">
            <v>45</v>
          </cell>
        </row>
        <row r="15145">
          <cell r="F15145" t="str">
            <v xml:space="preserve">900319753      </v>
          </cell>
          <cell r="O15145">
            <v>36</v>
          </cell>
        </row>
        <row r="15146">
          <cell r="F15146" t="str">
            <v xml:space="preserve">900555944      </v>
          </cell>
          <cell r="O15146">
            <v>18</v>
          </cell>
        </row>
        <row r="15147">
          <cell r="F15147" t="str">
            <v xml:space="preserve">900706515      </v>
          </cell>
          <cell r="O15147">
            <v>36</v>
          </cell>
        </row>
        <row r="15148">
          <cell r="F15148" t="str">
            <v xml:space="preserve">901068373      </v>
          </cell>
          <cell r="O15148">
            <v>22.5</v>
          </cell>
        </row>
        <row r="15149">
          <cell r="F15149" t="str">
            <v xml:space="preserve">901149931      </v>
          </cell>
          <cell r="O15149">
            <v>54</v>
          </cell>
        </row>
        <row r="15150">
          <cell r="F15150" t="str">
            <v xml:space="preserve">901167377      </v>
          </cell>
          <cell r="O15150">
            <v>155.5</v>
          </cell>
        </row>
        <row r="15151">
          <cell r="F15151" t="str">
            <v xml:space="preserve">811020038      </v>
          </cell>
          <cell r="O15151">
            <v>54</v>
          </cell>
        </row>
        <row r="15152">
          <cell r="F15152" t="str">
            <v xml:space="preserve">860001697      </v>
          </cell>
          <cell r="O15152">
            <v>221.78</v>
          </cell>
        </row>
        <row r="15153">
          <cell r="F15153" t="str">
            <v xml:space="preserve">860001697      </v>
          </cell>
          <cell r="O15153">
            <v>564.34</v>
          </cell>
        </row>
        <row r="15154">
          <cell r="F15154" t="str">
            <v xml:space="preserve">900172069      </v>
          </cell>
          <cell r="O15154">
            <v>270</v>
          </cell>
        </row>
        <row r="15155">
          <cell r="F15155" t="str">
            <v xml:space="preserve">52790620       </v>
          </cell>
          <cell r="O15155">
            <v>1872</v>
          </cell>
        </row>
        <row r="15156">
          <cell r="F15156" t="str">
            <v xml:space="preserve">860001697      </v>
          </cell>
          <cell r="O15156">
            <v>125.15</v>
          </cell>
        </row>
        <row r="15157">
          <cell r="F15157" t="str">
            <v xml:space="preserve">210            </v>
          </cell>
          <cell r="O15157">
            <v>594</v>
          </cell>
        </row>
        <row r="15158">
          <cell r="F15158" t="str">
            <v xml:space="preserve">210            </v>
          </cell>
          <cell r="O15158">
            <v>225</v>
          </cell>
        </row>
        <row r="15159">
          <cell r="F15159" t="str">
            <v xml:space="preserve">210            </v>
          </cell>
          <cell r="O15159">
            <v>486</v>
          </cell>
        </row>
        <row r="15160">
          <cell r="F15160" t="str">
            <v xml:space="preserve">210            </v>
          </cell>
          <cell r="O15160">
            <v>90</v>
          </cell>
        </row>
        <row r="15161">
          <cell r="F15161" t="str">
            <v xml:space="preserve">890903939      </v>
          </cell>
          <cell r="O15161">
            <v>132</v>
          </cell>
        </row>
        <row r="15162">
          <cell r="F15162" t="str">
            <v xml:space="preserve">213            </v>
          </cell>
          <cell r="O15162">
            <v>90</v>
          </cell>
        </row>
        <row r="15163">
          <cell r="F15163" t="str">
            <v xml:space="preserve">213            </v>
          </cell>
          <cell r="O15163">
            <v>324</v>
          </cell>
        </row>
        <row r="15164">
          <cell r="F15164" t="str">
            <v xml:space="preserve">213            </v>
          </cell>
          <cell r="O15164">
            <v>135</v>
          </cell>
        </row>
        <row r="15165">
          <cell r="F15165" t="str">
            <v xml:space="preserve">213            </v>
          </cell>
          <cell r="O15165">
            <v>9</v>
          </cell>
        </row>
        <row r="15166">
          <cell r="F15166" t="str">
            <v xml:space="preserve">830010738      </v>
          </cell>
          <cell r="O15166">
            <v>278.2</v>
          </cell>
        </row>
        <row r="15167">
          <cell r="F15167" t="str">
            <v xml:space="preserve">860058831      </v>
          </cell>
          <cell r="O15167">
            <v>3323.2</v>
          </cell>
        </row>
        <row r="15168">
          <cell r="F15168" t="str">
            <v xml:space="preserve">860058831      </v>
          </cell>
          <cell r="O15168">
            <v>99.3</v>
          </cell>
        </row>
        <row r="15169">
          <cell r="F15169" t="str">
            <v xml:space="preserve">900474647      </v>
          </cell>
          <cell r="O15169">
            <v>1120.7</v>
          </cell>
        </row>
        <row r="15170">
          <cell r="F15170" t="str">
            <v xml:space="preserve">42795633       </v>
          </cell>
          <cell r="O15170">
            <v>133.4</v>
          </cell>
        </row>
        <row r="15171">
          <cell r="F15171" t="str">
            <v xml:space="preserve">811014849      </v>
          </cell>
          <cell r="O15171">
            <v>615.9</v>
          </cell>
        </row>
        <row r="15172">
          <cell r="F15172" t="str">
            <v xml:space="preserve">811014849      </v>
          </cell>
          <cell r="O15172">
            <v>1023.4</v>
          </cell>
        </row>
        <row r="15173">
          <cell r="F15173" t="str">
            <v xml:space="preserve">890910131      </v>
          </cell>
          <cell r="O15173">
            <v>601.79999999999995</v>
          </cell>
        </row>
        <row r="15174">
          <cell r="F15174" t="str">
            <v xml:space="preserve">890910131      </v>
          </cell>
          <cell r="O15174">
            <v>161.6</v>
          </cell>
        </row>
        <row r="15175">
          <cell r="F15175" t="str">
            <v xml:space="preserve">890910131      </v>
          </cell>
          <cell r="O15175">
            <v>1524.7</v>
          </cell>
        </row>
        <row r="15176">
          <cell r="F15176" t="str">
            <v xml:space="preserve">900984355      </v>
          </cell>
          <cell r="O15176">
            <v>500.8</v>
          </cell>
        </row>
        <row r="15177">
          <cell r="F15177" t="str">
            <v xml:space="preserve">212            </v>
          </cell>
          <cell r="O15177">
            <v>165</v>
          </cell>
        </row>
        <row r="15178">
          <cell r="F15178" t="str">
            <v xml:space="preserve">212            </v>
          </cell>
          <cell r="O15178">
            <v>252</v>
          </cell>
        </row>
        <row r="15179">
          <cell r="F15179" t="str">
            <v xml:space="preserve">212            </v>
          </cell>
          <cell r="O15179">
            <v>45</v>
          </cell>
        </row>
        <row r="15180">
          <cell r="F15180" t="str">
            <v xml:space="preserve">212            </v>
          </cell>
          <cell r="O15180">
            <v>120</v>
          </cell>
        </row>
        <row r="15181">
          <cell r="F15181" t="str">
            <v xml:space="preserve">212            </v>
          </cell>
          <cell r="O15181">
            <v>180</v>
          </cell>
        </row>
        <row r="15182">
          <cell r="F15182" t="str">
            <v xml:space="preserve">890985417      </v>
          </cell>
          <cell r="O15182">
            <v>15</v>
          </cell>
        </row>
        <row r="15183">
          <cell r="F15183" t="str">
            <v xml:space="preserve">890985417      </v>
          </cell>
          <cell r="O15183">
            <v>45</v>
          </cell>
        </row>
        <row r="15184">
          <cell r="F15184" t="str">
            <v xml:space="preserve">890900161      </v>
          </cell>
          <cell r="O15184">
            <v>165</v>
          </cell>
        </row>
        <row r="15185">
          <cell r="F15185" t="str">
            <v xml:space="preserve">890985417      </v>
          </cell>
          <cell r="O15185">
            <v>15</v>
          </cell>
        </row>
        <row r="15186">
          <cell r="F15186" t="str">
            <v xml:space="preserve">805012977      </v>
          </cell>
          <cell r="O15186">
            <v>72</v>
          </cell>
        </row>
        <row r="15187">
          <cell r="F15187" t="str">
            <v xml:space="preserve">890307885      </v>
          </cell>
          <cell r="O15187">
            <v>220.5</v>
          </cell>
        </row>
        <row r="15188">
          <cell r="F15188" t="str">
            <v xml:space="preserve">890308085      </v>
          </cell>
          <cell r="O15188">
            <v>72</v>
          </cell>
        </row>
        <row r="15189">
          <cell r="F15189" t="str">
            <v xml:space="preserve">890311251      </v>
          </cell>
          <cell r="O15189">
            <v>36</v>
          </cell>
        </row>
        <row r="15190">
          <cell r="F15190" t="str">
            <v xml:space="preserve">890312630      </v>
          </cell>
          <cell r="O15190">
            <v>78</v>
          </cell>
        </row>
        <row r="15191">
          <cell r="F15191" t="str">
            <v xml:space="preserve">900454593      </v>
          </cell>
          <cell r="O15191">
            <v>54</v>
          </cell>
        </row>
        <row r="15192">
          <cell r="F15192" t="str">
            <v xml:space="preserve">900818921      </v>
          </cell>
          <cell r="O15192">
            <v>480</v>
          </cell>
        </row>
        <row r="15193">
          <cell r="F15193" t="str">
            <v xml:space="preserve">901026262      </v>
          </cell>
          <cell r="O15193">
            <v>108</v>
          </cell>
        </row>
        <row r="15194">
          <cell r="F15194" t="str">
            <v xml:space="preserve">212            </v>
          </cell>
          <cell r="O15194">
            <v>45</v>
          </cell>
        </row>
        <row r="15195">
          <cell r="F15195" t="str">
            <v xml:space="preserve">212            </v>
          </cell>
          <cell r="O15195">
            <v>162</v>
          </cell>
        </row>
        <row r="15196">
          <cell r="F15196" t="str">
            <v xml:space="preserve">212            </v>
          </cell>
          <cell r="O15196">
            <v>18</v>
          </cell>
        </row>
        <row r="15197">
          <cell r="F15197" t="str">
            <v xml:space="preserve">212            </v>
          </cell>
          <cell r="O15197">
            <v>15</v>
          </cell>
        </row>
        <row r="15198">
          <cell r="F15198" t="str">
            <v xml:space="preserve">212            </v>
          </cell>
          <cell r="O15198">
            <v>54</v>
          </cell>
        </row>
        <row r="15199">
          <cell r="F15199" t="str">
            <v xml:space="preserve">900495908      </v>
          </cell>
          <cell r="O15199">
            <v>18</v>
          </cell>
        </row>
        <row r="15200">
          <cell r="F15200" t="str">
            <v xml:space="preserve">900495908      </v>
          </cell>
          <cell r="O15200">
            <v>45</v>
          </cell>
        </row>
        <row r="15201">
          <cell r="F15201" t="str">
            <v xml:space="preserve">890903939      </v>
          </cell>
          <cell r="O15201">
            <v>130</v>
          </cell>
        </row>
        <row r="15202">
          <cell r="F15202" t="str">
            <v xml:space="preserve">203            </v>
          </cell>
          <cell r="O15202">
            <v>90</v>
          </cell>
        </row>
        <row r="15203">
          <cell r="F15203" t="str">
            <v xml:space="preserve">203            </v>
          </cell>
          <cell r="O15203">
            <v>9</v>
          </cell>
        </row>
        <row r="15204">
          <cell r="F15204" t="str">
            <v xml:space="preserve">203            </v>
          </cell>
          <cell r="O15204">
            <v>72</v>
          </cell>
        </row>
        <row r="15205">
          <cell r="F15205" t="str">
            <v xml:space="preserve">203            </v>
          </cell>
          <cell r="O15205">
            <v>15</v>
          </cell>
        </row>
        <row r="15206">
          <cell r="F15206" t="str">
            <v xml:space="preserve">203            </v>
          </cell>
          <cell r="O15206">
            <v>45</v>
          </cell>
        </row>
        <row r="15207">
          <cell r="F15207" t="str">
            <v xml:space="preserve">900084859      </v>
          </cell>
          <cell r="O15207">
            <v>45</v>
          </cell>
        </row>
        <row r="15208">
          <cell r="F15208" t="str">
            <v xml:space="preserve">900084859      </v>
          </cell>
          <cell r="O15208">
            <v>45</v>
          </cell>
        </row>
        <row r="15209">
          <cell r="F15209" t="str">
            <v xml:space="preserve">900084859      </v>
          </cell>
          <cell r="O15209">
            <v>18</v>
          </cell>
        </row>
        <row r="15210">
          <cell r="F15210" t="str">
            <v xml:space="preserve">900084859      </v>
          </cell>
          <cell r="O15210">
            <v>18</v>
          </cell>
        </row>
        <row r="15211">
          <cell r="F15211" t="str">
            <v xml:space="preserve">900084859      </v>
          </cell>
          <cell r="O15211">
            <v>45</v>
          </cell>
        </row>
        <row r="15212">
          <cell r="F15212" t="str">
            <v xml:space="preserve">900445736      </v>
          </cell>
          <cell r="O15212">
            <v>45</v>
          </cell>
        </row>
        <row r="15213">
          <cell r="F15213" t="str">
            <v xml:space="preserve">98699317       </v>
          </cell>
          <cell r="O15213">
            <v>18</v>
          </cell>
        </row>
        <row r="15214">
          <cell r="F15214" t="str">
            <v xml:space="preserve">860403972      </v>
          </cell>
          <cell r="O15214">
            <v>1500.2</v>
          </cell>
        </row>
        <row r="15215">
          <cell r="F15215" t="str">
            <v xml:space="preserve">890332769      </v>
          </cell>
          <cell r="O15215">
            <v>3876.9</v>
          </cell>
        </row>
        <row r="15216">
          <cell r="F15216" t="str">
            <v xml:space="preserve">900894003      </v>
          </cell>
          <cell r="O15216">
            <v>156</v>
          </cell>
        </row>
        <row r="15217">
          <cell r="F15217" t="str">
            <v xml:space="preserve">800197463      </v>
          </cell>
          <cell r="O15217">
            <v>336.3</v>
          </cell>
        </row>
        <row r="15218">
          <cell r="F15218" t="str">
            <v xml:space="preserve">830512556      </v>
          </cell>
          <cell r="O15218">
            <v>173.6</v>
          </cell>
        </row>
        <row r="15219">
          <cell r="F15219" t="str">
            <v xml:space="preserve">860058831      </v>
          </cell>
          <cell r="O15219">
            <v>1152.5999999999999</v>
          </cell>
        </row>
        <row r="15220">
          <cell r="F15220" t="str">
            <v xml:space="preserve">890300431      </v>
          </cell>
          <cell r="O15220">
            <v>866.3</v>
          </cell>
        </row>
        <row r="15221">
          <cell r="F15221" t="str">
            <v xml:space="preserve">890326036      </v>
          </cell>
          <cell r="O15221">
            <v>114.5</v>
          </cell>
        </row>
        <row r="15222">
          <cell r="F15222" t="str">
            <v xml:space="preserve">890904713      </v>
          </cell>
          <cell r="O15222">
            <v>69.06</v>
          </cell>
        </row>
        <row r="15223">
          <cell r="F15223" t="str">
            <v xml:space="preserve">900465987      </v>
          </cell>
          <cell r="O15223">
            <v>619.70000000000005</v>
          </cell>
        </row>
        <row r="15224">
          <cell r="F15224" t="str">
            <v xml:space="preserve">900870666      </v>
          </cell>
          <cell r="O15224">
            <v>519.6</v>
          </cell>
        </row>
        <row r="15225">
          <cell r="F15225" t="str">
            <v xml:space="preserve">901229707      </v>
          </cell>
          <cell r="O15225">
            <v>630</v>
          </cell>
        </row>
        <row r="15226">
          <cell r="F15226" t="str">
            <v xml:space="preserve">860058831      </v>
          </cell>
          <cell r="O15226">
            <v>3267.3</v>
          </cell>
        </row>
        <row r="15227">
          <cell r="F15227" t="str">
            <v xml:space="preserve">860065656      </v>
          </cell>
          <cell r="O15227">
            <v>1700.4</v>
          </cell>
        </row>
        <row r="15228">
          <cell r="F15228" t="str">
            <v xml:space="preserve">800039849      </v>
          </cell>
          <cell r="O15228">
            <v>2055</v>
          </cell>
        </row>
        <row r="15229">
          <cell r="F15229" t="str">
            <v xml:space="preserve">800039849      </v>
          </cell>
          <cell r="O15229">
            <v>2440.5</v>
          </cell>
        </row>
        <row r="15230">
          <cell r="F15230" t="str">
            <v xml:space="preserve">800254250      </v>
          </cell>
          <cell r="O15230">
            <v>198.02</v>
          </cell>
        </row>
        <row r="15231">
          <cell r="F15231" t="str">
            <v xml:space="preserve">811014849      </v>
          </cell>
          <cell r="O15231">
            <v>841.2</v>
          </cell>
        </row>
        <row r="15232">
          <cell r="F15232" t="str">
            <v xml:space="preserve">900057349      </v>
          </cell>
          <cell r="O15232">
            <v>231.6</v>
          </cell>
        </row>
        <row r="15233">
          <cell r="F15233" t="str">
            <v xml:space="preserve">800041723      </v>
          </cell>
          <cell r="O15233">
            <v>441.1</v>
          </cell>
        </row>
        <row r="15234">
          <cell r="F15234" t="str">
            <v xml:space="preserve">808001297      </v>
          </cell>
          <cell r="O15234">
            <v>345</v>
          </cell>
        </row>
        <row r="15235">
          <cell r="F15235" t="str">
            <v xml:space="preserve">830091965      </v>
          </cell>
          <cell r="O15235">
            <v>1050</v>
          </cell>
        </row>
        <row r="15236">
          <cell r="F15236" t="str">
            <v xml:space="preserve">900436352      </v>
          </cell>
          <cell r="O15236">
            <v>2831.9</v>
          </cell>
        </row>
        <row r="15237">
          <cell r="F15237" t="str">
            <v xml:space="preserve">39813103       </v>
          </cell>
          <cell r="O15237">
            <v>226.7</v>
          </cell>
        </row>
        <row r="15238">
          <cell r="F15238" t="str">
            <v xml:space="preserve">860058831      </v>
          </cell>
          <cell r="O15238">
            <v>1502</v>
          </cell>
        </row>
        <row r="15239">
          <cell r="F15239" t="str">
            <v xml:space="preserve">860065656      </v>
          </cell>
          <cell r="O15239">
            <v>2141.5</v>
          </cell>
        </row>
        <row r="15240">
          <cell r="F15240" t="str">
            <v xml:space="preserve">52790620       </v>
          </cell>
          <cell r="O15240">
            <v>675</v>
          </cell>
        </row>
        <row r="15241">
          <cell r="F15241" t="str">
            <v xml:space="preserve">52790620       </v>
          </cell>
          <cell r="O15241">
            <v>225</v>
          </cell>
        </row>
        <row r="15242">
          <cell r="F15242" t="str">
            <v xml:space="preserve">860403972      </v>
          </cell>
          <cell r="O15242">
            <v>1279.3</v>
          </cell>
        </row>
        <row r="15243">
          <cell r="F15243" t="str">
            <v xml:space="preserve">805017257      </v>
          </cell>
          <cell r="O15243">
            <v>330.3</v>
          </cell>
        </row>
        <row r="15244">
          <cell r="F15244" t="str">
            <v xml:space="preserve">901149886      </v>
          </cell>
          <cell r="O15244">
            <v>573.4</v>
          </cell>
        </row>
        <row r="15245">
          <cell r="F15245" t="str">
            <v xml:space="preserve">901149886      </v>
          </cell>
          <cell r="O15245">
            <v>1852</v>
          </cell>
        </row>
        <row r="15246">
          <cell r="F15246" t="str">
            <v xml:space="preserve">901516022      </v>
          </cell>
          <cell r="O15246">
            <v>900.1</v>
          </cell>
        </row>
        <row r="15247">
          <cell r="F15247" t="str">
            <v xml:space="preserve">900504060      </v>
          </cell>
          <cell r="O15247">
            <v>25460</v>
          </cell>
        </row>
        <row r="15248">
          <cell r="F15248" t="str">
            <v xml:space="preserve">860001697      </v>
          </cell>
          <cell r="O15248">
            <v>103.74</v>
          </cell>
        </row>
        <row r="15249">
          <cell r="F15249" t="str">
            <v xml:space="preserve">860001697      </v>
          </cell>
          <cell r="O15249">
            <v>297.82</v>
          </cell>
        </row>
        <row r="15250">
          <cell r="F15250" t="str">
            <v xml:space="preserve">860001697      </v>
          </cell>
          <cell r="O15250">
            <v>148.38</v>
          </cell>
        </row>
        <row r="15251">
          <cell r="F15251" t="str">
            <v xml:space="preserve">901175206      </v>
          </cell>
          <cell r="O15251">
            <v>3079.1</v>
          </cell>
        </row>
        <row r="15252">
          <cell r="F15252" t="str">
            <v xml:space="preserve">901175206      </v>
          </cell>
          <cell r="O15252">
            <v>2201.1999999999998</v>
          </cell>
        </row>
        <row r="15253">
          <cell r="F15253" t="str">
            <v xml:space="preserve">901175206      </v>
          </cell>
          <cell r="O15253">
            <v>2620.1</v>
          </cell>
        </row>
        <row r="15254">
          <cell r="F15254" t="str">
            <v xml:space="preserve">901175206      </v>
          </cell>
          <cell r="O15254">
            <v>2644.2</v>
          </cell>
        </row>
        <row r="15255">
          <cell r="F15255" t="str">
            <v xml:space="preserve">901175206      </v>
          </cell>
          <cell r="O15255">
            <v>1222.0999999999999</v>
          </cell>
        </row>
        <row r="15256">
          <cell r="F15256" t="str">
            <v xml:space="preserve">901175206      </v>
          </cell>
          <cell r="O15256">
            <v>3540.8</v>
          </cell>
        </row>
        <row r="15257">
          <cell r="F15257" t="str">
            <v xml:space="preserve">901175206      </v>
          </cell>
          <cell r="O15257">
            <v>3110.8</v>
          </cell>
        </row>
        <row r="15258">
          <cell r="F15258" t="str">
            <v xml:space="preserve">901175206      </v>
          </cell>
          <cell r="O15258">
            <v>1554.5</v>
          </cell>
        </row>
        <row r="15259">
          <cell r="F15259" t="str">
            <v xml:space="preserve">901175206      </v>
          </cell>
          <cell r="O15259">
            <v>1301.7</v>
          </cell>
        </row>
        <row r="15260">
          <cell r="F15260" t="str">
            <v xml:space="preserve">901175206      </v>
          </cell>
          <cell r="O15260">
            <v>1502.2</v>
          </cell>
        </row>
        <row r="15261">
          <cell r="F15261" t="str">
            <v xml:space="preserve">901020967      </v>
          </cell>
          <cell r="O15261">
            <v>2200</v>
          </cell>
        </row>
        <row r="15262">
          <cell r="F15262" t="str">
            <v xml:space="preserve">51793568       </v>
          </cell>
          <cell r="O15262">
            <v>61.13</v>
          </cell>
        </row>
        <row r="15263">
          <cell r="F15263" t="str">
            <v xml:space="preserve">52113555       </v>
          </cell>
          <cell r="O15263">
            <v>181.17</v>
          </cell>
        </row>
        <row r="15264">
          <cell r="F15264" t="str">
            <v xml:space="preserve">54209          </v>
          </cell>
          <cell r="O15264">
            <v>30.55</v>
          </cell>
        </row>
        <row r="15265">
          <cell r="F15265" t="str">
            <v xml:space="preserve">80086008       </v>
          </cell>
          <cell r="O15265">
            <v>77.03</v>
          </cell>
        </row>
        <row r="15266">
          <cell r="F15266" t="str">
            <v xml:space="preserve">80407724       </v>
          </cell>
          <cell r="O15266">
            <v>30.62</v>
          </cell>
        </row>
        <row r="15267">
          <cell r="F15267" t="str">
            <v xml:space="preserve">830011670      </v>
          </cell>
          <cell r="O15267">
            <v>131.19</v>
          </cell>
        </row>
        <row r="15268">
          <cell r="F15268" t="str">
            <v xml:space="preserve">830086392      </v>
          </cell>
          <cell r="O15268">
            <v>159.68</v>
          </cell>
        </row>
        <row r="15269">
          <cell r="F15269" t="str">
            <v xml:space="preserve">860020533      </v>
          </cell>
          <cell r="O15269">
            <v>281.39999999999998</v>
          </cell>
        </row>
        <row r="15270">
          <cell r="F15270" t="str">
            <v xml:space="preserve">860032450      </v>
          </cell>
          <cell r="O15270">
            <v>7513.1</v>
          </cell>
        </row>
        <row r="15271">
          <cell r="F15271" t="str">
            <v xml:space="preserve">830010738      </v>
          </cell>
          <cell r="O15271">
            <v>2500.3000000000002</v>
          </cell>
        </row>
        <row r="15272">
          <cell r="F15272" t="str">
            <v xml:space="preserve">830010738      </v>
          </cell>
          <cell r="O15272">
            <v>960.3</v>
          </cell>
        </row>
        <row r="15273">
          <cell r="F15273" t="str">
            <v xml:space="preserve">860001697      </v>
          </cell>
          <cell r="O15273">
            <v>439</v>
          </cell>
        </row>
        <row r="15274">
          <cell r="F15274" t="str">
            <v xml:space="preserve">860527701      </v>
          </cell>
          <cell r="O15274">
            <v>1650</v>
          </cell>
        </row>
        <row r="15275">
          <cell r="F15275" t="str">
            <v xml:space="preserve">860527701      </v>
          </cell>
          <cell r="O15275">
            <v>819</v>
          </cell>
        </row>
        <row r="15276">
          <cell r="F15276" t="str">
            <v xml:space="preserve">901467907      </v>
          </cell>
          <cell r="O15276">
            <v>219.1</v>
          </cell>
        </row>
        <row r="15277">
          <cell r="F15277" t="str">
            <v xml:space="preserve">901515804      </v>
          </cell>
          <cell r="O15277">
            <v>104.9</v>
          </cell>
        </row>
        <row r="15278">
          <cell r="F15278" t="str">
            <v xml:space="preserve">805005148      </v>
          </cell>
          <cell r="O15278">
            <v>18</v>
          </cell>
        </row>
        <row r="15279">
          <cell r="F15279" t="str">
            <v xml:space="preserve">805005148      </v>
          </cell>
          <cell r="O15279">
            <v>1080</v>
          </cell>
        </row>
        <row r="15280">
          <cell r="F15280" t="str">
            <v xml:space="preserve">805005148      </v>
          </cell>
          <cell r="O15280">
            <v>225</v>
          </cell>
        </row>
        <row r="15281">
          <cell r="F15281" t="str">
            <v xml:space="preserve">805005148      </v>
          </cell>
          <cell r="O15281">
            <v>9</v>
          </cell>
        </row>
        <row r="15282">
          <cell r="F15282" t="str">
            <v xml:space="preserve">805005148      </v>
          </cell>
          <cell r="O15282">
            <v>120</v>
          </cell>
        </row>
        <row r="15283">
          <cell r="F15283" t="str">
            <v xml:space="preserve">805005148      </v>
          </cell>
          <cell r="O15283">
            <v>1530</v>
          </cell>
        </row>
        <row r="15284">
          <cell r="F15284" t="str">
            <v xml:space="preserve">805005148      </v>
          </cell>
          <cell r="O15284">
            <v>630</v>
          </cell>
        </row>
        <row r="15285">
          <cell r="F15285" t="str">
            <v xml:space="preserve">805005148      </v>
          </cell>
          <cell r="O15285">
            <v>36</v>
          </cell>
        </row>
        <row r="15286">
          <cell r="F15286" t="str">
            <v xml:space="preserve">805005148      </v>
          </cell>
          <cell r="O15286">
            <v>1872</v>
          </cell>
        </row>
        <row r="15287">
          <cell r="F15287" t="str">
            <v xml:space="preserve">1130605276     </v>
          </cell>
          <cell r="O15287">
            <v>18</v>
          </cell>
        </row>
        <row r="15288">
          <cell r="F15288" t="str">
            <v xml:space="preserve">1130605276     </v>
          </cell>
          <cell r="O15288">
            <v>120</v>
          </cell>
        </row>
        <row r="15289">
          <cell r="F15289" t="str">
            <v xml:space="preserve">1130605276     </v>
          </cell>
          <cell r="O15289">
            <v>1242</v>
          </cell>
        </row>
        <row r="15290">
          <cell r="F15290" t="str">
            <v xml:space="preserve">1130605276     </v>
          </cell>
          <cell r="O15290">
            <v>90</v>
          </cell>
        </row>
        <row r="15291">
          <cell r="F15291" t="str">
            <v xml:space="preserve">1130605276     </v>
          </cell>
          <cell r="O15291">
            <v>612</v>
          </cell>
        </row>
        <row r="15292">
          <cell r="F15292" t="str">
            <v xml:space="preserve">1130605276     </v>
          </cell>
          <cell r="O15292">
            <v>9</v>
          </cell>
        </row>
        <row r="15293">
          <cell r="F15293" t="str">
            <v xml:space="preserve">1130605276     </v>
          </cell>
          <cell r="O15293">
            <v>120</v>
          </cell>
        </row>
        <row r="15294">
          <cell r="F15294" t="str">
            <v xml:space="preserve">94050412       </v>
          </cell>
          <cell r="O15294">
            <v>60</v>
          </cell>
        </row>
        <row r="15295">
          <cell r="F15295" t="str">
            <v xml:space="preserve">94050412       </v>
          </cell>
          <cell r="O15295">
            <v>450</v>
          </cell>
        </row>
        <row r="15296">
          <cell r="F15296" t="str">
            <v xml:space="preserve">94050412       </v>
          </cell>
          <cell r="O15296">
            <v>270</v>
          </cell>
        </row>
        <row r="15297">
          <cell r="F15297" t="str">
            <v xml:space="preserve">88275315       </v>
          </cell>
          <cell r="O15297">
            <v>36</v>
          </cell>
        </row>
        <row r="15298">
          <cell r="F15298" t="str">
            <v xml:space="preserve">88275315       </v>
          </cell>
          <cell r="O15298">
            <v>90</v>
          </cell>
        </row>
        <row r="15299">
          <cell r="F15299" t="str">
            <v xml:space="preserve">88275315       </v>
          </cell>
          <cell r="O15299">
            <v>1926</v>
          </cell>
        </row>
        <row r="15300">
          <cell r="F15300" t="str">
            <v xml:space="preserve">88275315       </v>
          </cell>
          <cell r="O15300">
            <v>180</v>
          </cell>
        </row>
        <row r="15301">
          <cell r="F15301" t="str">
            <v xml:space="preserve">94464104       </v>
          </cell>
          <cell r="O15301">
            <v>36</v>
          </cell>
        </row>
        <row r="15302">
          <cell r="F15302" t="str">
            <v xml:space="preserve">94464104       </v>
          </cell>
          <cell r="O15302">
            <v>18</v>
          </cell>
        </row>
        <row r="15303">
          <cell r="F15303" t="str">
            <v xml:space="preserve">94464104       </v>
          </cell>
          <cell r="O15303">
            <v>360</v>
          </cell>
        </row>
        <row r="15304">
          <cell r="F15304" t="str">
            <v xml:space="preserve">94464104       </v>
          </cell>
          <cell r="O15304">
            <v>180</v>
          </cell>
        </row>
        <row r="15305">
          <cell r="F15305" t="str">
            <v xml:space="preserve">94464104       </v>
          </cell>
          <cell r="O15305">
            <v>90</v>
          </cell>
        </row>
        <row r="15306">
          <cell r="F15306" t="str">
            <v xml:space="preserve">94464104       </v>
          </cell>
          <cell r="O15306">
            <v>4.5</v>
          </cell>
        </row>
        <row r="15307">
          <cell r="F15307" t="str">
            <v xml:space="preserve">94464104       </v>
          </cell>
          <cell r="O15307">
            <v>36</v>
          </cell>
        </row>
        <row r="15308">
          <cell r="F15308" t="str">
            <v xml:space="preserve">94464104       </v>
          </cell>
          <cell r="O15308">
            <v>75</v>
          </cell>
        </row>
        <row r="15309">
          <cell r="F15309" t="str">
            <v xml:space="preserve">94464104       </v>
          </cell>
          <cell r="O15309">
            <v>1242</v>
          </cell>
        </row>
        <row r="15310">
          <cell r="F15310" t="str">
            <v xml:space="preserve">94464104       </v>
          </cell>
          <cell r="O15310">
            <v>180</v>
          </cell>
        </row>
        <row r="15311">
          <cell r="F15311" t="str">
            <v xml:space="preserve">94464104       </v>
          </cell>
          <cell r="O15311">
            <v>144</v>
          </cell>
        </row>
        <row r="15312">
          <cell r="F15312" t="str">
            <v xml:space="preserve">16458005       </v>
          </cell>
          <cell r="O15312">
            <v>180</v>
          </cell>
        </row>
        <row r="15313">
          <cell r="F15313" t="str">
            <v xml:space="preserve">16458005       </v>
          </cell>
          <cell r="O15313">
            <v>45</v>
          </cell>
        </row>
        <row r="15314">
          <cell r="F15314" t="str">
            <v xml:space="preserve">94419930       </v>
          </cell>
          <cell r="O15314">
            <v>216</v>
          </cell>
        </row>
        <row r="15315">
          <cell r="F15315" t="str">
            <v xml:space="preserve">94419930       </v>
          </cell>
          <cell r="O15315">
            <v>90</v>
          </cell>
        </row>
        <row r="15316">
          <cell r="F15316" t="str">
            <v xml:space="preserve">94420019       </v>
          </cell>
          <cell r="O15316">
            <v>234</v>
          </cell>
        </row>
        <row r="15317">
          <cell r="F15317" t="str">
            <v xml:space="preserve">16669313       </v>
          </cell>
          <cell r="O15317">
            <v>15</v>
          </cell>
        </row>
        <row r="15318">
          <cell r="F15318" t="str">
            <v xml:space="preserve">16669313       </v>
          </cell>
          <cell r="O15318">
            <v>306</v>
          </cell>
        </row>
        <row r="15319">
          <cell r="F15319" t="str">
            <v xml:space="preserve">16669313       </v>
          </cell>
          <cell r="O15319">
            <v>45</v>
          </cell>
        </row>
        <row r="15320">
          <cell r="F15320" t="str">
            <v xml:space="preserve">75099432       </v>
          </cell>
          <cell r="O15320">
            <v>180</v>
          </cell>
        </row>
        <row r="15321">
          <cell r="F15321" t="str">
            <v xml:space="preserve">75099432       </v>
          </cell>
          <cell r="O15321">
            <v>36</v>
          </cell>
        </row>
        <row r="15322">
          <cell r="F15322" t="str">
            <v xml:space="preserve">75099432       </v>
          </cell>
          <cell r="O15322">
            <v>72</v>
          </cell>
        </row>
        <row r="15323">
          <cell r="F15323" t="str">
            <v xml:space="preserve">75099432       </v>
          </cell>
          <cell r="O15323">
            <v>1260</v>
          </cell>
        </row>
        <row r="15324">
          <cell r="F15324" t="str">
            <v xml:space="preserve">75099432       </v>
          </cell>
          <cell r="O15324">
            <v>576</v>
          </cell>
        </row>
        <row r="15325">
          <cell r="F15325" t="str">
            <v xml:space="preserve">75099432       </v>
          </cell>
          <cell r="O15325">
            <v>180</v>
          </cell>
        </row>
        <row r="15326">
          <cell r="F15326" t="str">
            <v xml:space="preserve">75099432       </v>
          </cell>
          <cell r="O15326">
            <v>18</v>
          </cell>
        </row>
        <row r="15327">
          <cell r="F15327" t="str">
            <v xml:space="preserve">75099432       </v>
          </cell>
          <cell r="O15327">
            <v>885</v>
          </cell>
        </row>
        <row r="15328">
          <cell r="F15328" t="str">
            <v xml:space="preserve">75099432       </v>
          </cell>
          <cell r="O15328">
            <v>180</v>
          </cell>
        </row>
        <row r="15329">
          <cell r="F15329" t="str">
            <v xml:space="preserve">75099432       </v>
          </cell>
          <cell r="O15329">
            <v>90</v>
          </cell>
        </row>
        <row r="15330">
          <cell r="F15330" t="str">
            <v xml:space="preserve">890800090      </v>
          </cell>
          <cell r="O15330">
            <v>126</v>
          </cell>
        </row>
        <row r="15331">
          <cell r="F15331" t="str">
            <v xml:space="preserve">890800090      </v>
          </cell>
          <cell r="O15331">
            <v>225</v>
          </cell>
        </row>
        <row r="15332">
          <cell r="F15332" t="str">
            <v xml:space="preserve">900102691      </v>
          </cell>
          <cell r="O15332">
            <v>18</v>
          </cell>
        </row>
        <row r="15333">
          <cell r="F15333" t="str">
            <v xml:space="preserve">900102691      </v>
          </cell>
          <cell r="O15333">
            <v>45</v>
          </cell>
        </row>
        <row r="15334">
          <cell r="F15334" t="str">
            <v xml:space="preserve">15920401       </v>
          </cell>
          <cell r="O15334">
            <v>90</v>
          </cell>
        </row>
        <row r="15335">
          <cell r="F15335" t="str">
            <v xml:space="preserve">15920401       </v>
          </cell>
          <cell r="O15335">
            <v>2250</v>
          </cell>
        </row>
        <row r="15336">
          <cell r="F15336" t="str">
            <v xml:space="preserve">15920401       </v>
          </cell>
          <cell r="O15336">
            <v>450</v>
          </cell>
        </row>
        <row r="15337">
          <cell r="F15337" t="str">
            <v xml:space="preserve">9696643        </v>
          </cell>
          <cell r="O15337">
            <v>81</v>
          </cell>
        </row>
        <row r="15338">
          <cell r="F15338" t="str">
            <v xml:space="preserve">9696643        </v>
          </cell>
          <cell r="O15338">
            <v>2550</v>
          </cell>
        </row>
        <row r="15339">
          <cell r="F15339" t="str">
            <v xml:space="preserve">9696643        </v>
          </cell>
          <cell r="O15339">
            <v>180</v>
          </cell>
        </row>
        <row r="15340">
          <cell r="F15340" t="str">
            <v xml:space="preserve">9696643        </v>
          </cell>
          <cell r="O15340">
            <v>540</v>
          </cell>
        </row>
        <row r="15341">
          <cell r="F15341" t="str">
            <v xml:space="preserve">10237057       </v>
          </cell>
          <cell r="O15341">
            <v>165</v>
          </cell>
        </row>
        <row r="15342">
          <cell r="F15342" t="str">
            <v xml:space="preserve">10237057       </v>
          </cell>
          <cell r="O15342">
            <v>36</v>
          </cell>
        </row>
        <row r="15343">
          <cell r="F15343" t="str">
            <v xml:space="preserve">901555731      </v>
          </cell>
          <cell r="O15343">
            <v>45</v>
          </cell>
        </row>
        <row r="15344">
          <cell r="F15344" t="str">
            <v xml:space="preserve">1111745154     </v>
          </cell>
          <cell r="O15344">
            <v>390</v>
          </cell>
        </row>
        <row r="15345">
          <cell r="F15345" t="str">
            <v xml:space="preserve">16456104       </v>
          </cell>
          <cell r="O15345">
            <v>255</v>
          </cell>
        </row>
        <row r="15346">
          <cell r="F15346" t="str">
            <v xml:space="preserve">71734502       </v>
          </cell>
          <cell r="O15346">
            <v>135</v>
          </cell>
        </row>
        <row r="15347">
          <cell r="F15347" t="str">
            <v xml:space="preserve">14471042       </v>
          </cell>
          <cell r="O15347">
            <v>135</v>
          </cell>
        </row>
        <row r="15348">
          <cell r="F15348" t="str">
            <v xml:space="preserve">16479359       </v>
          </cell>
          <cell r="O15348">
            <v>180</v>
          </cell>
        </row>
        <row r="15349">
          <cell r="F15349" t="str">
            <v xml:space="preserve">16479359       </v>
          </cell>
          <cell r="O15349">
            <v>135</v>
          </cell>
        </row>
        <row r="15350">
          <cell r="F15350" t="str">
            <v xml:space="preserve">29233836       </v>
          </cell>
          <cell r="O15350">
            <v>4.5</v>
          </cell>
        </row>
        <row r="15351">
          <cell r="F15351" t="str">
            <v xml:space="preserve">29233836       </v>
          </cell>
          <cell r="O15351">
            <v>240</v>
          </cell>
        </row>
        <row r="15352">
          <cell r="F15352" t="str">
            <v xml:space="preserve">10007888       </v>
          </cell>
          <cell r="O15352">
            <v>120</v>
          </cell>
        </row>
        <row r="15353">
          <cell r="F15353" t="str">
            <v xml:space="preserve">10007888       </v>
          </cell>
          <cell r="O15353">
            <v>18</v>
          </cell>
        </row>
        <row r="15354">
          <cell r="F15354" t="str">
            <v xml:space="preserve">1088256267     </v>
          </cell>
          <cell r="O15354">
            <v>54</v>
          </cell>
        </row>
        <row r="15355">
          <cell r="F15355" t="str">
            <v xml:space="preserve">1088256267     </v>
          </cell>
          <cell r="O15355">
            <v>120</v>
          </cell>
        </row>
        <row r="15356">
          <cell r="F15356" t="str">
            <v xml:space="preserve">1088256267     </v>
          </cell>
          <cell r="O15356">
            <v>90</v>
          </cell>
        </row>
        <row r="15357">
          <cell r="F15357" t="str">
            <v xml:space="preserve">18531114       </v>
          </cell>
          <cell r="O15357">
            <v>345</v>
          </cell>
        </row>
        <row r="15358">
          <cell r="F15358" t="str">
            <v xml:space="preserve">18531114       </v>
          </cell>
          <cell r="O15358">
            <v>288</v>
          </cell>
        </row>
        <row r="15359">
          <cell r="F15359" t="str">
            <v xml:space="preserve">18531114       </v>
          </cell>
          <cell r="O15359">
            <v>135</v>
          </cell>
        </row>
        <row r="15360">
          <cell r="F15360" t="str">
            <v xml:space="preserve">16225682       </v>
          </cell>
          <cell r="O15360">
            <v>330</v>
          </cell>
        </row>
        <row r="15361">
          <cell r="F15361" t="str">
            <v xml:space="preserve">16225682       </v>
          </cell>
          <cell r="O15361">
            <v>90</v>
          </cell>
        </row>
        <row r="15362">
          <cell r="F15362" t="str">
            <v xml:space="preserve">10144092       </v>
          </cell>
          <cell r="O15362">
            <v>150</v>
          </cell>
        </row>
        <row r="15363">
          <cell r="F15363" t="str">
            <v xml:space="preserve">24835836       </v>
          </cell>
          <cell r="O15363">
            <v>36</v>
          </cell>
        </row>
        <row r="15364">
          <cell r="F15364" t="str">
            <v xml:space="preserve">24835836       </v>
          </cell>
          <cell r="O15364">
            <v>270</v>
          </cell>
        </row>
        <row r="15365">
          <cell r="F15365" t="str">
            <v xml:space="preserve">18596221       </v>
          </cell>
          <cell r="O15365">
            <v>180</v>
          </cell>
        </row>
        <row r="15366">
          <cell r="F15366" t="str">
            <v xml:space="preserve">805005148      </v>
          </cell>
          <cell r="O15366">
            <v>396</v>
          </cell>
        </row>
        <row r="15367">
          <cell r="F15367" t="str">
            <v xml:space="preserve">10303909       </v>
          </cell>
          <cell r="O15367">
            <v>225</v>
          </cell>
        </row>
        <row r="15368">
          <cell r="F15368" t="str">
            <v xml:space="preserve">94373864       </v>
          </cell>
          <cell r="O15368">
            <v>468</v>
          </cell>
        </row>
        <row r="15369">
          <cell r="F15369" t="str">
            <v xml:space="preserve">76336108       </v>
          </cell>
          <cell r="O15369">
            <v>324</v>
          </cell>
        </row>
        <row r="15370">
          <cell r="F15370" t="str">
            <v xml:space="preserve">76336108       </v>
          </cell>
          <cell r="O15370">
            <v>45</v>
          </cell>
        </row>
        <row r="15371">
          <cell r="F15371" t="str">
            <v xml:space="preserve">76323227       </v>
          </cell>
          <cell r="O15371">
            <v>900</v>
          </cell>
        </row>
        <row r="15372">
          <cell r="F15372" t="str">
            <v xml:space="preserve">10532222       </v>
          </cell>
          <cell r="O15372">
            <v>30</v>
          </cell>
        </row>
        <row r="15373">
          <cell r="F15373" t="str">
            <v xml:space="preserve">10532222       </v>
          </cell>
          <cell r="O15373">
            <v>162</v>
          </cell>
        </row>
        <row r="15374">
          <cell r="F15374" t="str">
            <v xml:space="preserve">10755493       </v>
          </cell>
          <cell r="O15374">
            <v>666</v>
          </cell>
        </row>
        <row r="15375">
          <cell r="F15375" t="str">
            <v xml:space="preserve">76331539       </v>
          </cell>
          <cell r="O15375">
            <v>75</v>
          </cell>
        </row>
        <row r="15376">
          <cell r="F15376" t="str">
            <v xml:space="preserve">76331539       </v>
          </cell>
          <cell r="O15376">
            <v>1080</v>
          </cell>
        </row>
        <row r="15377">
          <cell r="F15377" t="str">
            <v xml:space="preserve">76331539       </v>
          </cell>
          <cell r="O15377">
            <v>90</v>
          </cell>
        </row>
        <row r="15378">
          <cell r="F15378" t="str">
            <v xml:space="preserve">76331539       </v>
          </cell>
          <cell r="O15378">
            <v>252</v>
          </cell>
        </row>
        <row r="15379">
          <cell r="F15379" t="str">
            <v xml:space="preserve">76331539       </v>
          </cell>
          <cell r="O15379">
            <v>90</v>
          </cell>
        </row>
        <row r="15380">
          <cell r="F15380" t="str">
            <v xml:space="preserve">89009557       </v>
          </cell>
          <cell r="O15380">
            <v>108</v>
          </cell>
        </row>
        <row r="15381">
          <cell r="F15381" t="str">
            <v xml:space="preserve">89009557       </v>
          </cell>
          <cell r="O15381">
            <v>180</v>
          </cell>
        </row>
        <row r="15382">
          <cell r="F15382" t="str">
            <v xml:space="preserve">9900047        </v>
          </cell>
          <cell r="O15382">
            <v>9</v>
          </cell>
        </row>
        <row r="15383">
          <cell r="F15383" t="str">
            <v xml:space="preserve">9900047        </v>
          </cell>
          <cell r="O15383">
            <v>45</v>
          </cell>
        </row>
        <row r="15384">
          <cell r="F15384" t="str">
            <v xml:space="preserve">9900047        </v>
          </cell>
          <cell r="O15384">
            <v>45</v>
          </cell>
        </row>
        <row r="15385">
          <cell r="F15385" t="str">
            <v xml:space="preserve">9900047        </v>
          </cell>
          <cell r="O15385">
            <v>72</v>
          </cell>
        </row>
        <row r="15386">
          <cell r="F15386" t="str">
            <v xml:space="preserve">18416624       </v>
          </cell>
          <cell r="O15386">
            <v>9</v>
          </cell>
        </row>
        <row r="15387">
          <cell r="F15387" t="str">
            <v xml:space="preserve">18416624       </v>
          </cell>
          <cell r="O15387">
            <v>15</v>
          </cell>
        </row>
        <row r="15388">
          <cell r="F15388" t="str">
            <v xml:space="preserve">18416624       </v>
          </cell>
          <cell r="O15388">
            <v>144</v>
          </cell>
        </row>
        <row r="15389">
          <cell r="F15389" t="str">
            <v xml:space="preserve">4613715        </v>
          </cell>
          <cell r="O15389">
            <v>510</v>
          </cell>
        </row>
        <row r="15390">
          <cell r="F15390" t="str">
            <v xml:space="preserve">4613715        </v>
          </cell>
          <cell r="O15390">
            <v>594</v>
          </cell>
        </row>
        <row r="15391">
          <cell r="F15391" t="str">
            <v xml:space="preserve">4613715        </v>
          </cell>
          <cell r="O15391">
            <v>45</v>
          </cell>
        </row>
        <row r="15392">
          <cell r="F15392" t="str">
            <v xml:space="preserve">4613715        </v>
          </cell>
          <cell r="O15392">
            <v>27</v>
          </cell>
        </row>
        <row r="15393">
          <cell r="F15393" t="str">
            <v xml:space="preserve">6110295        </v>
          </cell>
          <cell r="O15393">
            <v>27</v>
          </cell>
        </row>
        <row r="15394">
          <cell r="F15394" t="str">
            <v xml:space="preserve">6110295        </v>
          </cell>
          <cell r="O15394">
            <v>414</v>
          </cell>
        </row>
        <row r="15395">
          <cell r="F15395" t="str">
            <v xml:space="preserve">6110295        </v>
          </cell>
          <cell r="O15395">
            <v>135</v>
          </cell>
        </row>
        <row r="15396">
          <cell r="F15396" t="str">
            <v xml:space="preserve">6110295        </v>
          </cell>
          <cell r="O15396">
            <v>390</v>
          </cell>
        </row>
        <row r="15397">
          <cell r="F15397" t="str">
            <v xml:space="preserve">805005148      </v>
          </cell>
          <cell r="O15397">
            <v>234</v>
          </cell>
        </row>
        <row r="15398">
          <cell r="F15398" t="str">
            <v xml:space="preserve">805005148      </v>
          </cell>
          <cell r="O15398">
            <v>45</v>
          </cell>
        </row>
        <row r="15399">
          <cell r="F15399" t="str">
            <v xml:space="preserve">805005148      </v>
          </cell>
          <cell r="O15399">
            <v>126</v>
          </cell>
        </row>
        <row r="15400">
          <cell r="F15400" t="str">
            <v xml:space="preserve">805005148      </v>
          </cell>
          <cell r="O15400">
            <v>900</v>
          </cell>
        </row>
        <row r="15401">
          <cell r="F15401" t="str">
            <v xml:space="preserve">10488839       </v>
          </cell>
          <cell r="O15401">
            <v>9</v>
          </cell>
        </row>
        <row r="15402">
          <cell r="F15402" t="str">
            <v xml:space="preserve">10488839       </v>
          </cell>
          <cell r="O15402">
            <v>15</v>
          </cell>
        </row>
        <row r="15403">
          <cell r="F15403" t="str">
            <v xml:space="preserve">10488839       </v>
          </cell>
          <cell r="O15403">
            <v>1080</v>
          </cell>
        </row>
        <row r="15404">
          <cell r="F15404" t="str">
            <v xml:space="preserve">10488839       </v>
          </cell>
          <cell r="O15404">
            <v>45</v>
          </cell>
        </row>
        <row r="15405">
          <cell r="F15405" t="str">
            <v xml:space="preserve">16843578       </v>
          </cell>
          <cell r="O15405">
            <v>828</v>
          </cell>
        </row>
        <row r="15406">
          <cell r="F15406" t="str">
            <v xml:space="preserve">16843578       </v>
          </cell>
          <cell r="O15406">
            <v>90</v>
          </cell>
        </row>
        <row r="15407">
          <cell r="F15407" t="str">
            <v xml:space="preserve">900034686      </v>
          </cell>
          <cell r="O15407">
            <v>15</v>
          </cell>
        </row>
        <row r="15408">
          <cell r="F15408" t="str">
            <v xml:space="preserve">16849293       </v>
          </cell>
          <cell r="O15408">
            <v>15</v>
          </cell>
        </row>
        <row r="15409">
          <cell r="F15409" t="str">
            <v xml:space="preserve">16849293       </v>
          </cell>
          <cell r="O15409">
            <v>144</v>
          </cell>
        </row>
        <row r="15410">
          <cell r="F15410" t="str">
            <v xml:space="preserve">16849293       </v>
          </cell>
          <cell r="O15410">
            <v>15</v>
          </cell>
        </row>
        <row r="15411">
          <cell r="F15411" t="str">
            <v xml:space="preserve">16849293       </v>
          </cell>
          <cell r="O15411">
            <v>252</v>
          </cell>
        </row>
        <row r="15412">
          <cell r="F15412" t="str">
            <v xml:space="preserve">10555516       </v>
          </cell>
          <cell r="O15412">
            <v>15</v>
          </cell>
        </row>
        <row r="15413">
          <cell r="F15413" t="str">
            <v xml:space="preserve">10555516       </v>
          </cell>
          <cell r="O15413">
            <v>450</v>
          </cell>
        </row>
        <row r="15414">
          <cell r="F15414" t="str">
            <v xml:space="preserve">900444531      </v>
          </cell>
          <cell r="O15414">
            <v>126</v>
          </cell>
        </row>
        <row r="15415">
          <cell r="F15415" t="str">
            <v xml:space="preserve">7247040        </v>
          </cell>
          <cell r="O15415">
            <v>90</v>
          </cell>
        </row>
        <row r="15416">
          <cell r="F15416" t="str">
            <v xml:space="preserve">7247040        </v>
          </cell>
          <cell r="O15416">
            <v>36</v>
          </cell>
        </row>
        <row r="15417">
          <cell r="F15417" t="str">
            <v xml:space="preserve">7247040        </v>
          </cell>
          <cell r="O15417">
            <v>90</v>
          </cell>
        </row>
        <row r="15418">
          <cell r="F15418" t="str">
            <v xml:space="preserve">7247040        </v>
          </cell>
          <cell r="O15418">
            <v>18</v>
          </cell>
        </row>
        <row r="15419">
          <cell r="F15419" t="str">
            <v xml:space="preserve">14229215       </v>
          </cell>
          <cell r="O15419">
            <v>900</v>
          </cell>
        </row>
        <row r="15420">
          <cell r="F15420" t="str">
            <v xml:space="preserve">14229215       </v>
          </cell>
          <cell r="O15420">
            <v>90</v>
          </cell>
        </row>
        <row r="15421">
          <cell r="F15421" t="str">
            <v xml:space="preserve">14229215       </v>
          </cell>
          <cell r="O15421">
            <v>540</v>
          </cell>
        </row>
        <row r="15422">
          <cell r="F15422" t="str">
            <v xml:space="preserve">79736632       </v>
          </cell>
          <cell r="O15422">
            <v>558</v>
          </cell>
        </row>
        <row r="15423">
          <cell r="F15423" t="str">
            <v xml:space="preserve">79736632       </v>
          </cell>
          <cell r="O15423">
            <v>225</v>
          </cell>
        </row>
        <row r="15424">
          <cell r="F15424" t="str">
            <v xml:space="preserve">13701412       </v>
          </cell>
          <cell r="O15424">
            <v>360</v>
          </cell>
        </row>
        <row r="15425">
          <cell r="F15425" t="str">
            <v xml:space="preserve">13701412       </v>
          </cell>
          <cell r="O15425">
            <v>90</v>
          </cell>
        </row>
        <row r="15426">
          <cell r="F15426" t="str">
            <v xml:space="preserve">79448203       </v>
          </cell>
          <cell r="O15426">
            <v>225</v>
          </cell>
        </row>
        <row r="15427">
          <cell r="F15427" t="str">
            <v xml:space="preserve">79448203       </v>
          </cell>
          <cell r="O15427">
            <v>900</v>
          </cell>
        </row>
        <row r="15428">
          <cell r="F15428" t="str">
            <v xml:space="preserve">79263601       </v>
          </cell>
          <cell r="O15428">
            <v>720</v>
          </cell>
        </row>
        <row r="15429">
          <cell r="F15429" t="str">
            <v xml:space="preserve">79263601       </v>
          </cell>
          <cell r="O15429">
            <v>135</v>
          </cell>
        </row>
        <row r="15430">
          <cell r="F15430" t="str">
            <v xml:space="preserve">26050336       </v>
          </cell>
          <cell r="O15430">
            <v>36</v>
          </cell>
        </row>
        <row r="15431">
          <cell r="F15431" t="str">
            <v xml:space="preserve">26050336       </v>
          </cell>
          <cell r="O15431">
            <v>54</v>
          </cell>
        </row>
        <row r="15432">
          <cell r="F15432" t="str">
            <v xml:space="preserve">26050336       </v>
          </cell>
          <cell r="O15432">
            <v>45</v>
          </cell>
        </row>
        <row r="15433">
          <cell r="F15433" t="str">
            <v xml:space="preserve">900115560      </v>
          </cell>
          <cell r="O15433">
            <v>75</v>
          </cell>
        </row>
        <row r="15434">
          <cell r="F15434" t="str">
            <v xml:space="preserve">80397293       </v>
          </cell>
          <cell r="O15434">
            <v>75</v>
          </cell>
        </row>
        <row r="15435">
          <cell r="F15435" t="str">
            <v xml:space="preserve">80397293       </v>
          </cell>
          <cell r="O15435">
            <v>270</v>
          </cell>
        </row>
        <row r="15436">
          <cell r="F15436" t="str">
            <v xml:space="preserve">80397293       </v>
          </cell>
          <cell r="O15436">
            <v>180</v>
          </cell>
        </row>
        <row r="15437">
          <cell r="F15437" t="str">
            <v xml:space="preserve">93152963       </v>
          </cell>
          <cell r="O15437">
            <v>180</v>
          </cell>
        </row>
        <row r="15438">
          <cell r="F15438" t="str">
            <v xml:space="preserve">93152963       </v>
          </cell>
          <cell r="O15438">
            <v>90</v>
          </cell>
        </row>
        <row r="15439">
          <cell r="F15439" t="str">
            <v xml:space="preserve">93152963       </v>
          </cell>
          <cell r="O15439">
            <v>90</v>
          </cell>
        </row>
        <row r="15440">
          <cell r="F15440" t="str">
            <v xml:space="preserve">830133323      </v>
          </cell>
          <cell r="O15440">
            <v>72</v>
          </cell>
        </row>
        <row r="15441">
          <cell r="F15441" t="str">
            <v xml:space="preserve">830133323      </v>
          </cell>
          <cell r="O15441">
            <v>90</v>
          </cell>
        </row>
        <row r="15442">
          <cell r="F15442" t="str">
            <v xml:space="preserve">91360601       </v>
          </cell>
          <cell r="O15442">
            <v>60</v>
          </cell>
        </row>
        <row r="15443">
          <cell r="F15443" t="str">
            <v xml:space="preserve">91360601       </v>
          </cell>
          <cell r="O15443">
            <v>1620</v>
          </cell>
        </row>
        <row r="15444">
          <cell r="F15444" t="str">
            <v xml:space="preserve">91360601       </v>
          </cell>
          <cell r="O15444">
            <v>450</v>
          </cell>
        </row>
        <row r="15445">
          <cell r="F15445" t="str">
            <v xml:space="preserve">900459366      </v>
          </cell>
          <cell r="O15445">
            <v>1800</v>
          </cell>
        </row>
        <row r="15446">
          <cell r="F15446" t="str">
            <v xml:space="preserve">900459366      </v>
          </cell>
          <cell r="O15446">
            <v>270</v>
          </cell>
        </row>
        <row r="15447">
          <cell r="F15447" t="str">
            <v xml:space="preserve">900459366      </v>
          </cell>
          <cell r="O15447">
            <v>225</v>
          </cell>
        </row>
        <row r="15448">
          <cell r="F15448" t="str">
            <v xml:space="preserve">900459366      </v>
          </cell>
          <cell r="O15448">
            <v>1440</v>
          </cell>
        </row>
        <row r="15449">
          <cell r="F15449" t="str">
            <v xml:space="preserve">900459366      </v>
          </cell>
          <cell r="O15449">
            <v>1080</v>
          </cell>
        </row>
        <row r="15450">
          <cell r="F15450" t="str">
            <v xml:space="preserve">71747063       </v>
          </cell>
          <cell r="O15450">
            <v>4.5</v>
          </cell>
        </row>
        <row r="15451">
          <cell r="F15451" t="str">
            <v xml:space="preserve">71747063       </v>
          </cell>
          <cell r="O15451">
            <v>9</v>
          </cell>
        </row>
        <row r="15452">
          <cell r="F15452" t="str">
            <v xml:space="preserve">71747063       </v>
          </cell>
          <cell r="O15452">
            <v>1422</v>
          </cell>
        </row>
        <row r="15453">
          <cell r="F15453" t="str">
            <v xml:space="preserve">71747063       </v>
          </cell>
          <cell r="O15453">
            <v>1440</v>
          </cell>
        </row>
        <row r="15454">
          <cell r="F15454" t="str">
            <v xml:space="preserve">71312536       </v>
          </cell>
          <cell r="O15454">
            <v>180</v>
          </cell>
        </row>
        <row r="15455">
          <cell r="F15455" t="str">
            <v xml:space="preserve">71215358       </v>
          </cell>
          <cell r="O15455">
            <v>180</v>
          </cell>
        </row>
        <row r="15456">
          <cell r="F15456" t="str">
            <v xml:space="preserve">71215358       </v>
          </cell>
          <cell r="O15456">
            <v>45</v>
          </cell>
        </row>
        <row r="15457">
          <cell r="F15457" t="str">
            <v xml:space="preserve">91179385       </v>
          </cell>
          <cell r="O15457">
            <v>342</v>
          </cell>
        </row>
        <row r="15458">
          <cell r="F15458" t="str">
            <v xml:space="preserve">91179385       </v>
          </cell>
          <cell r="O15458">
            <v>90</v>
          </cell>
        </row>
        <row r="15459">
          <cell r="F15459" t="str">
            <v xml:space="preserve">91179385       </v>
          </cell>
          <cell r="O15459">
            <v>486</v>
          </cell>
        </row>
        <row r="15460">
          <cell r="F15460" t="str">
            <v xml:space="preserve">91179385       </v>
          </cell>
          <cell r="O15460">
            <v>135</v>
          </cell>
        </row>
        <row r="15461">
          <cell r="F15461" t="str">
            <v xml:space="preserve">88157654       </v>
          </cell>
          <cell r="O15461">
            <v>150</v>
          </cell>
        </row>
        <row r="15462">
          <cell r="F15462" t="str">
            <v xml:space="preserve">88158577       </v>
          </cell>
          <cell r="O15462">
            <v>450</v>
          </cell>
        </row>
        <row r="15463">
          <cell r="F15463" t="str">
            <v xml:space="preserve">88158577       </v>
          </cell>
          <cell r="O15463">
            <v>900</v>
          </cell>
        </row>
        <row r="15464">
          <cell r="F15464" t="str">
            <v xml:space="preserve">88158577       </v>
          </cell>
          <cell r="O15464">
            <v>675</v>
          </cell>
        </row>
        <row r="15465">
          <cell r="F15465" t="str">
            <v xml:space="preserve">79384689       </v>
          </cell>
          <cell r="O15465">
            <v>90</v>
          </cell>
        </row>
        <row r="15466">
          <cell r="F15466" t="str">
            <v xml:space="preserve">13458443       </v>
          </cell>
          <cell r="O15466">
            <v>135</v>
          </cell>
        </row>
        <row r="15467">
          <cell r="F15467" t="str">
            <v xml:space="preserve">13494934       </v>
          </cell>
          <cell r="O15467">
            <v>300</v>
          </cell>
        </row>
        <row r="15468">
          <cell r="F15468" t="str">
            <v xml:space="preserve">13494934       </v>
          </cell>
          <cell r="O15468">
            <v>45</v>
          </cell>
        </row>
        <row r="15469">
          <cell r="F15469" t="str">
            <v xml:space="preserve">13494934       </v>
          </cell>
          <cell r="O15469">
            <v>540</v>
          </cell>
        </row>
        <row r="15470">
          <cell r="F15470" t="str">
            <v xml:space="preserve">13494934       </v>
          </cell>
          <cell r="O15470">
            <v>315</v>
          </cell>
        </row>
        <row r="15471">
          <cell r="F15471" t="str">
            <v xml:space="preserve">88188644       </v>
          </cell>
          <cell r="O15471">
            <v>720</v>
          </cell>
        </row>
        <row r="15472">
          <cell r="F15472" t="str">
            <v xml:space="preserve">88188644       </v>
          </cell>
          <cell r="O15472">
            <v>315</v>
          </cell>
        </row>
        <row r="15473">
          <cell r="F15473" t="str">
            <v xml:space="preserve">88188644       </v>
          </cell>
          <cell r="O15473">
            <v>9</v>
          </cell>
        </row>
        <row r="15474">
          <cell r="F15474" t="str">
            <v xml:space="preserve">1117502076     </v>
          </cell>
          <cell r="O15474">
            <v>72</v>
          </cell>
        </row>
        <row r="15475">
          <cell r="F15475" t="str">
            <v xml:space="preserve">1117502076     </v>
          </cell>
          <cell r="O15475">
            <v>126</v>
          </cell>
        </row>
        <row r="15476">
          <cell r="F15476" t="str">
            <v xml:space="preserve">1117502076     </v>
          </cell>
          <cell r="O15476">
            <v>252</v>
          </cell>
        </row>
        <row r="15477">
          <cell r="F15477" t="str">
            <v xml:space="preserve">1117502076     </v>
          </cell>
          <cell r="O15477">
            <v>90</v>
          </cell>
        </row>
        <row r="15478">
          <cell r="F15478" t="str">
            <v xml:space="preserve">1117502076     </v>
          </cell>
          <cell r="O15478">
            <v>315</v>
          </cell>
        </row>
        <row r="15479">
          <cell r="F15479" t="str">
            <v xml:space="preserve">91451576       </v>
          </cell>
          <cell r="O15479">
            <v>180</v>
          </cell>
        </row>
        <row r="15480">
          <cell r="F15480" t="str">
            <v xml:space="preserve">91451576       </v>
          </cell>
          <cell r="O15480">
            <v>180</v>
          </cell>
        </row>
        <row r="15481">
          <cell r="F15481" t="str">
            <v xml:space="preserve">91266362       </v>
          </cell>
          <cell r="O15481">
            <v>108</v>
          </cell>
        </row>
        <row r="15482">
          <cell r="F15482" t="str">
            <v xml:space="preserve">91179643       </v>
          </cell>
          <cell r="O15482">
            <v>90</v>
          </cell>
        </row>
        <row r="15483">
          <cell r="F15483" t="str">
            <v xml:space="preserve">91222539       </v>
          </cell>
          <cell r="O15483">
            <v>420</v>
          </cell>
        </row>
        <row r="15484">
          <cell r="F15484" t="str">
            <v xml:space="preserve">13702886       </v>
          </cell>
          <cell r="O15484">
            <v>210</v>
          </cell>
        </row>
        <row r="15485">
          <cell r="F15485" t="str">
            <v xml:space="preserve">13702886       </v>
          </cell>
          <cell r="O15485">
            <v>108</v>
          </cell>
        </row>
        <row r="15486">
          <cell r="F15486" t="str">
            <v xml:space="preserve">13702886       </v>
          </cell>
          <cell r="O15486">
            <v>270</v>
          </cell>
        </row>
        <row r="15487">
          <cell r="F15487" t="str">
            <v xml:space="preserve">91067422       </v>
          </cell>
          <cell r="O15487">
            <v>30</v>
          </cell>
        </row>
        <row r="15488">
          <cell r="F15488" t="str">
            <v xml:space="preserve">91067422       </v>
          </cell>
          <cell r="O15488">
            <v>18</v>
          </cell>
        </row>
        <row r="15489">
          <cell r="F15489" t="str">
            <v xml:space="preserve">91067422       </v>
          </cell>
          <cell r="O15489">
            <v>90</v>
          </cell>
        </row>
        <row r="15490">
          <cell r="F15490" t="str">
            <v xml:space="preserve">91067422       </v>
          </cell>
          <cell r="O15490">
            <v>195</v>
          </cell>
        </row>
        <row r="15491">
          <cell r="F15491" t="str">
            <v xml:space="preserve">91067422       </v>
          </cell>
          <cell r="O15491">
            <v>18</v>
          </cell>
        </row>
        <row r="15492">
          <cell r="F15492" t="str">
            <v xml:space="preserve">91067422       </v>
          </cell>
          <cell r="O15492">
            <v>360</v>
          </cell>
        </row>
        <row r="15493">
          <cell r="F15493" t="str">
            <v xml:space="preserve">91272730       </v>
          </cell>
          <cell r="O15493">
            <v>135</v>
          </cell>
        </row>
        <row r="15494">
          <cell r="F15494" t="str">
            <v xml:space="preserve">91272730       </v>
          </cell>
          <cell r="O15494">
            <v>126</v>
          </cell>
        </row>
        <row r="15495">
          <cell r="F15495" t="str">
            <v xml:space="preserve">91272730       </v>
          </cell>
          <cell r="O15495">
            <v>45</v>
          </cell>
        </row>
        <row r="15496">
          <cell r="F15496" t="str">
            <v xml:space="preserve">901096204      </v>
          </cell>
          <cell r="O15496">
            <v>45</v>
          </cell>
        </row>
        <row r="15497">
          <cell r="F15497" t="str">
            <v xml:space="preserve">901096204      </v>
          </cell>
          <cell r="O15497">
            <v>1800</v>
          </cell>
        </row>
        <row r="15498">
          <cell r="F15498" t="str">
            <v xml:space="preserve">73134768       </v>
          </cell>
          <cell r="O15498">
            <v>270</v>
          </cell>
        </row>
        <row r="15499">
          <cell r="F15499" t="str">
            <v xml:space="preserve">73134768       </v>
          </cell>
          <cell r="O15499">
            <v>126</v>
          </cell>
        </row>
        <row r="15500">
          <cell r="F15500" t="str">
            <v xml:space="preserve">30853980       </v>
          </cell>
          <cell r="O15500">
            <v>45</v>
          </cell>
        </row>
        <row r="15501">
          <cell r="F15501" t="str">
            <v xml:space="preserve">30853980       </v>
          </cell>
          <cell r="O15501">
            <v>414</v>
          </cell>
        </row>
        <row r="15502">
          <cell r="F15502" t="str">
            <v xml:space="preserve">72137594       </v>
          </cell>
          <cell r="O15502">
            <v>180</v>
          </cell>
        </row>
        <row r="15503">
          <cell r="F15503" t="str">
            <v xml:space="preserve">72137594       </v>
          </cell>
          <cell r="O15503">
            <v>450</v>
          </cell>
        </row>
        <row r="15504">
          <cell r="F15504" t="str">
            <v xml:space="preserve">18916872       </v>
          </cell>
          <cell r="O15504">
            <v>2280</v>
          </cell>
        </row>
        <row r="15505">
          <cell r="F15505" t="str">
            <v xml:space="preserve">91288772       </v>
          </cell>
          <cell r="O15505">
            <v>900</v>
          </cell>
        </row>
        <row r="15506">
          <cell r="F15506" t="str">
            <v xml:space="preserve">91288772       </v>
          </cell>
          <cell r="O15506">
            <v>180</v>
          </cell>
        </row>
        <row r="15507">
          <cell r="F15507" t="str">
            <v xml:space="preserve">77191750       </v>
          </cell>
          <cell r="O15507">
            <v>378</v>
          </cell>
        </row>
        <row r="15508">
          <cell r="F15508" t="str">
            <v xml:space="preserve">9262987        </v>
          </cell>
          <cell r="O15508">
            <v>126</v>
          </cell>
        </row>
        <row r="15509">
          <cell r="F15509" t="str">
            <v xml:space="preserve">72196317       </v>
          </cell>
          <cell r="O15509">
            <v>540</v>
          </cell>
        </row>
        <row r="15510">
          <cell r="F15510" t="str">
            <v xml:space="preserve">72196317       </v>
          </cell>
          <cell r="O15510">
            <v>45</v>
          </cell>
        </row>
        <row r="15511">
          <cell r="F15511" t="str">
            <v xml:space="preserve">72196317       </v>
          </cell>
          <cell r="O15511">
            <v>150</v>
          </cell>
        </row>
        <row r="15512">
          <cell r="F15512" t="str">
            <v xml:space="preserve">72196317       </v>
          </cell>
          <cell r="O15512">
            <v>18</v>
          </cell>
        </row>
        <row r="15513">
          <cell r="F15513" t="str">
            <v xml:space="preserve">72196317       </v>
          </cell>
          <cell r="O15513">
            <v>198</v>
          </cell>
        </row>
        <row r="15514">
          <cell r="F15514" t="str">
            <v xml:space="preserve">72196317       </v>
          </cell>
          <cell r="O15514">
            <v>108</v>
          </cell>
        </row>
        <row r="15515">
          <cell r="F15515" t="str">
            <v xml:space="preserve">72196317       </v>
          </cell>
          <cell r="O15515">
            <v>255</v>
          </cell>
        </row>
        <row r="15516">
          <cell r="F15516" t="str">
            <v xml:space="preserve">72196317       </v>
          </cell>
          <cell r="O15516">
            <v>36</v>
          </cell>
        </row>
        <row r="15517">
          <cell r="F15517" t="str">
            <v xml:space="preserve">1047231108     </v>
          </cell>
          <cell r="O15517">
            <v>435</v>
          </cell>
        </row>
        <row r="15518">
          <cell r="F15518" t="str">
            <v xml:space="preserve">1047231108     </v>
          </cell>
          <cell r="O15518">
            <v>18</v>
          </cell>
        </row>
        <row r="15519">
          <cell r="F15519" t="str">
            <v xml:space="preserve">1047231108     </v>
          </cell>
          <cell r="O15519">
            <v>180</v>
          </cell>
        </row>
        <row r="15520">
          <cell r="F15520" t="str">
            <v xml:space="preserve">1047349327     </v>
          </cell>
          <cell r="O15520">
            <v>180</v>
          </cell>
        </row>
        <row r="15521">
          <cell r="F15521" t="str">
            <v xml:space="preserve">1047349327     </v>
          </cell>
          <cell r="O15521">
            <v>72</v>
          </cell>
        </row>
        <row r="15522">
          <cell r="F15522" t="str">
            <v xml:space="preserve">73079740       </v>
          </cell>
          <cell r="O15522">
            <v>342</v>
          </cell>
        </row>
        <row r="15523">
          <cell r="F15523" t="str">
            <v xml:space="preserve">73079740       </v>
          </cell>
          <cell r="O15523">
            <v>90</v>
          </cell>
        </row>
        <row r="15524">
          <cell r="F15524" t="str">
            <v xml:space="preserve">15047548       </v>
          </cell>
          <cell r="O15524">
            <v>612</v>
          </cell>
        </row>
        <row r="15525">
          <cell r="F15525" t="str">
            <v xml:space="preserve">18531333       </v>
          </cell>
          <cell r="O15525">
            <v>2730</v>
          </cell>
        </row>
        <row r="15526">
          <cell r="F15526" t="str">
            <v xml:space="preserve">18531333       </v>
          </cell>
          <cell r="O15526">
            <v>180</v>
          </cell>
        </row>
        <row r="15527">
          <cell r="F15527" t="str">
            <v xml:space="preserve">18531333       </v>
          </cell>
          <cell r="O15527">
            <v>300</v>
          </cell>
        </row>
        <row r="15528">
          <cell r="F15528" t="str">
            <v xml:space="preserve">18531333       </v>
          </cell>
          <cell r="O15528">
            <v>360</v>
          </cell>
        </row>
        <row r="15529">
          <cell r="F15529" t="str">
            <v xml:space="preserve">1120352593     </v>
          </cell>
          <cell r="O15529">
            <v>45</v>
          </cell>
        </row>
        <row r="15530">
          <cell r="F15530" t="str">
            <v xml:space="preserve">1120352593     </v>
          </cell>
          <cell r="O15530">
            <v>2466</v>
          </cell>
        </row>
        <row r="15531">
          <cell r="F15531" t="str">
            <v xml:space="preserve">1120352593     </v>
          </cell>
          <cell r="O15531">
            <v>630</v>
          </cell>
        </row>
        <row r="15532">
          <cell r="F15532" t="str">
            <v xml:space="preserve">1020712348     </v>
          </cell>
          <cell r="O15532">
            <v>918</v>
          </cell>
        </row>
        <row r="15533">
          <cell r="F15533" t="str">
            <v xml:space="preserve">1020712348     </v>
          </cell>
          <cell r="O15533">
            <v>585</v>
          </cell>
        </row>
        <row r="15534">
          <cell r="F15534" t="str">
            <v xml:space="preserve">79827688       </v>
          </cell>
          <cell r="O15534">
            <v>30</v>
          </cell>
        </row>
        <row r="15535">
          <cell r="F15535" t="str">
            <v xml:space="preserve">79827688       </v>
          </cell>
          <cell r="O15535">
            <v>414</v>
          </cell>
        </row>
        <row r="15536">
          <cell r="F15536" t="str">
            <v xml:space="preserve">79827688       </v>
          </cell>
          <cell r="O15536">
            <v>135</v>
          </cell>
        </row>
        <row r="15537">
          <cell r="F15537" t="str">
            <v xml:space="preserve">79827688       </v>
          </cell>
          <cell r="O15537">
            <v>45</v>
          </cell>
        </row>
        <row r="15538">
          <cell r="F15538" t="str">
            <v xml:space="preserve">79827688       </v>
          </cell>
          <cell r="O15538">
            <v>180</v>
          </cell>
        </row>
        <row r="15539">
          <cell r="F15539" t="str">
            <v xml:space="preserve">80266206       </v>
          </cell>
          <cell r="O15539">
            <v>72</v>
          </cell>
        </row>
        <row r="15540">
          <cell r="F15540" t="str">
            <v xml:space="preserve">80266206       </v>
          </cell>
          <cell r="O15540">
            <v>15</v>
          </cell>
        </row>
        <row r="15541">
          <cell r="F15541" t="str">
            <v xml:space="preserve">80266206       </v>
          </cell>
          <cell r="O15541">
            <v>45</v>
          </cell>
        </row>
        <row r="15542">
          <cell r="F15542" t="str">
            <v xml:space="preserve">80266206       </v>
          </cell>
          <cell r="O15542">
            <v>270</v>
          </cell>
        </row>
        <row r="15543">
          <cell r="F15543" t="str">
            <v xml:space="preserve">1111739602     </v>
          </cell>
          <cell r="O15543">
            <v>540</v>
          </cell>
        </row>
        <row r="15544">
          <cell r="F15544" t="str">
            <v xml:space="preserve">88168843       </v>
          </cell>
          <cell r="O15544">
            <v>15</v>
          </cell>
        </row>
        <row r="15545">
          <cell r="F15545" t="str">
            <v xml:space="preserve">88168843       </v>
          </cell>
          <cell r="O15545">
            <v>270</v>
          </cell>
        </row>
        <row r="15546">
          <cell r="F15546" t="str">
            <v xml:space="preserve">88168843       </v>
          </cell>
          <cell r="O15546">
            <v>45</v>
          </cell>
        </row>
        <row r="15547">
          <cell r="F15547" t="str">
            <v xml:space="preserve">79221604       </v>
          </cell>
          <cell r="O15547">
            <v>45</v>
          </cell>
        </row>
        <row r="15548">
          <cell r="F15548" t="str">
            <v xml:space="preserve">79221604       </v>
          </cell>
          <cell r="O15548">
            <v>270</v>
          </cell>
        </row>
        <row r="15549">
          <cell r="F15549" t="str">
            <v xml:space="preserve">79221604       </v>
          </cell>
          <cell r="O15549">
            <v>15</v>
          </cell>
        </row>
        <row r="15550">
          <cell r="F15550" t="str">
            <v xml:space="preserve">79221604       </v>
          </cell>
          <cell r="O15550">
            <v>18</v>
          </cell>
        </row>
        <row r="15551">
          <cell r="F15551" t="str">
            <v xml:space="preserve">79221604       </v>
          </cell>
          <cell r="O15551">
            <v>15</v>
          </cell>
        </row>
        <row r="15552">
          <cell r="F15552" t="str">
            <v xml:space="preserve">79221604       </v>
          </cell>
          <cell r="O15552">
            <v>630</v>
          </cell>
        </row>
        <row r="15553">
          <cell r="F15553" t="str">
            <v xml:space="preserve">79221604       </v>
          </cell>
          <cell r="O15553">
            <v>45</v>
          </cell>
        </row>
        <row r="15554">
          <cell r="F15554" t="str">
            <v xml:space="preserve">79221604       </v>
          </cell>
          <cell r="O15554">
            <v>9</v>
          </cell>
        </row>
        <row r="15555">
          <cell r="F15555" t="str">
            <v xml:space="preserve">79221604       </v>
          </cell>
          <cell r="O15555">
            <v>252</v>
          </cell>
        </row>
        <row r="15556">
          <cell r="F15556" t="str">
            <v xml:space="preserve">79221604       </v>
          </cell>
          <cell r="O15556">
            <v>45</v>
          </cell>
        </row>
        <row r="15557">
          <cell r="F15557" t="str">
            <v xml:space="preserve">79221604       </v>
          </cell>
          <cell r="O15557">
            <v>15</v>
          </cell>
        </row>
        <row r="15558">
          <cell r="F15558" t="str">
            <v xml:space="preserve">79221604       </v>
          </cell>
          <cell r="O15558">
            <v>630</v>
          </cell>
        </row>
        <row r="15559">
          <cell r="F15559" t="str">
            <v xml:space="preserve">79221604       </v>
          </cell>
          <cell r="O15559">
            <v>45</v>
          </cell>
        </row>
        <row r="15560">
          <cell r="F15560" t="str">
            <v xml:space="preserve">79221604       </v>
          </cell>
          <cell r="O15560">
            <v>45</v>
          </cell>
        </row>
        <row r="15561">
          <cell r="F15561" t="str">
            <v xml:space="preserve">9867640        </v>
          </cell>
          <cell r="O15561">
            <v>4.5</v>
          </cell>
        </row>
        <row r="15562">
          <cell r="F15562" t="str">
            <v xml:space="preserve">9867640        </v>
          </cell>
          <cell r="O15562">
            <v>90</v>
          </cell>
        </row>
        <row r="15563">
          <cell r="F15563" t="str">
            <v xml:space="preserve">9867640        </v>
          </cell>
          <cell r="O15563">
            <v>126</v>
          </cell>
        </row>
        <row r="15564">
          <cell r="F15564" t="str">
            <v xml:space="preserve">9867640        </v>
          </cell>
          <cell r="O15564">
            <v>45</v>
          </cell>
        </row>
        <row r="15565">
          <cell r="F15565" t="str">
            <v xml:space="preserve">10315862       </v>
          </cell>
          <cell r="O15565">
            <v>15</v>
          </cell>
        </row>
        <row r="15566">
          <cell r="F15566" t="str">
            <v xml:space="preserve">10315862       </v>
          </cell>
          <cell r="O15566">
            <v>270</v>
          </cell>
        </row>
        <row r="15567">
          <cell r="F15567" t="str">
            <v xml:space="preserve">10315862       </v>
          </cell>
          <cell r="O15567">
            <v>45</v>
          </cell>
        </row>
        <row r="15568">
          <cell r="F15568" t="str">
            <v xml:space="preserve">1103101503     </v>
          </cell>
          <cell r="O15568">
            <v>9</v>
          </cell>
        </row>
        <row r="15569">
          <cell r="F15569" t="str">
            <v xml:space="preserve">1103101503     </v>
          </cell>
          <cell r="O15569">
            <v>105</v>
          </cell>
        </row>
        <row r="15570">
          <cell r="F15570" t="str">
            <v xml:space="preserve">1103101503     </v>
          </cell>
          <cell r="O15570">
            <v>342</v>
          </cell>
        </row>
        <row r="15571">
          <cell r="F15571" t="str">
            <v xml:space="preserve">1103101503     </v>
          </cell>
          <cell r="O15571">
            <v>15</v>
          </cell>
        </row>
        <row r="15572">
          <cell r="F15572" t="str">
            <v xml:space="preserve">1103101503     </v>
          </cell>
          <cell r="O15572">
            <v>720</v>
          </cell>
        </row>
        <row r="15573">
          <cell r="F15573" t="str">
            <v xml:space="preserve">1103101503     </v>
          </cell>
          <cell r="O15573">
            <v>180</v>
          </cell>
        </row>
        <row r="15574">
          <cell r="F15574" t="str">
            <v xml:space="preserve">92260572       </v>
          </cell>
          <cell r="O15574">
            <v>540</v>
          </cell>
        </row>
        <row r="15575">
          <cell r="F15575" t="str">
            <v xml:space="preserve">73507193       </v>
          </cell>
          <cell r="O15575">
            <v>180</v>
          </cell>
        </row>
        <row r="15576">
          <cell r="F15576" t="str">
            <v xml:space="preserve">73507193       </v>
          </cell>
          <cell r="O15576">
            <v>720</v>
          </cell>
        </row>
        <row r="15577">
          <cell r="F15577" t="str">
            <v xml:space="preserve">73507193       </v>
          </cell>
          <cell r="O15577">
            <v>90</v>
          </cell>
        </row>
        <row r="15578">
          <cell r="F15578" t="str">
            <v xml:space="preserve">1143374955     </v>
          </cell>
          <cell r="O15578">
            <v>45</v>
          </cell>
        </row>
        <row r="15579">
          <cell r="F15579" t="str">
            <v xml:space="preserve">1143374955     </v>
          </cell>
          <cell r="O15579">
            <v>432</v>
          </cell>
        </row>
        <row r="15580">
          <cell r="F15580" t="str">
            <v xml:space="preserve">94429458       </v>
          </cell>
          <cell r="O15580">
            <v>126</v>
          </cell>
        </row>
        <row r="15581">
          <cell r="F15581" t="str">
            <v xml:space="preserve">94429458       </v>
          </cell>
          <cell r="O15581">
            <v>2355</v>
          </cell>
        </row>
        <row r="15582">
          <cell r="F15582" t="str">
            <v xml:space="preserve">94429458       </v>
          </cell>
          <cell r="O15582">
            <v>990</v>
          </cell>
        </row>
        <row r="15583">
          <cell r="F15583" t="str">
            <v xml:space="preserve">94429458       </v>
          </cell>
          <cell r="O15583">
            <v>360</v>
          </cell>
        </row>
        <row r="15584">
          <cell r="F15584" t="str">
            <v xml:space="preserve">94429458       </v>
          </cell>
          <cell r="O15584">
            <v>495</v>
          </cell>
        </row>
        <row r="15585">
          <cell r="F15585" t="str">
            <v xml:space="preserve">94429458       </v>
          </cell>
          <cell r="O15585">
            <v>175</v>
          </cell>
        </row>
        <row r="15586">
          <cell r="F15586" t="str">
            <v xml:space="preserve">80730783       </v>
          </cell>
          <cell r="O15586">
            <v>882</v>
          </cell>
        </row>
        <row r="15587">
          <cell r="F15587" t="str">
            <v xml:space="preserve">80730783       </v>
          </cell>
          <cell r="O15587">
            <v>90</v>
          </cell>
        </row>
        <row r="15588">
          <cell r="F15588" t="str">
            <v xml:space="preserve">17783299       </v>
          </cell>
          <cell r="O15588">
            <v>3525</v>
          </cell>
        </row>
        <row r="15589">
          <cell r="F15589" t="str">
            <v xml:space="preserve">17783299       </v>
          </cell>
          <cell r="O15589">
            <v>225</v>
          </cell>
        </row>
        <row r="15590">
          <cell r="F15590" t="str">
            <v xml:space="preserve">17655129       </v>
          </cell>
          <cell r="O15590">
            <v>300</v>
          </cell>
        </row>
        <row r="15591">
          <cell r="F15591" t="str">
            <v xml:space="preserve">17655129       </v>
          </cell>
          <cell r="O15591">
            <v>180</v>
          </cell>
        </row>
        <row r="15592">
          <cell r="F15592" t="str">
            <v xml:space="preserve">1083686504     </v>
          </cell>
          <cell r="O15592">
            <v>225</v>
          </cell>
        </row>
        <row r="15593">
          <cell r="F15593" t="str">
            <v xml:space="preserve">1083686504     </v>
          </cell>
          <cell r="O15593">
            <v>90</v>
          </cell>
        </row>
        <row r="15594">
          <cell r="F15594" t="str">
            <v xml:space="preserve">12256895       </v>
          </cell>
          <cell r="O15594">
            <v>750</v>
          </cell>
        </row>
        <row r="15595">
          <cell r="F15595" t="str">
            <v xml:space="preserve">12256895       </v>
          </cell>
          <cell r="O15595">
            <v>270</v>
          </cell>
        </row>
        <row r="15596">
          <cell r="F15596" t="str">
            <v xml:space="preserve">16191524       </v>
          </cell>
          <cell r="O15596">
            <v>225</v>
          </cell>
        </row>
        <row r="15597">
          <cell r="F15597" t="str">
            <v xml:space="preserve">16191524       </v>
          </cell>
          <cell r="O15597">
            <v>45</v>
          </cell>
        </row>
        <row r="15598">
          <cell r="F15598" t="str">
            <v xml:space="preserve">19389409       </v>
          </cell>
          <cell r="O15598">
            <v>216</v>
          </cell>
        </row>
        <row r="15599">
          <cell r="F15599" t="str">
            <v xml:space="preserve">19389409       </v>
          </cell>
          <cell r="O15599">
            <v>45</v>
          </cell>
        </row>
        <row r="15600">
          <cell r="F15600" t="str">
            <v xml:space="preserve">93131041       </v>
          </cell>
          <cell r="O15600">
            <v>540</v>
          </cell>
        </row>
        <row r="15601">
          <cell r="F15601" t="str">
            <v xml:space="preserve">93131041       </v>
          </cell>
          <cell r="O15601">
            <v>135</v>
          </cell>
        </row>
        <row r="15602">
          <cell r="F15602" t="str">
            <v xml:space="preserve">12180486       </v>
          </cell>
          <cell r="O15602">
            <v>600</v>
          </cell>
        </row>
        <row r="15603">
          <cell r="F15603" t="str">
            <v xml:space="preserve">12180486       </v>
          </cell>
          <cell r="O15603">
            <v>360</v>
          </cell>
        </row>
        <row r="15604">
          <cell r="F15604" t="str">
            <v xml:space="preserve">12180486       </v>
          </cell>
          <cell r="O15604">
            <v>675</v>
          </cell>
        </row>
        <row r="15605">
          <cell r="F15605" t="str">
            <v xml:space="preserve">83226520       </v>
          </cell>
          <cell r="O15605">
            <v>225</v>
          </cell>
        </row>
        <row r="15606">
          <cell r="F15606" t="str">
            <v xml:space="preserve">83226520       </v>
          </cell>
          <cell r="O15606">
            <v>1980</v>
          </cell>
        </row>
        <row r="15607">
          <cell r="F15607" t="str">
            <v xml:space="preserve">83226520       </v>
          </cell>
          <cell r="O15607">
            <v>225</v>
          </cell>
        </row>
        <row r="15608">
          <cell r="F15608" t="str">
            <v xml:space="preserve">12266504       </v>
          </cell>
          <cell r="O15608">
            <v>60</v>
          </cell>
        </row>
        <row r="15609">
          <cell r="F15609" t="str">
            <v xml:space="preserve">12266504       </v>
          </cell>
          <cell r="O15609">
            <v>90</v>
          </cell>
        </row>
        <row r="15610">
          <cell r="F15610" t="str">
            <v xml:space="preserve">12266504       </v>
          </cell>
          <cell r="O15610">
            <v>420</v>
          </cell>
        </row>
        <row r="15611">
          <cell r="F15611" t="str">
            <v xml:space="preserve">12266504       </v>
          </cell>
          <cell r="O15611">
            <v>18</v>
          </cell>
        </row>
        <row r="15612">
          <cell r="F15612" t="str">
            <v xml:space="preserve">12266504       </v>
          </cell>
          <cell r="O15612">
            <v>90</v>
          </cell>
        </row>
        <row r="15613">
          <cell r="F15613" t="str">
            <v xml:space="preserve">12231586       </v>
          </cell>
          <cell r="O15613">
            <v>90</v>
          </cell>
        </row>
        <row r="15614">
          <cell r="F15614" t="str">
            <v xml:space="preserve">12231586       </v>
          </cell>
          <cell r="O15614">
            <v>180</v>
          </cell>
        </row>
        <row r="15615">
          <cell r="F15615" t="str">
            <v xml:space="preserve">12231586       </v>
          </cell>
          <cell r="O15615">
            <v>135</v>
          </cell>
        </row>
        <row r="15616">
          <cell r="F15616" t="str">
            <v xml:space="preserve">83042067       </v>
          </cell>
          <cell r="O15616">
            <v>135</v>
          </cell>
        </row>
        <row r="15617">
          <cell r="F15617" t="str">
            <v xml:space="preserve">83042067       </v>
          </cell>
          <cell r="O15617">
            <v>54</v>
          </cell>
        </row>
        <row r="15618">
          <cell r="F15618" t="str">
            <v xml:space="preserve">83042067       </v>
          </cell>
          <cell r="O15618">
            <v>270</v>
          </cell>
        </row>
        <row r="15619">
          <cell r="F15619" t="str">
            <v xml:space="preserve">18144684       </v>
          </cell>
          <cell r="O15619">
            <v>345</v>
          </cell>
        </row>
        <row r="15620">
          <cell r="F15620" t="str">
            <v xml:space="preserve">18144684       </v>
          </cell>
          <cell r="O15620">
            <v>36</v>
          </cell>
        </row>
        <row r="15621">
          <cell r="F15621" t="str">
            <v xml:space="preserve">18144684       </v>
          </cell>
          <cell r="O15621">
            <v>75</v>
          </cell>
        </row>
        <row r="15622">
          <cell r="F15622" t="str">
            <v xml:space="preserve">1062292334     </v>
          </cell>
          <cell r="O15622">
            <v>225</v>
          </cell>
        </row>
        <row r="15623">
          <cell r="F15623" t="str">
            <v xml:space="preserve">1062292334     </v>
          </cell>
          <cell r="O15623">
            <v>486</v>
          </cell>
        </row>
        <row r="15624">
          <cell r="F15624" t="str">
            <v xml:space="preserve">1062292334     </v>
          </cell>
          <cell r="O15624">
            <v>45</v>
          </cell>
        </row>
        <row r="15625">
          <cell r="F15625" t="str">
            <v xml:space="preserve">15945210       </v>
          </cell>
          <cell r="O15625">
            <v>360</v>
          </cell>
        </row>
        <row r="15626">
          <cell r="F15626" t="str">
            <v xml:space="preserve">15945210       </v>
          </cell>
          <cell r="O15626">
            <v>360</v>
          </cell>
        </row>
        <row r="15627">
          <cell r="F15627" t="str">
            <v xml:space="preserve">15945210       </v>
          </cell>
          <cell r="O15627">
            <v>45</v>
          </cell>
        </row>
        <row r="15628">
          <cell r="F15628" t="str">
            <v xml:space="preserve">860008940      </v>
          </cell>
          <cell r="O15628">
            <v>105</v>
          </cell>
        </row>
        <row r="15629">
          <cell r="F15629" t="str">
            <v xml:space="preserve">860028253      </v>
          </cell>
          <cell r="O15629">
            <v>45</v>
          </cell>
        </row>
        <row r="15630">
          <cell r="F15630" t="str">
            <v xml:space="preserve">3159567        </v>
          </cell>
          <cell r="O15630">
            <v>135</v>
          </cell>
        </row>
        <row r="15631">
          <cell r="F15631" t="str">
            <v xml:space="preserve">3159567        </v>
          </cell>
          <cell r="O15631">
            <v>1224</v>
          </cell>
        </row>
        <row r="15632">
          <cell r="F15632" t="str">
            <v xml:space="preserve">830133323      </v>
          </cell>
          <cell r="O15632">
            <v>18</v>
          </cell>
        </row>
        <row r="15633">
          <cell r="F15633" t="str">
            <v xml:space="preserve">830133323      </v>
          </cell>
          <cell r="O15633">
            <v>45</v>
          </cell>
        </row>
        <row r="15634">
          <cell r="F15634" t="str">
            <v xml:space="preserve">80351964       </v>
          </cell>
          <cell r="O15634">
            <v>135</v>
          </cell>
        </row>
        <row r="15635">
          <cell r="F15635" t="str">
            <v xml:space="preserve">80351964       </v>
          </cell>
          <cell r="O15635">
            <v>180</v>
          </cell>
        </row>
        <row r="15636">
          <cell r="F15636" t="str">
            <v xml:space="preserve">80351964       </v>
          </cell>
          <cell r="O15636">
            <v>135</v>
          </cell>
        </row>
        <row r="15637">
          <cell r="F15637" t="str">
            <v xml:space="preserve">3155595        </v>
          </cell>
          <cell r="O15637">
            <v>540</v>
          </cell>
        </row>
        <row r="15638">
          <cell r="F15638" t="str">
            <v xml:space="preserve">3155595        </v>
          </cell>
          <cell r="O15638">
            <v>135</v>
          </cell>
        </row>
        <row r="15639">
          <cell r="F15639" t="str">
            <v xml:space="preserve">80283261       </v>
          </cell>
          <cell r="O15639">
            <v>18</v>
          </cell>
        </row>
        <row r="15640">
          <cell r="F15640" t="str">
            <v xml:space="preserve">80283261       </v>
          </cell>
          <cell r="O15640">
            <v>15</v>
          </cell>
        </row>
        <row r="15641">
          <cell r="F15641" t="str">
            <v xml:space="preserve">80283261       </v>
          </cell>
          <cell r="O15641">
            <v>774</v>
          </cell>
        </row>
        <row r="15642">
          <cell r="F15642" t="str">
            <v xml:space="preserve">80283261       </v>
          </cell>
          <cell r="O15642">
            <v>360</v>
          </cell>
        </row>
        <row r="15643">
          <cell r="F15643" t="str">
            <v xml:space="preserve">830133323      </v>
          </cell>
          <cell r="O15643">
            <v>36</v>
          </cell>
        </row>
        <row r="15644">
          <cell r="F15644" t="str">
            <v xml:space="preserve">830133323      </v>
          </cell>
          <cell r="O15644">
            <v>180</v>
          </cell>
        </row>
        <row r="15645">
          <cell r="F15645" t="str">
            <v xml:space="preserve">4090572        </v>
          </cell>
          <cell r="O15645">
            <v>9</v>
          </cell>
        </row>
        <row r="15646">
          <cell r="F15646" t="str">
            <v xml:space="preserve">4090572        </v>
          </cell>
          <cell r="O15646">
            <v>450</v>
          </cell>
        </row>
        <row r="15647">
          <cell r="F15647" t="str">
            <v xml:space="preserve">4090572        </v>
          </cell>
          <cell r="O15647">
            <v>90</v>
          </cell>
        </row>
        <row r="15648">
          <cell r="F15648" t="str">
            <v xml:space="preserve">79210220       </v>
          </cell>
          <cell r="O15648">
            <v>9</v>
          </cell>
        </row>
        <row r="15649">
          <cell r="F15649" t="str">
            <v xml:space="preserve">79210220       </v>
          </cell>
          <cell r="O15649">
            <v>60</v>
          </cell>
        </row>
        <row r="15650">
          <cell r="F15650" t="str">
            <v xml:space="preserve">79210220       </v>
          </cell>
          <cell r="O15650">
            <v>360</v>
          </cell>
        </row>
        <row r="15651">
          <cell r="F15651" t="str">
            <v xml:space="preserve">79210220       </v>
          </cell>
          <cell r="O15651">
            <v>90</v>
          </cell>
        </row>
        <row r="15652">
          <cell r="F15652" t="str">
            <v xml:space="preserve">80024551       </v>
          </cell>
          <cell r="O15652">
            <v>54</v>
          </cell>
        </row>
        <row r="15653">
          <cell r="F15653" t="str">
            <v xml:space="preserve">80024551       </v>
          </cell>
          <cell r="O15653">
            <v>15</v>
          </cell>
        </row>
        <row r="15654">
          <cell r="F15654" t="str">
            <v xml:space="preserve">80024551       </v>
          </cell>
          <cell r="O15654">
            <v>630</v>
          </cell>
        </row>
        <row r="15655">
          <cell r="F15655" t="str">
            <v xml:space="preserve">830133323      </v>
          </cell>
          <cell r="O15655">
            <v>36</v>
          </cell>
        </row>
        <row r="15656">
          <cell r="F15656" t="str">
            <v xml:space="preserve">830133323      </v>
          </cell>
          <cell r="O15656">
            <v>270</v>
          </cell>
        </row>
        <row r="15657">
          <cell r="F15657" t="str">
            <v xml:space="preserve">4090806        </v>
          </cell>
          <cell r="O15657">
            <v>117</v>
          </cell>
        </row>
        <row r="15658">
          <cell r="F15658" t="str">
            <v xml:space="preserve">4090806        </v>
          </cell>
          <cell r="O15658">
            <v>15</v>
          </cell>
        </row>
        <row r="15659">
          <cell r="F15659" t="str">
            <v xml:space="preserve">4090806        </v>
          </cell>
          <cell r="O15659">
            <v>828</v>
          </cell>
        </row>
        <row r="15660">
          <cell r="F15660" t="str">
            <v xml:space="preserve">4090806        </v>
          </cell>
          <cell r="O15660">
            <v>405</v>
          </cell>
        </row>
        <row r="15661">
          <cell r="F15661" t="str">
            <v xml:space="preserve">1049794120     </v>
          </cell>
          <cell r="O15661">
            <v>1134</v>
          </cell>
        </row>
        <row r="15662">
          <cell r="F15662" t="str">
            <v xml:space="preserve">1049794120     </v>
          </cell>
          <cell r="O15662">
            <v>180</v>
          </cell>
        </row>
        <row r="15663">
          <cell r="F15663" t="str">
            <v xml:space="preserve">98330118       </v>
          </cell>
          <cell r="O15663">
            <v>495</v>
          </cell>
        </row>
        <row r="15664">
          <cell r="F15664" t="str">
            <v xml:space="preserve">98330118       </v>
          </cell>
          <cell r="O15664">
            <v>36</v>
          </cell>
        </row>
        <row r="15665">
          <cell r="F15665" t="str">
            <v xml:space="preserve">1126452165     </v>
          </cell>
          <cell r="O15665">
            <v>585</v>
          </cell>
        </row>
        <row r="15666">
          <cell r="F15666" t="str">
            <v xml:space="preserve">1126452165     </v>
          </cell>
          <cell r="O15666">
            <v>45</v>
          </cell>
        </row>
        <row r="15667">
          <cell r="F15667" t="str">
            <v xml:space="preserve">79339314       </v>
          </cell>
          <cell r="O15667">
            <v>90</v>
          </cell>
        </row>
        <row r="15668">
          <cell r="F15668" t="str">
            <v xml:space="preserve">79339314       </v>
          </cell>
          <cell r="O15668">
            <v>54</v>
          </cell>
        </row>
        <row r="15669">
          <cell r="F15669" t="str">
            <v xml:space="preserve">79339314       </v>
          </cell>
          <cell r="O15669">
            <v>135</v>
          </cell>
        </row>
        <row r="15670">
          <cell r="F15670" t="str">
            <v xml:space="preserve">11379585       </v>
          </cell>
          <cell r="O15670">
            <v>15</v>
          </cell>
        </row>
        <row r="15671">
          <cell r="F15671" t="str">
            <v xml:space="preserve">11379585       </v>
          </cell>
          <cell r="O15671">
            <v>612</v>
          </cell>
        </row>
        <row r="15672">
          <cell r="F15672" t="str">
            <v xml:space="preserve">11379585       </v>
          </cell>
          <cell r="O15672">
            <v>450</v>
          </cell>
        </row>
        <row r="15673">
          <cell r="F15673" t="str">
            <v xml:space="preserve">3171403        </v>
          </cell>
          <cell r="O15673">
            <v>30</v>
          </cell>
        </row>
        <row r="15674">
          <cell r="F15674" t="str">
            <v xml:space="preserve">3171403        </v>
          </cell>
          <cell r="O15674">
            <v>234</v>
          </cell>
        </row>
        <row r="15675">
          <cell r="F15675" t="str">
            <v xml:space="preserve">3171403        </v>
          </cell>
          <cell r="O15675">
            <v>225</v>
          </cell>
        </row>
        <row r="15676">
          <cell r="F15676" t="str">
            <v xml:space="preserve">83218584       </v>
          </cell>
          <cell r="O15676">
            <v>390</v>
          </cell>
        </row>
        <row r="15677">
          <cell r="F15677" t="str">
            <v xml:space="preserve">83218584       </v>
          </cell>
          <cell r="O15677">
            <v>36</v>
          </cell>
        </row>
        <row r="15678">
          <cell r="F15678" t="str">
            <v xml:space="preserve">83218584       </v>
          </cell>
          <cell r="O15678">
            <v>225</v>
          </cell>
        </row>
        <row r="15679">
          <cell r="F15679" t="str">
            <v xml:space="preserve">83218584       </v>
          </cell>
          <cell r="O15679">
            <v>360</v>
          </cell>
        </row>
        <row r="15680">
          <cell r="F15680" t="str">
            <v xml:space="preserve">51856228       </v>
          </cell>
          <cell r="O15680">
            <v>9</v>
          </cell>
        </row>
        <row r="15681">
          <cell r="F15681" t="str">
            <v xml:space="preserve">51856228       </v>
          </cell>
          <cell r="O15681">
            <v>972</v>
          </cell>
        </row>
        <row r="15682">
          <cell r="F15682" t="str">
            <v xml:space="preserve">51856228       </v>
          </cell>
          <cell r="O15682">
            <v>180</v>
          </cell>
        </row>
        <row r="15683">
          <cell r="F15683" t="str">
            <v xml:space="preserve">1114887745     </v>
          </cell>
          <cell r="O15683">
            <v>432</v>
          </cell>
        </row>
        <row r="15684">
          <cell r="F15684" t="str">
            <v xml:space="preserve">1093217151     </v>
          </cell>
          <cell r="O15684">
            <v>330</v>
          </cell>
        </row>
        <row r="15685">
          <cell r="F15685" t="str">
            <v xml:space="preserve">1093217151     </v>
          </cell>
          <cell r="O15685">
            <v>9</v>
          </cell>
        </row>
        <row r="15686">
          <cell r="F15686" t="str">
            <v xml:space="preserve">10185600       </v>
          </cell>
          <cell r="O15686">
            <v>45</v>
          </cell>
        </row>
        <row r="15687">
          <cell r="F15687" t="str">
            <v xml:space="preserve">10185600       </v>
          </cell>
          <cell r="O15687">
            <v>60</v>
          </cell>
        </row>
        <row r="15688">
          <cell r="F15688" t="str">
            <v xml:space="preserve">10185600       </v>
          </cell>
          <cell r="O15688">
            <v>738</v>
          </cell>
        </row>
        <row r="15689">
          <cell r="F15689" t="str">
            <v xml:space="preserve">10185600       </v>
          </cell>
          <cell r="O15689">
            <v>180</v>
          </cell>
        </row>
        <row r="15690">
          <cell r="F15690" t="str">
            <v xml:space="preserve">10185600       </v>
          </cell>
          <cell r="O15690">
            <v>360</v>
          </cell>
        </row>
        <row r="15691">
          <cell r="F15691" t="str">
            <v xml:space="preserve">10185600       </v>
          </cell>
          <cell r="O15691">
            <v>90</v>
          </cell>
        </row>
        <row r="15692">
          <cell r="F15692" t="str">
            <v xml:space="preserve">94071517       </v>
          </cell>
          <cell r="O15692">
            <v>240</v>
          </cell>
        </row>
        <row r="15693">
          <cell r="F15693" t="str">
            <v xml:space="preserve">94071517       </v>
          </cell>
          <cell r="O15693">
            <v>90</v>
          </cell>
        </row>
        <row r="15694">
          <cell r="F15694" t="str">
            <v xml:space="preserve">94071517       </v>
          </cell>
          <cell r="O15694">
            <v>45</v>
          </cell>
        </row>
        <row r="15695">
          <cell r="F15695" t="str">
            <v xml:space="preserve">94071517       </v>
          </cell>
          <cell r="O15695">
            <v>300</v>
          </cell>
        </row>
        <row r="15696">
          <cell r="F15696" t="str">
            <v xml:space="preserve">8435389        </v>
          </cell>
          <cell r="O15696">
            <v>525</v>
          </cell>
        </row>
        <row r="15697">
          <cell r="F15697" t="str">
            <v xml:space="preserve">8435389        </v>
          </cell>
          <cell r="O15697">
            <v>666</v>
          </cell>
        </row>
        <row r="15698">
          <cell r="F15698" t="str">
            <v xml:space="preserve">8435389        </v>
          </cell>
          <cell r="O15698">
            <v>45</v>
          </cell>
        </row>
        <row r="15699">
          <cell r="F15699" t="str">
            <v xml:space="preserve">8435389        </v>
          </cell>
          <cell r="O15699">
            <v>918</v>
          </cell>
        </row>
        <row r="15700">
          <cell r="F15700" t="str">
            <v xml:space="preserve">8435389        </v>
          </cell>
          <cell r="O15700">
            <v>630</v>
          </cell>
        </row>
        <row r="15701">
          <cell r="F15701" t="str">
            <v xml:space="preserve">8458310        </v>
          </cell>
          <cell r="O15701">
            <v>15</v>
          </cell>
        </row>
        <row r="15702">
          <cell r="F15702" t="str">
            <v xml:space="preserve">8458310        </v>
          </cell>
          <cell r="O15702">
            <v>180</v>
          </cell>
        </row>
        <row r="15703">
          <cell r="F15703" t="str">
            <v xml:space="preserve">8458310        </v>
          </cell>
          <cell r="O15703">
            <v>225</v>
          </cell>
        </row>
        <row r="15704">
          <cell r="F15704" t="str">
            <v xml:space="preserve">71174894       </v>
          </cell>
          <cell r="O15704">
            <v>2325</v>
          </cell>
        </row>
        <row r="15705">
          <cell r="F15705" t="str">
            <v xml:space="preserve">71174894       </v>
          </cell>
          <cell r="O15705">
            <v>126</v>
          </cell>
        </row>
        <row r="15706">
          <cell r="F15706" t="str">
            <v xml:space="preserve">71174894       </v>
          </cell>
          <cell r="O15706">
            <v>270</v>
          </cell>
        </row>
        <row r="15707">
          <cell r="F15707" t="str">
            <v xml:space="preserve">800100700      </v>
          </cell>
          <cell r="O15707">
            <v>135</v>
          </cell>
        </row>
        <row r="15708">
          <cell r="F15708" t="str">
            <v xml:space="preserve">800100700      </v>
          </cell>
          <cell r="O15708">
            <v>90</v>
          </cell>
        </row>
        <row r="15709">
          <cell r="F15709" t="str">
            <v xml:space="preserve">901269856      </v>
          </cell>
          <cell r="O15709">
            <v>576</v>
          </cell>
        </row>
        <row r="15710">
          <cell r="F15710" t="str">
            <v xml:space="preserve">901269856      </v>
          </cell>
          <cell r="O15710">
            <v>45</v>
          </cell>
        </row>
        <row r="15711">
          <cell r="F15711" t="str">
            <v xml:space="preserve">1039696881     </v>
          </cell>
          <cell r="O15711">
            <v>9</v>
          </cell>
        </row>
        <row r="15712">
          <cell r="F15712" t="str">
            <v xml:space="preserve">1039696881     </v>
          </cell>
          <cell r="O15712">
            <v>1170</v>
          </cell>
        </row>
        <row r="15713">
          <cell r="F15713" t="str">
            <v xml:space="preserve">1039696881     </v>
          </cell>
          <cell r="O15713">
            <v>1620</v>
          </cell>
        </row>
        <row r="15714">
          <cell r="F15714" t="str">
            <v xml:space="preserve">1039696881     </v>
          </cell>
          <cell r="O15714">
            <v>270</v>
          </cell>
        </row>
        <row r="15715">
          <cell r="F15715" t="str">
            <v xml:space="preserve">1092154547     </v>
          </cell>
          <cell r="O15715">
            <v>45</v>
          </cell>
        </row>
        <row r="15716">
          <cell r="F15716" t="str">
            <v xml:space="preserve">1092154547     </v>
          </cell>
          <cell r="O15716">
            <v>504</v>
          </cell>
        </row>
        <row r="15717">
          <cell r="F15717" t="str">
            <v xml:space="preserve">1092154547     </v>
          </cell>
          <cell r="O15717">
            <v>360</v>
          </cell>
        </row>
        <row r="15718">
          <cell r="F15718" t="str">
            <v xml:space="preserve">15342410       </v>
          </cell>
          <cell r="O15718">
            <v>2340</v>
          </cell>
        </row>
        <row r="15719">
          <cell r="F15719" t="str">
            <v xml:space="preserve">15342410       </v>
          </cell>
          <cell r="O15719">
            <v>360</v>
          </cell>
        </row>
        <row r="15720">
          <cell r="F15720" t="str">
            <v xml:space="preserve">15342410       </v>
          </cell>
          <cell r="O15720">
            <v>315</v>
          </cell>
        </row>
        <row r="15721">
          <cell r="F15721" t="str">
            <v xml:space="preserve">6802563        </v>
          </cell>
          <cell r="O15721">
            <v>120</v>
          </cell>
        </row>
        <row r="15722">
          <cell r="F15722" t="str">
            <v xml:space="preserve">6802563        </v>
          </cell>
          <cell r="O15722">
            <v>45</v>
          </cell>
        </row>
        <row r="15723">
          <cell r="F15723" t="str">
            <v xml:space="preserve">6802563        </v>
          </cell>
          <cell r="O15723">
            <v>225</v>
          </cell>
        </row>
        <row r="15724">
          <cell r="F15724" t="str">
            <v xml:space="preserve">88273778       </v>
          </cell>
          <cell r="O15724">
            <v>270</v>
          </cell>
        </row>
        <row r="15725">
          <cell r="F15725" t="str">
            <v xml:space="preserve">88273778       </v>
          </cell>
          <cell r="O15725">
            <v>45</v>
          </cell>
        </row>
        <row r="15726">
          <cell r="F15726" t="str">
            <v xml:space="preserve">13476066       </v>
          </cell>
          <cell r="O15726">
            <v>45</v>
          </cell>
        </row>
        <row r="15727">
          <cell r="F15727" t="str">
            <v xml:space="preserve">13476066       </v>
          </cell>
          <cell r="O15727">
            <v>135</v>
          </cell>
        </row>
        <row r="15728">
          <cell r="F15728" t="str">
            <v xml:space="preserve">13476066       </v>
          </cell>
          <cell r="O15728">
            <v>120</v>
          </cell>
        </row>
        <row r="15729">
          <cell r="F15729" t="str">
            <v xml:space="preserve">98763233       </v>
          </cell>
          <cell r="O15729">
            <v>18</v>
          </cell>
        </row>
        <row r="15730">
          <cell r="F15730" t="str">
            <v xml:space="preserve">98763233       </v>
          </cell>
          <cell r="O15730">
            <v>9</v>
          </cell>
        </row>
        <row r="15731">
          <cell r="F15731" t="str">
            <v xml:space="preserve">98763233       </v>
          </cell>
          <cell r="O15731">
            <v>30</v>
          </cell>
        </row>
        <row r="15732">
          <cell r="F15732" t="str">
            <v xml:space="preserve">98763233       </v>
          </cell>
          <cell r="O15732">
            <v>1440</v>
          </cell>
        </row>
        <row r="15733">
          <cell r="F15733" t="str">
            <v xml:space="preserve">94420654       </v>
          </cell>
          <cell r="O15733">
            <v>90</v>
          </cell>
        </row>
        <row r="15734">
          <cell r="F15734" t="str">
            <v xml:space="preserve">94420654       </v>
          </cell>
          <cell r="O15734">
            <v>90</v>
          </cell>
        </row>
        <row r="15735">
          <cell r="F15735" t="str">
            <v xml:space="preserve">1090397527     </v>
          </cell>
          <cell r="O15735">
            <v>90</v>
          </cell>
        </row>
        <row r="15736">
          <cell r="F15736" t="str">
            <v xml:space="preserve">1090397527     </v>
          </cell>
          <cell r="O15736">
            <v>270</v>
          </cell>
        </row>
        <row r="15737">
          <cell r="F15737" t="str">
            <v xml:space="preserve">1090397527     </v>
          </cell>
          <cell r="O15737">
            <v>300</v>
          </cell>
        </row>
        <row r="15738">
          <cell r="F15738" t="str">
            <v xml:space="preserve">1090397527     </v>
          </cell>
          <cell r="O15738">
            <v>90</v>
          </cell>
        </row>
        <row r="15739">
          <cell r="F15739" t="str">
            <v xml:space="preserve">1090397527     </v>
          </cell>
          <cell r="O15739">
            <v>405</v>
          </cell>
        </row>
        <row r="15740">
          <cell r="F15740" t="str">
            <v xml:space="preserve">1090397527     </v>
          </cell>
          <cell r="O15740">
            <v>90</v>
          </cell>
        </row>
        <row r="15741">
          <cell r="F15741" t="str">
            <v xml:space="preserve">1090397527     </v>
          </cell>
          <cell r="O15741">
            <v>1305</v>
          </cell>
        </row>
        <row r="15742">
          <cell r="F15742" t="str">
            <v xml:space="preserve">1090397527     </v>
          </cell>
          <cell r="O15742">
            <v>315</v>
          </cell>
        </row>
        <row r="15743">
          <cell r="F15743" t="str">
            <v xml:space="preserve">1090397527     </v>
          </cell>
          <cell r="O15743">
            <v>225</v>
          </cell>
        </row>
        <row r="15744">
          <cell r="F15744" t="str">
            <v xml:space="preserve">1090397527     </v>
          </cell>
          <cell r="O15744">
            <v>360</v>
          </cell>
        </row>
        <row r="15745">
          <cell r="F15745" t="str">
            <v xml:space="preserve">1090397527     </v>
          </cell>
          <cell r="O15745">
            <v>600</v>
          </cell>
        </row>
        <row r="15746">
          <cell r="F15746" t="str">
            <v xml:space="preserve">1090397527     </v>
          </cell>
          <cell r="O15746">
            <v>1125</v>
          </cell>
        </row>
        <row r="15747">
          <cell r="F15747" t="str">
            <v xml:space="preserve">1100623000     </v>
          </cell>
          <cell r="O15747">
            <v>630</v>
          </cell>
        </row>
        <row r="15748">
          <cell r="F15748" t="str">
            <v xml:space="preserve">1100623000     </v>
          </cell>
          <cell r="O15748">
            <v>45</v>
          </cell>
        </row>
        <row r="15749">
          <cell r="F15749" t="str">
            <v xml:space="preserve">73126502       </v>
          </cell>
          <cell r="O15749">
            <v>165</v>
          </cell>
        </row>
        <row r="15750">
          <cell r="F15750" t="str">
            <v xml:space="preserve">73126502       </v>
          </cell>
          <cell r="O15750">
            <v>180</v>
          </cell>
        </row>
        <row r="15751">
          <cell r="F15751" t="str">
            <v xml:space="preserve">70303177       </v>
          </cell>
          <cell r="O15751">
            <v>630</v>
          </cell>
        </row>
        <row r="15752">
          <cell r="F15752" t="str">
            <v xml:space="preserve">70303177       </v>
          </cell>
          <cell r="O15752">
            <v>450</v>
          </cell>
        </row>
        <row r="15753">
          <cell r="F15753" t="str">
            <v xml:space="preserve">70303177       </v>
          </cell>
          <cell r="O15753">
            <v>1050</v>
          </cell>
        </row>
        <row r="15754">
          <cell r="F15754" t="str">
            <v xml:space="preserve">70303177       </v>
          </cell>
          <cell r="O15754">
            <v>63</v>
          </cell>
        </row>
        <row r="15755">
          <cell r="F15755" t="str">
            <v xml:space="preserve">70303177       </v>
          </cell>
          <cell r="O15755">
            <v>1050</v>
          </cell>
        </row>
        <row r="15756">
          <cell r="F15756" t="str">
            <v xml:space="preserve">70303177       </v>
          </cell>
          <cell r="O15756">
            <v>540</v>
          </cell>
        </row>
        <row r="15757">
          <cell r="F15757" t="str">
            <v xml:space="preserve">70303177       </v>
          </cell>
          <cell r="O15757">
            <v>135</v>
          </cell>
        </row>
        <row r="15758">
          <cell r="F15758" t="str">
            <v xml:space="preserve">70303177       </v>
          </cell>
          <cell r="O15758">
            <v>1350</v>
          </cell>
        </row>
        <row r="15759">
          <cell r="F15759" t="str">
            <v xml:space="preserve">70303177       </v>
          </cell>
          <cell r="O15759">
            <v>180</v>
          </cell>
        </row>
        <row r="15760">
          <cell r="F15760" t="str">
            <v xml:space="preserve">71142360       </v>
          </cell>
          <cell r="O15760">
            <v>60</v>
          </cell>
        </row>
        <row r="15761">
          <cell r="F15761" t="str">
            <v xml:space="preserve">71142360       </v>
          </cell>
          <cell r="O15761">
            <v>684</v>
          </cell>
        </row>
        <row r="15762">
          <cell r="F15762" t="str">
            <v xml:space="preserve">71142360       </v>
          </cell>
          <cell r="O15762">
            <v>300</v>
          </cell>
        </row>
        <row r="15763">
          <cell r="F15763" t="str">
            <v xml:space="preserve">71142360       </v>
          </cell>
          <cell r="O15763">
            <v>594</v>
          </cell>
        </row>
        <row r="15764">
          <cell r="F15764" t="str">
            <v xml:space="preserve">24341063       </v>
          </cell>
          <cell r="O15764">
            <v>18</v>
          </cell>
        </row>
        <row r="15765">
          <cell r="F15765" t="str">
            <v xml:space="preserve">24341063       </v>
          </cell>
          <cell r="O15765">
            <v>765</v>
          </cell>
        </row>
        <row r="15766">
          <cell r="F15766" t="str">
            <v xml:space="preserve">24341063       </v>
          </cell>
          <cell r="O15766">
            <v>216</v>
          </cell>
        </row>
        <row r="15767">
          <cell r="F15767" t="str">
            <v xml:space="preserve">24341063       </v>
          </cell>
          <cell r="O15767">
            <v>90</v>
          </cell>
        </row>
        <row r="15768">
          <cell r="F15768" t="str">
            <v xml:space="preserve">43656575       </v>
          </cell>
          <cell r="O15768">
            <v>675</v>
          </cell>
        </row>
        <row r="15769">
          <cell r="F15769" t="str">
            <v xml:space="preserve">43656575       </v>
          </cell>
          <cell r="O15769">
            <v>810</v>
          </cell>
        </row>
        <row r="15770">
          <cell r="F15770" t="str">
            <v xml:space="preserve">43656575       </v>
          </cell>
          <cell r="O15770">
            <v>45</v>
          </cell>
        </row>
        <row r="15771">
          <cell r="F15771" t="str">
            <v xml:space="preserve">43656575       </v>
          </cell>
          <cell r="O15771">
            <v>18</v>
          </cell>
        </row>
        <row r="15772">
          <cell r="F15772" t="str">
            <v xml:space="preserve">43656575       </v>
          </cell>
          <cell r="O15772">
            <v>18</v>
          </cell>
        </row>
        <row r="15773">
          <cell r="F15773" t="str">
            <v xml:space="preserve">43656575       </v>
          </cell>
          <cell r="O15773">
            <v>1800</v>
          </cell>
        </row>
        <row r="15774">
          <cell r="F15774" t="str">
            <v xml:space="preserve">43656575       </v>
          </cell>
          <cell r="O15774">
            <v>45</v>
          </cell>
        </row>
        <row r="15775">
          <cell r="F15775" t="str">
            <v xml:space="preserve">16836063       </v>
          </cell>
          <cell r="O15775">
            <v>15</v>
          </cell>
        </row>
        <row r="15776">
          <cell r="F15776" t="str">
            <v xml:space="preserve">16836063       </v>
          </cell>
          <cell r="O15776">
            <v>162</v>
          </cell>
        </row>
        <row r="15777">
          <cell r="F15777" t="str">
            <v xml:space="preserve">16836063       </v>
          </cell>
          <cell r="O15777">
            <v>45</v>
          </cell>
        </row>
        <row r="15778">
          <cell r="F15778" t="str">
            <v xml:space="preserve">16836063       </v>
          </cell>
          <cell r="O15778">
            <v>90</v>
          </cell>
        </row>
        <row r="15779">
          <cell r="F15779" t="str">
            <v xml:space="preserve">16836063       </v>
          </cell>
          <cell r="O15779">
            <v>45</v>
          </cell>
        </row>
        <row r="15780">
          <cell r="F15780" t="str">
            <v xml:space="preserve">91180797       </v>
          </cell>
          <cell r="O15780">
            <v>450</v>
          </cell>
        </row>
        <row r="15781">
          <cell r="F15781" t="str">
            <v xml:space="preserve">91180797       </v>
          </cell>
          <cell r="O15781">
            <v>198</v>
          </cell>
        </row>
        <row r="15782">
          <cell r="F15782" t="str">
            <v xml:space="preserve">91180797       </v>
          </cell>
          <cell r="O15782">
            <v>135</v>
          </cell>
        </row>
        <row r="15783">
          <cell r="F15783" t="str">
            <v xml:space="preserve">73559455       </v>
          </cell>
          <cell r="O15783">
            <v>15</v>
          </cell>
        </row>
        <row r="15784">
          <cell r="F15784" t="str">
            <v xml:space="preserve">73559455       </v>
          </cell>
          <cell r="O15784">
            <v>54</v>
          </cell>
        </row>
        <row r="15785">
          <cell r="F15785" t="str">
            <v xml:space="preserve">73559455       </v>
          </cell>
          <cell r="O15785">
            <v>105</v>
          </cell>
        </row>
        <row r="15786">
          <cell r="F15786" t="str">
            <v xml:space="preserve">73559455       </v>
          </cell>
          <cell r="O15786">
            <v>90</v>
          </cell>
        </row>
        <row r="15787">
          <cell r="F15787" t="str">
            <v xml:space="preserve">94262420       </v>
          </cell>
          <cell r="O15787">
            <v>990</v>
          </cell>
        </row>
        <row r="15788">
          <cell r="F15788" t="str">
            <v xml:space="preserve">94262420       </v>
          </cell>
          <cell r="O15788">
            <v>225</v>
          </cell>
        </row>
        <row r="15789">
          <cell r="F15789" t="str">
            <v xml:space="preserve">94262420       </v>
          </cell>
          <cell r="O15789">
            <v>90</v>
          </cell>
        </row>
        <row r="15790">
          <cell r="F15790" t="str">
            <v xml:space="preserve">94262420       </v>
          </cell>
          <cell r="O15790">
            <v>675</v>
          </cell>
        </row>
        <row r="15791">
          <cell r="F15791" t="str">
            <v xml:space="preserve">94262420       </v>
          </cell>
          <cell r="O15791">
            <v>54</v>
          </cell>
        </row>
        <row r="15792">
          <cell r="F15792" t="str">
            <v xml:space="preserve">1123306260     </v>
          </cell>
          <cell r="O15792">
            <v>108</v>
          </cell>
        </row>
        <row r="15793">
          <cell r="F15793" t="str">
            <v xml:space="preserve">1214745372     </v>
          </cell>
          <cell r="O15793">
            <v>90</v>
          </cell>
        </row>
        <row r="15794">
          <cell r="F15794" t="str">
            <v xml:space="preserve">93419128       </v>
          </cell>
          <cell r="O15794">
            <v>75</v>
          </cell>
        </row>
        <row r="15795">
          <cell r="F15795" t="str">
            <v xml:space="preserve">93419128       </v>
          </cell>
          <cell r="O15795">
            <v>540</v>
          </cell>
        </row>
        <row r="15796">
          <cell r="F15796" t="str">
            <v xml:space="preserve">93419128       </v>
          </cell>
          <cell r="O15796">
            <v>225</v>
          </cell>
        </row>
        <row r="15797">
          <cell r="F15797" t="str">
            <v xml:space="preserve">860005265      </v>
          </cell>
          <cell r="O15797">
            <v>1050</v>
          </cell>
        </row>
        <row r="15798">
          <cell r="F15798" t="str">
            <v xml:space="preserve">860005265      </v>
          </cell>
          <cell r="O15798">
            <v>369.4</v>
          </cell>
        </row>
        <row r="15799">
          <cell r="F15799" t="str">
            <v xml:space="preserve">401            </v>
          </cell>
          <cell r="O15799">
            <v>195</v>
          </cell>
        </row>
        <row r="15800">
          <cell r="F15800" t="str">
            <v xml:space="preserve">401            </v>
          </cell>
          <cell r="O15800">
            <v>180</v>
          </cell>
        </row>
        <row r="15801">
          <cell r="F15801" t="str">
            <v xml:space="preserve">5874334        </v>
          </cell>
          <cell r="O15801">
            <v>486</v>
          </cell>
        </row>
        <row r="15802">
          <cell r="F15802" t="str">
            <v xml:space="preserve">5874334        </v>
          </cell>
          <cell r="O15802">
            <v>135</v>
          </cell>
        </row>
        <row r="15803">
          <cell r="F15803" t="str">
            <v xml:space="preserve">5874334        </v>
          </cell>
          <cell r="O15803">
            <v>36</v>
          </cell>
        </row>
        <row r="15804">
          <cell r="F15804" t="str">
            <v xml:space="preserve">203            </v>
          </cell>
          <cell r="O15804">
            <v>36</v>
          </cell>
        </row>
        <row r="15805">
          <cell r="F15805" t="str">
            <v xml:space="preserve">203            </v>
          </cell>
          <cell r="O15805">
            <v>315</v>
          </cell>
        </row>
        <row r="15806">
          <cell r="F15806" t="str">
            <v xml:space="preserve">900084859      </v>
          </cell>
          <cell r="O15806">
            <v>45</v>
          </cell>
        </row>
        <row r="15807">
          <cell r="F15807" t="str">
            <v xml:space="preserve">900084859      </v>
          </cell>
          <cell r="O15807">
            <v>18</v>
          </cell>
        </row>
        <row r="15808">
          <cell r="F15808" t="str">
            <v xml:space="preserve">901309711      </v>
          </cell>
          <cell r="O15808">
            <v>45</v>
          </cell>
        </row>
        <row r="15809">
          <cell r="F15809" t="str">
            <v xml:space="preserve">901485271      </v>
          </cell>
          <cell r="O15809">
            <v>45</v>
          </cell>
        </row>
        <row r="15810">
          <cell r="F15810" t="str">
            <v xml:space="preserve">901485271      </v>
          </cell>
          <cell r="O15810">
            <v>36</v>
          </cell>
        </row>
        <row r="15811">
          <cell r="F15811" t="str">
            <v xml:space="preserve">901485271      </v>
          </cell>
          <cell r="O15811">
            <v>36</v>
          </cell>
        </row>
        <row r="15812">
          <cell r="F15812" t="str">
            <v xml:space="preserve">860001697      </v>
          </cell>
          <cell r="O15812">
            <v>380.2</v>
          </cell>
        </row>
        <row r="15813">
          <cell r="F15813" t="str">
            <v xml:space="preserve">860072172      </v>
          </cell>
          <cell r="O15813">
            <v>80</v>
          </cell>
        </row>
        <row r="15814">
          <cell r="F15814" t="str">
            <v xml:space="preserve">860502509      </v>
          </cell>
          <cell r="O15814">
            <v>208.35</v>
          </cell>
        </row>
        <row r="15815">
          <cell r="F15815" t="str">
            <v xml:space="preserve">900239671      </v>
          </cell>
          <cell r="O15815">
            <v>54</v>
          </cell>
        </row>
        <row r="15816">
          <cell r="F15816" t="str">
            <v xml:space="preserve">901079460      </v>
          </cell>
          <cell r="O15816">
            <v>332.6</v>
          </cell>
        </row>
        <row r="15817">
          <cell r="F15817" t="str">
            <v xml:space="preserve">102            </v>
          </cell>
          <cell r="O15817">
            <v>18</v>
          </cell>
        </row>
        <row r="15818">
          <cell r="F15818" t="str">
            <v xml:space="preserve">901554026      </v>
          </cell>
          <cell r="O15818">
            <v>36</v>
          </cell>
        </row>
        <row r="15819">
          <cell r="F15819" t="str">
            <v xml:space="preserve">32772122       </v>
          </cell>
          <cell r="O15819">
            <v>300</v>
          </cell>
        </row>
        <row r="15820">
          <cell r="F15820" t="str">
            <v xml:space="preserve">32772122       </v>
          </cell>
          <cell r="O15820">
            <v>45</v>
          </cell>
        </row>
        <row r="15821">
          <cell r="F15821" t="str">
            <v xml:space="preserve">73186091       </v>
          </cell>
          <cell r="O15821">
            <v>465</v>
          </cell>
        </row>
        <row r="15822">
          <cell r="F15822" t="str">
            <v xml:space="preserve">830015914      </v>
          </cell>
          <cell r="O15822">
            <v>90</v>
          </cell>
        </row>
        <row r="15823">
          <cell r="F15823" t="str">
            <v xml:space="preserve">8795144        </v>
          </cell>
          <cell r="O15823">
            <v>75</v>
          </cell>
        </row>
        <row r="15824">
          <cell r="F15824" t="str">
            <v xml:space="preserve">8795144        </v>
          </cell>
          <cell r="O15824">
            <v>36</v>
          </cell>
        </row>
        <row r="15825">
          <cell r="F15825" t="str">
            <v xml:space="preserve">811047008      </v>
          </cell>
          <cell r="O15825">
            <v>54</v>
          </cell>
        </row>
        <row r="15826">
          <cell r="F15826" t="str">
            <v xml:space="preserve">830006735      </v>
          </cell>
          <cell r="O15826">
            <v>543.95000000000005</v>
          </cell>
        </row>
        <row r="15827">
          <cell r="F15827" t="str">
            <v xml:space="preserve">830118404      </v>
          </cell>
          <cell r="O15827">
            <v>54</v>
          </cell>
        </row>
        <row r="15828">
          <cell r="F15828" t="str">
            <v xml:space="preserve">899999049      </v>
          </cell>
          <cell r="O15828">
            <v>54</v>
          </cell>
        </row>
        <row r="15829">
          <cell r="F15829" t="str">
            <v xml:space="preserve">1104405256     </v>
          </cell>
          <cell r="O15829">
            <v>540</v>
          </cell>
        </row>
        <row r="15830">
          <cell r="F15830" t="str">
            <v xml:space="preserve">1104405256     </v>
          </cell>
          <cell r="O15830">
            <v>750</v>
          </cell>
        </row>
        <row r="15831">
          <cell r="F15831" t="str">
            <v xml:space="preserve">800090890      </v>
          </cell>
          <cell r="O15831">
            <v>35</v>
          </cell>
        </row>
        <row r="15832">
          <cell r="F15832" t="str">
            <v xml:space="preserve">800090890      </v>
          </cell>
          <cell r="O15832">
            <v>38</v>
          </cell>
        </row>
        <row r="15833">
          <cell r="F15833" t="str">
            <v xml:space="preserve">811014849      </v>
          </cell>
          <cell r="O15833">
            <v>234</v>
          </cell>
        </row>
        <row r="15834">
          <cell r="F15834" t="str">
            <v xml:space="preserve">811014849      </v>
          </cell>
          <cell r="O15834">
            <v>108</v>
          </cell>
        </row>
        <row r="15835">
          <cell r="F15835" t="str">
            <v xml:space="preserve">890903939      </v>
          </cell>
          <cell r="O15835">
            <v>222.75</v>
          </cell>
        </row>
        <row r="15836">
          <cell r="F15836" t="str">
            <v xml:space="preserve">890903939      </v>
          </cell>
          <cell r="O15836">
            <v>207.38</v>
          </cell>
        </row>
        <row r="15837">
          <cell r="F15837" t="str">
            <v xml:space="preserve">890903939      </v>
          </cell>
          <cell r="O15837">
            <v>1214.7</v>
          </cell>
        </row>
        <row r="15838">
          <cell r="F15838" t="str">
            <v xml:space="preserve">211            </v>
          </cell>
          <cell r="O15838">
            <v>630</v>
          </cell>
        </row>
        <row r="15839">
          <cell r="F15839" t="str">
            <v xml:space="preserve">211            </v>
          </cell>
          <cell r="O15839">
            <v>216</v>
          </cell>
        </row>
        <row r="15840">
          <cell r="F15840" t="str">
            <v xml:space="preserve">830076368      </v>
          </cell>
          <cell r="O15840">
            <v>15</v>
          </cell>
        </row>
        <row r="15841">
          <cell r="F15841" t="str">
            <v xml:space="preserve">830076368      </v>
          </cell>
          <cell r="O15841">
            <v>75</v>
          </cell>
        </row>
        <row r="15842">
          <cell r="F15842" t="str">
            <v xml:space="preserve">830095213      </v>
          </cell>
          <cell r="O15842">
            <v>180</v>
          </cell>
        </row>
        <row r="15843">
          <cell r="F15843" t="str">
            <v xml:space="preserve">890903939      </v>
          </cell>
          <cell r="O15843">
            <v>284.35000000000002</v>
          </cell>
        </row>
        <row r="15844">
          <cell r="F15844" t="str">
            <v xml:space="preserve">900749094      </v>
          </cell>
          <cell r="O15844">
            <v>90</v>
          </cell>
        </row>
        <row r="15845">
          <cell r="F15845" t="str">
            <v xml:space="preserve">901000237      </v>
          </cell>
          <cell r="O15845">
            <v>90</v>
          </cell>
        </row>
        <row r="15846">
          <cell r="F15846" t="str">
            <v xml:space="preserve">860001697      </v>
          </cell>
          <cell r="O15846">
            <v>985.45</v>
          </cell>
        </row>
        <row r="15847">
          <cell r="F15847" t="str">
            <v xml:space="preserve">800229035      </v>
          </cell>
          <cell r="O15847">
            <v>135</v>
          </cell>
        </row>
        <row r="15848">
          <cell r="F15848" t="str">
            <v xml:space="preserve">800229035      </v>
          </cell>
          <cell r="O15848">
            <v>60</v>
          </cell>
        </row>
        <row r="15849">
          <cell r="F15849" t="str">
            <v xml:space="preserve">811016729      </v>
          </cell>
          <cell r="O15849">
            <v>18</v>
          </cell>
        </row>
        <row r="15850">
          <cell r="F15850" t="str">
            <v xml:space="preserve">811016729      </v>
          </cell>
          <cell r="O15850">
            <v>15</v>
          </cell>
        </row>
        <row r="15851">
          <cell r="F15851" t="str">
            <v xml:space="preserve">860020382      </v>
          </cell>
          <cell r="O15851">
            <v>120</v>
          </cell>
        </row>
        <row r="15852">
          <cell r="F15852" t="str">
            <v xml:space="preserve">890903939      </v>
          </cell>
          <cell r="O15852">
            <v>536.45000000000005</v>
          </cell>
        </row>
        <row r="15853">
          <cell r="F15853" t="str">
            <v xml:space="preserve">900049818      </v>
          </cell>
          <cell r="O15853">
            <v>30</v>
          </cell>
        </row>
        <row r="15854">
          <cell r="F15854" t="str">
            <v xml:space="preserve">900520964      </v>
          </cell>
          <cell r="O15854">
            <v>45</v>
          </cell>
        </row>
        <row r="15855">
          <cell r="F15855" t="str">
            <v xml:space="preserve">901017528      </v>
          </cell>
          <cell r="O15855">
            <v>510</v>
          </cell>
        </row>
        <row r="15856">
          <cell r="F15856" t="str">
            <v xml:space="preserve">901046830      </v>
          </cell>
          <cell r="O15856">
            <v>450</v>
          </cell>
        </row>
        <row r="15857">
          <cell r="F15857" t="str">
            <v xml:space="preserve">800183430      </v>
          </cell>
          <cell r="O15857">
            <v>366.5</v>
          </cell>
        </row>
        <row r="15858">
          <cell r="F15858" t="str">
            <v xml:space="preserve">53070701       </v>
          </cell>
          <cell r="O15858">
            <v>160.69999999999999</v>
          </cell>
        </row>
        <row r="15859">
          <cell r="F15859" t="str">
            <v xml:space="preserve">800175108      </v>
          </cell>
          <cell r="O15859">
            <v>44.7</v>
          </cell>
        </row>
        <row r="15860">
          <cell r="F15860" t="str">
            <v xml:space="preserve">810002278      </v>
          </cell>
          <cell r="O15860">
            <v>816.4</v>
          </cell>
        </row>
        <row r="15861">
          <cell r="F15861" t="str">
            <v xml:space="preserve">810006204      </v>
          </cell>
          <cell r="O15861">
            <v>136.30000000000001</v>
          </cell>
        </row>
        <row r="15862">
          <cell r="F15862" t="str">
            <v xml:space="preserve">800197463      </v>
          </cell>
          <cell r="O15862">
            <v>1300.4000000000001</v>
          </cell>
        </row>
        <row r="15863">
          <cell r="F15863" t="str">
            <v xml:space="preserve">891301549      </v>
          </cell>
          <cell r="O15863">
            <v>1799.3</v>
          </cell>
        </row>
        <row r="15864">
          <cell r="F15864" t="str">
            <v xml:space="preserve">891301549      </v>
          </cell>
          <cell r="O15864">
            <v>1449.8</v>
          </cell>
        </row>
        <row r="15865">
          <cell r="F15865" t="str">
            <v xml:space="preserve">900378716      </v>
          </cell>
          <cell r="O15865">
            <v>92.2</v>
          </cell>
        </row>
        <row r="15866">
          <cell r="F15866" t="str">
            <v xml:space="preserve">900959486      </v>
          </cell>
          <cell r="O15866">
            <v>3764.5</v>
          </cell>
        </row>
        <row r="15867">
          <cell r="F15867" t="str">
            <v xml:space="preserve">52739865       </v>
          </cell>
          <cell r="O15867">
            <v>190.9</v>
          </cell>
        </row>
        <row r="15868">
          <cell r="F15868" t="str">
            <v xml:space="preserve">830010738      </v>
          </cell>
          <cell r="O15868">
            <v>75.099999999999994</v>
          </cell>
        </row>
        <row r="15869">
          <cell r="F15869" t="str">
            <v xml:space="preserve">830010738      </v>
          </cell>
          <cell r="O15869">
            <v>42.2</v>
          </cell>
        </row>
        <row r="15870">
          <cell r="F15870" t="str">
            <v xml:space="preserve">830010738      </v>
          </cell>
          <cell r="O15870">
            <v>1634.4</v>
          </cell>
        </row>
        <row r="15871">
          <cell r="F15871" t="str">
            <v xml:space="preserve">1075233722     </v>
          </cell>
          <cell r="O15871">
            <v>119</v>
          </cell>
        </row>
        <row r="15872">
          <cell r="F15872" t="str">
            <v xml:space="preserve">1117528016     </v>
          </cell>
          <cell r="O15872">
            <v>74.900000000000006</v>
          </cell>
        </row>
        <row r="15873">
          <cell r="F15873" t="str">
            <v xml:space="preserve">17655255       </v>
          </cell>
          <cell r="O15873">
            <v>52.3</v>
          </cell>
        </row>
        <row r="15874">
          <cell r="F15874" t="str">
            <v xml:space="preserve">17774654       </v>
          </cell>
          <cell r="O15874">
            <v>743.3</v>
          </cell>
        </row>
        <row r="15875">
          <cell r="F15875" t="str">
            <v xml:space="preserve">40759008       </v>
          </cell>
          <cell r="O15875">
            <v>42.8</v>
          </cell>
        </row>
        <row r="15876">
          <cell r="F15876" t="str">
            <v xml:space="preserve">40775655       </v>
          </cell>
          <cell r="O15876">
            <v>69.2</v>
          </cell>
        </row>
        <row r="15877">
          <cell r="F15877" t="str">
            <v xml:space="preserve">700171862      </v>
          </cell>
          <cell r="O15877">
            <v>110.4</v>
          </cell>
        </row>
        <row r="15878">
          <cell r="F15878" t="str">
            <v xml:space="preserve">94364658       </v>
          </cell>
          <cell r="O15878">
            <v>179.2</v>
          </cell>
        </row>
        <row r="15879">
          <cell r="F15879" t="str">
            <v xml:space="preserve">830106563      </v>
          </cell>
          <cell r="O15879">
            <v>684.2</v>
          </cell>
        </row>
        <row r="15880">
          <cell r="F15880" t="str">
            <v xml:space="preserve">860029445      </v>
          </cell>
          <cell r="O15880">
            <v>2500</v>
          </cell>
        </row>
        <row r="15881">
          <cell r="F15881" t="str">
            <v xml:space="preserve">110            </v>
          </cell>
          <cell r="O15881">
            <v>162</v>
          </cell>
        </row>
        <row r="15882">
          <cell r="F15882" t="str">
            <v xml:space="preserve">101            </v>
          </cell>
          <cell r="O15882">
            <v>360</v>
          </cell>
        </row>
        <row r="15883">
          <cell r="F15883" t="str">
            <v xml:space="preserve">101            </v>
          </cell>
          <cell r="O15883">
            <v>36</v>
          </cell>
        </row>
        <row r="15884">
          <cell r="F15884" t="str">
            <v xml:space="preserve">860020382      </v>
          </cell>
          <cell r="O15884">
            <v>54</v>
          </cell>
        </row>
        <row r="15885">
          <cell r="F15885" t="str">
            <v xml:space="preserve">404            </v>
          </cell>
          <cell r="O15885">
            <v>90</v>
          </cell>
        </row>
        <row r="15886">
          <cell r="F15886" t="str">
            <v xml:space="preserve">404            </v>
          </cell>
          <cell r="O15886">
            <v>135</v>
          </cell>
        </row>
        <row r="15887">
          <cell r="F15887" t="str">
            <v xml:space="preserve">860001697      </v>
          </cell>
          <cell r="O15887">
            <v>913.6</v>
          </cell>
        </row>
        <row r="15888">
          <cell r="F15888" t="str">
            <v xml:space="preserve">210            </v>
          </cell>
          <cell r="O15888">
            <v>4.5</v>
          </cell>
        </row>
        <row r="15889">
          <cell r="F15889" t="str">
            <v xml:space="preserve">210            </v>
          </cell>
          <cell r="O15889">
            <v>15</v>
          </cell>
        </row>
        <row r="15890">
          <cell r="F15890" t="str">
            <v xml:space="preserve">210            </v>
          </cell>
          <cell r="O15890">
            <v>360</v>
          </cell>
        </row>
        <row r="15891">
          <cell r="F15891" t="str">
            <v xml:space="preserve">210            </v>
          </cell>
          <cell r="O15891">
            <v>90</v>
          </cell>
        </row>
        <row r="15892">
          <cell r="F15892" t="str">
            <v xml:space="preserve">6621568        </v>
          </cell>
          <cell r="O15892">
            <v>72</v>
          </cell>
        </row>
        <row r="15893">
          <cell r="F15893" t="str">
            <v xml:space="preserve">19236581       </v>
          </cell>
          <cell r="O15893">
            <v>45</v>
          </cell>
        </row>
        <row r="15894">
          <cell r="F15894" t="str">
            <v xml:space="preserve">890302609      </v>
          </cell>
          <cell r="O15894">
            <v>90</v>
          </cell>
        </row>
        <row r="15895">
          <cell r="F15895" t="str">
            <v xml:space="preserve">890302609      </v>
          </cell>
          <cell r="O15895">
            <v>105</v>
          </cell>
        </row>
        <row r="15896">
          <cell r="F15896" t="str">
            <v xml:space="preserve">890903939      </v>
          </cell>
          <cell r="O15896">
            <v>234</v>
          </cell>
        </row>
        <row r="15897">
          <cell r="F15897" t="str">
            <v xml:space="preserve">890903939      </v>
          </cell>
          <cell r="O15897">
            <v>244</v>
          </cell>
        </row>
        <row r="15898">
          <cell r="F15898" t="str">
            <v xml:space="preserve">891300382      </v>
          </cell>
          <cell r="O15898">
            <v>108</v>
          </cell>
        </row>
        <row r="15899">
          <cell r="F15899" t="str">
            <v xml:space="preserve">900233101      </v>
          </cell>
          <cell r="O15899">
            <v>54</v>
          </cell>
        </row>
        <row r="15900">
          <cell r="F15900" t="str">
            <v xml:space="preserve">1040743532     </v>
          </cell>
          <cell r="O15900">
            <v>180</v>
          </cell>
        </row>
        <row r="15901">
          <cell r="F15901" t="str">
            <v xml:space="preserve">1040743532     </v>
          </cell>
          <cell r="O15901">
            <v>45</v>
          </cell>
        </row>
        <row r="15902">
          <cell r="F15902" t="str">
            <v xml:space="preserve">203            </v>
          </cell>
          <cell r="O15902">
            <v>4.5</v>
          </cell>
        </row>
        <row r="15903">
          <cell r="F15903" t="str">
            <v xml:space="preserve">203            </v>
          </cell>
          <cell r="O15903">
            <v>9</v>
          </cell>
        </row>
        <row r="15904">
          <cell r="F15904" t="str">
            <v xml:space="preserve">203            </v>
          </cell>
          <cell r="O15904">
            <v>126</v>
          </cell>
        </row>
        <row r="15905">
          <cell r="F15905" t="str">
            <v xml:space="preserve">203            </v>
          </cell>
          <cell r="O15905">
            <v>45</v>
          </cell>
        </row>
        <row r="15906">
          <cell r="F15906" t="str">
            <v xml:space="preserve">203            </v>
          </cell>
          <cell r="O15906">
            <v>18</v>
          </cell>
        </row>
        <row r="15907">
          <cell r="F15907" t="str">
            <v xml:space="preserve">203            </v>
          </cell>
          <cell r="O15907">
            <v>45</v>
          </cell>
        </row>
        <row r="15908">
          <cell r="F15908" t="str">
            <v xml:space="preserve">203            </v>
          </cell>
          <cell r="O15908">
            <v>108</v>
          </cell>
        </row>
        <row r="15909">
          <cell r="F15909" t="str">
            <v xml:space="preserve">811029282      </v>
          </cell>
          <cell r="O15909">
            <v>45</v>
          </cell>
        </row>
        <row r="15910">
          <cell r="F15910" t="str">
            <v xml:space="preserve">811029282      </v>
          </cell>
          <cell r="O15910">
            <v>45</v>
          </cell>
        </row>
        <row r="15911">
          <cell r="F15911" t="str">
            <v xml:space="preserve">890985417      </v>
          </cell>
          <cell r="O15911">
            <v>18</v>
          </cell>
        </row>
        <row r="15912">
          <cell r="F15912" t="str">
            <v xml:space="preserve">900445736      </v>
          </cell>
          <cell r="O15912">
            <v>45</v>
          </cell>
        </row>
        <row r="15913">
          <cell r="F15913" t="str">
            <v xml:space="preserve">22011939       </v>
          </cell>
          <cell r="O15913">
            <v>60</v>
          </cell>
        </row>
        <row r="15914">
          <cell r="F15914" t="str">
            <v xml:space="preserve">22011939       </v>
          </cell>
          <cell r="O15914">
            <v>144</v>
          </cell>
        </row>
        <row r="15915">
          <cell r="F15915" t="str">
            <v xml:space="preserve">70900706       </v>
          </cell>
          <cell r="O15915">
            <v>600</v>
          </cell>
        </row>
        <row r="15916">
          <cell r="F15916" t="str">
            <v xml:space="preserve">70900706       </v>
          </cell>
          <cell r="O15916">
            <v>360</v>
          </cell>
        </row>
        <row r="15917">
          <cell r="F15917" t="str">
            <v xml:space="preserve">52790620       </v>
          </cell>
          <cell r="O15917">
            <v>2412</v>
          </cell>
        </row>
        <row r="15918">
          <cell r="F15918" t="str">
            <v xml:space="preserve">18936116       </v>
          </cell>
          <cell r="O15918">
            <v>180</v>
          </cell>
        </row>
        <row r="15919">
          <cell r="F15919" t="str">
            <v xml:space="preserve">808001557      </v>
          </cell>
          <cell r="O15919">
            <v>1800</v>
          </cell>
        </row>
        <row r="15920">
          <cell r="F15920" t="str">
            <v xml:space="preserve">800100700      </v>
          </cell>
          <cell r="O15920">
            <v>90</v>
          </cell>
        </row>
        <row r="15921">
          <cell r="F15921" t="str">
            <v xml:space="preserve">110            </v>
          </cell>
          <cell r="O15921">
            <v>846</v>
          </cell>
        </row>
        <row r="15922">
          <cell r="F15922" t="str">
            <v xml:space="preserve">110            </v>
          </cell>
          <cell r="O15922">
            <v>45</v>
          </cell>
        </row>
        <row r="15923">
          <cell r="F15923" t="str">
            <v xml:space="preserve">800134497      </v>
          </cell>
          <cell r="O15923">
            <v>2180.3000000000002</v>
          </cell>
        </row>
        <row r="15924">
          <cell r="F15924" t="str">
            <v xml:space="preserve">860403972      </v>
          </cell>
          <cell r="O15924">
            <v>1000.1</v>
          </cell>
        </row>
        <row r="15925">
          <cell r="F15925" t="str">
            <v xml:space="preserve">900474647      </v>
          </cell>
          <cell r="O15925">
            <v>1001.7</v>
          </cell>
        </row>
        <row r="15926">
          <cell r="F15926" t="str">
            <v xml:space="preserve">901008628      </v>
          </cell>
          <cell r="O15926">
            <v>157.69999999999999</v>
          </cell>
        </row>
        <row r="15927">
          <cell r="F15927" t="str">
            <v xml:space="preserve">811014849      </v>
          </cell>
          <cell r="O15927">
            <v>36</v>
          </cell>
        </row>
        <row r="15928">
          <cell r="F15928" t="str">
            <v xml:space="preserve">811014849      </v>
          </cell>
          <cell r="O15928">
            <v>36</v>
          </cell>
        </row>
        <row r="15929">
          <cell r="F15929" t="str">
            <v xml:space="preserve">811014849      </v>
          </cell>
          <cell r="O15929">
            <v>90</v>
          </cell>
        </row>
        <row r="15930">
          <cell r="F15930" t="str">
            <v xml:space="preserve">890900161      </v>
          </cell>
          <cell r="O15930">
            <v>15</v>
          </cell>
        </row>
        <row r="15931">
          <cell r="F15931" t="str">
            <v xml:space="preserve">890900161      </v>
          </cell>
          <cell r="O15931">
            <v>75</v>
          </cell>
        </row>
        <row r="15932">
          <cell r="F15932" t="str">
            <v xml:space="preserve">900313945      </v>
          </cell>
          <cell r="O15932">
            <v>135</v>
          </cell>
        </row>
        <row r="15933">
          <cell r="F15933" t="str">
            <v xml:space="preserve">901315145      </v>
          </cell>
          <cell r="O15933">
            <v>18</v>
          </cell>
        </row>
        <row r="15934">
          <cell r="F15934" t="str">
            <v xml:space="preserve">805011264      </v>
          </cell>
          <cell r="O15934">
            <v>18</v>
          </cell>
        </row>
        <row r="15935">
          <cell r="F15935" t="str">
            <v xml:space="preserve">815004320      </v>
          </cell>
          <cell r="O15935">
            <v>90</v>
          </cell>
        </row>
        <row r="15936">
          <cell r="F15936" t="str">
            <v xml:space="preserve">860020382      </v>
          </cell>
          <cell r="O15936">
            <v>36</v>
          </cell>
        </row>
        <row r="15937">
          <cell r="F15937" t="str">
            <v xml:space="preserve">860020382      </v>
          </cell>
          <cell r="O15937">
            <v>36</v>
          </cell>
        </row>
        <row r="15938">
          <cell r="F15938" t="str">
            <v xml:space="preserve">860020382      </v>
          </cell>
          <cell r="O15938">
            <v>54</v>
          </cell>
        </row>
        <row r="15939">
          <cell r="F15939" t="str">
            <v xml:space="preserve">860047066      </v>
          </cell>
          <cell r="O15939">
            <v>72</v>
          </cell>
        </row>
        <row r="15940">
          <cell r="F15940" t="str">
            <v xml:space="preserve">890300431      </v>
          </cell>
          <cell r="O15940">
            <v>123</v>
          </cell>
        </row>
        <row r="15941">
          <cell r="F15941" t="str">
            <v xml:space="preserve">890307885      </v>
          </cell>
          <cell r="O15941">
            <v>144</v>
          </cell>
        </row>
        <row r="15942">
          <cell r="F15942" t="str">
            <v xml:space="preserve">890311251      </v>
          </cell>
          <cell r="O15942">
            <v>54</v>
          </cell>
        </row>
        <row r="15943">
          <cell r="F15943" t="str">
            <v xml:space="preserve">890316957      </v>
          </cell>
          <cell r="O15943">
            <v>78</v>
          </cell>
        </row>
        <row r="15944">
          <cell r="F15944" t="str">
            <v xml:space="preserve">890322007      </v>
          </cell>
          <cell r="O15944">
            <v>180</v>
          </cell>
        </row>
        <row r="15945">
          <cell r="F15945" t="str">
            <v xml:space="preserve">900204935      </v>
          </cell>
          <cell r="O15945">
            <v>36</v>
          </cell>
        </row>
        <row r="15946">
          <cell r="F15946" t="str">
            <v xml:space="preserve">900818921      </v>
          </cell>
          <cell r="O15946">
            <v>450</v>
          </cell>
        </row>
        <row r="15947">
          <cell r="F15947" t="str">
            <v xml:space="preserve">900818921      </v>
          </cell>
          <cell r="O15947">
            <v>348</v>
          </cell>
        </row>
        <row r="15948">
          <cell r="F15948" t="str">
            <v xml:space="preserve">900896300      </v>
          </cell>
          <cell r="O15948">
            <v>126</v>
          </cell>
        </row>
        <row r="15949">
          <cell r="F15949" t="str">
            <v xml:space="preserve">900896300      </v>
          </cell>
          <cell r="O15949">
            <v>90</v>
          </cell>
        </row>
        <row r="15950">
          <cell r="F15950" t="str">
            <v xml:space="preserve">901026262      </v>
          </cell>
          <cell r="O15950">
            <v>54</v>
          </cell>
        </row>
        <row r="15951">
          <cell r="F15951" t="str">
            <v xml:space="preserve">901026262      </v>
          </cell>
          <cell r="O15951">
            <v>54</v>
          </cell>
        </row>
        <row r="15952">
          <cell r="F15952" t="str">
            <v xml:space="preserve">901026262      </v>
          </cell>
          <cell r="O15952">
            <v>90</v>
          </cell>
        </row>
        <row r="15953">
          <cell r="F15953" t="str">
            <v xml:space="preserve">1090462268     </v>
          </cell>
          <cell r="O15953">
            <v>274.39999999999998</v>
          </cell>
        </row>
        <row r="15954">
          <cell r="F15954" t="str">
            <v xml:space="preserve">37274379       </v>
          </cell>
          <cell r="O15954">
            <v>115.4</v>
          </cell>
        </row>
        <row r="15955">
          <cell r="F15955" t="str">
            <v xml:space="preserve">60342963       </v>
          </cell>
          <cell r="O15955">
            <v>71</v>
          </cell>
        </row>
        <row r="15956">
          <cell r="F15956" t="str">
            <v xml:space="preserve">901438767      </v>
          </cell>
          <cell r="O15956">
            <v>1874.4</v>
          </cell>
        </row>
        <row r="15957">
          <cell r="F15957" t="str">
            <v xml:space="preserve">890200474      </v>
          </cell>
          <cell r="O15957">
            <v>2300</v>
          </cell>
        </row>
        <row r="15958">
          <cell r="F15958" t="str">
            <v xml:space="preserve">890200474      </v>
          </cell>
          <cell r="O15958">
            <v>2716.9</v>
          </cell>
        </row>
        <row r="15959">
          <cell r="F15959" t="str">
            <v xml:space="preserve">890308111      </v>
          </cell>
          <cell r="O15959">
            <v>117</v>
          </cell>
        </row>
        <row r="15960">
          <cell r="F15960" t="str">
            <v xml:space="preserve">900212705      </v>
          </cell>
          <cell r="O15960">
            <v>930.3</v>
          </cell>
        </row>
        <row r="15961">
          <cell r="F15961" t="str">
            <v xml:space="preserve">900384449      </v>
          </cell>
          <cell r="O15961">
            <v>326.3</v>
          </cell>
        </row>
        <row r="15962">
          <cell r="F15962" t="str">
            <v xml:space="preserve">900217771      </v>
          </cell>
          <cell r="O15962">
            <v>126</v>
          </cell>
        </row>
        <row r="15963">
          <cell r="F15963" t="str">
            <v xml:space="preserve">900217771      </v>
          </cell>
          <cell r="O15963">
            <v>1632.5</v>
          </cell>
        </row>
        <row r="15964">
          <cell r="F15964" t="str">
            <v xml:space="preserve">900217771      </v>
          </cell>
          <cell r="O15964">
            <v>246.1</v>
          </cell>
        </row>
        <row r="15965">
          <cell r="F15965" t="str">
            <v xml:space="preserve">901461368      </v>
          </cell>
          <cell r="O15965">
            <v>834.9</v>
          </cell>
        </row>
        <row r="15966">
          <cell r="F15966" t="str">
            <v xml:space="preserve">901562474      </v>
          </cell>
          <cell r="O15966">
            <v>856.7</v>
          </cell>
        </row>
        <row r="15967">
          <cell r="F15967" t="str">
            <v xml:space="preserve">860403972      </v>
          </cell>
          <cell r="O15967">
            <v>1003.2</v>
          </cell>
        </row>
        <row r="15968">
          <cell r="F15968" t="str">
            <v xml:space="preserve">900972609      </v>
          </cell>
          <cell r="O15968">
            <v>214.1</v>
          </cell>
        </row>
        <row r="15969">
          <cell r="F15969" t="str">
            <v xml:space="preserve">52790620       </v>
          </cell>
          <cell r="O15969">
            <v>90</v>
          </cell>
        </row>
        <row r="15970">
          <cell r="F15970" t="str">
            <v xml:space="preserve">52790620       </v>
          </cell>
          <cell r="O15970">
            <v>360</v>
          </cell>
        </row>
        <row r="15971">
          <cell r="F15971" t="str">
            <v xml:space="preserve">800134497      </v>
          </cell>
          <cell r="O15971">
            <v>700.2</v>
          </cell>
        </row>
        <row r="15972">
          <cell r="F15972" t="str">
            <v xml:space="preserve">860522164      </v>
          </cell>
          <cell r="O15972">
            <v>1400</v>
          </cell>
        </row>
        <row r="15973">
          <cell r="F15973" t="str">
            <v xml:space="preserve">70900706       </v>
          </cell>
          <cell r="O15973">
            <v>45</v>
          </cell>
        </row>
        <row r="15974">
          <cell r="F15974" t="str">
            <v xml:space="preserve">19236581       </v>
          </cell>
          <cell r="O15974">
            <v>2308.1999999999998</v>
          </cell>
        </row>
        <row r="15975">
          <cell r="F15975" t="str">
            <v xml:space="preserve">27174286       </v>
          </cell>
          <cell r="O15975">
            <v>141.69999999999999</v>
          </cell>
        </row>
        <row r="15976">
          <cell r="F15976" t="str">
            <v xml:space="preserve">31989080       </v>
          </cell>
          <cell r="O15976">
            <v>214</v>
          </cell>
        </row>
        <row r="15977">
          <cell r="F15977" t="str">
            <v xml:space="preserve">805014595      </v>
          </cell>
          <cell r="O15977">
            <v>239</v>
          </cell>
        </row>
        <row r="15978">
          <cell r="F15978" t="str">
            <v xml:space="preserve">830016868      </v>
          </cell>
          <cell r="O15978">
            <v>1267.9000000000001</v>
          </cell>
        </row>
        <row r="15979">
          <cell r="F15979" t="str">
            <v xml:space="preserve">830107617      </v>
          </cell>
          <cell r="O15979">
            <v>2020</v>
          </cell>
        </row>
        <row r="15980">
          <cell r="F15980" t="str">
            <v xml:space="preserve">860058831      </v>
          </cell>
          <cell r="O15980">
            <v>1829.5</v>
          </cell>
        </row>
        <row r="15981">
          <cell r="F15981" t="str">
            <v xml:space="preserve">900030756      </v>
          </cell>
          <cell r="O15981">
            <v>2740</v>
          </cell>
        </row>
        <row r="15982">
          <cell r="F15982" t="str">
            <v xml:space="preserve">900314134      </v>
          </cell>
          <cell r="O15982">
            <v>907.9</v>
          </cell>
        </row>
        <row r="15983">
          <cell r="F15983" t="str">
            <v xml:space="preserve">91179385       </v>
          </cell>
          <cell r="O15983">
            <v>396</v>
          </cell>
        </row>
        <row r="15984">
          <cell r="F15984" t="str">
            <v xml:space="preserve">91179385       </v>
          </cell>
          <cell r="O15984">
            <v>90</v>
          </cell>
        </row>
        <row r="15985">
          <cell r="F15985" t="str">
            <v xml:space="preserve">88275004       </v>
          </cell>
          <cell r="O15985">
            <v>600</v>
          </cell>
        </row>
        <row r="15986">
          <cell r="F15986" t="str">
            <v xml:space="preserve">88275004       </v>
          </cell>
          <cell r="O15986">
            <v>1620</v>
          </cell>
        </row>
        <row r="15987">
          <cell r="F15987" t="str">
            <v xml:space="preserve">88275004       </v>
          </cell>
          <cell r="O15987">
            <v>225</v>
          </cell>
        </row>
        <row r="15988">
          <cell r="F15988" t="str">
            <v xml:space="preserve">5689927        </v>
          </cell>
          <cell r="O15988">
            <v>720</v>
          </cell>
        </row>
        <row r="15989">
          <cell r="F15989" t="str">
            <v xml:space="preserve">5689927        </v>
          </cell>
          <cell r="O15989">
            <v>270</v>
          </cell>
        </row>
        <row r="15990">
          <cell r="F15990" t="str">
            <v xml:space="preserve">63316163       </v>
          </cell>
          <cell r="O15990">
            <v>1242</v>
          </cell>
        </row>
        <row r="15991">
          <cell r="F15991" t="str">
            <v xml:space="preserve">63316163       </v>
          </cell>
          <cell r="O15991">
            <v>675</v>
          </cell>
        </row>
        <row r="15992">
          <cell r="F15992" t="str">
            <v xml:space="preserve">830016868      </v>
          </cell>
          <cell r="O15992">
            <v>1000.2</v>
          </cell>
        </row>
        <row r="15993">
          <cell r="F15993" t="str">
            <v xml:space="preserve">860001697      </v>
          </cell>
          <cell r="O15993">
            <v>153.6</v>
          </cell>
        </row>
        <row r="15994">
          <cell r="F15994" t="str">
            <v xml:space="preserve">830099238      </v>
          </cell>
          <cell r="O15994">
            <v>27880</v>
          </cell>
        </row>
        <row r="15995">
          <cell r="F15995" t="str">
            <v xml:space="preserve">830118416      </v>
          </cell>
          <cell r="O15995">
            <v>6970</v>
          </cell>
        </row>
        <row r="15996">
          <cell r="F15996" t="str">
            <v xml:space="preserve">901020967      </v>
          </cell>
          <cell r="O15996">
            <v>1870</v>
          </cell>
        </row>
        <row r="15997">
          <cell r="F15997" t="str">
            <v xml:space="preserve">79686344       </v>
          </cell>
          <cell r="O15997">
            <v>33.53</v>
          </cell>
        </row>
        <row r="15998">
          <cell r="F15998" t="str">
            <v xml:space="preserve">811014849      </v>
          </cell>
          <cell r="O15998">
            <v>437.09</v>
          </cell>
        </row>
        <row r="15999">
          <cell r="F15999" t="str">
            <v xml:space="preserve">830009573      </v>
          </cell>
          <cell r="O15999">
            <v>276.92</v>
          </cell>
        </row>
        <row r="16000">
          <cell r="F16000" t="str">
            <v xml:space="preserve">860008940      </v>
          </cell>
          <cell r="O16000">
            <v>155.63999999999999</v>
          </cell>
        </row>
        <row r="16001">
          <cell r="F16001" t="str">
            <v xml:space="preserve">891300382      </v>
          </cell>
          <cell r="O16001">
            <v>57.38</v>
          </cell>
        </row>
        <row r="16002">
          <cell r="F16002" t="str">
            <v xml:space="preserve">891300382      </v>
          </cell>
          <cell r="O16002">
            <v>63.26</v>
          </cell>
        </row>
        <row r="16003">
          <cell r="F16003" t="str">
            <v xml:space="preserve">891300382      </v>
          </cell>
          <cell r="O16003">
            <v>55.08</v>
          </cell>
        </row>
        <row r="16004">
          <cell r="F16004" t="str">
            <v xml:space="preserve">901350283      </v>
          </cell>
          <cell r="O16004">
            <v>161.63</v>
          </cell>
        </row>
        <row r="16005">
          <cell r="F16005" t="str">
            <v xml:space="preserve">860032450      </v>
          </cell>
          <cell r="O16005">
            <v>501</v>
          </cell>
        </row>
        <row r="16006">
          <cell r="F16006" t="str">
            <v xml:space="preserve">7303671        </v>
          </cell>
          <cell r="O16006">
            <v>122.3</v>
          </cell>
        </row>
        <row r="16007">
          <cell r="F16007" t="str">
            <v xml:space="preserve">830026277      </v>
          </cell>
          <cell r="O16007">
            <v>1401.8</v>
          </cell>
        </row>
        <row r="16008">
          <cell r="F16008" t="str">
            <v xml:space="preserve">901067836      </v>
          </cell>
          <cell r="O16008">
            <v>316</v>
          </cell>
        </row>
        <row r="16009">
          <cell r="F16009" t="str">
            <v xml:space="preserve">860058831      </v>
          </cell>
          <cell r="O16009">
            <v>2400.1999999999998</v>
          </cell>
        </row>
        <row r="16010">
          <cell r="F16010" t="str">
            <v xml:space="preserve">860072800      </v>
          </cell>
          <cell r="O16010">
            <v>653.29999999999995</v>
          </cell>
        </row>
        <row r="16011">
          <cell r="F16011" t="str">
            <v xml:space="preserve">900343005      </v>
          </cell>
          <cell r="O16011">
            <v>1229.8</v>
          </cell>
        </row>
        <row r="16012">
          <cell r="F16012" t="str">
            <v xml:space="preserve">900343005      </v>
          </cell>
          <cell r="O16012">
            <v>943.5</v>
          </cell>
        </row>
        <row r="16013">
          <cell r="F16013" t="str">
            <v xml:space="preserve">823001882      </v>
          </cell>
          <cell r="O16013">
            <v>54</v>
          </cell>
        </row>
        <row r="16014">
          <cell r="F16014" t="str">
            <v xml:space="preserve">805005148      </v>
          </cell>
          <cell r="O16014">
            <v>36</v>
          </cell>
        </row>
        <row r="16015">
          <cell r="F16015" t="str">
            <v xml:space="preserve">805005148      </v>
          </cell>
          <cell r="O16015">
            <v>75</v>
          </cell>
        </row>
        <row r="16016">
          <cell r="F16016" t="str">
            <v xml:space="preserve">805005148      </v>
          </cell>
          <cell r="O16016">
            <v>1530</v>
          </cell>
        </row>
        <row r="16017">
          <cell r="F16017" t="str">
            <v xml:space="preserve">805005148      </v>
          </cell>
          <cell r="O16017">
            <v>360</v>
          </cell>
        </row>
        <row r="16018">
          <cell r="F16018" t="str">
            <v xml:space="preserve">805005148      </v>
          </cell>
          <cell r="O16018">
            <v>4.5</v>
          </cell>
        </row>
        <row r="16019">
          <cell r="F16019" t="str">
            <v xml:space="preserve">805005148      </v>
          </cell>
          <cell r="O16019">
            <v>126</v>
          </cell>
        </row>
        <row r="16020">
          <cell r="F16020" t="str">
            <v xml:space="preserve">805005148      </v>
          </cell>
          <cell r="O16020">
            <v>360</v>
          </cell>
        </row>
        <row r="16021">
          <cell r="F16021" t="str">
            <v xml:space="preserve">805005148      </v>
          </cell>
          <cell r="O16021">
            <v>1008</v>
          </cell>
        </row>
        <row r="16022">
          <cell r="F16022" t="str">
            <v xml:space="preserve">805005148      </v>
          </cell>
          <cell r="O16022">
            <v>270</v>
          </cell>
        </row>
        <row r="16023">
          <cell r="F16023" t="str">
            <v xml:space="preserve">805005148      </v>
          </cell>
          <cell r="O16023">
            <v>30</v>
          </cell>
        </row>
        <row r="16024">
          <cell r="F16024" t="str">
            <v xml:space="preserve">805005148      </v>
          </cell>
          <cell r="O16024">
            <v>198</v>
          </cell>
        </row>
        <row r="16025">
          <cell r="F16025" t="str">
            <v xml:space="preserve">805005148      </v>
          </cell>
          <cell r="O16025">
            <v>2124</v>
          </cell>
        </row>
        <row r="16026">
          <cell r="F16026" t="str">
            <v xml:space="preserve">805005148      </v>
          </cell>
          <cell r="O16026">
            <v>9</v>
          </cell>
        </row>
        <row r="16027">
          <cell r="F16027" t="str">
            <v xml:space="preserve">805005148      </v>
          </cell>
          <cell r="O16027">
            <v>990</v>
          </cell>
        </row>
        <row r="16028">
          <cell r="F16028" t="str">
            <v xml:space="preserve">805005148      </v>
          </cell>
          <cell r="O16028">
            <v>90</v>
          </cell>
        </row>
        <row r="16029">
          <cell r="F16029" t="str">
            <v xml:space="preserve">860033740      </v>
          </cell>
          <cell r="O16029">
            <v>105</v>
          </cell>
        </row>
        <row r="16030">
          <cell r="F16030" t="str">
            <v xml:space="preserve">901132114      </v>
          </cell>
          <cell r="O16030">
            <v>54</v>
          </cell>
        </row>
        <row r="16031">
          <cell r="F16031" t="str">
            <v xml:space="preserve">1130605276     </v>
          </cell>
          <cell r="O16031">
            <v>4.5</v>
          </cell>
        </row>
        <row r="16032">
          <cell r="F16032" t="str">
            <v xml:space="preserve">1130605276     </v>
          </cell>
          <cell r="O16032">
            <v>18</v>
          </cell>
        </row>
        <row r="16033">
          <cell r="F16033" t="str">
            <v xml:space="preserve">1130605276     </v>
          </cell>
          <cell r="O16033">
            <v>180</v>
          </cell>
        </row>
        <row r="16034">
          <cell r="F16034" t="str">
            <v xml:space="preserve">1130605276     </v>
          </cell>
          <cell r="O16034">
            <v>1260</v>
          </cell>
        </row>
        <row r="16035">
          <cell r="F16035" t="str">
            <v xml:space="preserve">1130605276     </v>
          </cell>
          <cell r="O16035">
            <v>90</v>
          </cell>
        </row>
        <row r="16036">
          <cell r="F16036" t="str">
            <v xml:space="preserve">94050412       </v>
          </cell>
          <cell r="O16036">
            <v>540</v>
          </cell>
        </row>
        <row r="16037">
          <cell r="F16037" t="str">
            <v xml:space="preserve">88275315       </v>
          </cell>
          <cell r="O16037">
            <v>105</v>
          </cell>
        </row>
        <row r="16038">
          <cell r="F16038" t="str">
            <v xml:space="preserve">88275315       </v>
          </cell>
          <cell r="O16038">
            <v>1584</v>
          </cell>
        </row>
        <row r="16039">
          <cell r="F16039" t="str">
            <v xml:space="preserve">94464104       </v>
          </cell>
          <cell r="O16039">
            <v>4.5</v>
          </cell>
        </row>
        <row r="16040">
          <cell r="F16040" t="str">
            <v xml:space="preserve">94464104       </v>
          </cell>
          <cell r="O16040">
            <v>30</v>
          </cell>
        </row>
        <row r="16041">
          <cell r="F16041" t="str">
            <v xml:space="preserve">94464104       </v>
          </cell>
          <cell r="O16041">
            <v>162</v>
          </cell>
        </row>
        <row r="16042">
          <cell r="F16042" t="str">
            <v xml:space="preserve">94464104       </v>
          </cell>
          <cell r="O16042">
            <v>225</v>
          </cell>
        </row>
        <row r="16043">
          <cell r="F16043" t="str">
            <v xml:space="preserve">94419930       </v>
          </cell>
          <cell r="O16043">
            <v>135</v>
          </cell>
        </row>
        <row r="16044">
          <cell r="F16044" t="str">
            <v xml:space="preserve">94419930       </v>
          </cell>
          <cell r="O16044">
            <v>450</v>
          </cell>
        </row>
        <row r="16045">
          <cell r="F16045" t="str">
            <v xml:space="preserve">94420019       </v>
          </cell>
          <cell r="O16045">
            <v>4.5</v>
          </cell>
        </row>
        <row r="16046">
          <cell r="F16046" t="str">
            <v xml:space="preserve">94420019       </v>
          </cell>
          <cell r="O16046">
            <v>216</v>
          </cell>
        </row>
        <row r="16047">
          <cell r="F16047" t="str">
            <v xml:space="preserve">16669313       </v>
          </cell>
          <cell r="O16047">
            <v>4.5</v>
          </cell>
        </row>
        <row r="16048">
          <cell r="F16048" t="str">
            <v xml:space="preserve">16669313       </v>
          </cell>
          <cell r="O16048">
            <v>9</v>
          </cell>
        </row>
        <row r="16049">
          <cell r="F16049" t="str">
            <v xml:space="preserve">16669313       </v>
          </cell>
          <cell r="O16049">
            <v>936</v>
          </cell>
        </row>
        <row r="16050">
          <cell r="F16050" t="str">
            <v xml:space="preserve">16669313       </v>
          </cell>
          <cell r="O16050">
            <v>135</v>
          </cell>
        </row>
        <row r="16051">
          <cell r="F16051" t="str">
            <v xml:space="preserve">16669313       </v>
          </cell>
          <cell r="O16051">
            <v>36</v>
          </cell>
        </row>
        <row r="16052">
          <cell r="F16052" t="str">
            <v xml:space="preserve">16669313       </v>
          </cell>
          <cell r="O16052">
            <v>75</v>
          </cell>
        </row>
        <row r="16053">
          <cell r="F16053" t="str">
            <v xml:space="preserve">16669313       </v>
          </cell>
          <cell r="O16053">
            <v>1044</v>
          </cell>
        </row>
        <row r="16054">
          <cell r="F16054" t="str">
            <v xml:space="preserve">16669313       </v>
          </cell>
          <cell r="O16054">
            <v>135</v>
          </cell>
        </row>
        <row r="16055">
          <cell r="F16055" t="str">
            <v xml:space="preserve">817002652      </v>
          </cell>
          <cell r="O16055">
            <v>36</v>
          </cell>
        </row>
        <row r="16056">
          <cell r="F16056" t="str">
            <v xml:space="preserve">890316640      </v>
          </cell>
          <cell r="O16056">
            <v>9</v>
          </cell>
        </row>
        <row r="16057">
          <cell r="F16057" t="str">
            <v xml:space="preserve">900034686      </v>
          </cell>
          <cell r="O16057">
            <v>90</v>
          </cell>
        </row>
        <row r="16058">
          <cell r="F16058" t="str">
            <v xml:space="preserve">900034686      </v>
          </cell>
          <cell r="O16058">
            <v>45</v>
          </cell>
        </row>
        <row r="16059">
          <cell r="F16059" t="str">
            <v xml:space="preserve">901076778      </v>
          </cell>
          <cell r="O16059">
            <v>36</v>
          </cell>
        </row>
        <row r="16060">
          <cell r="F16060" t="str">
            <v xml:space="preserve">16460421       </v>
          </cell>
          <cell r="O16060">
            <v>972</v>
          </cell>
        </row>
        <row r="16061">
          <cell r="F16061" t="str">
            <v xml:space="preserve">16460421       </v>
          </cell>
          <cell r="O16061">
            <v>90</v>
          </cell>
        </row>
        <row r="16062">
          <cell r="F16062" t="str">
            <v xml:space="preserve">16460421       </v>
          </cell>
          <cell r="O16062">
            <v>120</v>
          </cell>
        </row>
        <row r="16063">
          <cell r="F16063" t="str">
            <v xml:space="preserve">16460421       </v>
          </cell>
          <cell r="O16063">
            <v>4.5</v>
          </cell>
        </row>
        <row r="16064">
          <cell r="F16064" t="str">
            <v xml:space="preserve">16460421       </v>
          </cell>
          <cell r="O16064">
            <v>45</v>
          </cell>
        </row>
        <row r="16065">
          <cell r="F16065" t="str">
            <v xml:space="preserve">900777113      </v>
          </cell>
          <cell r="O16065">
            <v>54</v>
          </cell>
        </row>
        <row r="16066">
          <cell r="F16066" t="str">
            <v xml:space="preserve">75074760       </v>
          </cell>
          <cell r="O16066">
            <v>63</v>
          </cell>
        </row>
        <row r="16067">
          <cell r="F16067" t="str">
            <v xml:space="preserve">75074760       </v>
          </cell>
          <cell r="O16067">
            <v>360</v>
          </cell>
        </row>
        <row r="16068">
          <cell r="F16068" t="str">
            <v xml:space="preserve">75074760       </v>
          </cell>
          <cell r="O16068">
            <v>144</v>
          </cell>
        </row>
        <row r="16069">
          <cell r="F16069" t="str">
            <v xml:space="preserve">75074760       </v>
          </cell>
          <cell r="O16069">
            <v>90</v>
          </cell>
        </row>
        <row r="16070">
          <cell r="F16070" t="str">
            <v xml:space="preserve">75099432       </v>
          </cell>
          <cell r="O16070">
            <v>90</v>
          </cell>
        </row>
        <row r="16071">
          <cell r="F16071" t="str">
            <v xml:space="preserve">75099432       </v>
          </cell>
          <cell r="O16071">
            <v>18</v>
          </cell>
        </row>
        <row r="16072">
          <cell r="F16072" t="str">
            <v xml:space="preserve">75099432       </v>
          </cell>
          <cell r="O16072">
            <v>780</v>
          </cell>
        </row>
        <row r="16073">
          <cell r="F16073" t="str">
            <v xml:space="preserve">75099432       </v>
          </cell>
          <cell r="O16073">
            <v>144</v>
          </cell>
        </row>
        <row r="16074">
          <cell r="F16074" t="str">
            <v xml:space="preserve">96359555       </v>
          </cell>
          <cell r="O16074">
            <v>90</v>
          </cell>
        </row>
        <row r="16075">
          <cell r="F16075" t="str">
            <v xml:space="preserve">96359555       </v>
          </cell>
          <cell r="O16075">
            <v>360</v>
          </cell>
        </row>
        <row r="16076">
          <cell r="F16076" t="str">
            <v xml:space="preserve">96359555       </v>
          </cell>
          <cell r="O16076">
            <v>2160</v>
          </cell>
        </row>
        <row r="16077">
          <cell r="F16077" t="str">
            <v xml:space="preserve">96359555       </v>
          </cell>
          <cell r="O16077">
            <v>90</v>
          </cell>
        </row>
        <row r="16078">
          <cell r="F16078" t="str">
            <v xml:space="preserve">10237057       </v>
          </cell>
          <cell r="O16078">
            <v>105</v>
          </cell>
        </row>
        <row r="16079">
          <cell r="F16079" t="str">
            <v xml:space="preserve">6157942        </v>
          </cell>
          <cell r="O16079">
            <v>480</v>
          </cell>
        </row>
        <row r="16080">
          <cell r="F16080" t="str">
            <v xml:space="preserve">6157942        </v>
          </cell>
          <cell r="O16080">
            <v>54</v>
          </cell>
        </row>
        <row r="16081">
          <cell r="F16081" t="str">
            <v xml:space="preserve">6157942        </v>
          </cell>
          <cell r="O16081">
            <v>90</v>
          </cell>
        </row>
        <row r="16082">
          <cell r="F16082" t="str">
            <v xml:space="preserve">16456104       </v>
          </cell>
          <cell r="O16082">
            <v>450</v>
          </cell>
        </row>
        <row r="16083">
          <cell r="F16083" t="str">
            <v xml:space="preserve">16456104       </v>
          </cell>
          <cell r="O16083">
            <v>135</v>
          </cell>
        </row>
        <row r="16084">
          <cell r="F16084" t="str">
            <v xml:space="preserve">10007888       </v>
          </cell>
          <cell r="O16084">
            <v>120</v>
          </cell>
        </row>
        <row r="16085">
          <cell r="F16085" t="str">
            <v xml:space="preserve">10007888       </v>
          </cell>
          <cell r="O16085">
            <v>36</v>
          </cell>
        </row>
        <row r="16086">
          <cell r="F16086" t="str">
            <v xml:space="preserve">1088256267     </v>
          </cell>
          <cell r="O16086">
            <v>9</v>
          </cell>
        </row>
        <row r="16087">
          <cell r="F16087" t="str">
            <v xml:space="preserve">1088256267     </v>
          </cell>
          <cell r="O16087">
            <v>90</v>
          </cell>
        </row>
        <row r="16088">
          <cell r="F16088" t="str">
            <v xml:space="preserve">1088256267     </v>
          </cell>
          <cell r="O16088">
            <v>36</v>
          </cell>
        </row>
        <row r="16089">
          <cell r="F16089" t="str">
            <v xml:space="preserve">1088256267     </v>
          </cell>
          <cell r="O16089">
            <v>45</v>
          </cell>
        </row>
        <row r="16090">
          <cell r="F16090" t="str">
            <v xml:space="preserve">66676270       </v>
          </cell>
          <cell r="O16090">
            <v>4.5</v>
          </cell>
        </row>
        <row r="16091">
          <cell r="F16091" t="str">
            <v xml:space="preserve">66676270       </v>
          </cell>
          <cell r="O16091">
            <v>180</v>
          </cell>
        </row>
        <row r="16092">
          <cell r="F16092" t="str">
            <v xml:space="preserve">66676270       </v>
          </cell>
          <cell r="O16092">
            <v>150</v>
          </cell>
        </row>
        <row r="16093">
          <cell r="F16093" t="str">
            <v xml:space="preserve">66676270       </v>
          </cell>
          <cell r="O16093">
            <v>270</v>
          </cell>
        </row>
        <row r="16094">
          <cell r="F16094" t="str">
            <v xml:space="preserve">66676270       </v>
          </cell>
          <cell r="O16094">
            <v>90</v>
          </cell>
        </row>
        <row r="16095">
          <cell r="F16095" t="str">
            <v xml:space="preserve">94228120       </v>
          </cell>
          <cell r="O16095">
            <v>117</v>
          </cell>
        </row>
        <row r="16096">
          <cell r="F16096" t="str">
            <v xml:space="preserve">94228120       </v>
          </cell>
          <cell r="O16096">
            <v>150</v>
          </cell>
        </row>
        <row r="16097">
          <cell r="F16097" t="str">
            <v xml:space="preserve">94228120       </v>
          </cell>
          <cell r="O16097">
            <v>396</v>
          </cell>
        </row>
        <row r="16098">
          <cell r="F16098" t="str">
            <v xml:space="preserve">94228120       </v>
          </cell>
          <cell r="O16098">
            <v>315</v>
          </cell>
        </row>
        <row r="16099">
          <cell r="F16099" t="str">
            <v xml:space="preserve">94228120       </v>
          </cell>
          <cell r="O16099">
            <v>30</v>
          </cell>
        </row>
        <row r="16100">
          <cell r="F16100" t="str">
            <v xml:space="preserve">94228120       </v>
          </cell>
          <cell r="O16100">
            <v>18</v>
          </cell>
        </row>
        <row r="16101">
          <cell r="F16101" t="str">
            <v xml:space="preserve">15896671       </v>
          </cell>
          <cell r="O16101">
            <v>300</v>
          </cell>
        </row>
        <row r="16102">
          <cell r="F16102" t="str">
            <v xml:space="preserve">15896671       </v>
          </cell>
          <cell r="O16102">
            <v>90</v>
          </cell>
        </row>
        <row r="16103">
          <cell r="F16103" t="str">
            <v xml:space="preserve">15896671       </v>
          </cell>
          <cell r="O16103">
            <v>135</v>
          </cell>
        </row>
        <row r="16104">
          <cell r="F16104" t="str">
            <v xml:space="preserve">15896671       </v>
          </cell>
          <cell r="O16104">
            <v>450</v>
          </cell>
        </row>
        <row r="16105">
          <cell r="F16105" t="str">
            <v xml:space="preserve">4527357        </v>
          </cell>
          <cell r="O16105">
            <v>450</v>
          </cell>
        </row>
        <row r="16106">
          <cell r="F16106" t="str">
            <v xml:space="preserve">4527357        </v>
          </cell>
          <cell r="O16106">
            <v>45</v>
          </cell>
        </row>
        <row r="16107">
          <cell r="F16107" t="str">
            <v xml:space="preserve">66679645       </v>
          </cell>
          <cell r="O16107">
            <v>45</v>
          </cell>
        </row>
        <row r="16108">
          <cell r="F16108" t="str">
            <v xml:space="preserve">66679645       </v>
          </cell>
          <cell r="O16108">
            <v>75</v>
          </cell>
        </row>
        <row r="16109">
          <cell r="F16109" t="str">
            <v xml:space="preserve">66679645       </v>
          </cell>
          <cell r="O16109">
            <v>90</v>
          </cell>
        </row>
        <row r="16110">
          <cell r="F16110" t="str">
            <v xml:space="preserve">16225682       </v>
          </cell>
          <cell r="O16110">
            <v>225</v>
          </cell>
        </row>
        <row r="16111">
          <cell r="F16111" t="str">
            <v xml:space="preserve">16225682       </v>
          </cell>
          <cell r="O16111">
            <v>36</v>
          </cell>
        </row>
        <row r="16112">
          <cell r="F16112" t="str">
            <v xml:space="preserve">16225682       </v>
          </cell>
          <cell r="O16112">
            <v>45</v>
          </cell>
        </row>
        <row r="16113">
          <cell r="F16113" t="str">
            <v xml:space="preserve">10144092       </v>
          </cell>
          <cell r="O16113">
            <v>555</v>
          </cell>
        </row>
        <row r="16114">
          <cell r="F16114" t="str">
            <v xml:space="preserve">10144092       </v>
          </cell>
          <cell r="O16114">
            <v>72</v>
          </cell>
        </row>
        <row r="16115">
          <cell r="F16115" t="str">
            <v xml:space="preserve">24835836       </v>
          </cell>
          <cell r="O16115">
            <v>270</v>
          </cell>
        </row>
        <row r="16116">
          <cell r="F16116" t="str">
            <v xml:space="preserve">24835836       </v>
          </cell>
          <cell r="O16116">
            <v>36</v>
          </cell>
        </row>
        <row r="16117">
          <cell r="F16117" t="str">
            <v xml:space="preserve">805005148      </v>
          </cell>
          <cell r="O16117">
            <v>15</v>
          </cell>
        </row>
        <row r="16118">
          <cell r="F16118" t="str">
            <v xml:space="preserve">805005148      </v>
          </cell>
          <cell r="O16118">
            <v>954</v>
          </cell>
        </row>
        <row r="16119">
          <cell r="F16119" t="str">
            <v xml:space="preserve">805005148      </v>
          </cell>
          <cell r="O16119">
            <v>60</v>
          </cell>
        </row>
        <row r="16120">
          <cell r="F16120" t="str">
            <v xml:space="preserve">805005148      </v>
          </cell>
          <cell r="O16120">
            <v>1206</v>
          </cell>
        </row>
        <row r="16121">
          <cell r="F16121" t="str">
            <v xml:space="preserve">805005148      </v>
          </cell>
          <cell r="O16121">
            <v>135</v>
          </cell>
        </row>
        <row r="16122">
          <cell r="F16122" t="str">
            <v xml:space="preserve">76323227       </v>
          </cell>
          <cell r="O16122">
            <v>30</v>
          </cell>
        </row>
        <row r="16123">
          <cell r="F16123" t="str">
            <v xml:space="preserve">76323227       </v>
          </cell>
          <cell r="O16123">
            <v>4536</v>
          </cell>
        </row>
        <row r="16124">
          <cell r="F16124" t="str">
            <v xml:space="preserve">76323227       </v>
          </cell>
          <cell r="O16124">
            <v>1575</v>
          </cell>
        </row>
        <row r="16125">
          <cell r="F16125" t="str">
            <v xml:space="preserve">10532222       </v>
          </cell>
          <cell r="O16125">
            <v>216</v>
          </cell>
        </row>
        <row r="16126">
          <cell r="F16126" t="str">
            <v xml:space="preserve">10532222       </v>
          </cell>
          <cell r="O16126">
            <v>45</v>
          </cell>
        </row>
        <row r="16127">
          <cell r="F16127" t="str">
            <v xml:space="preserve">12168724       </v>
          </cell>
          <cell r="O16127">
            <v>720</v>
          </cell>
        </row>
        <row r="16128">
          <cell r="F16128" t="str">
            <v xml:space="preserve">12168724       </v>
          </cell>
          <cell r="O16128">
            <v>90</v>
          </cell>
        </row>
        <row r="16129">
          <cell r="F16129" t="str">
            <v xml:space="preserve">12168724       </v>
          </cell>
          <cell r="O16129">
            <v>2034</v>
          </cell>
        </row>
        <row r="16130">
          <cell r="F16130" t="str">
            <v xml:space="preserve">12168724       </v>
          </cell>
          <cell r="O16130">
            <v>45</v>
          </cell>
        </row>
        <row r="16131">
          <cell r="F16131" t="str">
            <v xml:space="preserve">12168724       </v>
          </cell>
          <cell r="O16131">
            <v>30</v>
          </cell>
        </row>
        <row r="16132">
          <cell r="F16132" t="str">
            <v xml:space="preserve">12168724       </v>
          </cell>
          <cell r="O16132">
            <v>900</v>
          </cell>
        </row>
        <row r="16133">
          <cell r="F16133" t="str">
            <v xml:space="preserve">76211412       </v>
          </cell>
          <cell r="O16133">
            <v>180</v>
          </cell>
        </row>
        <row r="16134">
          <cell r="F16134" t="str">
            <v xml:space="preserve">10755493       </v>
          </cell>
          <cell r="O16134">
            <v>576</v>
          </cell>
        </row>
        <row r="16135">
          <cell r="F16135" t="str">
            <v xml:space="preserve">10755493       </v>
          </cell>
          <cell r="O16135">
            <v>45</v>
          </cell>
        </row>
        <row r="16136">
          <cell r="F16136" t="str">
            <v xml:space="preserve">10292388       </v>
          </cell>
          <cell r="O16136">
            <v>15</v>
          </cell>
        </row>
        <row r="16137">
          <cell r="F16137" t="str">
            <v xml:space="preserve">10292388       </v>
          </cell>
          <cell r="O16137">
            <v>270</v>
          </cell>
        </row>
        <row r="16138">
          <cell r="F16138" t="str">
            <v xml:space="preserve">10292388       </v>
          </cell>
          <cell r="O16138">
            <v>90</v>
          </cell>
        </row>
        <row r="16139">
          <cell r="F16139" t="str">
            <v xml:space="preserve">76331539       </v>
          </cell>
          <cell r="O16139">
            <v>15</v>
          </cell>
        </row>
        <row r="16140">
          <cell r="F16140" t="str">
            <v xml:space="preserve">76331539       </v>
          </cell>
          <cell r="O16140">
            <v>810</v>
          </cell>
        </row>
        <row r="16141">
          <cell r="F16141" t="str">
            <v xml:space="preserve">76331539       </v>
          </cell>
          <cell r="O16141">
            <v>90</v>
          </cell>
        </row>
        <row r="16142">
          <cell r="F16142" t="str">
            <v xml:space="preserve">9900047        </v>
          </cell>
          <cell r="O16142">
            <v>60</v>
          </cell>
        </row>
        <row r="16143">
          <cell r="F16143" t="str">
            <v xml:space="preserve">9900047        </v>
          </cell>
          <cell r="O16143">
            <v>36</v>
          </cell>
        </row>
        <row r="16144">
          <cell r="F16144" t="str">
            <v xml:space="preserve">18389245       </v>
          </cell>
          <cell r="O16144">
            <v>225</v>
          </cell>
        </row>
        <row r="16145">
          <cell r="F16145" t="str">
            <v xml:space="preserve">18389245       </v>
          </cell>
          <cell r="O16145">
            <v>54</v>
          </cell>
        </row>
        <row r="16146">
          <cell r="F16146" t="str">
            <v xml:space="preserve">18416624       </v>
          </cell>
          <cell r="O16146">
            <v>75</v>
          </cell>
        </row>
        <row r="16147">
          <cell r="F16147" t="str">
            <v xml:space="preserve">18416624       </v>
          </cell>
          <cell r="O16147">
            <v>72</v>
          </cell>
        </row>
        <row r="16148">
          <cell r="F16148" t="str">
            <v xml:space="preserve">18416624       </v>
          </cell>
          <cell r="O16148">
            <v>45</v>
          </cell>
        </row>
        <row r="16149">
          <cell r="F16149" t="str">
            <v xml:space="preserve">4613715        </v>
          </cell>
          <cell r="O16149">
            <v>36</v>
          </cell>
        </row>
        <row r="16150">
          <cell r="F16150" t="str">
            <v xml:space="preserve">4613715        </v>
          </cell>
          <cell r="O16150">
            <v>390</v>
          </cell>
        </row>
        <row r="16151">
          <cell r="F16151" t="str">
            <v xml:space="preserve">4613715        </v>
          </cell>
          <cell r="O16151">
            <v>414</v>
          </cell>
        </row>
        <row r="16152">
          <cell r="F16152" t="str">
            <v xml:space="preserve">4613715        </v>
          </cell>
          <cell r="O16152">
            <v>135</v>
          </cell>
        </row>
        <row r="16153">
          <cell r="F16153" t="str">
            <v xml:space="preserve">9805400        </v>
          </cell>
          <cell r="O16153">
            <v>105</v>
          </cell>
        </row>
        <row r="16154">
          <cell r="F16154" t="str">
            <v xml:space="preserve">9805400        </v>
          </cell>
          <cell r="O16154">
            <v>108</v>
          </cell>
        </row>
        <row r="16155">
          <cell r="F16155" t="str">
            <v xml:space="preserve">9805400        </v>
          </cell>
          <cell r="O16155">
            <v>45</v>
          </cell>
        </row>
        <row r="16156">
          <cell r="F16156" t="str">
            <v xml:space="preserve">6110295        </v>
          </cell>
          <cell r="O16156">
            <v>27</v>
          </cell>
        </row>
        <row r="16157">
          <cell r="F16157" t="str">
            <v xml:space="preserve">6110295        </v>
          </cell>
          <cell r="O16157">
            <v>600</v>
          </cell>
        </row>
        <row r="16158">
          <cell r="F16158" t="str">
            <v xml:space="preserve">6110295        </v>
          </cell>
          <cell r="O16158">
            <v>288</v>
          </cell>
        </row>
        <row r="16159">
          <cell r="F16159" t="str">
            <v xml:space="preserve">6110295        </v>
          </cell>
          <cell r="O16159">
            <v>90</v>
          </cell>
        </row>
        <row r="16160">
          <cell r="F16160" t="str">
            <v xml:space="preserve">805005148      </v>
          </cell>
          <cell r="O16160">
            <v>45</v>
          </cell>
        </row>
        <row r="16161">
          <cell r="F16161" t="str">
            <v xml:space="preserve">805005148      </v>
          </cell>
          <cell r="O16161">
            <v>2664</v>
          </cell>
        </row>
        <row r="16162">
          <cell r="F16162" t="str">
            <v xml:space="preserve">805005148      </v>
          </cell>
          <cell r="O16162">
            <v>18</v>
          </cell>
        </row>
        <row r="16163">
          <cell r="F16163" t="str">
            <v xml:space="preserve">805005148      </v>
          </cell>
          <cell r="O16163">
            <v>126</v>
          </cell>
        </row>
        <row r="16164">
          <cell r="F16164" t="str">
            <v xml:space="preserve">10488839       </v>
          </cell>
          <cell r="O16164">
            <v>30</v>
          </cell>
        </row>
        <row r="16165">
          <cell r="F16165" t="str">
            <v xml:space="preserve">10488839       </v>
          </cell>
          <cell r="O16165">
            <v>1260</v>
          </cell>
        </row>
        <row r="16166">
          <cell r="F16166" t="str">
            <v xml:space="preserve">10488839       </v>
          </cell>
          <cell r="O16166">
            <v>45</v>
          </cell>
        </row>
        <row r="16167">
          <cell r="F16167" t="str">
            <v xml:space="preserve">10484782       </v>
          </cell>
          <cell r="O16167">
            <v>144</v>
          </cell>
        </row>
        <row r="16168">
          <cell r="F16168" t="str">
            <v xml:space="preserve">10484782       </v>
          </cell>
          <cell r="O16168">
            <v>2592</v>
          </cell>
        </row>
        <row r="16169">
          <cell r="F16169" t="str">
            <v xml:space="preserve">16849293       </v>
          </cell>
          <cell r="O16169">
            <v>234</v>
          </cell>
        </row>
        <row r="16170">
          <cell r="F16170" t="str">
            <v xml:space="preserve">16849293       </v>
          </cell>
          <cell r="O16170">
            <v>270</v>
          </cell>
        </row>
        <row r="16171">
          <cell r="F16171" t="str">
            <v xml:space="preserve">79736632       </v>
          </cell>
          <cell r="O16171">
            <v>774</v>
          </cell>
        </row>
        <row r="16172">
          <cell r="F16172" t="str">
            <v xml:space="preserve">79736632       </v>
          </cell>
          <cell r="O16172">
            <v>315</v>
          </cell>
        </row>
        <row r="16173">
          <cell r="F16173" t="str">
            <v xml:space="preserve">26050336       </v>
          </cell>
          <cell r="O16173">
            <v>9</v>
          </cell>
        </row>
        <row r="16174">
          <cell r="F16174" t="str">
            <v xml:space="preserve">26050336       </v>
          </cell>
          <cell r="O16174">
            <v>180</v>
          </cell>
        </row>
        <row r="16175">
          <cell r="F16175" t="str">
            <v xml:space="preserve">26050336       </v>
          </cell>
          <cell r="O16175">
            <v>135</v>
          </cell>
        </row>
        <row r="16176">
          <cell r="F16176" t="str">
            <v xml:space="preserve">80397293       </v>
          </cell>
          <cell r="O16176">
            <v>75</v>
          </cell>
        </row>
        <row r="16177">
          <cell r="F16177" t="str">
            <v xml:space="preserve">80397293       </v>
          </cell>
          <cell r="O16177">
            <v>270</v>
          </cell>
        </row>
        <row r="16178">
          <cell r="F16178" t="str">
            <v xml:space="preserve">80397293       </v>
          </cell>
          <cell r="O16178">
            <v>180</v>
          </cell>
        </row>
        <row r="16179">
          <cell r="F16179" t="str">
            <v xml:space="preserve">93152963       </v>
          </cell>
          <cell r="O16179">
            <v>1050</v>
          </cell>
        </row>
        <row r="16180">
          <cell r="F16180" t="str">
            <v xml:space="preserve">93152963       </v>
          </cell>
          <cell r="O16180">
            <v>720</v>
          </cell>
        </row>
        <row r="16181">
          <cell r="F16181" t="str">
            <v xml:space="preserve">93152963       </v>
          </cell>
          <cell r="O16181">
            <v>450</v>
          </cell>
        </row>
        <row r="16182">
          <cell r="F16182" t="str">
            <v xml:space="preserve">800134497      </v>
          </cell>
          <cell r="O16182">
            <v>2250</v>
          </cell>
        </row>
        <row r="16183">
          <cell r="F16183" t="str">
            <v xml:space="preserve">91360601       </v>
          </cell>
          <cell r="O16183">
            <v>30</v>
          </cell>
        </row>
        <row r="16184">
          <cell r="F16184" t="str">
            <v xml:space="preserve">91360601       </v>
          </cell>
          <cell r="O16184">
            <v>1080</v>
          </cell>
        </row>
        <row r="16185">
          <cell r="F16185" t="str">
            <v xml:space="preserve">91360601       </v>
          </cell>
          <cell r="O16185">
            <v>540</v>
          </cell>
        </row>
        <row r="16186">
          <cell r="F16186" t="str">
            <v xml:space="preserve">91360601       </v>
          </cell>
          <cell r="O16186">
            <v>45</v>
          </cell>
        </row>
        <row r="16187">
          <cell r="F16187" t="str">
            <v xml:space="preserve">82394480       </v>
          </cell>
          <cell r="O16187">
            <v>306</v>
          </cell>
        </row>
        <row r="16188">
          <cell r="F16188" t="str">
            <v xml:space="preserve">82394480       </v>
          </cell>
          <cell r="O16188">
            <v>270</v>
          </cell>
        </row>
        <row r="16189">
          <cell r="F16189" t="str">
            <v xml:space="preserve">79824837       </v>
          </cell>
          <cell r="O16189">
            <v>468</v>
          </cell>
        </row>
        <row r="16190">
          <cell r="F16190" t="str">
            <v xml:space="preserve">79824837       </v>
          </cell>
          <cell r="O16190">
            <v>90</v>
          </cell>
        </row>
        <row r="16191">
          <cell r="F16191" t="str">
            <v xml:space="preserve">79824837       </v>
          </cell>
          <cell r="O16191">
            <v>1980</v>
          </cell>
        </row>
        <row r="16192">
          <cell r="F16192" t="str">
            <v xml:space="preserve">79824837       </v>
          </cell>
          <cell r="O16192">
            <v>405</v>
          </cell>
        </row>
        <row r="16193">
          <cell r="F16193" t="str">
            <v xml:space="preserve">6667772        </v>
          </cell>
          <cell r="O16193">
            <v>60</v>
          </cell>
        </row>
        <row r="16194">
          <cell r="F16194" t="str">
            <v xml:space="preserve">6667772        </v>
          </cell>
          <cell r="O16194">
            <v>540</v>
          </cell>
        </row>
        <row r="16195">
          <cell r="F16195" t="str">
            <v xml:space="preserve">6667772        </v>
          </cell>
          <cell r="O16195">
            <v>810</v>
          </cell>
        </row>
        <row r="16196">
          <cell r="F16196" t="str">
            <v xml:space="preserve">6667772        </v>
          </cell>
          <cell r="O16196">
            <v>90</v>
          </cell>
        </row>
        <row r="16197">
          <cell r="F16197" t="str">
            <v xml:space="preserve">6667772        </v>
          </cell>
          <cell r="O16197">
            <v>72</v>
          </cell>
        </row>
        <row r="16198">
          <cell r="F16198" t="str">
            <v xml:space="preserve">6667772        </v>
          </cell>
          <cell r="O16198">
            <v>1200</v>
          </cell>
        </row>
        <row r="16199">
          <cell r="F16199" t="str">
            <v xml:space="preserve">6667772        </v>
          </cell>
          <cell r="O16199">
            <v>1440</v>
          </cell>
        </row>
        <row r="16200">
          <cell r="F16200" t="str">
            <v xml:space="preserve">6667772        </v>
          </cell>
          <cell r="O16200">
            <v>900</v>
          </cell>
        </row>
        <row r="16201">
          <cell r="F16201" t="str">
            <v xml:space="preserve">6667772        </v>
          </cell>
          <cell r="O16201">
            <v>72</v>
          </cell>
        </row>
        <row r="16202">
          <cell r="F16202" t="str">
            <v xml:space="preserve">6667772        </v>
          </cell>
          <cell r="O16202">
            <v>390</v>
          </cell>
        </row>
        <row r="16203">
          <cell r="F16203" t="str">
            <v xml:space="preserve">900459366      </v>
          </cell>
          <cell r="O16203">
            <v>2700</v>
          </cell>
        </row>
        <row r="16204">
          <cell r="F16204" t="str">
            <v xml:space="preserve">900459366      </v>
          </cell>
          <cell r="O16204">
            <v>180</v>
          </cell>
        </row>
        <row r="16205">
          <cell r="F16205" t="str">
            <v xml:space="preserve">71747063       </v>
          </cell>
          <cell r="O16205">
            <v>1800</v>
          </cell>
        </row>
        <row r="16206">
          <cell r="F16206" t="str">
            <v xml:space="preserve">71747063       </v>
          </cell>
          <cell r="O16206">
            <v>1080</v>
          </cell>
        </row>
        <row r="16207">
          <cell r="F16207" t="str">
            <v xml:space="preserve">71747063       </v>
          </cell>
          <cell r="O16207">
            <v>9</v>
          </cell>
        </row>
        <row r="16208">
          <cell r="F16208" t="str">
            <v xml:space="preserve">71312536       </v>
          </cell>
          <cell r="O16208">
            <v>90</v>
          </cell>
        </row>
        <row r="16209">
          <cell r="F16209" t="str">
            <v xml:space="preserve">71312536       </v>
          </cell>
          <cell r="O16209">
            <v>270</v>
          </cell>
        </row>
        <row r="16210">
          <cell r="F16210" t="str">
            <v xml:space="preserve">71053866       </v>
          </cell>
          <cell r="O16210">
            <v>300</v>
          </cell>
        </row>
        <row r="16211">
          <cell r="F16211" t="str">
            <v xml:space="preserve">71053866       </v>
          </cell>
          <cell r="O16211">
            <v>1692</v>
          </cell>
        </row>
        <row r="16212">
          <cell r="F16212" t="str">
            <v xml:space="preserve">91179385       </v>
          </cell>
          <cell r="O16212">
            <v>9</v>
          </cell>
        </row>
        <row r="16213">
          <cell r="F16213" t="str">
            <v xml:space="preserve">91179385       </v>
          </cell>
          <cell r="O16213">
            <v>45</v>
          </cell>
        </row>
        <row r="16214">
          <cell r="F16214" t="str">
            <v xml:space="preserve">91179385       </v>
          </cell>
          <cell r="O16214">
            <v>702</v>
          </cell>
        </row>
        <row r="16215">
          <cell r="F16215" t="str">
            <v xml:space="preserve">91179385       </v>
          </cell>
          <cell r="O16215">
            <v>360</v>
          </cell>
        </row>
        <row r="16216">
          <cell r="F16216" t="str">
            <v xml:space="preserve">88157654       </v>
          </cell>
          <cell r="O16216">
            <v>1050</v>
          </cell>
        </row>
        <row r="16217">
          <cell r="F16217" t="str">
            <v xml:space="preserve">88157654       </v>
          </cell>
          <cell r="O16217">
            <v>180</v>
          </cell>
        </row>
        <row r="16218">
          <cell r="F16218" t="str">
            <v xml:space="preserve">88157654       </v>
          </cell>
          <cell r="O16218">
            <v>540</v>
          </cell>
        </row>
        <row r="16219">
          <cell r="F16219" t="str">
            <v xml:space="preserve">88158577       </v>
          </cell>
          <cell r="O16219">
            <v>225</v>
          </cell>
        </row>
        <row r="16220">
          <cell r="F16220" t="str">
            <v xml:space="preserve">88158577       </v>
          </cell>
          <cell r="O16220">
            <v>1008</v>
          </cell>
        </row>
        <row r="16221">
          <cell r="F16221" t="str">
            <v xml:space="preserve">88158577       </v>
          </cell>
          <cell r="O16221">
            <v>900</v>
          </cell>
        </row>
        <row r="16222">
          <cell r="F16222" t="str">
            <v xml:space="preserve">88158577       </v>
          </cell>
          <cell r="O16222">
            <v>75</v>
          </cell>
        </row>
        <row r="16223">
          <cell r="F16223" t="str">
            <v xml:space="preserve">88158577       </v>
          </cell>
          <cell r="O16223">
            <v>72</v>
          </cell>
        </row>
        <row r="16224">
          <cell r="F16224" t="str">
            <v xml:space="preserve">79384689       </v>
          </cell>
          <cell r="O16224">
            <v>135</v>
          </cell>
        </row>
        <row r="16225">
          <cell r="F16225" t="str">
            <v xml:space="preserve">88188644       </v>
          </cell>
          <cell r="O16225">
            <v>585</v>
          </cell>
        </row>
        <row r="16226">
          <cell r="F16226" t="str">
            <v xml:space="preserve">88188644       </v>
          </cell>
          <cell r="O16226">
            <v>315</v>
          </cell>
        </row>
        <row r="16227">
          <cell r="F16227" t="str">
            <v xml:space="preserve">1117502076     </v>
          </cell>
          <cell r="O16227">
            <v>126</v>
          </cell>
        </row>
        <row r="16228">
          <cell r="F16228" t="str">
            <v xml:space="preserve">1117502076     </v>
          </cell>
          <cell r="O16228">
            <v>288</v>
          </cell>
        </row>
        <row r="16229">
          <cell r="F16229" t="str">
            <v xml:space="preserve">1117502076     </v>
          </cell>
          <cell r="O16229">
            <v>198</v>
          </cell>
        </row>
        <row r="16230">
          <cell r="F16230" t="str">
            <v xml:space="preserve">1117502076     </v>
          </cell>
          <cell r="O16230">
            <v>105</v>
          </cell>
        </row>
        <row r="16231">
          <cell r="F16231" t="str">
            <v xml:space="preserve">1117502076     </v>
          </cell>
          <cell r="O16231">
            <v>180</v>
          </cell>
        </row>
        <row r="16232">
          <cell r="F16232" t="str">
            <v xml:space="preserve">1117502076     </v>
          </cell>
          <cell r="O16232">
            <v>270</v>
          </cell>
        </row>
        <row r="16233">
          <cell r="F16233" t="str">
            <v xml:space="preserve">91451576       </v>
          </cell>
          <cell r="O16233">
            <v>198</v>
          </cell>
        </row>
        <row r="16234">
          <cell r="F16234" t="str">
            <v xml:space="preserve">91451576       </v>
          </cell>
          <cell r="O16234">
            <v>180</v>
          </cell>
        </row>
        <row r="16235">
          <cell r="F16235" t="str">
            <v xml:space="preserve">91451576       </v>
          </cell>
          <cell r="O16235">
            <v>90</v>
          </cell>
        </row>
        <row r="16236">
          <cell r="F16236" t="str">
            <v xml:space="preserve">91451576       </v>
          </cell>
          <cell r="O16236">
            <v>180</v>
          </cell>
        </row>
        <row r="16237">
          <cell r="F16237" t="str">
            <v xml:space="preserve">13862691       </v>
          </cell>
          <cell r="O16237">
            <v>1080</v>
          </cell>
        </row>
        <row r="16238">
          <cell r="F16238" t="str">
            <v xml:space="preserve">13862691       </v>
          </cell>
          <cell r="O16238">
            <v>135</v>
          </cell>
        </row>
        <row r="16239">
          <cell r="F16239" t="str">
            <v xml:space="preserve">13862691       </v>
          </cell>
          <cell r="O16239">
            <v>1170</v>
          </cell>
        </row>
        <row r="16240">
          <cell r="F16240" t="str">
            <v xml:space="preserve">13862691       </v>
          </cell>
          <cell r="O16240">
            <v>216</v>
          </cell>
        </row>
        <row r="16241">
          <cell r="F16241" t="str">
            <v xml:space="preserve">13862691       </v>
          </cell>
          <cell r="O16241">
            <v>270</v>
          </cell>
        </row>
        <row r="16242">
          <cell r="F16242" t="str">
            <v xml:space="preserve">91266362       </v>
          </cell>
          <cell r="O16242">
            <v>270</v>
          </cell>
        </row>
        <row r="16243">
          <cell r="F16243" t="str">
            <v xml:space="preserve">91266362       </v>
          </cell>
          <cell r="O16243">
            <v>135</v>
          </cell>
        </row>
        <row r="16244">
          <cell r="F16244" t="str">
            <v xml:space="preserve">900247070      </v>
          </cell>
          <cell r="O16244">
            <v>36</v>
          </cell>
        </row>
        <row r="16245">
          <cell r="F16245" t="str">
            <v xml:space="preserve">91179643       </v>
          </cell>
          <cell r="O16245">
            <v>90</v>
          </cell>
        </row>
        <row r="16246">
          <cell r="F16246" t="str">
            <v xml:space="preserve">91179643       </v>
          </cell>
          <cell r="O16246">
            <v>18</v>
          </cell>
        </row>
        <row r="16247">
          <cell r="F16247" t="str">
            <v xml:space="preserve">91178985       </v>
          </cell>
          <cell r="O16247">
            <v>3360</v>
          </cell>
        </row>
        <row r="16248">
          <cell r="F16248" t="str">
            <v xml:space="preserve">91178985       </v>
          </cell>
          <cell r="O16248">
            <v>390</v>
          </cell>
        </row>
        <row r="16249">
          <cell r="F16249" t="str">
            <v xml:space="preserve">91178985       </v>
          </cell>
          <cell r="O16249">
            <v>900</v>
          </cell>
        </row>
        <row r="16250">
          <cell r="F16250" t="str">
            <v xml:space="preserve">91136131       </v>
          </cell>
          <cell r="O16250">
            <v>1020</v>
          </cell>
        </row>
        <row r="16251">
          <cell r="F16251" t="str">
            <v xml:space="preserve">91136131       </v>
          </cell>
          <cell r="O16251">
            <v>450</v>
          </cell>
        </row>
        <row r="16252">
          <cell r="F16252" t="str">
            <v xml:space="preserve">91136131       </v>
          </cell>
          <cell r="O16252">
            <v>45</v>
          </cell>
        </row>
        <row r="16253">
          <cell r="F16253" t="str">
            <v xml:space="preserve">890503966      </v>
          </cell>
          <cell r="O16253">
            <v>3375</v>
          </cell>
        </row>
        <row r="16254">
          <cell r="F16254" t="str">
            <v xml:space="preserve">890503966      </v>
          </cell>
          <cell r="O16254">
            <v>540</v>
          </cell>
        </row>
        <row r="16255">
          <cell r="F16255" t="str">
            <v xml:space="preserve">890503966      </v>
          </cell>
          <cell r="O16255">
            <v>1170</v>
          </cell>
        </row>
        <row r="16256">
          <cell r="F16256" t="str">
            <v xml:space="preserve">890503966      </v>
          </cell>
          <cell r="O16256">
            <v>45</v>
          </cell>
        </row>
        <row r="16257">
          <cell r="F16257" t="str">
            <v xml:space="preserve">91222539       </v>
          </cell>
          <cell r="O16257">
            <v>615</v>
          </cell>
        </row>
        <row r="16258">
          <cell r="F16258" t="str">
            <v xml:space="preserve">91222539       </v>
          </cell>
          <cell r="O16258">
            <v>738</v>
          </cell>
        </row>
        <row r="16259">
          <cell r="F16259" t="str">
            <v xml:space="preserve">91222539       </v>
          </cell>
          <cell r="O16259">
            <v>450</v>
          </cell>
        </row>
        <row r="16260">
          <cell r="F16260" t="str">
            <v xml:space="preserve">13702886       </v>
          </cell>
          <cell r="O16260">
            <v>600</v>
          </cell>
        </row>
        <row r="16261">
          <cell r="F16261" t="str">
            <v xml:space="preserve">13702886       </v>
          </cell>
          <cell r="O16261">
            <v>288</v>
          </cell>
        </row>
        <row r="16262">
          <cell r="F16262" t="str">
            <v xml:space="preserve">13702886       </v>
          </cell>
          <cell r="O16262">
            <v>405</v>
          </cell>
        </row>
        <row r="16263">
          <cell r="F16263" t="str">
            <v xml:space="preserve">91067422       </v>
          </cell>
          <cell r="O16263">
            <v>135</v>
          </cell>
        </row>
        <row r="16264">
          <cell r="F16264" t="str">
            <v xml:space="preserve">91067422       </v>
          </cell>
          <cell r="O16264">
            <v>90</v>
          </cell>
        </row>
        <row r="16265">
          <cell r="F16265" t="str">
            <v xml:space="preserve">91067422       </v>
          </cell>
          <cell r="O16265">
            <v>18</v>
          </cell>
        </row>
        <row r="16266">
          <cell r="F16266" t="str">
            <v xml:space="preserve">91067422       </v>
          </cell>
          <cell r="O16266">
            <v>45</v>
          </cell>
        </row>
        <row r="16267">
          <cell r="F16267" t="str">
            <v xml:space="preserve">91067422       </v>
          </cell>
          <cell r="O16267">
            <v>165</v>
          </cell>
        </row>
        <row r="16268">
          <cell r="F16268" t="str">
            <v xml:space="preserve">91067422       </v>
          </cell>
          <cell r="O16268">
            <v>18</v>
          </cell>
        </row>
        <row r="16269">
          <cell r="F16269" t="str">
            <v xml:space="preserve">91272730       </v>
          </cell>
          <cell r="O16269">
            <v>60</v>
          </cell>
        </row>
        <row r="16270">
          <cell r="F16270" t="str">
            <v xml:space="preserve">91272730       </v>
          </cell>
          <cell r="O16270">
            <v>72</v>
          </cell>
        </row>
        <row r="16271">
          <cell r="F16271" t="str">
            <v xml:space="preserve">91272730       </v>
          </cell>
          <cell r="O16271">
            <v>45</v>
          </cell>
        </row>
        <row r="16272">
          <cell r="F16272" t="str">
            <v xml:space="preserve">13701254       </v>
          </cell>
          <cell r="O16272">
            <v>900</v>
          </cell>
        </row>
        <row r="16273">
          <cell r="F16273" t="str">
            <v xml:space="preserve">13701254       </v>
          </cell>
          <cell r="O16273">
            <v>144</v>
          </cell>
        </row>
        <row r="16274">
          <cell r="F16274" t="str">
            <v xml:space="preserve">13701254       </v>
          </cell>
          <cell r="O16274">
            <v>675</v>
          </cell>
        </row>
        <row r="16275">
          <cell r="F16275" t="str">
            <v xml:space="preserve">92543124       </v>
          </cell>
          <cell r="O16275">
            <v>1200</v>
          </cell>
        </row>
        <row r="16276">
          <cell r="F16276" t="str">
            <v xml:space="preserve">92543124       </v>
          </cell>
          <cell r="O16276">
            <v>1050</v>
          </cell>
        </row>
        <row r="16277">
          <cell r="F16277" t="str">
            <v xml:space="preserve">78112896       </v>
          </cell>
          <cell r="O16277">
            <v>1620</v>
          </cell>
        </row>
        <row r="16278">
          <cell r="F16278" t="str">
            <v xml:space="preserve">78112896       </v>
          </cell>
          <cell r="O16278">
            <v>225</v>
          </cell>
        </row>
        <row r="16279">
          <cell r="F16279" t="str">
            <v xml:space="preserve">78033625       </v>
          </cell>
          <cell r="O16279">
            <v>1314</v>
          </cell>
        </row>
        <row r="16280">
          <cell r="F16280" t="str">
            <v xml:space="preserve">901096204      </v>
          </cell>
          <cell r="O16280">
            <v>150</v>
          </cell>
        </row>
        <row r="16281">
          <cell r="F16281" t="str">
            <v xml:space="preserve">901096204      </v>
          </cell>
          <cell r="O16281">
            <v>1962</v>
          </cell>
        </row>
        <row r="16282">
          <cell r="F16282" t="str">
            <v xml:space="preserve">73134768       </v>
          </cell>
          <cell r="O16282">
            <v>162</v>
          </cell>
        </row>
        <row r="16283">
          <cell r="F16283" t="str">
            <v xml:space="preserve">73134768       </v>
          </cell>
          <cell r="O16283">
            <v>45</v>
          </cell>
        </row>
        <row r="16284">
          <cell r="F16284" t="str">
            <v xml:space="preserve">73134768       </v>
          </cell>
          <cell r="O16284">
            <v>615</v>
          </cell>
        </row>
        <row r="16285">
          <cell r="F16285" t="str">
            <v xml:space="preserve">85477397       </v>
          </cell>
          <cell r="O16285">
            <v>450</v>
          </cell>
        </row>
        <row r="16286">
          <cell r="F16286" t="str">
            <v xml:space="preserve">85477397       </v>
          </cell>
          <cell r="O16286">
            <v>2100</v>
          </cell>
        </row>
        <row r="16287">
          <cell r="F16287" t="str">
            <v xml:space="preserve">72137594       </v>
          </cell>
          <cell r="O16287">
            <v>315</v>
          </cell>
        </row>
        <row r="16288">
          <cell r="F16288" t="str">
            <v xml:space="preserve">72137594       </v>
          </cell>
          <cell r="O16288">
            <v>342</v>
          </cell>
        </row>
        <row r="16289">
          <cell r="F16289" t="str">
            <v xml:space="preserve">77191750       </v>
          </cell>
          <cell r="O16289">
            <v>1728</v>
          </cell>
        </row>
        <row r="16290">
          <cell r="F16290" t="str">
            <v xml:space="preserve">91177584       </v>
          </cell>
          <cell r="O16290">
            <v>135</v>
          </cell>
        </row>
        <row r="16291">
          <cell r="F16291" t="str">
            <v xml:space="preserve">91177584       </v>
          </cell>
          <cell r="O16291">
            <v>2055</v>
          </cell>
        </row>
        <row r="16292">
          <cell r="F16292" t="str">
            <v xml:space="preserve">91177584       </v>
          </cell>
          <cell r="O16292">
            <v>450</v>
          </cell>
        </row>
        <row r="16293">
          <cell r="F16293" t="str">
            <v xml:space="preserve">91177584       </v>
          </cell>
          <cell r="O16293">
            <v>540</v>
          </cell>
        </row>
        <row r="16294">
          <cell r="F16294" t="str">
            <v xml:space="preserve">91213004       </v>
          </cell>
          <cell r="O16294">
            <v>810</v>
          </cell>
        </row>
        <row r="16295">
          <cell r="F16295" t="str">
            <v xml:space="preserve">9262987        </v>
          </cell>
          <cell r="O16295">
            <v>180</v>
          </cell>
        </row>
        <row r="16296">
          <cell r="F16296" t="str">
            <v xml:space="preserve">72196317       </v>
          </cell>
          <cell r="O16296">
            <v>750</v>
          </cell>
        </row>
        <row r="16297">
          <cell r="F16297" t="str">
            <v xml:space="preserve">72196317       </v>
          </cell>
          <cell r="O16297">
            <v>90</v>
          </cell>
        </row>
        <row r="16298">
          <cell r="F16298" t="str">
            <v xml:space="preserve">72196317       </v>
          </cell>
          <cell r="O16298">
            <v>75</v>
          </cell>
        </row>
        <row r="16299">
          <cell r="F16299" t="str">
            <v xml:space="preserve">72196317       </v>
          </cell>
          <cell r="O16299">
            <v>240</v>
          </cell>
        </row>
        <row r="16300">
          <cell r="F16300" t="str">
            <v xml:space="preserve">72196317       </v>
          </cell>
          <cell r="O16300">
            <v>36</v>
          </cell>
        </row>
        <row r="16301">
          <cell r="F16301" t="str">
            <v xml:space="preserve">1047231108     </v>
          </cell>
          <cell r="O16301">
            <v>600</v>
          </cell>
        </row>
        <row r="16302">
          <cell r="F16302" t="str">
            <v xml:space="preserve">1047231108     </v>
          </cell>
          <cell r="O16302">
            <v>18</v>
          </cell>
        </row>
        <row r="16303">
          <cell r="F16303" t="str">
            <v xml:space="preserve">1047231108     </v>
          </cell>
          <cell r="O16303">
            <v>225</v>
          </cell>
        </row>
        <row r="16304">
          <cell r="F16304" t="str">
            <v xml:space="preserve">1047231108     </v>
          </cell>
          <cell r="O16304">
            <v>525</v>
          </cell>
        </row>
        <row r="16305">
          <cell r="F16305" t="str">
            <v xml:space="preserve">73079740       </v>
          </cell>
          <cell r="O16305">
            <v>30</v>
          </cell>
        </row>
        <row r="16306">
          <cell r="F16306" t="str">
            <v xml:space="preserve">73079740       </v>
          </cell>
          <cell r="O16306">
            <v>468</v>
          </cell>
        </row>
        <row r="16307">
          <cell r="F16307" t="str">
            <v xml:space="preserve">73079740       </v>
          </cell>
          <cell r="O16307">
            <v>180</v>
          </cell>
        </row>
        <row r="16308">
          <cell r="F16308" t="str">
            <v xml:space="preserve">15047548       </v>
          </cell>
          <cell r="O16308">
            <v>105</v>
          </cell>
        </row>
        <row r="16309">
          <cell r="F16309" t="str">
            <v xml:space="preserve">15047548       </v>
          </cell>
          <cell r="O16309">
            <v>378</v>
          </cell>
        </row>
        <row r="16310">
          <cell r="F16310" t="str">
            <v xml:space="preserve">18531333       </v>
          </cell>
          <cell r="O16310">
            <v>480</v>
          </cell>
        </row>
        <row r="16311">
          <cell r="F16311" t="str">
            <v xml:space="preserve">18531333       </v>
          </cell>
          <cell r="O16311">
            <v>144</v>
          </cell>
        </row>
        <row r="16312">
          <cell r="F16312" t="str">
            <v xml:space="preserve">18531333       </v>
          </cell>
          <cell r="O16312">
            <v>45</v>
          </cell>
        </row>
        <row r="16313">
          <cell r="F16313" t="str">
            <v xml:space="preserve">18531333       </v>
          </cell>
          <cell r="O16313">
            <v>3120</v>
          </cell>
        </row>
        <row r="16314">
          <cell r="F16314" t="str">
            <v xml:space="preserve">71172414       </v>
          </cell>
          <cell r="O16314">
            <v>9</v>
          </cell>
        </row>
        <row r="16315">
          <cell r="F16315" t="str">
            <v xml:space="preserve">71172414       </v>
          </cell>
          <cell r="O16315">
            <v>1275</v>
          </cell>
        </row>
        <row r="16316">
          <cell r="F16316" t="str">
            <v xml:space="preserve">71172414       </v>
          </cell>
          <cell r="O16316">
            <v>288</v>
          </cell>
        </row>
        <row r="16317">
          <cell r="F16317" t="str">
            <v xml:space="preserve">71172414       </v>
          </cell>
          <cell r="O16317">
            <v>9</v>
          </cell>
        </row>
        <row r="16318">
          <cell r="F16318" t="str">
            <v xml:space="preserve">71172414       </v>
          </cell>
          <cell r="O16318">
            <v>1125</v>
          </cell>
        </row>
        <row r="16319">
          <cell r="F16319" t="str">
            <v xml:space="preserve">71172414       </v>
          </cell>
          <cell r="O16319">
            <v>396</v>
          </cell>
        </row>
        <row r="16320">
          <cell r="F16320" t="str">
            <v xml:space="preserve">71172414       </v>
          </cell>
          <cell r="O16320">
            <v>45</v>
          </cell>
        </row>
        <row r="16321">
          <cell r="F16321" t="str">
            <v xml:space="preserve">79827688       </v>
          </cell>
          <cell r="O16321">
            <v>30</v>
          </cell>
        </row>
        <row r="16322">
          <cell r="F16322" t="str">
            <v xml:space="preserve">79827688       </v>
          </cell>
          <cell r="O16322">
            <v>126</v>
          </cell>
        </row>
        <row r="16323">
          <cell r="F16323" t="str">
            <v xml:space="preserve">79827688       </v>
          </cell>
          <cell r="O16323">
            <v>45</v>
          </cell>
        </row>
        <row r="16324">
          <cell r="F16324" t="str">
            <v xml:space="preserve">79827688       </v>
          </cell>
          <cell r="O16324">
            <v>18</v>
          </cell>
        </row>
        <row r="16325">
          <cell r="F16325" t="str">
            <v xml:space="preserve">79827688       </v>
          </cell>
          <cell r="O16325">
            <v>240</v>
          </cell>
        </row>
        <row r="16326">
          <cell r="F16326" t="str">
            <v xml:space="preserve">79827688       </v>
          </cell>
          <cell r="O16326">
            <v>504</v>
          </cell>
        </row>
        <row r="16327">
          <cell r="F16327" t="str">
            <v xml:space="preserve">79827688       </v>
          </cell>
          <cell r="O16327">
            <v>225</v>
          </cell>
        </row>
        <row r="16328">
          <cell r="F16328" t="str">
            <v xml:space="preserve">92520690       </v>
          </cell>
          <cell r="O16328">
            <v>210</v>
          </cell>
        </row>
        <row r="16329">
          <cell r="F16329" t="str">
            <v xml:space="preserve">92520690       </v>
          </cell>
          <cell r="O16329">
            <v>1854</v>
          </cell>
        </row>
        <row r="16330">
          <cell r="F16330" t="str">
            <v xml:space="preserve">70752579       </v>
          </cell>
          <cell r="O16330">
            <v>150</v>
          </cell>
        </row>
        <row r="16331">
          <cell r="F16331" t="str">
            <v xml:space="preserve">70752579       </v>
          </cell>
          <cell r="O16331">
            <v>288</v>
          </cell>
        </row>
        <row r="16332">
          <cell r="F16332" t="str">
            <v xml:space="preserve">70752579       </v>
          </cell>
          <cell r="O16332">
            <v>45</v>
          </cell>
        </row>
        <row r="16333">
          <cell r="F16333" t="str">
            <v xml:space="preserve">70752579       </v>
          </cell>
          <cell r="O16333">
            <v>90</v>
          </cell>
        </row>
        <row r="16334">
          <cell r="F16334" t="str">
            <v xml:space="preserve">800010866      </v>
          </cell>
          <cell r="O16334">
            <v>9</v>
          </cell>
        </row>
        <row r="16335">
          <cell r="F16335" t="str">
            <v xml:space="preserve">800010866      </v>
          </cell>
          <cell r="O16335">
            <v>18</v>
          </cell>
        </row>
        <row r="16336">
          <cell r="F16336" t="str">
            <v xml:space="preserve">80266206       </v>
          </cell>
          <cell r="O16336">
            <v>126</v>
          </cell>
        </row>
        <row r="16337">
          <cell r="F16337" t="str">
            <v xml:space="preserve">80266206       </v>
          </cell>
          <cell r="O16337">
            <v>45</v>
          </cell>
        </row>
        <row r="16338">
          <cell r="F16338" t="str">
            <v xml:space="preserve">80266206       </v>
          </cell>
          <cell r="O16338">
            <v>216</v>
          </cell>
        </row>
        <row r="16339">
          <cell r="F16339" t="str">
            <v xml:space="preserve">80266206       </v>
          </cell>
          <cell r="O16339">
            <v>90</v>
          </cell>
        </row>
        <row r="16340">
          <cell r="F16340" t="str">
            <v xml:space="preserve">1111739602     </v>
          </cell>
          <cell r="O16340">
            <v>615</v>
          </cell>
        </row>
        <row r="16341">
          <cell r="F16341" t="str">
            <v xml:space="preserve">1111739602     </v>
          </cell>
          <cell r="O16341">
            <v>2010</v>
          </cell>
        </row>
        <row r="16342">
          <cell r="F16342" t="str">
            <v xml:space="preserve">1111739602     </v>
          </cell>
          <cell r="O16342">
            <v>450</v>
          </cell>
        </row>
        <row r="16343">
          <cell r="F16343" t="str">
            <v xml:space="preserve">1101204909     </v>
          </cell>
          <cell r="O16343">
            <v>15</v>
          </cell>
        </row>
        <row r="16344">
          <cell r="F16344" t="str">
            <v xml:space="preserve">1101204909     </v>
          </cell>
          <cell r="O16344">
            <v>72</v>
          </cell>
        </row>
        <row r="16345">
          <cell r="F16345" t="str">
            <v xml:space="preserve">1101204909     </v>
          </cell>
          <cell r="O16345">
            <v>45</v>
          </cell>
        </row>
        <row r="16346">
          <cell r="F16346" t="str">
            <v xml:space="preserve">1101204909     </v>
          </cell>
          <cell r="O16346">
            <v>225</v>
          </cell>
        </row>
        <row r="16347">
          <cell r="F16347" t="str">
            <v xml:space="preserve">1101204909     </v>
          </cell>
          <cell r="O16347">
            <v>324</v>
          </cell>
        </row>
        <row r="16348">
          <cell r="F16348" t="str">
            <v xml:space="preserve">860069182      </v>
          </cell>
          <cell r="O16348">
            <v>135</v>
          </cell>
        </row>
        <row r="16349">
          <cell r="F16349" t="str">
            <v xml:space="preserve">88168843       </v>
          </cell>
          <cell r="O16349">
            <v>18</v>
          </cell>
        </row>
        <row r="16350">
          <cell r="F16350" t="str">
            <v xml:space="preserve">88168843       </v>
          </cell>
          <cell r="O16350">
            <v>108</v>
          </cell>
        </row>
        <row r="16351">
          <cell r="F16351" t="str">
            <v xml:space="preserve">88168843       </v>
          </cell>
          <cell r="O16351">
            <v>45</v>
          </cell>
        </row>
        <row r="16352">
          <cell r="F16352" t="str">
            <v xml:space="preserve">88168843       </v>
          </cell>
          <cell r="O16352">
            <v>180</v>
          </cell>
        </row>
        <row r="16353">
          <cell r="F16353" t="str">
            <v xml:space="preserve">88168843       </v>
          </cell>
          <cell r="O16353">
            <v>30</v>
          </cell>
        </row>
        <row r="16354">
          <cell r="F16354" t="str">
            <v xml:space="preserve">9867640        </v>
          </cell>
          <cell r="O16354">
            <v>4.5</v>
          </cell>
        </row>
        <row r="16355">
          <cell r="F16355" t="str">
            <v xml:space="preserve">9867640        </v>
          </cell>
          <cell r="O16355">
            <v>9</v>
          </cell>
        </row>
        <row r="16356">
          <cell r="F16356" t="str">
            <v xml:space="preserve">9867640        </v>
          </cell>
          <cell r="O16356">
            <v>150</v>
          </cell>
        </row>
        <row r="16357">
          <cell r="F16357" t="str">
            <v xml:space="preserve">9867640        </v>
          </cell>
          <cell r="O16357">
            <v>72</v>
          </cell>
        </row>
        <row r="16358">
          <cell r="F16358" t="str">
            <v xml:space="preserve">10315862       </v>
          </cell>
          <cell r="O16358">
            <v>15</v>
          </cell>
        </row>
        <row r="16359">
          <cell r="F16359" t="str">
            <v xml:space="preserve">10315862       </v>
          </cell>
          <cell r="O16359">
            <v>324</v>
          </cell>
        </row>
        <row r="16360">
          <cell r="F16360" t="str">
            <v xml:space="preserve">10315862       </v>
          </cell>
          <cell r="O16360">
            <v>45</v>
          </cell>
        </row>
        <row r="16361">
          <cell r="F16361" t="str">
            <v xml:space="preserve">1103101503     </v>
          </cell>
          <cell r="O16361">
            <v>4.5</v>
          </cell>
        </row>
        <row r="16362">
          <cell r="F16362" t="str">
            <v xml:space="preserve">1103101503     </v>
          </cell>
          <cell r="O16362">
            <v>75</v>
          </cell>
        </row>
        <row r="16363">
          <cell r="F16363" t="str">
            <v xml:space="preserve">1103101503     </v>
          </cell>
          <cell r="O16363">
            <v>702</v>
          </cell>
        </row>
        <row r="16364">
          <cell r="F16364" t="str">
            <v xml:space="preserve">1103101503     </v>
          </cell>
          <cell r="O16364">
            <v>180</v>
          </cell>
        </row>
        <row r="16365">
          <cell r="F16365" t="str">
            <v xml:space="preserve">73166349       </v>
          </cell>
          <cell r="O16365">
            <v>180</v>
          </cell>
        </row>
        <row r="16366">
          <cell r="F16366" t="str">
            <v xml:space="preserve">73166349       </v>
          </cell>
          <cell r="O16366">
            <v>378</v>
          </cell>
        </row>
        <row r="16367">
          <cell r="F16367" t="str">
            <v xml:space="preserve">80021718       </v>
          </cell>
          <cell r="O16367">
            <v>936</v>
          </cell>
        </row>
        <row r="16368">
          <cell r="F16368" t="str">
            <v xml:space="preserve">80021718       </v>
          </cell>
          <cell r="O16368">
            <v>450</v>
          </cell>
        </row>
        <row r="16369">
          <cell r="F16369" t="str">
            <v xml:space="preserve">860001697      </v>
          </cell>
          <cell r="O16369">
            <v>626.04999999999995</v>
          </cell>
        </row>
        <row r="16370">
          <cell r="F16370" t="str">
            <v xml:space="preserve">860001697      </v>
          </cell>
          <cell r="O16370">
            <v>743</v>
          </cell>
        </row>
        <row r="16371">
          <cell r="F16371" t="str">
            <v xml:space="preserve">860001697      </v>
          </cell>
          <cell r="O16371">
            <v>238.3</v>
          </cell>
        </row>
        <row r="16372">
          <cell r="F16372" t="str">
            <v xml:space="preserve">860001697      </v>
          </cell>
          <cell r="O16372">
            <v>193.7</v>
          </cell>
        </row>
        <row r="16373">
          <cell r="F16373" t="str">
            <v xml:space="preserve">74170036       </v>
          </cell>
          <cell r="O16373">
            <v>15</v>
          </cell>
        </row>
        <row r="16374">
          <cell r="F16374" t="str">
            <v xml:space="preserve">74170036       </v>
          </cell>
          <cell r="O16374">
            <v>558</v>
          </cell>
        </row>
        <row r="16375">
          <cell r="F16375" t="str">
            <v xml:space="preserve">74170036       </v>
          </cell>
          <cell r="O16375">
            <v>225</v>
          </cell>
        </row>
        <row r="16376">
          <cell r="F16376" t="str">
            <v xml:space="preserve">7305518        </v>
          </cell>
          <cell r="O16376">
            <v>1980</v>
          </cell>
        </row>
        <row r="16377">
          <cell r="F16377" t="str">
            <v xml:space="preserve">7305518        </v>
          </cell>
          <cell r="O16377">
            <v>45</v>
          </cell>
        </row>
        <row r="16378">
          <cell r="F16378" t="str">
            <v xml:space="preserve">7305518        </v>
          </cell>
          <cell r="O16378">
            <v>90</v>
          </cell>
        </row>
        <row r="16379">
          <cell r="F16379" t="str">
            <v xml:space="preserve">830043084      </v>
          </cell>
          <cell r="O16379">
            <v>270</v>
          </cell>
        </row>
        <row r="16380">
          <cell r="F16380" t="str">
            <v xml:space="preserve">832010019      </v>
          </cell>
          <cell r="O16380">
            <v>225</v>
          </cell>
        </row>
        <row r="16381">
          <cell r="F16381" t="str">
            <v xml:space="preserve">7223456        </v>
          </cell>
          <cell r="O16381">
            <v>162</v>
          </cell>
        </row>
        <row r="16382">
          <cell r="F16382" t="str">
            <v xml:space="preserve">7223456        </v>
          </cell>
          <cell r="O16382">
            <v>180</v>
          </cell>
        </row>
        <row r="16383">
          <cell r="F16383" t="str">
            <v xml:space="preserve">7305425        </v>
          </cell>
          <cell r="O16383">
            <v>15</v>
          </cell>
        </row>
        <row r="16384">
          <cell r="F16384" t="str">
            <v xml:space="preserve">7305425        </v>
          </cell>
          <cell r="O16384">
            <v>666</v>
          </cell>
        </row>
        <row r="16385">
          <cell r="F16385" t="str">
            <v xml:space="preserve">7305425        </v>
          </cell>
          <cell r="O16385">
            <v>90</v>
          </cell>
        </row>
        <row r="16386">
          <cell r="F16386" t="str">
            <v xml:space="preserve">7301411        </v>
          </cell>
          <cell r="O16386">
            <v>522</v>
          </cell>
        </row>
        <row r="16387">
          <cell r="F16387" t="str">
            <v xml:space="preserve">7301411        </v>
          </cell>
          <cell r="O16387">
            <v>612</v>
          </cell>
        </row>
        <row r="16388">
          <cell r="F16388" t="str">
            <v xml:space="preserve">7301411        </v>
          </cell>
          <cell r="O16388">
            <v>90</v>
          </cell>
        </row>
        <row r="16389">
          <cell r="F16389" t="str">
            <v xml:space="preserve">79734086       </v>
          </cell>
          <cell r="O16389">
            <v>15</v>
          </cell>
        </row>
        <row r="16390">
          <cell r="F16390" t="str">
            <v xml:space="preserve">79734086       </v>
          </cell>
          <cell r="O16390">
            <v>144</v>
          </cell>
        </row>
        <row r="16391">
          <cell r="F16391" t="str">
            <v xml:space="preserve">79734086       </v>
          </cell>
          <cell r="O16391">
            <v>180</v>
          </cell>
        </row>
        <row r="16392">
          <cell r="F16392" t="str">
            <v xml:space="preserve">17783299       </v>
          </cell>
          <cell r="O16392">
            <v>1950</v>
          </cell>
        </row>
        <row r="16393">
          <cell r="F16393" t="str">
            <v xml:space="preserve">17783299       </v>
          </cell>
          <cell r="O16393">
            <v>45</v>
          </cell>
        </row>
        <row r="16394">
          <cell r="F16394" t="str">
            <v xml:space="preserve">17783299       </v>
          </cell>
          <cell r="O16394">
            <v>2700</v>
          </cell>
        </row>
        <row r="16395">
          <cell r="F16395" t="str">
            <v xml:space="preserve">17783299       </v>
          </cell>
          <cell r="O16395">
            <v>175</v>
          </cell>
        </row>
        <row r="16396">
          <cell r="F16396" t="str">
            <v xml:space="preserve">17783299       </v>
          </cell>
          <cell r="O16396">
            <v>900</v>
          </cell>
        </row>
        <row r="16397">
          <cell r="F16397" t="str">
            <v xml:space="preserve">17655129       </v>
          </cell>
          <cell r="O16397">
            <v>525</v>
          </cell>
        </row>
        <row r="16398">
          <cell r="F16398" t="str">
            <v xml:space="preserve">17655129       </v>
          </cell>
          <cell r="O16398">
            <v>35</v>
          </cell>
        </row>
        <row r="16399">
          <cell r="F16399" t="str">
            <v xml:space="preserve">17655129       </v>
          </cell>
          <cell r="O16399">
            <v>225</v>
          </cell>
        </row>
        <row r="16400">
          <cell r="F16400" t="str">
            <v xml:space="preserve">1083686504     </v>
          </cell>
          <cell r="O16400">
            <v>225</v>
          </cell>
        </row>
        <row r="16401">
          <cell r="F16401" t="str">
            <v xml:space="preserve">1083686504     </v>
          </cell>
          <cell r="O16401">
            <v>135</v>
          </cell>
        </row>
        <row r="16402">
          <cell r="F16402" t="str">
            <v xml:space="preserve">3024873        </v>
          </cell>
          <cell r="O16402">
            <v>270</v>
          </cell>
        </row>
        <row r="16403">
          <cell r="F16403" t="str">
            <v xml:space="preserve">3024873        </v>
          </cell>
          <cell r="O16403">
            <v>540</v>
          </cell>
        </row>
        <row r="16404">
          <cell r="F16404" t="str">
            <v xml:space="preserve">35250577       </v>
          </cell>
          <cell r="O16404">
            <v>306</v>
          </cell>
        </row>
        <row r="16405">
          <cell r="F16405" t="str">
            <v xml:space="preserve">35250577       </v>
          </cell>
          <cell r="O16405">
            <v>225</v>
          </cell>
        </row>
        <row r="16406">
          <cell r="F16406" t="str">
            <v xml:space="preserve">35250577       </v>
          </cell>
          <cell r="O16406">
            <v>18</v>
          </cell>
        </row>
        <row r="16407">
          <cell r="F16407" t="str">
            <v xml:space="preserve">93131041       </v>
          </cell>
          <cell r="O16407">
            <v>720</v>
          </cell>
        </row>
        <row r="16408">
          <cell r="F16408" t="str">
            <v xml:space="preserve">11320273       </v>
          </cell>
          <cell r="O16408">
            <v>1008</v>
          </cell>
        </row>
        <row r="16409">
          <cell r="F16409" t="str">
            <v xml:space="preserve">11320273       </v>
          </cell>
          <cell r="O16409">
            <v>585</v>
          </cell>
        </row>
        <row r="16410">
          <cell r="F16410" t="str">
            <v xml:space="preserve">5348905        </v>
          </cell>
          <cell r="O16410">
            <v>1800</v>
          </cell>
        </row>
        <row r="16411">
          <cell r="F16411" t="str">
            <v xml:space="preserve">5348905        </v>
          </cell>
          <cell r="O16411">
            <v>225</v>
          </cell>
        </row>
        <row r="16412">
          <cell r="F16412" t="str">
            <v xml:space="preserve">18185538       </v>
          </cell>
          <cell r="O16412">
            <v>915</v>
          </cell>
        </row>
        <row r="16413">
          <cell r="F16413" t="str">
            <v xml:space="preserve">18185538       </v>
          </cell>
          <cell r="O16413">
            <v>630</v>
          </cell>
        </row>
        <row r="16414">
          <cell r="F16414" t="str">
            <v xml:space="preserve">18185538       </v>
          </cell>
          <cell r="O16414">
            <v>135</v>
          </cell>
        </row>
        <row r="16415">
          <cell r="F16415" t="str">
            <v xml:space="preserve">12266504       </v>
          </cell>
          <cell r="O16415">
            <v>180</v>
          </cell>
        </row>
        <row r="16416">
          <cell r="F16416" t="str">
            <v xml:space="preserve">12266504       </v>
          </cell>
          <cell r="O16416">
            <v>36</v>
          </cell>
        </row>
        <row r="16417">
          <cell r="F16417" t="str">
            <v xml:space="preserve">12266504       </v>
          </cell>
          <cell r="O16417">
            <v>270</v>
          </cell>
        </row>
        <row r="16418">
          <cell r="F16418" t="str">
            <v xml:space="preserve">12266504       </v>
          </cell>
          <cell r="O16418">
            <v>45</v>
          </cell>
        </row>
        <row r="16419">
          <cell r="F16419" t="str">
            <v xml:space="preserve">12266504       </v>
          </cell>
          <cell r="O16419">
            <v>450</v>
          </cell>
        </row>
        <row r="16420">
          <cell r="F16420" t="str">
            <v xml:space="preserve">12266504       </v>
          </cell>
          <cell r="O16420">
            <v>135</v>
          </cell>
        </row>
        <row r="16421">
          <cell r="F16421" t="str">
            <v xml:space="preserve">12266504       </v>
          </cell>
          <cell r="O16421">
            <v>54</v>
          </cell>
        </row>
        <row r="16422">
          <cell r="F16422" t="str">
            <v xml:space="preserve">12266504       </v>
          </cell>
          <cell r="O16422">
            <v>180</v>
          </cell>
        </row>
        <row r="16423">
          <cell r="F16423" t="str">
            <v xml:space="preserve">12266504       </v>
          </cell>
          <cell r="O16423">
            <v>165</v>
          </cell>
        </row>
        <row r="16424">
          <cell r="F16424" t="str">
            <v xml:space="preserve">12266504       </v>
          </cell>
          <cell r="O16424">
            <v>45</v>
          </cell>
        </row>
        <row r="16425">
          <cell r="F16425" t="str">
            <v xml:space="preserve">12231586       </v>
          </cell>
          <cell r="O16425">
            <v>120</v>
          </cell>
        </row>
        <row r="16426">
          <cell r="F16426" t="str">
            <v xml:space="preserve">12231586       </v>
          </cell>
          <cell r="O16426">
            <v>36</v>
          </cell>
        </row>
        <row r="16427">
          <cell r="F16427" t="str">
            <v xml:space="preserve">12231586       </v>
          </cell>
          <cell r="O16427">
            <v>180</v>
          </cell>
        </row>
        <row r="16428">
          <cell r="F16428" t="str">
            <v xml:space="preserve">83042067       </v>
          </cell>
          <cell r="O16428">
            <v>240</v>
          </cell>
        </row>
        <row r="16429">
          <cell r="F16429" t="str">
            <v xml:space="preserve">83042067       </v>
          </cell>
          <cell r="O16429">
            <v>225</v>
          </cell>
        </row>
        <row r="16430">
          <cell r="F16430" t="str">
            <v xml:space="preserve">16864143       </v>
          </cell>
          <cell r="O16430">
            <v>690</v>
          </cell>
        </row>
        <row r="16431">
          <cell r="F16431" t="str">
            <v xml:space="preserve">16864143       </v>
          </cell>
          <cell r="O16431">
            <v>90</v>
          </cell>
        </row>
        <row r="16432">
          <cell r="F16432" t="str">
            <v xml:space="preserve">1062292334     </v>
          </cell>
          <cell r="O16432">
            <v>300</v>
          </cell>
        </row>
        <row r="16433">
          <cell r="F16433" t="str">
            <v xml:space="preserve">1062292334     </v>
          </cell>
          <cell r="O16433">
            <v>324</v>
          </cell>
        </row>
        <row r="16434">
          <cell r="F16434" t="str">
            <v xml:space="preserve">1062292334     </v>
          </cell>
          <cell r="O16434">
            <v>45</v>
          </cell>
        </row>
        <row r="16435">
          <cell r="F16435" t="str">
            <v xml:space="preserve">1062292334     </v>
          </cell>
          <cell r="O16435">
            <v>225</v>
          </cell>
        </row>
        <row r="16436">
          <cell r="F16436" t="str">
            <v xml:space="preserve">1062292334     </v>
          </cell>
          <cell r="O16436">
            <v>1368</v>
          </cell>
        </row>
        <row r="16437">
          <cell r="F16437" t="str">
            <v xml:space="preserve">1062292334     </v>
          </cell>
          <cell r="O16437">
            <v>675</v>
          </cell>
        </row>
        <row r="16438">
          <cell r="F16438" t="str">
            <v xml:space="preserve">93287188       </v>
          </cell>
          <cell r="O16438">
            <v>30</v>
          </cell>
        </row>
        <row r="16439">
          <cell r="F16439" t="str">
            <v xml:space="preserve">93287188       </v>
          </cell>
          <cell r="O16439">
            <v>720</v>
          </cell>
        </row>
        <row r="16440">
          <cell r="F16440" t="str">
            <v xml:space="preserve">900396458      </v>
          </cell>
          <cell r="O16440">
            <v>0</v>
          </cell>
        </row>
        <row r="16441">
          <cell r="F16441" t="str">
            <v xml:space="preserve">375997         </v>
          </cell>
          <cell r="O16441">
            <v>270</v>
          </cell>
        </row>
        <row r="16442">
          <cell r="F16442" t="str">
            <v xml:space="preserve">375997         </v>
          </cell>
          <cell r="O16442">
            <v>612</v>
          </cell>
        </row>
        <row r="16443">
          <cell r="F16443" t="str">
            <v xml:space="preserve">830133323      </v>
          </cell>
          <cell r="O16443">
            <v>18</v>
          </cell>
        </row>
        <row r="16444">
          <cell r="F16444" t="str">
            <v xml:space="preserve">830133323      </v>
          </cell>
          <cell r="O16444">
            <v>90</v>
          </cell>
        </row>
        <row r="16445">
          <cell r="F16445" t="str">
            <v xml:space="preserve">3158780        </v>
          </cell>
          <cell r="O16445">
            <v>270</v>
          </cell>
        </row>
        <row r="16446">
          <cell r="F16446" t="str">
            <v xml:space="preserve">3158780        </v>
          </cell>
          <cell r="O16446">
            <v>45</v>
          </cell>
        </row>
        <row r="16447">
          <cell r="F16447" t="str">
            <v xml:space="preserve">1010164223     </v>
          </cell>
          <cell r="O16447">
            <v>486</v>
          </cell>
        </row>
        <row r="16448">
          <cell r="F16448" t="str">
            <v xml:space="preserve">1015995477     </v>
          </cell>
          <cell r="O16448">
            <v>45</v>
          </cell>
        </row>
        <row r="16449">
          <cell r="F16449" t="str">
            <v xml:space="preserve">1015995477     </v>
          </cell>
          <cell r="O16449">
            <v>45</v>
          </cell>
        </row>
        <row r="16450">
          <cell r="F16450" t="str">
            <v xml:space="preserve">3159567        </v>
          </cell>
          <cell r="O16450">
            <v>504</v>
          </cell>
        </row>
        <row r="16451">
          <cell r="F16451" t="str">
            <v xml:space="preserve">3159567        </v>
          </cell>
          <cell r="O16451">
            <v>90</v>
          </cell>
        </row>
        <row r="16452">
          <cell r="F16452" t="str">
            <v xml:space="preserve">80277771       </v>
          </cell>
          <cell r="O16452">
            <v>1260</v>
          </cell>
        </row>
        <row r="16453">
          <cell r="F16453" t="str">
            <v xml:space="preserve">80277771       </v>
          </cell>
          <cell r="O16453">
            <v>540</v>
          </cell>
        </row>
        <row r="16454">
          <cell r="F16454" t="str">
            <v xml:space="preserve">830133323      </v>
          </cell>
          <cell r="O16454">
            <v>36</v>
          </cell>
        </row>
        <row r="16455">
          <cell r="F16455" t="str">
            <v xml:space="preserve">830133323      </v>
          </cell>
          <cell r="O16455">
            <v>45</v>
          </cell>
        </row>
        <row r="16456">
          <cell r="F16456" t="str">
            <v xml:space="preserve">830133323      </v>
          </cell>
          <cell r="O16456">
            <v>18</v>
          </cell>
        </row>
        <row r="16457">
          <cell r="F16457" t="str">
            <v xml:space="preserve">80351964       </v>
          </cell>
          <cell r="O16457">
            <v>72</v>
          </cell>
        </row>
        <row r="16458">
          <cell r="F16458" t="str">
            <v xml:space="preserve">80351964       </v>
          </cell>
          <cell r="O16458">
            <v>378</v>
          </cell>
        </row>
        <row r="16459">
          <cell r="F16459" t="str">
            <v xml:space="preserve">80283261       </v>
          </cell>
          <cell r="O16459">
            <v>468</v>
          </cell>
        </row>
        <row r="16460">
          <cell r="F16460" t="str">
            <v xml:space="preserve">80283261       </v>
          </cell>
          <cell r="O16460">
            <v>315</v>
          </cell>
        </row>
        <row r="16461">
          <cell r="F16461" t="str">
            <v xml:space="preserve">1072422938     </v>
          </cell>
          <cell r="O16461">
            <v>1116</v>
          </cell>
        </row>
        <row r="16462">
          <cell r="F16462" t="str">
            <v xml:space="preserve">1072422938     </v>
          </cell>
          <cell r="O16462">
            <v>45</v>
          </cell>
        </row>
        <row r="16463">
          <cell r="F16463" t="str">
            <v xml:space="preserve">1072422938     </v>
          </cell>
          <cell r="O16463">
            <v>30</v>
          </cell>
        </row>
        <row r="16464">
          <cell r="F16464" t="str">
            <v xml:space="preserve">80276442       </v>
          </cell>
          <cell r="O16464">
            <v>486</v>
          </cell>
        </row>
        <row r="16465">
          <cell r="F16465" t="str">
            <v xml:space="preserve">80276442       </v>
          </cell>
          <cell r="O16465">
            <v>630</v>
          </cell>
        </row>
        <row r="16466">
          <cell r="F16466" t="str">
            <v xml:space="preserve">830133323      </v>
          </cell>
          <cell r="O16466">
            <v>45</v>
          </cell>
        </row>
        <row r="16467">
          <cell r="F16467" t="str">
            <v xml:space="preserve">4090572        </v>
          </cell>
          <cell r="O16467">
            <v>27</v>
          </cell>
        </row>
        <row r="16468">
          <cell r="F16468" t="str">
            <v xml:space="preserve">4090572        </v>
          </cell>
          <cell r="O16468">
            <v>486</v>
          </cell>
        </row>
        <row r="16469">
          <cell r="F16469" t="str">
            <v xml:space="preserve">4090572        </v>
          </cell>
          <cell r="O16469">
            <v>90</v>
          </cell>
        </row>
        <row r="16470">
          <cell r="F16470" t="str">
            <v xml:space="preserve">80024551       </v>
          </cell>
          <cell r="O16470">
            <v>54</v>
          </cell>
        </row>
        <row r="16471">
          <cell r="F16471" t="str">
            <v xml:space="preserve">80024551       </v>
          </cell>
          <cell r="O16471">
            <v>60</v>
          </cell>
        </row>
        <row r="16472">
          <cell r="F16472" t="str">
            <v xml:space="preserve">80024551       </v>
          </cell>
          <cell r="O16472">
            <v>900</v>
          </cell>
        </row>
        <row r="16473">
          <cell r="F16473" t="str">
            <v xml:space="preserve">80024551       </v>
          </cell>
          <cell r="O16473">
            <v>405</v>
          </cell>
        </row>
        <row r="16474">
          <cell r="F16474" t="str">
            <v xml:space="preserve">4198272        </v>
          </cell>
          <cell r="O16474">
            <v>135</v>
          </cell>
        </row>
        <row r="16475">
          <cell r="F16475" t="str">
            <v xml:space="preserve">4198272        </v>
          </cell>
          <cell r="O16475">
            <v>120</v>
          </cell>
        </row>
        <row r="16476">
          <cell r="F16476" t="str">
            <v xml:space="preserve">4198272        </v>
          </cell>
          <cell r="O16476">
            <v>540</v>
          </cell>
        </row>
        <row r="16477">
          <cell r="F16477" t="str">
            <v xml:space="preserve">4198272        </v>
          </cell>
          <cell r="O16477">
            <v>135</v>
          </cell>
        </row>
        <row r="16478">
          <cell r="F16478" t="str">
            <v xml:space="preserve">11445090       </v>
          </cell>
          <cell r="O16478">
            <v>36</v>
          </cell>
        </row>
        <row r="16479">
          <cell r="F16479" t="str">
            <v xml:space="preserve">4090806        </v>
          </cell>
          <cell r="O16479">
            <v>36</v>
          </cell>
        </row>
        <row r="16480">
          <cell r="F16480" t="str">
            <v xml:space="preserve">4090806        </v>
          </cell>
          <cell r="O16480">
            <v>105</v>
          </cell>
        </row>
        <row r="16481">
          <cell r="F16481" t="str">
            <v xml:space="preserve">4090806        </v>
          </cell>
          <cell r="O16481">
            <v>810</v>
          </cell>
        </row>
        <row r="16482">
          <cell r="F16482" t="str">
            <v xml:space="preserve">4090806        </v>
          </cell>
          <cell r="O16482">
            <v>90</v>
          </cell>
        </row>
        <row r="16483">
          <cell r="F16483" t="str">
            <v xml:space="preserve">4090806        </v>
          </cell>
          <cell r="O16483">
            <v>171</v>
          </cell>
        </row>
        <row r="16484">
          <cell r="F16484" t="str">
            <v xml:space="preserve">80004213       </v>
          </cell>
          <cell r="O16484">
            <v>75</v>
          </cell>
        </row>
        <row r="16485">
          <cell r="F16485" t="str">
            <v xml:space="preserve">80004213       </v>
          </cell>
          <cell r="O16485">
            <v>720</v>
          </cell>
        </row>
        <row r="16486">
          <cell r="F16486" t="str">
            <v xml:space="preserve">80004213       </v>
          </cell>
          <cell r="O16486">
            <v>315</v>
          </cell>
        </row>
        <row r="16487">
          <cell r="F16487" t="str">
            <v xml:space="preserve">79339314       </v>
          </cell>
          <cell r="O16487">
            <v>255</v>
          </cell>
        </row>
        <row r="16488">
          <cell r="F16488" t="str">
            <v xml:space="preserve">79339314       </v>
          </cell>
          <cell r="O16488">
            <v>90</v>
          </cell>
        </row>
        <row r="16489">
          <cell r="F16489" t="str">
            <v xml:space="preserve">3171403        </v>
          </cell>
          <cell r="O16489">
            <v>30</v>
          </cell>
        </row>
        <row r="16490">
          <cell r="F16490" t="str">
            <v xml:space="preserve">3171403        </v>
          </cell>
          <cell r="O16490">
            <v>306</v>
          </cell>
        </row>
        <row r="16491">
          <cell r="F16491" t="str">
            <v xml:space="preserve">3171403        </v>
          </cell>
          <cell r="O16491">
            <v>270</v>
          </cell>
        </row>
        <row r="16492">
          <cell r="F16492" t="str">
            <v xml:space="preserve">83218584       </v>
          </cell>
          <cell r="O16492">
            <v>375</v>
          </cell>
        </row>
        <row r="16493">
          <cell r="F16493" t="str">
            <v xml:space="preserve">83218584       </v>
          </cell>
          <cell r="O16493">
            <v>18</v>
          </cell>
        </row>
        <row r="16494">
          <cell r="F16494" t="str">
            <v xml:space="preserve">83218584       </v>
          </cell>
          <cell r="O16494">
            <v>180</v>
          </cell>
        </row>
        <row r="16495">
          <cell r="F16495" t="str">
            <v xml:space="preserve">83218584       </v>
          </cell>
          <cell r="O16495">
            <v>180</v>
          </cell>
        </row>
        <row r="16496">
          <cell r="F16496" t="str">
            <v xml:space="preserve">7305728        </v>
          </cell>
          <cell r="O16496">
            <v>195</v>
          </cell>
        </row>
        <row r="16497">
          <cell r="F16497" t="str">
            <v xml:space="preserve">7305728        </v>
          </cell>
          <cell r="O16497">
            <v>414</v>
          </cell>
        </row>
        <row r="16498">
          <cell r="F16498" t="str">
            <v xml:space="preserve">7305728        </v>
          </cell>
          <cell r="O16498">
            <v>180</v>
          </cell>
        </row>
        <row r="16499">
          <cell r="F16499" t="str">
            <v xml:space="preserve">51856228       </v>
          </cell>
          <cell r="O16499">
            <v>9</v>
          </cell>
        </row>
        <row r="16500">
          <cell r="F16500" t="str">
            <v xml:space="preserve">51856228       </v>
          </cell>
          <cell r="O16500">
            <v>1044</v>
          </cell>
        </row>
        <row r="16501">
          <cell r="F16501" t="str">
            <v xml:space="preserve">51856228       </v>
          </cell>
          <cell r="O16501">
            <v>225</v>
          </cell>
        </row>
        <row r="16502">
          <cell r="F16502" t="str">
            <v xml:space="preserve">830133323      </v>
          </cell>
          <cell r="O16502">
            <v>18</v>
          </cell>
        </row>
        <row r="16503">
          <cell r="F16503" t="str">
            <v xml:space="preserve">830133323      </v>
          </cell>
          <cell r="O16503">
            <v>36</v>
          </cell>
        </row>
        <row r="16504">
          <cell r="F16504" t="str">
            <v xml:space="preserve">830133323      </v>
          </cell>
          <cell r="O16504">
            <v>18</v>
          </cell>
        </row>
        <row r="16505">
          <cell r="F16505" t="str">
            <v xml:space="preserve">830133323      </v>
          </cell>
          <cell r="O16505">
            <v>135</v>
          </cell>
        </row>
        <row r="16506">
          <cell r="F16506" t="str">
            <v xml:space="preserve">1114887745     </v>
          </cell>
          <cell r="O16506">
            <v>342</v>
          </cell>
        </row>
        <row r="16507">
          <cell r="F16507" t="str">
            <v xml:space="preserve">1097404034     </v>
          </cell>
          <cell r="O16507">
            <v>780</v>
          </cell>
        </row>
        <row r="16508">
          <cell r="F16508" t="str">
            <v xml:space="preserve">1097404034     </v>
          </cell>
          <cell r="O16508">
            <v>180</v>
          </cell>
        </row>
        <row r="16509">
          <cell r="F16509" t="str">
            <v xml:space="preserve">1097404034     </v>
          </cell>
          <cell r="O16509">
            <v>45</v>
          </cell>
        </row>
        <row r="16510">
          <cell r="F16510" t="str">
            <v xml:space="preserve">7545517        </v>
          </cell>
          <cell r="O16510">
            <v>120</v>
          </cell>
        </row>
        <row r="16511">
          <cell r="F16511" t="str">
            <v xml:space="preserve">7545517        </v>
          </cell>
          <cell r="O16511">
            <v>234</v>
          </cell>
        </row>
        <row r="16512">
          <cell r="F16512" t="str">
            <v xml:space="preserve">94071517       </v>
          </cell>
          <cell r="O16512">
            <v>150</v>
          </cell>
        </row>
        <row r="16513">
          <cell r="F16513" t="str">
            <v xml:space="preserve">94071517       </v>
          </cell>
          <cell r="O16513">
            <v>90</v>
          </cell>
        </row>
        <row r="16514">
          <cell r="F16514" t="str">
            <v xml:space="preserve">94071517       </v>
          </cell>
          <cell r="O16514">
            <v>705</v>
          </cell>
        </row>
        <row r="16515">
          <cell r="F16515" t="str">
            <v xml:space="preserve">94071517       </v>
          </cell>
          <cell r="O16515">
            <v>144</v>
          </cell>
        </row>
        <row r="16516">
          <cell r="F16516" t="str">
            <v xml:space="preserve">94071517       </v>
          </cell>
          <cell r="O16516">
            <v>135</v>
          </cell>
        </row>
        <row r="16517">
          <cell r="F16517" t="str">
            <v xml:space="preserve">8435389        </v>
          </cell>
          <cell r="O16517">
            <v>1650</v>
          </cell>
        </row>
        <row r="16518">
          <cell r="F16518" t="str">
            <v xml:space="preserve">8101796        </v>
          </cell>
          <cell r="O16518">
            <v>9</v>
          </cell>
        </row>
        <row r="16519">
          <cell r="F16519" t="str">
            <v xml:space="preserve">8101796        </v>
          </cell>
          <cell r="O16519">
            <v>540</v>
          </cell>
        </row>
        <row r="16520">
          <cell r="F16520" t="str">
            <v xml:space="preserve">8101796        </v>
          </cell>
          <cell r="O16520">
            <v>270</v>
          </cell>
        </row>
        <row r="16521">
          <cell r="F16521" t="str">
            <v xml:space="preserve">1101440685     </v>
          </cell>
          <cell r="O16521">
            <v>285</v>
          </cell>
        </row>
        <row r="16522">
          <cell r="F16522" t="str">
            <v xml:space="preserve">1101440685     </v>
          </cell>
          <cell r="O16522">
            <v>846</v>
          </cell>
        </row>
        <row r="16523">
          <cell r="F16523" t="str">
            <v xml:space="preserve">1023722736     </v>
          </cell>
          <cell r="O16523">
            <v>900</v>
          </cell>
        </row>
        <row r="16524">
          <cell r="F16524" t="str">
            <v xml:space="preserve">1023722736     </v>
          </cell>
          <cell r="O16524">
            <v>90</v>
          </cell>
        </row>
        <row r="16525">
          <cell r="F16525" t="str">
            <v xml:space="preserve">1023722736     </v>
          </cell>
          <cell r="O16525">
            <v>300</v>
          </cell>
        </row>
        <row r="16526">
          <cell r="F16526" t="str">
            <v xml:space="preserve">1023722736     </v>
          </cell>
          <cell r="O16526">
            <v>126</v>
          </cell>
        </row>
        <row r="16527">
          <cell r="F16527" t="str">
            <v xml:space="preserve">1039696881     </v>
          </cell>
          <cell r="O16527">
            <v>9</v>
          </cell>
        </row>
        <row r="16528">
          <cell r="F16528" t="str">
            <v xml:space="preserve">1039696881     </v>
          </cell>
          <cell r="O16528">
            <v>1422</v>
          </cell>
        </row>
        <row r="16529">
          <cell r="F16529" t="str">
            <v xml:space="preserve">1039696881     </v>
          </cell>
          <cell r="O16529">
            <v>450</v>
          </cell>
        </row>
        <row r="16530">
          <cell r="F16530" t="str">
            <v xml:space="preserve">1039696881     </v>
          </cell>
          <cell r="O16530">
            <v>450</v>
          </cell>
        </row>
        <row r="16531">
          <cell r="F16531" t="str">
            <v xml:space="preserve">1039696881     </v>
          </cell>
          <cell r="O16531">
            <v>1440</v>
          </cell>
        </row>
        <row r="16532">
          <cell r="F16532" t="str">
            <v xml:space="preserve">16553709       </v>
          </cell>
          <cell r="O16532">
            <v>180</v>
          </cell>
        </row>
        <row r="16533">
          <cell r="F16533" t="str">
            <v xml:space="preserve">16553709       </v>
          </cell>
          <cell r="O16533">
            <v>45</v>
          </cell>
        </row>
        <row r="16534">
          <cell r="F16534" t="str">
            <v xml:space="preserve">16553709       </v>
          </cell>
          <cell r="O16534">
            <v>60</v>
          </cell>
        </row>
        <row r="16535">
          <cell r="F16535" t="str">
            <v xml:space="preserve">1070329625     </v>
          </cell>
          <cell r="O16535">
            <v>300</v>
          </cell>
        </row>
        <row r="16536">
          <cell r="F16536" t="str">
            <v xml:space="preserve">1070329625     </v>
          </cell>
          <cell r="O16536">
            <v>360</v>
          </cell>
        </row>
        <row r="16537">
          <cell r="F16537" t="str">
            <v xml:space="preserve">1070329625     </v>
          </cell>
          <cell r="O16537">
            <v>450</v>
          </cell>
        </row>
        <row r="16538">
          <cell r="F16538" t="str">
            <v xml:space="preserve">1092154547     </v>
          </cell>
          <cell r="O16538">
            <v>342</v>
          </cell>
        </row>
        <row r="16539">
          <cell r="F16539" t="str">
            <v xml:space="preserve">1092154547     </v>
          </cell>
          <cell r="O16539">
            <v>18</v>
          </cell>
        </row>
        <row r="16540">
          <cell r="F16540" t="str">
            <v xml:space="preserve">1092154547     </v>
          </cell>
          <cell r="O16540">
            <v>360</v>
          </cell>
        </row>
        <row r="16541">
          <cell r="F16541" t="str">
            <v xml:space="preserve">901299892      </v>
          </cell>
          <cell r="O16541">
            <v>8700</v>
          </cell>
        </row>
        <row r="16542">
          <cell r="F16542" t="str">
            <v xml:space="preserve">901299892      </v>
          </cell>
          <cell r="O16542">
            <v>1350</v>
          </cell>
        </row>
        <row r="16543">
          <cell r="F16543" t="str">
            <v xml:space="preserve">15342410       </v>
          </cell>
          <cell r="O16543">
            <v>2190</v>
          </cell>
        </row>
        <row r="16544">
          <cell r="F16544" t="str">
            <v xml:space="preserve">15342410       </v>
          </cell>
          <cell r="O16544">
            <v>288</v>
          </cell>
        </row>
        <row r="16545">
          <cell r="F16545" t="str">
            <v xml:space="preserve">15342410       </v>
          </cell>
          <cell r="O16545">
            <v>360</v>
          </cell>
        </row>
        <row r="16546">
          <cell r="F16546" t="str">
            <v xml:space="preserve">15381508       </v>
          </cell>
          <cell r="O16546">
            <v>270</v>
          </cell>
        </row>
        <row r="16547">
          <cell r="F16547" t="str">
            <v xml:space="preserve">15381508       </v>
          </cell>
          <cell r="O16547">
            <v>414</v>
          </cell>
        </row>
        <row r="16548">
          <cell r="F16548" t="str">
            <v xml:space="preserve">15381508       </v>
          </cell>
          <cell r="O16548">
            <v>135</v>
          </cell>
        </row>
        <row r="16549">
          <cell r="F16549" t="str">
            <v xml:space="preserve">15381508       </v>
          </cell>
          <cell r="O16549">
            <v>210</v>
          </cell>
        </row>
        <row r="16550">
          <cell r="F16550" t="str">
            <v xml:space="preserve">15381508       </v>
          </cell>
          <cell r="O16550">
            <v>108</v>
          </cell>
        </row>
        <row r="16551">
          <cell r="F16551" t="str">
            <v xml:space="preserve">15381508       </v>
          </cell>
          <cell r="O16551">
            <v>225</v>
          </cell>
        </row>
        <row r="16552">
          <cell r="F16552" t="str">
            <v xml:space="preserve">15381508       </v>
          </cell>
          <cell r="O16552">
            <v>105</v>
          </cell>
        </row>
        <row r="16553">
          <cell r="F16553" t="str">
            <v xml:space="preserve">15381508       </v>
          </cell>
          <cell r="O16553">
            <v>72</v>
          </cell>
        </row>
        <row r="16554">
          <cell r="F16554" t="str">
            <v xml:space="preserve">15381508       </v>
          </cell>
          <cell r="O16554">
            <v>180</v>
          </cell>
        </row>
        <row r="16555">
          <cell r="F16555" t="str">
            <v xml:space="preserve">71388276       </v>
          </cell>
          <cell r="O16555">
            <v>126</v>
          </cell>
        </row>
        <row r="16556">
          <cell r="F16556" t="str">
            <v xml:space="preserve">71388276       </v>
          </cell>
          <cell r="O16556">
            <v>45</v>
          </cell>
        </row>
        <row r="16557">
          <cell r="F16557" t="str">
            <v xml:space="preserve">10178861       </v>
          </cell>
          <cell r="O16557">
            <v>225</v>
          </cell>
        </row>
        <row r="16558">
          <cell r="F16558" t="str">
            <v xml:space="preserve">10178861       </v>
          </cell>
          <cell r="O16558">
            <v>30</v>
          </cell>
        </row>
        <row r="16559">
          <cell r="F16559" t="str">
            <v xml:space="preserve">10178861       </v>
          </cell>
          <cell r="O16559">
            <v>900</v>
          </cell>
        </row>
        <row r="16560">
          <cell r="F16560" t="str">
            <v xml:space="preserve">6802563        </v>
          </cell>
          <cell r="O16560">
            <v>45</v>
          </cell>
        </row>
        <row r="16561">
          <cell r="F16561" t="str">
            <v xml:space="preserve">6802563        </v>
          </cell>
          <cell r="O16561">
            <v>45</v>
          </cell>
        </row>
        <row r="16562">
          <cell r="F16562" t="str">
            <v xml:space="preserve">6802563        </v>
          </cell>
          <cell r="O16562">
            <v>360</v>
          </cell>
        </row>
        <row r="16563">
          <cell r="F16563" t="str">
            <v xml:space="preserve">1105671149     </v>
          </cell>
          <cell r="O16563">
            <v>390</v>
          </cell>
        </row>
        <row r="16564">
          <cell r="F16564" t="str">
            <v xml:space="preserve">1105671149     </v>
          </cell>
          <cell r="O16564">
            <v>126</v>
          </cell>
        </row>
        <row r="16565">
          <cell r="F16565" t="str">
            <v xml:space="preserve">1105671149     </v>
          </cell>
          <cell r="O16565">
            <v>1440</v>
          </cell>
        </row>
        <row r="16566">
          <cell r="F16566" t="str">
            <v xml:space="preserve">1105671149     </v>
          </cell>
          <cell r="O16566">
            <v>225</v>
          </cell>
        </row>
        <row r="16567">
          <cell r="F16567" t="str">
            <v xml:space="preserve">88273778       </v>
          </cell>
          <cell r="O16567">
            <v>225</v>
          </cell>
        </row>
        <row r="16568">
          <cell r="F16568" t="str">
            <v xml:space="preserve">88273778       </v>
          </cell>
          <cell r="O16568">
            <v>45</v>
          </cell>
        </row>
        <row r="16569">
          <cell r="F16569" t="str">
            <v xml:space="preserve">10174892       </v>
          </cell>
          <cell r="O16569">
            <v>540</v>
          </cell>
        </row>
        <row r="16570">
          <cell r="F16570" t="str">
            <v xml:space="preserve">10174892       </v>
          </cell>
          <cell r="O16570">
            <v>135</v>
          </cell>
        </row>
        <row r="16571">
          <cell r="F16571" t="str">
            <v xml:space="preserve">13476066       </v>
          </cell>
          <cell r="O16571">
            <v>120</v>
          </cell>
        </row>
        <row r="16572">
          <cell r="F16572" t="str">
            <v xml:space="preserve">13476066       </v>
          </cell>
          <cell r="O16572">
            <v>18</v>
          </cell>
        </row>
        <row r="16573">
          <cell r="F16573" t="str">
            <v xml:space="preserve">98763233       </v>
          </cell>
          <cell r="O16573">
            <v>13.5</v>
          </cell>
        </row>
        <row r="16574">
          <cell r="F16574" t="str">
            <v xml:space="preserve">98763233       </v>
          </cell>
          <cell r="O16574">
            <v>72</v>
          </cell>
        </row>
        <row r="16575">
          <cell r="F16575" t="str">
            <v xml:space="preserve">98763233       </v>
          </cell>
          <cell r="O16575">
            <v>702</v>
          </cell>
        </row>
        <row r="16576">
          <cell r="F16576" t="str">
            <v xml:space="preserve">94265425       </v>
          </cell>
          <cell r="O16576">
            <v>630</v>
          </cell>
        </row>
        <row r="16577">
          <cell r="F16577" t="str">
            <v xml:space="preserve">94265425       </v>
          </cell>
          <cell r="O16577">
            <v>180</v>
          </cell>
        </row>
        <row r="16578">
          <cell r="F16578" t="str">
            <v xml:space="preserve">98711342       </v>
          </cell>
          <cell r="O16578">
            <v>9</v>
          </cell>
        </row>
        <row r="16579">
          <cell r="F16579" t="str">
            <v xml:space="preserve">98711342       </v>
          </cell>
          <cell r="O16579">
            <v>15</v>
          </cell>
        </row>
        <row r="16580">
          <cell r="F16580" t="str">
            <v xml:space="preserve">98711342       </v>
          </cell>
          <cell r="O16580">
            <v>450</v>
          </cell>
        </row>
        <row r="16581">
          <cell r="F16581" t="str">
            <v xml:space="preserve">98711342       </v>
          </cell>
          <cell r="O16581">
            <v>4.5</v>
          </cell>
        </row>
        <row r="16582">
          <cell r="F16582" t="str">
            <v xml:space="preserve">98711342       </v>
          </cell>
          <cell r="O16582">
            <v>15</v>
          </cell>
        </row>
        <row r="16583">
          <cell r="F16583" t="str">
            <v xml:space="preserve">98711342       </v>
          </cell>
          <cell r="O16583">
            <v>882</v>
          </cell>
        </row>
        <row r="16584">
          <cell r="F16584" t="str">
            <v xml:space="preserve">901301637      </v>
          </cell>
          <cell r="O16584">
            <v>1155</v>
          </cell>
        </row>
        <row r="16585">
          <cell r="F16585" t="str">
            <v xml:space="preserve">901301637      </v>
          </cell>
          <cell r="O16585">
            <v>4176</v>
          </cell>
        </row>
        <row r="16586">
          <cell r="F16586" t="str">
            <v xml:space="preserve">901301637      </v>
          </cell>
          <cell r="O16586">
            <v>1800</v>
          </cell>
        </row>
        <row r="16587">
          <cell r="F16587" t="str">
            <v xml:space="preserve">1036942800     </v>
          </cell>
          <cell r="O16587">
            <v>210</v>
          </cell>
        </row>
        <row r="16588">
          <cell r="F16588" t="str">
            <v xml:space="preserve">1036942800     </v>
          </cell>
          <cell r="O16588">
            <v>270</v>
          </cell>
        </row>
        <row r="16589">
          <cell r="F16589" t="str">
            <v xml:space="preserve">1036942800     </v>
          </cell>
          <cell r="O16589">
            <v>360</v>
          </cell>
        </row>
        <row r="16590">
          <cell r="F16590" t="str">
            <v xml:space="preserve">94420654       </v>
          </cell>
          <cell r="O16590">
            <v>216</v>
          </cell>
        </row>
        <row r="16591">
          <cell r="F16591" t="str">
            <v xml:space="preserve">1090397527     </v>
          </cell>
          <cell r="O16591">
            <v>1350</v>
          </cell>
        </row>
        <row r="16592">
          <cell r="F16592" t="str">
            <v xml:space="preserve">1090397527     </v>
          </cell>
          <cell r="O16592">
            <v>36</v>
          </cell>
        </row>
        <row r="16593">
          <cell r="F16593" t="str">
            <v xml:space="preserve">1090397527     </v>
          </cell>
          <cell r="O16593">
            <v>1575</v>
          </cell>
        </row>
        <row r="16594">
          <cell r="F16594" t="str">
            <v xml:space="preserve">1090397527     </v>
          </cell>
          <cell r="O16594">
            <v>165</v>
          </cell>
        </row>
        <row r="16595">
          <cell r="F16595" t="str">
            <v xml:space="preserve">1090397527     </v>
          </cell>
          <cell r="O16595">
            <v>18</v>
          </cell>
        </row>
        <row r="16596">
          <cell r="F16596" t="str">
            <v xml:space="preserve">1090397527     </v>
          </cell>
          <cell r="O16596">
            <v>135</v>
          </cell>
        </row>
        <row r="16597">
          <cell r="F16597" t="str">
            <v xml:space="preserve">1090397527     </v>
          </cell>
          <cell r="O16597">
            <v>1035</v>
          </cell>
        </row>
        <row r="16598">
          <cell r="F16598" t="str">
            <v xml:space="preserve">1090397527     </v>
          </cell>
          <cell r="O16598">
            <v>54</v>
          </cell>
        </row>
        <row r="16599">
          <cell r="F16599" t="str">
            <v xml:space="preserve">1090397527     </v>
          </cell>
          <cell r="O16599">
            <v>600</v>
          </cell>
        </row>
        <row r="16600">
          <cell r="F16600" t="str">
            <v xml:space="preserve">1090397527     </v>
          </cell>
          <cell r="O16600">
            <v>225</v>
          </cell>
        </row>
        <row r="16601">
          <cell r="F16601" t="str">
            <v xml:space="preserve">1090397527     </v>
          </cell>
          <cell r="O16601">
            <v>585</v>
          </cell>
        </row>
        <row r="16602">
          <cell r="F16602" t="str">
            <v xml:space="preserve">1090397527     </v>
          </cell>
          <cell r="O16602">
            <v>108</v>
          </cell>
        </row>
        <row r="16603">
          <cell r="F16603" t="str">
            <v xml:space="preserve">1039694009     </v>
          </cell>
          <cell r="O16603">
            <v>1095</v>
          </cell>
        </row>
        <row r="16604">
          <cell r="F16604" t="str">
            <v xml:space="preserve">1039694009     </v>
          </cell>
          <cell r="O16604">
            <v>36</v>
          </cell>
        </row>
        <row r="16605">
          <cell r="F16605" t="str">
            <v xml:space="preserve">1039694009     </v>
          </cell>
          <cell r="O16605">
            <v>270</v>
          </cell>
        </row>
        <row r="16606">
          <cell r="F16606" t="str">
            <v xml:space="preserve">1100623000     </v>
          </cell>
          <cell r="O16606">
            <v>9</v>
          </cell>
        </row>
        <row r="16607">
          <cell r="F16607" t="str">
            <v xml:space="preserve">1100623000     </v>
          </cell>
          <cell r="O16607">
            <v>30</v>
          </cell>
        </row>
        <row r="16608">
          <cell r="F16608" t="str">
            <v xml:space="preserve">1100623000     </v>
          </cell>
          <cell r="O16608">
            <v>234</v>
          </cell>
        </row>
        <row r="16609">
          <cell r="F16609" t="str">
            <v xml:space="preserve">1053331458     </v>
          </cell>
          <cell r="O16609">
            <v>108</v>
          </cell>
        </row>
        <row r="16610">
          <cell r="F16610" t="str">
            <v xml:space="preserve">1053331458     </v>
          </cell>
          <cell r="O16610">
            <v>225</v>
          </cell>
        </row>
        <row r="16611">
          <cell r="F16611" t="str">
            <v xml:space="preserve">1053331458     </v>
          </cell>
          <cell r="O16611">
            <v>375</v>
          </cell>
        </row>
        <row r="16612">
          <cell r="F16612" t="str">
            <v xml:space="preserve">73126502       </v>
          </cell>
          <cell r="O16612">
            <v>480</v>
          </cell>
        </row>
        <row r="16613">
          <cell r="F16613" t="str">
            <v xml:space="preserve">73126502       </v>
          </cell>
          <cell r="O16613">
            <v>306</v>
          </cell>
        </row>
        <row r="16614">
          <cell r="F16614" t="str">
            <v xml:space="preserve">73126502       </v>
          </cell>
          <cell r="O16614">
            <v>135</v>
          </cell>
        </row>
        <row r="16615">
          <cell r="F16615" t="str">
            <v xml:space="preserve">71142360       </v>
          </cell>
          <cell r="O16615">
            <v>315</v>
          </cell>
        </row>
        <row r="16616">
          <cell r="F16616" t="str">
            <v xml:space="preserve">71142360       </v>
          </cell>
          <cell r="O16616">
            <v>720</v>
          </cell>
        </row>
        <row r="16617">
          <cell r="F16617" t="str">
            <v xml:space="preserve">71142360       </v>
          </cell>
          <cell r="O16617">
            <v>90</v>
          </cell>
        </row>
        <row r="16618">
          <cell r="F16618" t="str">
            <v xml:space="preserve">71142360       </v>
          </cell>
          <cell r="O16618">
            <v>120</v>
          </cell>
        </row>
        <row r="16619">
          <cell r="F16619" t="str">
            <v xml:space="preserve">71142360       </v>
          </cell>
          <cell r="O16619">
            <v>468</v>
          </cell>
        </row>
        <row r="16620">
          <cell r="F16620" t="str">
            <v xml:space="preserve">71142360       </v>
          </cell>
          <cell r="O16620">
            <v>45</v>
          </cell>
        </row>
        <row r="16621">
          <cell r="F16621" t="str">
            <v xml:space="preserve">24341063       </v>
          </cell>
          <cell r="O16621">
            <v>27</v>
          </cell>
        </row>
        <row r="16622">
          <cell r="F16622" t="str">
            <v xml:space="preserve">24341063       </v>
          </cell>
          <cell r="O16622">
            <v>900</v>
          </cell>
        </row>
        <row r="16623">
          <cell r="F16623" t="str">
            <v xml:space="preserve">24341063       </v>
          </cell>
          <cell r="O16623">
            <v>72</v>
          </cell>
        </row>
        <row r="16624">
          <cell r="F16624" t="str">
            <v xml:space="preserve">24341063       </v>
          </cell>
          <cell r="O16624">
            <v>90</v>
          </cell>
        </row>
        <row r="16625">
          <cell r="F16625" t="str">
            <v xml:space="preserve">901021497      </v>
          </cell>
          <cell r="O16625">
            <v>18</v>
          </cell>
        </row>
        <row r="16626">
          <cell r="F16626" t="str">
            <v xml:space="preserve">901178932      </v>
          </cell>
          <cell r="O16626">
            <v>72</v>
          </cell>
        </row>
        <row r="16627">
          <cell r="F16627" t="str">
            <v xml:space="preserve">43656575       </v>
          </cell>
          <cell r="O16627">
            <v>18</v>
          </cell>
        </row>
        <row r="16628">
          <cell r="F16628" t="str">
            <v xml:space="preserve">43656575       </v>
          </cell>
          <cell r="O16628">
            <v>9</v>
          </cell>
        </row>
        <row r="16629">
          <cell r="F16629" t="str">
            <v xml:space="preserve">43656575       </v>
          </cell>
          <cell r="O16629">
            <v>1494</v>
          </cell>
        </row>
        <row r="16630">
          <cell r="F16630" t="str">
            <v xml:space="preserve">43656575       </v>
          </cell>
          <cell r="O16630">
            <v>45</v>
          </cell>
        </row>
        <row r="16631">
          <cell r="F16631" t="str">
            <v xml:space="preserve">73559455       </v>
          </cell>
          <cell r="O16631">
            <v>150</v>
          </cell>
        </row>
        <row r="16632">
          <cell r="F16632" t="str">
            <v xml:space="preserve">73559455       </v>
          </cell>
          <cell r="O16632">
            <v>144</v>
          </cell>
        </row>
        <row r="16633">
          <cell r="F16633" t="str">
            <v xml:space="preserve">73559455       </v>
          </cell>
          <cell r="O16633">
            <v>45</v>
          </cell>
        </row>
        <row r="16634">
          <cell r="F16634" t="str">
            <v xml:space="preserve">890403493      </v>
          </cell>
          <cell r="O16634">
            <v>18</v>
          </cell>
        </row>
        <row r="16635">
          <cell r="F16635" t="str">
            <v xml:space="preserve">890404273      </v>
          </cell>
          <cell r="O16635">
            <v>15</v>
          </cell>
        </row>
        <row r="16636">
          <cell r="F16636" t="str">
            <v xml:space="preserve">890406520      </v>
          </cell>
          <cell r="O16636">
            <v>30</v>
          </cell>
        </row>
        <row r="16637">
          <cell r="F16637" t="str">
            <v xml:space="preserve">94262420       </v>
          </cell>
          <cell r="O16637">
            <v>9</v>
          </cell>
        </row>
        <row r="16638">
          <cell r="F16638" t="str">
            <v xml:space="preserve">94262420       </v>
          </cell>
          <cell r="O16638">
            <v>735</v>
          </cell>
        </row>
        <row r="16639">
          <cell r="F16639" t="str">
            <v xml:space="preserve">94262420       </v>
          </cell>
          <cell r="O16639">
            <v>828</v>
          </cell>
        </row>
        <row r="16640">
          <cell r="F16640" t="str">
            <v xml:space="preserve">94262420       </v>
          </cell>
          <cell r="O16640">
            <v>36</v>
          </cell>
        </row>
        <row r="16641">
          <cell r="F16641" t="str">
            <v xml:space="preserve">94262420       </v>
          </cell>
          <cell r="O16641">
            <v>315</v>
          </cell>
        </row>
        <row r="16642">
          <cell r="F16642" t="str">
            <v xml:space="preserve">860001697      </v>
          </cell>
          <cell r="O16642">
            <v>275.54000000000002</v>
          </cell>
        </row>
        <row r="16643">
          <cell r="F16643" t="str">
            <v xml:space="preserve">860001697      </v>
          </cell>
          <cell r="O16643">
            <v>582.85</v>
          </cell>
        </row>
        <row r="16644">
          <cell r="F16644" t="str">
            <v xml:space="preserve">860001697      </v>
          </cell>
          <cell r="O16644">
            <v>495.7</v>
          </cell>
        </row>
        <row r="16645">
          <cell r="F16645" t="str">
            <v xml:space="preserve">1214745372     </v>
          </cell>
          <cell r="O16645">
            <v>918</v>
          </cell>
        </row>
        <row r="16646">
          <cell r="F16646" t="str">
            <v xml:space="preserve">860002523      </v>
          </cell>
          <cell r="O16646">
            <v>120</v>
          </cell>
        </row>
        <row r="16647">
          <cell r="F16647" t="str">
            <v xml:space="preserve">860005265      </v>
          </cell>
          <cell r="O16647">
            <v>1103</v>
          </cell>
        </row>
        <row r="16648">
          <cell r="F16648" t="str">
            <v xml:space="preserve">860005265      </v>
          </cell>
          <cell r="O16648">
            <v>728.9</v>
          </cell>
        </row>
        <row r="16649">
          <cell r="F16649" t="str">
            <v xml:space="preserve">900084859      </v>
          </cell>
          <cell r="O16649">
            <v>-18</v>
          </cell>
        </row>
        <row r="16650">
          <cell r="F16650" t="str">
            <v xml:space="preserve">901485271      </v>
          </cell>
          <cell r="O16650">
            <v>18</v>
          </cell>
        </row>
        <row r="16651">
          <cell r="F16651" t="str">
            <v xml:space="preserve">800052377      </v>
          </cell>
          <cell r="O16651">
            <v>72</v>
          </cell>
        </row>
        <row r="16652">
          <cell r="F16652" t="str">
            <v xml:space="preserve">800052377      </v>
          </cell>
          <cell r="O16652">
            <v>72</v>
          </cell>
        </row>
        <row r="16653">
          <cell r="F16653" t="str">
            <v xml:space="preserve">805018495      </v>
          </cell>
          <cell r="O16653">
            <v>108</v>
          </cell>
        </row>
        <row r="16654">
          <cell r="F16654" t="str">
            <v xml:space="preserve">821000169      </v>
          </cell>
          <cell r="O16654">
            <v>70</v>
          </cell>
        </row>
        <row r="16655">
          <cell r="F16655" t="str">
            <v xml:space="preserve">890903939      </v>
          </cell>
          <cell r="O16655">
            <v>166</v>
          </cell>
        </row>
        <row r="16656">
          <cell r="F16656" t="str">
            <v xml:space="preserve">900695374      </v>
          </cell>
          <cell r="O16656">
            <v>270</v>
          </cell>
        </row>
        <row r="16657">
          <cell r="F16657" t="str">
            <v xml:space="preserve">901547329      </v>
          </cell>
          <cell r="O16657">
            <v>630</v>
          </cell>
        </row>
        <row r="16658">
          <cell r="F16658" t="str">
            <v xml:space="preserve">811020038      </v>
          </cell>
          <cell r="O16658">
            <v>48</v>
          </cell>
        </row>
        <row r="16659">
          <cell r="F16659" t="str">
            <v xml:space="preserve">860001697      </v>
          </cell>
          <cell r="O16659">
            <v>396.25</v>
          </cell>
        </row>
        <row r="16660">
          <cell r="F16660" t="str">
            <v xml:space="preserve">860001697      </v>
          </cell>
          <cell r="O16660">
            <v>275.89999999999998</v>
          </cell>
        </row>
        <row r="16661">
          <cell r="F16661" t="str">
            <v xml:space="preserve">101            </v>
          </cell>
          <cell r="O16661">
            <v>54</v>
          </cell>
        </row>
        <row r="16662">
          <cell r="F16662" t="str">
            <v xml:space="preserve">101            </v>
          </cell>
          <cell r="O16662">
            <v>54</v>
          </cell>
        </row>
        <row r="16663">
          <cell r="F16663" t="str">
            <v xml:space="preserve">101            </v>
          </cell>
          <cell r="O16663">
            <v>45</v>
          </cell>
        </row>
        <row r="16664">
          <cell r="F16664" t="str">
            <v xml:space="preserve">102            </v>
          </cell>
          <cell r="O16664">
            <v>150</v>
          </cell>
        </row>
        <row r="16665">
          <cell r="F16665" t="str">
            <v xml:space="preserve">102            </v>
          </cell>
          <cell r="O16665">
            <v>126</v>
          </cell>
        </row>
        <row r="16666">
          <cell r="F16666" t="str">
            <v xml:space="preserve">102            </v>
          </cell>
          <cell r="O16666">
            <v>45</v>
          </cell>
        </row>
        <row r="16667">
          <cell r="F16667" t="str">
            <v xml:space="preserve">800090890      </v>
          </cell>
          <cell r="O16667">
            <v>72</v>
          </cell>
        </row>
        <row r="16668">
          <cell r="F16668" t="str">
            <v xml:space="preserve">890903939      </v>
          </cell>
          <cell r="O16668">
            <v>72</v>
          </cell>
        </row>
        <row r="16669">
          <cell r="F16669" t="str">
            <v xml:space="preserve">32772122       </v>
          </cell>
          <cell r="O16669">
            <v>420</v>
          </cell>
        </row>
        <row r="16670">
          <cell r="F16670" t="str">
            <v xml:space="preserve">32772122       </v>
          </cell>
          <cell r="O16670">
            <v>36</v>
          </cell>
        </row>
        <row r="16671">
          <cell r="F16671" t="str">
            <v xml:space="preserve">32772122       </v>
          </cell>
          <cell r="O16671">
            <v>90</v>
          </cell>
        </row>
        <row r="16672">
          <cell r="F16672" t="str">
            <v xml:space="preserve">73186091       </v>
          </cell>
          <cell r="O16672">
            <v>495</v>
          </cell>
        </row>
        <row r="16673">
          <cell r="F16673" t="str">
            <v xml:space="preserve">73186091       </v>
          </cell>
          <cell r="O16673">
            <v>90</v>
          </cell>
        </row>
        <row r="16674">
          <cell r="F16674" t="str">
            <v xml:space="preserve">900499032      </v>
          </cell>
          <cell r="O16674">
            <v>90</v>
          </cell>
        </row>
        <row r="16675">
          <cell r="F16675" t="str">
            <v xml:space="preserve">212            </v>
          </cell>
          <cell r="O16675">
            <v>72</v>
          </cell>
        </row>
        <row r="16676">
          <cell r="F16676" t="str">
            <v xml:space="preserve">212            </v>
          </cell>
          <cell r="O16676">
            <v>90</v>
          </cell>
        </row>
        <row r="16677">
          <cell r="F16677" t="str">
            <v xml:space="preserve">800020220      </v>
          </cell>
          <cell r="O16677">
            <v>72</v>
          </cell>
        </row>
        <row r="16678">
          <cell r="F16678" t="str">
            <v xml:space="preserve">800032071      </v>
          </cell>
          <cell r="O16678">
            <v>100</v>
          </cell>
        </row>
        <row r="16679">
          <cell r="F16679" t="str">
            <v xml:space="preserve">800032071      </v>
          </cell>
          <cell r="O16679">
            <v>120</v>
          </cell>
        </row>
        <row r="16680">
          <cell r="F16680" t="str">
            <v xml:space="preserve">800226901      </v>
          </cell>
          <cell r="O16680">
            <v>160</v>
          </cell>
        </row>
        <row r="16681">
          <cell r="F16681" t="str">
            <v xml:space="preserve">811047008      </v>
          </cell>
          <cell r="O16681">
            <v>18</v>
          </cell>
        </row>
        <row r="16682">
          <cell r="F16682" t="str">
            <v xml:space="preserve">830118404      </v>
          </cell>
          <cell r="O16682">
            <v>54</v>
          </cell>
        </row>
        <row r="16683">
          <cell r="F16683" t="str">
            <v xml:space="preserve">860001697      </v>
          </cell>
          <cell r="O16683">
            <v>404.75</v>
          </cell>
        </row>
        <row r="16684">
          <cell r="F16684" t="str">
            <v xml:space="preserve">900049818      </v>
          </cell>
          <cell r="O16684">
            <v>32</v>
          </cell>
        </row>
        <row r="16685">
          <cell r="F16685" t="str">
            <v xml:space="preserve">900163286      </v>
          </cell>
          <cell r="O16685">
            <v>36</v>
          </cell>
        </row>
        <row r="16686">
          <cell r="F16686" t="str">
            <v xml:space="preserve">900163286      </v>
          </cell>
          <cell r="O16686">
            <v>45</v>
          </cell>
        </row>
        <row r="16687">
          <cell r="F16687" t="str">
            <v xml:space="preserve">900603554      </v>
          </cell>
          <cell r="O16687">
            <v>162</v>
          </cell>
        </row>
        <row r="16688">
          <cell r="F16688" t="str">
            <v xml:space="preserve">830016868      </v>
          </cell>
          <cell r="O16688">
            <v>2610</v>
          </cell>
        </row>
        <row r="16689">
          <cell r="F16689" t="str">
            <v xml:space="preserve">890205142      </v>
          </cell>
          <cell r="O16689">
            <v>135</v>
          </cell>
        </row>
        <row r="16690">
          <cell r="F16690" t="str">
            <v xml:space="preserve">890205142      </v>
          </cell>
          <cell r="O16690">
            <v>360</v>
          </cell>
        </row>
        <row r="16691">
          <cell r="F16691" t="str">
            <v xml:space="preserve">890205142      </v>
          </cell>
          <cell r="O16691">
            <v>2610</v>
          </cell>
        </row>
        <row r="16692">
          <cell r="F16692" t="str">
            <v xml:space="preserve">890205142      </v>
          </cell>
          <cell r="O16692">
            <v>270</v>
          </cell>
        </row>
        <row r="16693">
          <cell r="F16693" t="str">
            <v xml:space="preserve">890205142      </v>
          </cell>
          <cell r="O16693">
            <v>1260</v>
          </cell>
        </row>
        <row r="16694">
          <cell r="F16694" t="str">
            <v xml:space="preserve">800090890      </v>
          </cell>
          <cell r="O16694">
            <v>19</v>
          </cell>
        </row>
        <row r="16695">
          <cell r="F16695" t="str">
            <v xml:space="preserve">800090890      </v>
          </cell>
          <cell r="O16695">
            <v>32</v>
          </cell>
        </row>
        <row r="16696">
          <cell r="F16696" t="str">
            <v xml:space="preserve">800090890      </v>
          </cell>
          <cell r="O16696">
            <v>38</v>
          </cell>
        </row>
        <row r="16697">
          <cell r="F16697" t="str">
            <v xml:space="preserve">811014849      </v>
          </cell>
          <cell r="O16697">
            <v>234</v>
          </cell>
        </row>
        <row r="16698">
          <cell r="F16698" t="str">
            <v xml:space="preserve">811014849      </v>
          </cell>
          <cell r="O16698">
            <v>108</v>
          </cell>
        </row>
        <row r="16699">
          <cell r="F16699" t="str">
            <v xml:space="preserve">811014849      </v>
          </cell>
          <cell r="O16699">
            <v>54</v>
          </cell>
        </row>
        <row r="16700">
          <cell r="F16700" t="str">
            <v xml:space="preserve">811014849      </v>
          </cell>
          <cell r="O16700">
            <v>90</v>
          </cell>
        </row>
        <row r="16701">
          <cell r="F16701" t="str">
            <v xml:space="preserve">890903939      </v>
          </cell>
          <cell r="O16701">
            <v>787.6</v>
          </cell>
        </row>
        <row r="16702">
          <cell r="F16702" t="str">
            <v xml:space="preserve">890903939      </v>
          </cell>
          <cell r="O16702">
            <v>137</v>
          </cell>
        </row>
        <row r="16703">
          <cell r="F16703" t="str">
            <v xml:space="preserve">890903939      </v>
          </cell>
          <cell r="O16703">
            <v>696.5</v>
          </cell>
        </row>
        <row r="16704">
          <cell r="F16704" t="str">
            <v xml:space="preserve">890903939      </v>
          </cell>
          <cell r="O16704">
            <v>243.16</v>
          </cell>
        </row>
        <row r="16705">
          <cell r="F16705" t="str">
            <v xml:space="preserve">890903939      </v>
          </cell>
          <cell r="O16705">
            <v>71.5</v>
          </cell>
        </row>
        <row r="16706">
          <cell r="F16706" t="str">
            <v xml:space="preserve">211            </v>
          </cell>
          <cell r="O16706">
            <v>135</v>
          </cell>
        </row>
        <row r="16707">
          <cell r="F16707" t="str">
            <v xml:space="preserve">211            </v>
          </cell>
          <cell r="O16707">
            <v>30</v>
          </cell>
        </row>
        <row r="16708">
          <cell r="F16708" t="str">
            <v xml:space="preserve">211            </v>
          </cell>
          <cell r="O16708">
            <v>648</v>
          </cell>
        </row>
        <row r="16709">
          <cell r="F16709" t="str">
            <v xml:space="preserve">211            </v>
          </cell>
          <cell r="O16709">
            <v>105</v>
          </cell>
        </row>
        <row r="16710">
          <cell r="F16710" t="str">
            <v xml:space="preserve">211            </v>
          </cell>
          <cell r="O16710">
            <v>1098</v>
          </cell>
        </row>
        <row r="16711">
          <cell r="F16711" t="str">
            <v xml:space="preserve">211            </v>
          </cell>
          <cell r="O16711">
            <v>270</v>
          </cell>
        </row>
        <row r="16712">
          <cell r="F16712" t="str">
            <v xml:space="preserve">811014849      </v>
          </cell>
          <cell r="O16712">
            <v>328.02</v>
          </cell>
        </row>
        <row r="16713">
          <cell r="F16713" t="str">
            <v xml:space="preserve">806008873      </v>
          </cell>
          <cell r="O16713">
            <v>270</v>
          </cell>
        </row>
        <row r="16714">
          <cell r="F16714" t="str">
            <v xml:space="preserve">830076368      </v>
          </cell>
          <cell r="O16714">
            <v>90</v>
          </cell>
        </row>
        <row r="16715">
          <cell r="F16715" t="str">
            <v xml:space="preserve">830076368      </v>
          </cell>
          <cell r="O16715">
            <v>30</v>
          </cell>
        </row>
        <row r="16716">
          <cell r="F16716" t="str">
            <v xml:space="preserve">830095213      </v>
          </cell>
          <cell r="O16716">
            <v>180</v>
          </cell>
        </row>
        <row r="16717">
          <cell r="F16717" t="str">
            <v xml:space="preserve">830095213      </v>
          </cell>
          <cell r="O16717">
            <v>45</v>
          </cell>
        </row>
        <row r="16718">
          <cell r="F16718" t="str">
            <v xml:space="preserve">830095213      </v>
          </cell>
          <cell r="O16718">
            <v>180</v>
          </cell>
        </row>
        <row r="16719">
          <cell r="F16719" t="str">
            <v xml:space="preserve">890903939      </v>
          </cell>
          <cell r="O16719">
            <v>435.91</v>
          </cell>
        </row>
        <row r="16720">
          <cell r="F16720" t="str">
            <v xml:space="preserve">900820045      </v>
          </cell>
          <cell r="O16720">
            <v>144</v>
          </cell>
        </row>
        <row r="16721">
          <cell r="F16721" t="str">
            <v xml:space="preserve">830036921      </v>
          </cell>
          <cell r="O16721">
            <v>356.9</v>
          </cell>
        </row>
        <row r="16722">
          <cell r="F16722" t="str">
            <v xml:space="preserve">860001697      </v>
          </cell>
          <cell r="O16722">
            <v>1368.45</v>
          </cell>
        </row>
        <row r="16723">
          <cell r="F16723" t="str">
            <v xml:space="preserve">800229035      </v>
          </cell>
          <cell r="O16723">
            <v>60</v>
          </cell>
        </row>
        <row r="16724">
          <cell r="F16724" t="str">
            <v xml:space="preserve">800229035      </v>
          </cell>
          <cell r="O16724">
            <v>90</v>
          </cell>
        </row>
        <row r="16725">
          <cell r="F16725" t="str">
            <v xml:space="preserve">800229035      </v>
          </cell>
          <cell r="O16725">
            <v>105</v>
          </cell>
        </row>
        <row r="16726">
          <cell r="F16726" t="str">
            <v xml:space="preserve">800229035      </v>
          </cell>
          <cell r="O16726">
            <v>90</v>
          </cell>
        </row>
        <row r="16727">
          <cell r="F16727" t="str">
            <v xml:space="preserve">800229035      </v>
          </cell>
          <cell r="O16727">
            <v>75</v>
          </cell>
        </row>
        <row r="16728">
          <cell r="F16728" t="str">
            <v xml:space="preserve">800229035      </v>
          </cell>
          <cell r="O16728">
            <v>105</v>
          </cell>
        </row>
        <row r="16729">
          <cell r="F16729" t="str">
            <v xml:space="preserve">890903939      </v>
          </cell>
          <cell r="O16729">
            <v>342</v>
          </cell>
        </row>
        <row r="16730">
          <cell r="F16730" t="str">
            <v xml:space="preserve">890903939      </v>
          </cell>
          <cell r="O16730">
            <v>684</v>
          </cell>
        </row>
        <row r="16731">
          <cell r="F16731" t="str">
            <v xml:space="preserve">901008538      </v>
          </cell>
          <cell r="O16731">
            <v>90</v>
          </cell>
        </row>
        <row r="16732">
          <cell r="F16732" t="str">
            <v xml:space="preserve">29623619       </v>
          </cell>
          <cell r="O16732">
            <v>652.20000000000005</v>
          </cell>
        </row>
        <row r="16733">
          <cell r="F16733" t="str">
            <v xml:space="preserve">41914810       </v>
          </cell>
          <cell r="O16733">
            <v>116</v>
          </cell>
        </row>
        <row r="16734">
          <cell r="F16734" t="str">
            <v xml:space="preserve">800050622      </v>
          </cell>
          <cell r="O16734">
            <v>38.700000000000003</v>
          </cell>
        </row>
        <row r="16735">
          <cell r="F16735" t="str">
            <v xml:space="preserve">890907163      </v>
          </cell>
          <cell r="O16735">
            <v>340</v>
          </cell>
        </row>
        <row r="16736">
          <cell r="F16736" t="str">
            <v xml:space="preserve">900950731      </v>
          </cell>
          <cell r="O16736">
            <v>3306.6</v>
          </cell>
        </row>
        <row r="16737">
          <cell r="F16737" t="str">
            <v xml:space="preserve">901455213      </v>
          </cell>
          <cell r="O16737">
            <v>130.19999999999999</v>
          </cell>
        </row>
        <row r="16738">
          <cell r="F16738" t="str">
            <v xml:space="preserve">1077847030     </v>
          </cell>
          <cell r="O16738">
            <v>145</v>
          </cell>
        </row>
        <row r="16739">
          <cell r="F16739" t="str">
            <v xml:space="preserve">1078246535     </v>
          </cell>
          <cell r="O16739">
            <v>79.099999999999994</v>
          </cell>
        </row>
        <row r="16740">
          <cell r="F16740" t="str">
            <v xml:space="preserve">1080362316     </v>
          </cell>
          <cell r="O16740">
            <v>130.6</v>
          </cell>
        </row>
        <row r="16741">
          <cell r="F16741" t="str">
            <v xml:space="preserve">1080932723     </v>
          </cell>
          <cell r="O16741">
            <v>45.3</v>
          </cell>
        </row>
        <row r="16742">
          <cell r="F16742" t="str">
            <v xml:space="preserve">1083872378     </v>
          </cell>
          <cell r="O16742">
            <v>44.3</v>
          </cell>
        </row>
        <row r="16743">
          <cell r="F16743" t="str">
            <v xml:space="preserve">1083921993     </v>
          </cell>
          <cell r="O16743">
            <v>187.5</v>
          </cell>
        </row>
        <row r="16744">
          <cell r="F16744" t="str">
            <v xml:space="preserve">26550220       </v>
          </cell>
          <cell r="O16744">
            <v>87.9</v>
          </cell>
        </row>
        <row r="16745">
          <cell r="F16745" t="str">
            <v xml:space="preserve">30505859       </v>
          </cell>
          <cell r="O16745">
            <v>115.3</v>
          </cell>
        </row>
        <row r="16746">
          <cell r="F16746" t="str">
            <v xml:space="preserve">30521799       </v>
          </cell>
          <cell r="O16746">
            <v>116.9</v>
          </cell>
        </row>
        <row r="16747">
          <cell r="F16747" t="str">
            <v xml:space="preserve">36313794       </v>
          </cell>
          <cell r="O16747">
            <v>128.69999999999999</v>
          </cell>
        </row>
        <row r="16748">
          <cell r="F16748" t="str">
            <v xml:space="preserve">4888325        </v>
          </cell>
          <cell r="O16748">
            <v>31.9</v>
          </cell>
        </row>
        <row r="16749">
          <cell r="F16749" t="str">
            <v xml:space="preserve">52662607       </v>
          </cell>
          <cell r="O16749">
            <v>42.5</v>
          </cell>
        </row>
        <row r="16750">
          <cell r="F16750" t="str">
            <v xml:space="preserve">55112429       </v>
          </cell>
          <cell r="O16750">
            <v>63.9</v>
          </cell>
        </row>
        <row r="16751">
          <cell r="F16751" t="str">
            <v xml:space="preserve">55207082		     </v>
          </cell>
          <cell r="O16751">
            <v>268.60000000000002</v>
          </cell>
        </row>
        <row r="16752">
          <cell r="F16752" t="str">
            <v xml:space="preserve">83056555       </v>
          </cell>
          <cell r="O16752">
            <v>81.7</v>
          </cell>
        </row>
        <row r="16753">
          <cell r="F16753" t="str">
            <v xml:space="preserve">83057870       </v>
          </cell>
          <cell r="O16753">
            <v>173</v>
          </cell>
        </row>
        <row r="16754">
          <cell r="F16754" t="str">
            <v xml:space="preserve">900235922      </v>
          </cell>
          <cell r="O16754">
            <v>97.9</v>
          </cell>
        </row>
        <row r="16755">
          <cell r="F16755" t="str">
            <v xml:space="preserve">900671214      </v>
          </cell>
          <cell r="O16755">
            <v>76.900000000000006</v>
          </cell>
        </row>
        <row r="16756">
          <cell r="F16756" t="str">
            <v xml:space="preserve">800178813      </v>
          </cell>
          <cell r="O16756">
            <v>431.3</v>
          </cell>
        </row>
        <row r="16757">
          <cell r="F16757" t="str">
            <v xml:space="preserve">811047008      </v>
          </cell>
          <cell r="O16757">
            <v>236.2</v>
          </cell>
        </row>
        <row r="16758">
          <cell r="F16758" t="str">
            <v xml:space="preserve">830143647      </v>
          </cell>
          <cell r="O16758">
            <v>175.6</v>
          </cell>
        </row>
        <row r="16759">
          <cell r="F16759" t="str">
            <v xml:space="preserve">860032450      </v>
          </cell>
          <cell r="O16759">
            <v>358</v>
          </cell>
        </row>
        <row r="16760">
          <cell r="F16760" t="str">
            <v xml:space="preserve">860040407      </v>
          </cell>
          <cell r="O16760">
            <v>200</v>
          </cell>
        </row>
        <row r="16761">
          <cell r="F16761" t="str">
            <v xml:space="preserve">830094679      </v>
          </cell>
          <cell r="O16761">
            <v>144</v>
          </cell>
        </row>
        <row r="16762">
          <cell r="F16762" t="str">
            <v xml:space="preserve">890903939      </v>
          </cell>
          <cell r="O16762">
            <v>203.4</v>
          </cell>
        </row>
        <row r="16763">
          <cell r="F16763" t="str">
            <v xml:space="preserve">212            </v>
          </cell>
          <cell r="O16763">
            <v>9</v>
          </cell>
        </row>
        <row r="16764">
          <cell r="F16764" t="str">
            <v xml:space="preserve">212            </v>
          </cell>
          <cell r="O16764">
            <v>90</v>
          </cell>
        </row>
        <row r="16765">
          <cell r="F16765" t="str">
            <v xml:space="preserve">212            </v>
          </cell>
          <cell r="O16765">
            <v>180</v>
          </cell>
        </row>
        <row r="16766">
          <cell r="F16766" t="str">
            <v xml:space="preserve">212            </v>
          </cell>
          <cell r="O16766">
            <v>90</v>
          </cell>
        </row>
        <row r="16767">
          <cell r="F16767" t="str">
            <v xml:space="preserve">212            </v>
          </cell>
          <cell r="O16767">
            <v>45</v>
          </cell>
        </row>
        <row r="16768">
          <cell r="F16768" t="str">
            <v xml:space="preserve">212            </v>
          </cell>
          <cell r="O16768">
            <v>36</v>
          </cell>
        </row>
        <row r="16769">
          <cell r="F16769" t="str">
            <v xml:space="preserve">212            </v>
          </cell>
          <cell r="O16769">
            <v>45</v>
          </cell>
        </row>
        <row r="16770">
          <cell r="F16770" t="str">
            <v xml:space="preserve">811006706      </v>
          </cell>
          <cell r="O16770">
            <v>18</v>
          </cell>
        </row>
        <row r="16771">
          <cell r="F16771" t="str">
            <v xml:space="preserve">811006706      </v>
          </cell>
          <cell r="O16771">
            <v>90</v>
          </cell>
        </row>
        <row r="16772">
          <cell r="F16772" t="str">
            <v xml:space="preserve">811034562      </v>
          </cell>
          <cell r="O16772">
            <v>36</v>
          </cell>
        </row>
        <row r="16773">
          <cell r="F16773" t="str">
            <v xml:space="preserve">203            </v>
          </cell>
          <cell r="O16773">
            <v>4.5</v>
          </cell>
        </row>
        <row r="16774">
          <cell r="F16774" t="str">
            <v xml:space="preserve">203            </v>
          </cell>
          <cell r="O16774">
            <v>30</v>
          </cell>
        </row>
        <row r="16775">
          <cell r="F16775" t="str">
            <v xml:space="preserve">203            </v>
          </cell>
          <cell r="O16775">
            <v>126</v>
          </cell>
        </row>
        <row r="16776">
          <cell r="F16776" t="str">
            <v xml:space="preserve">21650387       </v>
          </cell>
          <cell r="O16776">
            <v>90</v>
          </cell>
        </row>
        <row r="16777">
          <cell r="F16777" t="str">
            <v xml:space="preserve">900199056      </v>
          </cell>
          <cell r="O16777">
            <v>45</v>
          </cell>
        </row>
        <row r="16778">
          <cell r="F16778" t="str">
            <v xml:space="preserve">900445736      </v>
          </cell>
          <cell r="O16778">
            <v>18</v>
          </cell>
        </row>
        <row r="16779">
          <cell r="F16779" t="str">
            <v xml:space="preserve">900445736      </v>
          </cell>
          <cell r="O16779">
            <v>45</v>
          </cell>
        </row>
        <row r="16780">
          <cell r="F16780" t="str">
            <v xml:space="preserve">900445736      </v>
          </cell>
          <cell r="O16780">
            <v>36</v>
          </cell>
        </row>
        <row r="16781">
          <cell r="F16781" t="str">
            <v xml:space="preserve">900445736      </v>
          </cell>
          <cell r="O16781">
            <v>18</v>
          </cell>
        </row>
        <row r="16782">
          <cell r="F16782" t="str">
            <v xml:space="preserve">900445736      </v>
          </cell>
          <cell r="O16782">
            <v>45</v>
          </cell>
        </row>
        <row r="16783">
          <cell r="F16783" t="str">
            <v xml:space="preserve">900445736      </v>
          </cell>
          <cell r="O16783">
            <v>45</v>
          </cell>
        </row>
        <row r="16784">
          <cell r="F16784" t="str">
            <v xml:space="preserve">900445736      </v>
          </cell>
          <cell r="O16784">
            <v>45</v>
          </cell>
        </row>
        <row r="16785">
          <cell r="F16785" t="str">
            <v xml:space="preserve">900445736      </v>
          </cell>
          <cell r="O16785">
            <v>45</v>
          </cell>
        </row>
        <row r="16786">
          <cell r="F16786" t="str">
            <v xml:space="preserve">900880568      </v>
          </cell>
          <cell r="O16786">
            <v>72</v>
          </cell>
        </row>
        <row r="16787">
          <cell r="F16787" t="str">
            <v xml:space="preserve">98699317       </v>
          </cell>
          <cell r="O16787">
            <v>108</v>
          </cell>
        </row>
        <row r="16788">
          <cell r="F16788" t="str">
            <v xml:space="preserve">98699317       </v>
          </cell>
          <cell r="O16788">
            <v>45</v>
          </cell>
        </row>
        <row r="16789">
          <cell r="F16789" t="str">
            <v xml:space="preserve">213            </v>
          </cell>
          <cell r="O16789">
            <v>4.5</v>
          </cell>
        </row>
        <row r="16790">
          <cell r="F16790" t="str">
            <v xml:space="preserve">213            </v>
          </cell>
          <cell r="O16790">
            <v>360</v>
          </cell>
        </row>
        <row r="16791">
          <cell r="F16791" t="str">
            <v xml:space="preserve">213            </v>
          </cell>
          <cell r="O16791">
            <v>288</v>
          </cell>
        </row>
        <row r="16792">
          <cell r="F16792" t="str">
            <v xml:space="preserve">890903939      </v>
          </cell>
          <cell r="O16792">
            <v>412.8</v>
          </cell>
        </row>
        <row r="16793">
          <cell r="F16793" t="str">
            <v xml:space="preserve">70052771       </v>
          </cell>
          <cell r="O16793">
            <v>18</v>
          </cell>
        </row>
        <row r="16794">
          <cell r="F16794" t="str">
            <v xml:space="preserve">70052771       </v>
          </cell>
          <cell r="O16794">
            <v>18</v>
          </cell>
        </row>
        <row r="16795">
          <cell r="F16795" t="str">
            <v xml:space="preserve">71295017       </v>
          </cell>
          <cell r="O16795">
            <v>90</v>
          </cell>
        </row>
        <row r="16796">
          <cell r="F16796" t="str">
            <v xml:space="preserve">800092723      </v>
          </cell>
          <cell r="O16796">
            <v>45</v>
          </cell>
        </row>
        <row r="16797">
          <cell r="F16797" t="str">
            <v xml:space="preserve">800160280      </v>
          </cell>
          <cell r="O16797">
            <v>15</v>
          </cell>
        </row>
        <row r="16798">
          <cell r="F16798" t="str">
            <v xml:space="preserve">811014849      </v>
          </cell>
          <cell r="O16798">
            <v>126</v>
          </cell>
        </row>
        <row r="16799">
          <cell r="F16799" t="str">
            <v xml:space="preserve">811016729      </v>
          </cell>
          <cell r="O16799">
            <v>15</v>
          </cell>
        </row>
        <row r="16800">
          <cell r="F16800" t="str">
            <v xml:space="preserve">811020038      </v>
          </cell>
          <cell r="O16800">
            <v>36</v>
          </cell>
        </row>
        <row r="16801">
          <cell r="F16801" t="str">
            <v xml:space="preserve">811024452      </v>
          </cell>
          <cell r="O16801">
            <v>36</v>
          </cell>
        </row>
        <row r="16802">
          <cell r="F16802" t="str">
            <v xml:space="preserve">811035741      </v>
          </cell>
          <cell r="O16802">
            <v>45</v>
          </cell>
        </row>
        <row r="16803">
          <cell r="F16803" t="str">
            <v xml:space="preserve">811035741      </v>
          </cell>
          <cell r="O16803">
            <v>90</v>
          </cell>
        </row>
        <row r="16804">
          <cell r="F16804" t="str">
            <v xml:space="preserve">860013809      </v>
          </cell>
          <cell r="O16804">
            <v>162</v>
          </cell>
        </row>
        <row r="16805">
          <cell r="F16805" t="str">
            <v xml:space="preserve">860013809      </v>
          </cell>
          <cell r="O16805">
            <v>126</v>
          </cell>
        </row>
        <row r="16806">
          <cell r="F16806" t="str">
            <v xml:space="preserve">890900424      </v>
          </cell>
          <cell r="O16806">
            <v>45</v>
          </cell>
        </row>
        <row r="16807">
          <cell r="F16807" t="str">
            <v xml:space="preserve">890904713      </v>
          </cell>
          <cell r="O16807">
            <v>45</v>
          </cell>
        </row>
        <row r="16808">
          <cell r="F16808" t="str">
            <v xml:space="preserve">890907406      </v>
          </cell>
          <cell r="O16808">
            <v>45</v>
          </cell>
        </row>
        <row r="16809">
          <cell r="F16809" t="str">
            <v xml:space="preserve">899999049      </v>
          </cell>
          <cell r="O16809">
            <v>18</v>
          </cell>
        </row>
        <row r="16810">
          <cell r="F16810" t="str">
            <v xml:space="preserve">899999049      </v>
          </cell>
          <cell r="O16810">
            <v>36</v>
          </cell>
        </row>
        <row r="16811">
          <cell r="F16811" t="str">
            <v xml:space="preserve">901436775      </v>
          </cell>
          <cell r="O16811">
            <v>120</v>
          </cell>
        </row>
        <row r="16812">
          <cell r="F16812" t="str">
            <v xml:space="preserve">901436775      </v>
          </cell>
          <cell r="O16812">
            <v>150</v>
          </cell>
        </row>
        <row r="16813">
          <cell r="F16813" t="str">
            <v xml:space="preserve">210            </v>
          </cell>
          <cell r="O16813">
            <v>1440</v>
          </cell>
        </row>
        <row r="16814">
          <cell r="F16814" t="str">
            <v xml:space="preserve">210            </v>
          </cell>
          <cell r="O16814">
            <v>45</v>
          </cell>
        </row>
        <row r="16815">
          <cell r="F16815" t="str">
            <v xml:space="preserve">210            </v>
          </cell>
          <cell r="O16815">
            <v>558</v>
          </cell>
        </row>
        <row r="16816">
          <cell r="F16816" t="str">
            <v xml:space="preserve">101            </v>
          </cell>
          <cell r="O16816">
            <v>126</v>
          </cell>
        </row>
        <row r="16817">
          <cell r="F16817" t="str">
            <v xml:space="preserve">101            </v>
          </cell>
          <cell r="O16817">
            <v>9</v>
          </cell>
        </row>
        <row r="16818">
          <cell r="F16818" t="str">
            <v xml:space="preserve">101            </v>
          </cell>
          <cell r="O16818">
            <v>144</v>
          </cell>
        </row>
        <row r="16819">
          <cell r="F16819" t="str">
            <v xml:space="preserve">101            </v>
          </cell>
          <cell r="O16819">
            <v>18</v>
          </cell>
        </row>
        <row r="16820">
          <cell r="F16820" t="str">
            <v xml:space="preserve">210            </v>
          </cell>
          <cell r="O16820">
            <v>15</v>
          </cell>
        </row>
        <row r="16821">
          <cell r="F16821" t="str">
            <v xml:space="preserve">210            </v>
          </cell>
          <cell r="O16821">
            <v>1566</v>
          </cell>
        </row>
        <row r="16822">
          <cell r="F16822" t="str">
            <v xml:space="preserve">900022189      </v>
          </cell>
          <cell r="O16822">
            <v>45</v>
          </cell>
        </row>
        <row r="16823">
          <cell r="F16823" t="str">
            <v xml:space="preserve">860020382      </v>
          </cell>
          <cell r="O16823">
            <v>144</v>
          </cell>
        </row>
        <row r="16824">
          <cell r="F16824" t="str">
            <v xml:space="preserve">890903939      </v>
          </cell>
          <cell r="O16824">
            <v>94</v>
          </cell>
        </row>
        <row r="16825">
          <cell r="F16825" t="str">
            <v xml:space="preserve">404            </v>
          </cell>
          <cell r="O16825">
            <v>315</v>
          </cell>
        </row>
        <row r="16826">
          <cell r="F16826" t="str">
            <v xml:space="preserve">404            </v>
          </cell>
          <cell r="O16826">
            <v>18</v>
          </cell>
        </row>
        <row r="16827">
          <cell r="F16827" t="str">
            <v xml:space="preserve">404            </v>
          </cell>
          <cell r="O16827">
            <v>45</v>
          </cell>
        </row>
        <row r="16828">
          <cell r="F16828" t="str">
            <v xml:space="preserve">830120480      </v>
          </cell>
          <cell r="O16828">
            <v>75</v>
          </cell>
        </row>
        <row r="16829">
          <cell r="F16829" t="str">
            <v xml:space="preserve">900247070      </v>
          </cell>
          <cell r="O16829">
            <v>36</v>
          </cell>
        </row>
        <row r="16830">
          <cell r="F16830" t="str">
            <v xml:space="preserve">210            </v>
          </cell>
          <cell r="O16830">
            <v>54</v>
          </cell>
        </row>
        <row r="16831">
          <cell r="F16831" t="str">
            <v xml:space="preserve">800003267      </v>
          </cell>
          <cell r="O16831">
            <v>162</v>
          </cell>
        </row>
        <row r="16832">
          <cell r="F16832" t="str">
            <v xml:space="preserve">805026018      </v>
          </cell>
          <cell r="O16832">
            <v>54</v>
          </cell>
        </row>
        <row r="16833">
          <cell r="F16833" t="str">
            <v xml:space="preserve">890301602      </v>
          </cell>
          <cell r="O16833">
            <v>396</v>
          </cell>
        </row>
        <row r="16834">
          <cell r="F16834" t="str">
            <v xml:space="preserve">890302609      </v>
          </cell>
          <cell r="O16834">
            <v>60</v>
          </cell>
        </row>
        <row r="16835">
          <cell r="F16835" t="str">
            <v xml:space="preserve">890304611      </v>
          </cell>
          <cell r="O16835">
            <v>30</v>
          </cell>
        </row>
        <row r="16836">
          <cell r="F16836" t="str">
            <v xml:space="preserve">890321924      </v>
          </cell>
          <cell r="O16836">
            <v>36</v>
          </cell>
        </row>
        <row r="16837">
          <cell r="F16837" t="str">
            <v xml:space="preserve">890903939      </v>
          </cell>
          <cell r="O16837">
            <v>131</v>
          </cell>
        </row>
        <row r="16838">
          <cell r="F16838" t="str">
            <v xml:space="preserve">900385892      </v>
          </cell>
          <cell r="O16838">
            <v>270</v>
          </cell>
        </row>
        <row r="16839">
          <cell r="F16839" t="str">
            <v xml:space="preserve">901149931      </v>
          </cell>
          <cell r="O16839">
            <v>90</v>
          </cell>
        </row>
        <row r="16840">
          <cell r="F16840" t="str">
            <v xml:space="preserve">901167377      </v>
          </cell>
          <cell r="O16840">
            <v>90</v>
          </cell>
        </row>
        <row r="16841">
          <cell r="F16841" t="str">
            <v xml:space="preserve">1066184116     </v>
          </cell>
          <cell r="O16841">
            <v>18</v>
          </cell>
        </row>
        <row r="16842">
          <cell r="F16842" t="str">
            <v xml:space="preserve">407            </v>
          </cell>
          <cell r="O16842">
            <v>0</v>
          </cell>
        </row>
        <row r="16843">
          <cell r="F16843" t="str">
            <v xml:space="preserve">901140836      </v>
          </cell>
          <cell r="O16843">
            <v>420</v>
          </cell>
        </row>
        <row r="16844">
          <cell r="F16844" t="str">
            <v xml:space="preserve">860058831      </v>
          </cell>
          <cell r="O16844">
            <v>1658.3</v>
          </cell>
        </row>
        <row r="16845">
          <cell r="F16845" t="str">
            <v xml:space="preserve">900974484      </v>
          </cell>
          <cell r="O16845">
            <v>1197</v>
          </cell>
        </row>
        <row r="16846">
          <cell r="F16846" t="str">
            <v xml:space="preserve">212            </v>
          </cell>
          <cell r="O16846">
            <v>285</v>
          </cell>
        </row>
        <row r="16847">
          <cell r="F16847" t="str">
            <v xml:space="preserve">212            </v>
          </cell>
          <cell r="O16847">
            <v>144</v>
          </cell>
        </row>
        <row r="16848">
          <cell r="F16848" t="str">
            <v xml:space="preserve">212            </v>
          </cell>
          <cell r="O16848">
            <v>180</v>
          </cell>
        </row>
        <row r="16849">
          <cell r="F16849" t="str">
            <v xml:space="preserve">212            </v>
          </cell>
          <cell r="O16849">
            <v>72</v>
          </cell>
        </row>
        <row r="16850">
          <cell r="F16850" t="str">
            <v xml:space="preserve">15366451       </v>
          </cell>
          <cell r="O16850">
            <v>15</v>
          </cell>
        </row>
        <row r="16851">
          <cell r="F16851" t="str">
            <v xml:space="preserve">15366451       </v>
          </cell>
          <cell r="O16851">
            <v>90</v>
          </cell>
        </row>
        <row r="16852">
          <cell r="F16852" t="str">
            <v xml:space="preserve">800049083      </v>
          </cell>
          <cell r="O16852">
            <v>1060</v>
          </cell>
        </row>
        <row r="16853">
          <cell r="F16853" t="str">
            <v xml:space="preserve">830106563      </v>
          </cell>
          <cell r="O16853">
            <v>378</v>
          </cell>
        </row>
        <row r="16854">
          <cell r="F16854" t="str">
            <v xml:space="preserve">832004045      </v>
          </cell>
          <cell r="O16854">
            <v>475</v>
          </cell>
        </row>
        <row r="16855">
          <cell r="F16855" t="str">
            <v xml:space="preserve">900589003      </v>
          </cell>
          <cell r="O16855">
            <v>1500.6</v>
          </cell>
        </row>
        <row r="16856">
          <cell r="F16856" t="str">
            <v xml:space="preserve">811014849      </v>
          </cell>
          <cell r="O16856">
            <v>542.29999999999995</v>
          </cell>
        </row>
        <row r="16857">
          <cell r="F16857" t="str">
            <v xml:space="preserve">811022543      </v>
          </cell>
          <cell r="O16857">
            <v>106.8</v>
          </cell>
        </row>
        <row r="16858">
          <cell r="F16858" t="str">
            <v xml:space="preserve">890910131      </v>
          </cell>
          <cell r="O16858">
            <v>559.79999999999995</v>
          </cell>
        </row>
        <row r="16859">
          <cell r="F16859" t="str">
            <v xml:space="preserve">890910131      </v>
          </cell>
          <cell r="O16859">
            <v>226.2</v>
          </cell>
        </row>
        <row r="16860">
          <cell r="F16860" t="str">
            <v xml:space="preserve">890910131      </v>
          </cell>
          <cell r="O16860">
            <v>842</v>
          </cell>
        </row>
        <row r="16861">
          <cell r="F16861" t="str">
            <v xml:space="preserve">79095204       </v>
          </cell>
          <cell r="O16861">
            <v>198</v>
          </cell>
        </row>
        <row r="16862">
          <cell r="F16862" t="str">
            <v xml:space="preserve">830133323      </v>
          </cell>
          <cell r="O16862">
            <v>90</v>
          </cell>
        </row>
        <row r="16863">
          <cell r="F16863" t="str">
            <v xml:space="preserve">830133323      </v>
          </cell>
          <cell r="O16863">
            <v>270</v>
          </cell>
        </row>
        <row r="16864">
          <cell r="F16864" t="str">
            <v xml:space="preserve">212            </v>
          </cell>
          <cell r="O16864">
            <v>30</v>
          </cell>
        </row>
        <row r="16865">
          <cell r="F16865" t="str">
            <v xml:space="preserve">212            </v>
          </cell>
          <cell r="O16865">
            <v>18</v>
          </cell>
        </row>
        <row r="16866">
          <cell r="F16866" t="str">
            <v xml:space="preserve">212            </v>
          </cell>
          <cell r="O16866">
            <v>162</v>
          </cell>
        </row>
        <row r="16867">
          <cell r="F16867" t="str">
            <v xml:space="preserve">212            </v>
          </cell>
          <cell r="O16867">
            <v>45</v>
          </cell>
        </row>
        <row r="16868">
          <cell r="F16868" t="str">
            <v xml:space="preserve">212            </v>
          </cell>
          <cell r="O16868">
            <v>72</v>
          </cell>
        </row>
        <row r="16869">
          <cell r="F16869" t="str">
            <v xml:space="preserve">212            </v>
          </cell>
          <cell r="O16869">
            <v>225</v>
          </cell>
        </row>
        <row r="16870">
          <cell r="F16870" t="str">
            <v xml:space="preserve">212            </v>
          </cell>
          <cell r="O16870">
            <v>45</v>
          </cell>
        </row>
        <row r="16871">
          <cell r="F16871" t="str">
            <v xml:space="preserve">212            </v>
          </cell>
          <cell r="O16871">
            <v>36</v>
          </cell>
        </row>
        <row r="16872">
          <cell r="F16872" t="str">
            <v xml:space="preserve">212            </v>
          </cell>
          <cell r="O16872">
            <v>90</v>
          </cell>
        </row>
        <row r="16873">
          <cell r="F16873" t="str">
            <v xml:space="preserve">830027386      </v>
          </cell>
          <cell r="O16873">
            <v>114</v>
          </cell>
        </row>
        <row r="16874">
          <cell r="F16874" t="str">
            <v xml:space="preserve">830027386      </v>
          </cell>
          <cell r="O16874">
            <v>90</v>
          </cell>
        </row>
        <row r="16875">
          <cell r="F16875" t="str">
            <v xml:space="preserve">890900161      </v>
          </cell>
          <cell r="O16875">
            <v>180</v>
          </cell>
        </row>
        <row r="16876">
          <cell r="F16876" t="str">
            <v xml:space="preserve">890900161      </v>
          </cell>
          <cell r="O16876">
            <v>45</v>
          </cell>
        </row>
        <row r="16877">
          <cell r="F16877" t="str">
            <v xml:space="preserve">890901110      </v>
          </cell>
          <cell r="O16877">
            <v>135</v>
          </cell>
        </row>
        <row r="16878">
          <cell r="F16878" t="str">
            <v xml:space="preserve">890903939      </v>
          </cell>
          <cell r="O16878">
            <v>155.6</v>
          </cell>
        </row>
        <row r="16879">
          <cell r="F16879" t="str">
            <v xml:space="preserve">890903939      </v>
          </cell>
          <cell r="O16879">
            <v>197.1</v>
          </cell>
        </row>
        <row r="16880">
          <cell r="F16880" t="str">
            <v xml:space="preserve">900105031      </v>
          </cell>
          <cell r="O16880">
            <v>45</v>
          </cell>
        </row>
        <row r="16881">
          <cell r="F16881" t="str">
            <v xml:space="preserve">900603554      </v>
          </cell>
          <cell r="O16881">
            <v>54</v>
          </cell>
        </row>
        <row r="16882">
          <cell r="F16882" t="str">
            <v xml:space="preserve">900603554      </v>
          </cell>
          <cell r="O16882">
            <v>18</v>
          </cell>
        </row>
        <row r="16883">
          <cell r="F16883" t="str">
            <v xml:space="preserve">805012977      </v>
          </cell>
          <cell r="O16883">
            <v>126</v>
          </cell>
        </row>
        <row r="16884">
          <cell r="F16884" t="str">
            <v xml:space="preserve">860020382      </v>
          </cell>
          <cell r="O16884">
            <v>54</v>
          </cell>
        </row>
        <row r="16885">
          <cell r="F16885" t="str">
            <v xml:space="preserve">890308085      </v>
          </cell>
          <cell r="O16885">
            <v>36</v>
          </cell>
        </row>
        <row r="16886">
          <cell r="F16886" t="str">
            <v xml:space="preserve">890312630      </v>
          </cell>
          <cell r="O16886">
            <v>33</v>
          </cell>
        </row>
        <row r="16887">
          <cell r="F16887" t="str">
            <v xml:space="preserve">890322007      </v>
          </cell>
          <cell r="O16887">
            <v>198</v>
          </cell>
        </row>
        <row r="16888">
          <cell r="F16888" t="str">
            <v xml:space="preserve">900818921      </v>
          </cell>
          <cell r="O16888">
            <v>520</v>
          </cell>
        </row>
        <row r="16889">
          <cell r="F16889" t="str">
            <v xml:space="preserve">900896300      </v>
          </cell>
          <cell r="O16889">
            <v>234</v>
          </cell>
        </row>
        <row r="16890">
          <cell r="F16890" t="str">
            <v xml:space="preserve">901026262      </v>
          </cell>
          <cell r="O16890">
            <v>18</v>
          </cell>
        </row>
        <row r="16891">
          <cell r="F16891" t="str">
            <v xml:space="preserve">212            </v>
          </cell>
          <cell r="O16891">
            <v>126</v>
          </cell>
        </row>
        <row r="16892">
          <cell r="F16892" t="str">
            <v xml:space="preserve">212            </v>
          </cell>
          <cell r="O16892">
            <v>60</v>
          </cell>
        </row>
        <row r="16893">
          <cell r="F16893" t="str">
            <v xml:space="preserve">212            </v>
          </cell>
          <cell r="O16893">
            <v>30</v>
          </cell>
        </row>
        <row r="16894">
          <cell r="F16894" t="str">
            <v xml:space="preserve">212            </v>
          </cell>
          <cell r="O16894">
            <v>18</v>
          </cell>
        </row>
        <row r="16895">
          <cell r="F16895" t="str">
            <v xml:space="preserve">212            </v>
          </cell>
          <cell r="O16895">
            <v>30</v>
          </cell>
        </row>
        <row r="16896">
          <cell r="F16896" t="str">
            <v xml:space="preserve">212            </v>
          </cell>
          <cell r="O16896">
            <v>36</v>
          </cell>
        </row>
        <row r="16897">
          <cell r="F16897" t="str">
            <v xml:space="preserve">212            </v>
          </cell>
          <cell r="O16897">
            <v>60</v>
          </cell>
        </row>
        <row r="16898">
          <cell r="F16898" t="str">
            <v xml:space="preserve">212            </v>
          </cell>
          <cell r="O16898">
            <v>144</v>
          </cell>
        </row>
        <row r="16899">
          <cell r="F16899" t="str">
            <v xml:space="preserve">6221643        </v>
          </cell>
          <cell r="O16899">
            <v>5980</v>
          </cell>
        </row>
        <row r="16900">
          <cell r="F16900" t="str">
            <v xml:space="preserve">900894003      </v>
          </cell>
          <cell r="O16900">
            <v>200.6</v>
          </cell>
        </row>
        <row r="16901">
          <cell r="F16901" t="str">
            <v xml:space="preserve">1090445467     </v>
          </cell>
          <cell r="O16901">
            <v>40.4</v>
          </cell>
        </row>
        <row r="16902">
          <cell r="F16902" t="str">
            <v xml:space="preserve">1093791135     </v>
          </cell>
          <cell r="O16902">
            <v>100</v>
          </cell>
        </row>
        <row r="16903">
          <cell r="F16903" t="str">
            <v xml:space="preserve">1113622521     </v>
          </cell>
          <cell r="O16903">
            <v>40.700000000000003</v>
          </cell>
        </row>
        <row r="16904">
          <cell r="F16904" t="str">
            <v xml:space="preserve">1126706884     </v>
          </cell>
          <cell r="O16904">
            <v>94.7</v>
          </cell>
        </row>
        <row r="16905">
          <cell r="F16905" t="str">
            <v xml:space="preserve">13479408       </v>
          </cell>
          <cell r="O16905">
            <v>122</v>
          </cell>
        </row>
        <row r="16906">
          <cell r="F16906" t="str">
            <v xml:space="preserve">60378423       </v>
          </cell>
          <cell r="O16906">
            <v>42.5</v>
          </cell>
        </row>
        <row r="16907">
          <cell r="F16907" t="str">
            <v xml:space="preserve">71581450       </v>
          </cell>
          <cell r="O16907">
            <v>37.799999999999997</v>
          </cell>
        </row>
        <row r="16908">
          <cell r="F16908" t="str">
            <v xml:space="preserve">830076115      </v>
          </cell>
          <cell r="O16908">
            <v>318.3</v>
          </cell>
        </row>
        <row r="16909">
          <cell r="F16909" t="str">
            <v xml:space="preserve">860001697      </v>
          </cell>
          <cell r="O16909">
            <v>5000.2</v>
          </cell>
        </row>
        <row r="16910">
          <cell r="F16910" t="str">
            <v xml:space="preserve">88254195       </v>
          </cell>
          <cell r="O16910">
            <v>47</v>
          </cell>
        </row>
        <row r="16911">
          <cell r="F16911" t="str">
            <v xml:space="preserve">88309558       </v>
          </cell>
          <cell r="O16911">
            <v>60.1</v>
          </cell>
        </row>
        <row r="16912">
          <cell r="F16912" t="str">
            <v xml:space="preserve">1115188970     </v>
          </cell>
          <cell r="O16912">
            <v>301.7</v>
          </cell>
        </row>
        <row r="16913">
          <cell r="F16913" t="str">
            <v xml:space="preserve">1115188970     </v>
          </cell>
          <cell r="O16913">
            <v>301.3</v>
          </cell>
        </row>
        <row r="16914">
          <cell r="F16914" t="str">
            <v xml:space="preserve">29538550       </v>
          </cell>
          <cell r="O16914">
            <v>499.5</v>
          </cell>
        </row>
        <row r="16915">
          <cell r="F16915" t="str">
            <v xml:space="preserve">817000680      </v>
          </cell>
          <cell r="O16915">
            <v>889.3</v>
          </cell>
        </row>
        <row r="16916">
          <cell r="F16916" t="str">
            <v xml:space="preserve">817000680      </v>
          </cell>
          <cell r="O16916">
            <v>500</v>
          </cell>
        </row>
        <row r="16917">
          <cell r="F16917" t="str">
            <v xml:space="preserve">830107617      </v>
          </cell>
          <cell r="O16917">
            <v>3970</v>
          </cell>
        </row>
        <row r="16918">
          <cell r="F16918" t="str">
            <v xml:space="preserve">901516022      </v>
          </cell>
          <cell r="O16918">
            <v>1781.3</v>
          </cell>
        </row>
        <row r="16919">
          <cell r="F16919" t="str">
            <v xml:space="preserve">1046426393     </v>
          </cell>
          <cell r="O16919">
            <v>92.5</v>
          </cell>
        </row>
        <row r="16920">
          <cell r="F16920" t="str">
            <v xml:space="preserve">1102348386     </v>
          </cell>
          <cell r="O16920">
            <v>72</v>
          </cell>
        </row>
        <row r="16921">
          <cell r="F16921" t="str">
            <v xml:space="preserve">13539818       </v>
          </cell>
          <cell r="O16921">
            <v>70.2</v>
          </cell>
        </row>
        <row r="16922">
          <cell r="F16922" t="str">
            <v xml:space="preserve">13870242       </v>
          </cell>
          <cell r="O16922">
            <v>87.4</v>
          </cell>
        </row>
        <row r="16923">
          <cell r="F16923" t="str">
            <v xml:space="preserve">804002825      </v>
          </cell>
          <cell r="O16923">
            <v>1300.2</v>
          </cell>
        </row>
        <row r="16924">
          <cell r="F16924" t="str">
            <v xml:space="preserve">890201881      </v>
          </cell>
          <cell r="O16924">
            <v>1400</v>
          </cell>
        </row>
        <row r="16925">
          <cell r="F16925" t="str">
            <v xml:space="preserve">890205142      </v>
          </cell>
          <cell r="O16925">
            <v>990</v>
          </cell>
        </row>
        <row r="16926">
          <cell r="F16926" t="str">
            <v xml:space="preserve">900172069      </v>
          </cell>
          <cell r="O16926">
            <v>363</v>
          </cell>
        </row>
        <row r="16927">
          <cell r="F16927" t="str">
            <v xml:space="preserve">900834440      </v>
          </cell>
          <cell r="O16927">
            <v>574.1</v>
          </cell>
        </row>
        <row r="16928">
          <cell r="F16928" t="str">
            <v xml:space="preserve">901060703      </v>
          </cell>
          <cell r="O16928">
            <v>110.1</v>
          </cell>
        </row>
        <row r="16929">
          <cell r="F16929" t="str">
            <v xml:space="preserve">901221304      </v>
          </cell>
          <cell r="O16929">
            <v>1529.6</v>
          </cell>
        </row>
        <row r="16930">
          <cell r="F16930" t="str">
            <v xml:space="preserve">800028446      </v>
          </cell>
          <cell r="O16930">
            <v>782.9</v>
          </cell>
        </row>
        <row r="16931">
          <cell r="F16931" t="str">
            <v xml:space="preserve">800134497      </v>
          </cell>
          <cell r="O16931">
            <v>750.5</v>
          </cell>
        </row>
        <row r="16932">
          <cell r="F16932" t="str">
            <v xml:space="preserve">800134497      </v>
          </cell>
          <cell r="O16932">
            <v>362.4</v>
          </cell>
        </row>
        <row r="16933">
          <cell r="F16933" t="str">
            <v xml:space="preserve">830073592      </v>
          </cell>
          <cell r="O16933">
            <v>903.3</v>
          </cell>
        </row>
        <row r="16934">
          <cell r="F16934" t="str">
            <v xml:space="preserve">830091965      </v>
          </cell>
          <cell r="O16934">
            <v>840</v>
          </cell>
        </row>
        <row r="16935">
          <cell r="F16935" t="str">
            <v xml:space="preserve">860004828      </v>
          </cell>
          <cell r="O16935">
            <v>174.2</v>
          </cell>
        </row>
        <row r="16936">
          <cell r="F16936" t="str">
            <v xml:space="preserve">40766657       </v>
          </cell>
          <cell r="O16936">
            <v>382.7</v>
          </cell>
        </row>
        <row r="16937">
          <cell r="F16937" t="str">
            <v xml:space="preserve">811014849      </v>
          </cell>
          <cell r="O16937">
            <v>854.3</v>
          </cell>
        </row>
        <row r="16938">
          <cell r="F16938" t="str">
            <v xml:space="preserve">901243034      </v>
          </cell>
          <cell r="O16938">
            <v>401.2</v>
          </cell>
        </row>
        <row r="16939">
          <cell r="F16939" t="str">
            <v xml:space="preserve">890903939      </v>
          </cell>
          <cell r="O16939">
            <v>180</v>
          </cell>
        </row>
        <row r="16940">
          <cell r="F16940" t="str">
            <v xml:space="preserve">890301054      </v>
          </cell>
          <cell r="O16940">
            <v>4760</v>
          </cell>
        </row>
        <row r="16941">
          <cell r="F16941" t="str">
            <v xml:space="preserve">900474647      </v>
          </cell>
          <cell r="O16941">
            <v>839.8</v>
          </cell>
        </row>
        <row r="16942">
          <cell r="F16942" t="str">
            <v xml:space="preserve">900438187      </v>
          </cell>
          <cell r="O16942">
            <v>4914.8</v>
          </cell>
        </row>
        <row r="16943">
          <cell r="F16943" t="str">
            <v xml:space="preserve">52790620       </v>
          </cell>
          <cell r="O16943">
            <v>2655</v>
          </cell>
        </row>
        <row r="16944">
          <cell r="F16944" t="str">
            <v xml:space="preserve">52790620       </v>
          </cell>
          <cell r="O16944">
            <v>1800</v>
          </cell>
        </row>
        <row r="16945">
          <cell r="F16945" t="str">
            <v xml:space="preserve">52790620       </v>
          </cell>
          <cell r="O16945">
            <v>360</v>
          </cell>
        </row>
        <row r="16946">
          <cell r="F16946" t="str">
            <v xml:space="preserve">52113555       </v>
          </cell>
          <cell r="O16946">
            <v>378.5</v>
          </cell>
        </row>
        <row r="16947">
          <cell r="F16947" t="str">
            <v xml:space="preserve">80548714       </v>
          </cell>
          <cell r="O16947">
            <v>109.3</v>
          </cell>
        </row>
        <row r="16948">
          <cell r="F16948" t="str">
            <v xml:space="preserve">860058831      </v>
          </cell>
          <cell r="O16948">
            <v>1000</v>
          </cell>
        </row>
        <row r="16949">
          <cell r="F16949" t="str">
            <v xml:space="preserve">900251105      </v>
          </cell>
          <cell r="O16949">
            <v>287.3</v>
          </cell>
        </row>
        <row r="16950">
          <cell r="F16950" t="str">
            <v xml:space="preserve">890300431      </v>
          </cell>
          <cell r="O16950">
            <v>1055.8</v>
          </cell>
        </row>
        <row r="16951">
          <cell r="F16951" t="str">
            <v xml:space="preserve">890300534      </v>
          </cell>
          <cell r="O16951">
            <v>172.1</v>
          </cell>
        </row>
        <row r="16952">
          <cell r="F16952" t="str">
            <v xml:space="preserve">900233101      </v>
          </cell>
          <cell r="O16952">
            <v>726.9</v>
          </cell>
        </row>
        <row r="16953">
          <cell r="F16953" t="str">
            <v xml:space="preserve">901247983      </v>
          </cell>
          <cell r="O16953">
            <v>5560</v>
          </cell>
        </row>
        <row r="16954">
          <cell r="F16954" t="str">
            <v xml:space="preserve">901019138      </v>
          </cell>
          <cell r="O16954">
            <v>28260</v>
          </cell>
        </row>
        <row r="16955">
          <cell r="F16955" t="str">
            <v xml:space="preserve">003            </v>
          </cell>
          <cell r="O16955">
            <v>377.64</v>
          </cell>
        </row>
        <row r="16956">
          <cell r="F16956" t="str">
            <v xml:space="preserve">003            </v>
          </cell>
          <cell r="O16956">
            <v>540.09</v>
          </cell>
        </row>
        <row r="16957">
          <cell r="F16957" t="str">
            <v xml:space="preserve">003            </v>
          </cell>
          <cell r="O16957">
            <v>599.46</v>
          </cell>
        </row>
        <row r="16958">
          <cell r="F16958" t="str">
            <v xml:space="preserve">860001697      </v>
          </cell>
          <cell r="O16958">
            <v>149.02000000000001</v>
          </cell>
        </row>
        <row r="16959">
          <cell r="F16959" t="str">
            <v xml:space="preserve">003            </v>
          </cell>
          <cell r="O16959">
            <v>379.59</v>
          </cell>
        </row>
        <row r="16960">
          <cell r="F16960" t="str">
            <v xml:space="preserve">003            </v>
          </cell>
          <cell r="O16960">
            <v>843.42</v>
          </cell>
        </row>
        <row r="16961">
          <cell r="F16961" t="str">
            <v xml:space="preserve">003            </v>
          </cell>
          <cell r="O16961">
            <v>-6.2</v>
          </cell>
        </row>
        <row r="16962">
          <cell r="F16962" t="str">
            <v xml:space="preserve">900067125      </v>
          </cell>
          <cell r="O16962">
            <v>4284</v>
          </cell>
        </row>
        <row r="16963">
          <cell r="F16963" t="str">
            <v xml:space="preserve">900067125      </v>
          </cell>
          <cell r="O16963">
            <v>87</v>
          </cell>
        </row>
        <row r="16964">
          <cell r="F16964" t="str">
            <v xml:space="preserve">003            </v>
          </cell>
          <cell r="O16964">
            <v>52.43</v>
          </cell>
        </row>
        <row r="16965">
          <cell r="F16965" t="str">
            <v xml:space="preserve">901175206      </v>
          </cell>
          <cell r="O16965">
            <v>1735</v>
          </cell>
        </row>
        <row r="16966">
          <cell r="F16966" t="str">
            <v xml:space="preserve">901175206      </v>
          </cell>
          <cell r="O16966">
            <v>2010.6</v>
          </cell>
        </row>
        <row r="16967">
          <cell r="F16967" t="str">
            <v xml:space="preserve">901175206      </v>
          </cell>
          <cell r="O16967">
            <v>2868.8</v>
          </cell>
        </row>
        <row r="16968">
          <cell r="F16968" t="str">
            <v xml:space="preserve">901175206      </v>
          </cell>
          <cell r="O16968">
            <v>1339.1</v>
          </cell>
        </row>
        <row r="16969">
          <cell r="F16969" t="str">
            <v xml:space="preserve">901175206      </v>
          </cell>
          <cell r="O16969">
            <v>2112.9</v>
          </cell>
        </row>
        <row r="16970">
          <cell r="F16970" t="str">
            <v xml:space="preserve">901020967      </v>
          </cell>
          <cell r="O16970">
            <v>4030</v>
          </cell>
        </row>
        <row r="16971">
          <cell r="F16971" t="str">
            <v xml:space="preserve">860032450      </v>
          </cell>
          <cell r="O16971">
            <v>1300.01</v>
          </cell>
        </row>
        <row r="16972">
          <cell r="F16972" t="str">
            <v xml:space="preserve">900640055      </v>
          </cell>
          <cell r="O16972">
            <v>209.27</v>
          </cell>
        </row>
        <row r="16973">
          <cell r="F16973" t="str">
            <v xml:space="preserve">3212876        </v>
          </cell>
          <cell r="O16973">
            <v>102.9</v>
          </cell>
        </row>
        <row r="16974">
          <cell r="F16974" t="str">
            <v xml:space="preserve">860039884      </v>
          </cell>
          <cell r="O16974">
            <v>1047.4000000000001</v>
          </cell>
        </row>
        <row r="16975">
          <cell r="F16975" t="str">
            <v xml:space="preserve">860039884      </v>
          </cell>
          <cell r="O16975">
            <v>153.1</v>
          </cell>
        </row>
        <row r="16976">
          <cell r="F16976" t="str">
            <v xml:space="preserve">900754843      </v>
          </cell>
          <cell r="O16976">
            <v>2680.1</v>
          </cell>
        </row>
        <row r="16977">
          <cell r="F16977" t="str">
            <v xml:space="preserve">900958413      </v>
          </cell>
          <cell r="O16977">
            <v>97.9</v>
          </cell>
        </row>
        <row r="16978">
          <cell r="F16978" t="str">
            <v xml:space="preserve">901123983      </v>
          </cell>
          <cell r="O16978">
            <v>1801</v>
          </cell>
        </row>
        <row r="16979">
          <cell r="F16979" t="str">
            <v xml:space="preserve">901409625      </v>
          </cell>
          <cell r="O16979">
            <v>1290.9000000000001</v>
          </cell>
        </row>
        <row r="16980">
          <cell r="F16980" t="str">
            <v xml:space="preserve">2876777        </v>
          </cell>
          <cell r="O16980">
            <v>61</v>
          </cell>
        </row>
        <row r="16981">
          <cell r="F16981" t="str">
            <v xml:space="preserve">79434442       </v>
          </cell>
          <cell r="O16981">
            <v>124.3</v>
          </cell>
        </row>
        <row r="16982">
          <cell r="F16982" t="str">
            <v xml:space="preserve">830016593      </v>
          </cell>
          <cell r="O16982">
            <v>458.8</v>
          </cell>
        </row>
        <row r="16983">
          <cell r="F16983" t="str">
            <v xml:space="preserve">830050044      </v>
          </cell>
          <cell r="O16983">
            <v>139</v>
          </cell>
        </row>
        <row r="16984">
          <cell r="F16984" t="str">
            <v xml:space="preserve">860031786      </v>
          </cell>
          <cell r="O16984">
            <v>69.8</v>
          </cell>
        </row>
        <row r="16985">
          <cell r="F16985" t="str">
            <v xml:space="preserve">860040576      </v>
          </cell>
          <cell r="O16985">
            <v>143.1</v>
          </cell>
        </row>
        <row r="16986">
          <cell r="F16986" t="str">
            <v xml:space="preserve">860518994      </v>
          </cell>
          <cell r="O16986">
            <v>59.6</v>
          </cell>
        </row>
        <row r="16987">
          <cell r="F16987" t="str">
            <v xml:space="preserve">91258413       </v>
          </cell>
          <cell r="O16987">
            <v>77</v>
          </cell>
        </row>
        <row r="16988">
          <cell r="F16988" t="str">
            <v xml:space="preserve">832008565      </v>
          </cell>
          <cell r="O16988">
            <v>711.7</v>
          </cell>
        </row>
        <row r="16989">
          <cell r="F16989" t="str">
            <v xml:space="preserve">860001930      </v>
          </cell>
          <cell r="O16989">
            <v>1080.4000000000001</v>
          </cell>
        </row>
        <row r="16990">
          <cell r="F16990" t="str">
            <v xml:space="preserve">900462245      </v>
          </cell>
          <cell r="O16990">
            <v>598.5</v>
          </cell>
        </row>
        <row r="16991">
          <cell r="F16991" t="str">
            <v xml:space="preserve">900958413      </v>
          </cell>
          <cell r="O16991">
            <v>2433.9</v>
          </cell>
        </row>
        <row r="16992">
          <cell r="F16992" t="str">
            <v xml:space="preserve">800209179      </v>
          </cell>
          <cell r="O16992">
            <v>45</v>
          </cell>
        </row>
        <row r="16993">
          <cell r="F16993" t="str">
            <v xml:space="preserve">805005148      </v>
          </cell>
          <cell r="O16993">
            <v>5400</v>
          </cell>
        </row>
        <row r="16994">
          <cell r="F16994" t="str">
            <v xml:space="preserve">805005148      </v>
          </cell>
          <cell r="O16994">
            <v>30</v>
          </cell>
        </row>
        <row r="16995">
          <cell r="F16995" t="str">
            <v xml:space="preserve">805005148      </v>
          </cell>
          <cell r="O16995">
            <v>90</v>
          </cell>
        </row>
        <row r="16996">
          <cell r="F16996" t="str">
            <v xml:space="preserve">805005148      </v>
          </cell>
          <cell r="O16996">
            <v>18</v>
          </cell>
        </row>
        <row r="16997">
          <cell r="F16997" t="str">
            <v xml:space="preserve">805005148      </v>
          </cell>
          <cell r="O16997">
            <v>30</v>
          </cell>
        </row>
        <row r="16998">
          <cell r="F16998" t="str">
            <v xml:space="preserve">805005148      </v>
          </cell>
          <cell r="O16998">
            <v>1530</v>
          </cell>
        </row>
        <row r="16999">
          <cell r="F16999" t="str">
            <v xml:space="preserve">805005148      </v>
          </cell>
          <cell r="O16999">
            <v>450</v>
          </cell>
        </row>
        <row r="17000">
          <cell r="F17000" t="str">
            <v xml:space="preserve">805005148      </v>
          </cell>
          <cell r="O17000">
            <v>18</v>
          </cell>
        </row>
        <row r="17001">
          <cell r="F17001" t="str">
            <v xml:space="preserve">1130605276     </v>
          </cell>
          <cell r="O17001">
            <v>18</v>
          </cell>
        </row>
        <row r="17002">
          <cell r="F17002" t="str">
            <v xml:space="preserve">1130605276     </v>
          </cell>
          <cell r="O17002">
            <v>165</v>
          </cell>
        </row>
        <row r="17003">
          <cell r="F17003" t="str">
            <v xml:space="preserve">1130605276     </v>
          </cell>
          <cell r="O17003">
            <v>1242</v>
          </cell>
        </row>
        <row r="17004">
          <cell r="F17004" t="str">
            <v xml:space="preserve">94050412       </v>
          </cell>
          <cell r="O17004">
            <v>360</v>
          </cell>
        </row>
        <row r="17005">
          <cell r="F17005" t="str">
            <v xml:space="preserve">94050412       </v>
          </cell>
          <cell r="O17005">
            <v>180</v>
          </cell>
        </row>
        <row r="17006">
          <cell r="F17006" t="str">
            <v xml:space="preserve">88275315       </v>
          </cell>
          <cell r="O17006">
            <v>36</v>
          </cell>
        </row>
        <row r="17007">
          <cell r="F17007" t="str">
            <v xml:space="preserve">88275315       </v>
          </cell>
          <cell r="O17007">
            <v>90</v>
          </cell>
        </row>
        <row r="17008">
          <cell r="F17008" t="str">
            <v xml:space="preserve">88275315       </v>
          </cell>
          <cell r="O17008">
            <v>2034</v>
          </cell>
        </row>
        <row r="17009">
          <cell r="F17009" t="str">
            <v xml:space="preserve">94464104       </v>
          </cell>
          <cell r="O17009">
            <v>360</v>
          </cell>
        </row>
        <row r="17010">
          <cell r="F17010" t="str">
            <v xml:space="preserve">94464104       </v>
          </cell>
          <cell r="O17010">
            <v>270</v>
          </cell>
        </row>
        <row r="17011">
          <cell r="F17011" t="str">
            <v xml:space="preserve">94464104       </v>
          </cell>
          <cell r="O17011">
            <v>45</v>
          </cell>
        </row>
        <row r="17012">
          <cell r="F17012" t="str">
            <v xml:space="preserve">94464104       </v>
          </cell>
          <cell r="O17012">
            <v>9</v>
          </cell>
        </row>
        <row r="17013">
          <cell r="F17013" t="str">
            <v xml:space="preserve">94464104       </v>
          </cell>
          <cell r="O17013">
            <v>27</v>
          </cell>
        </row>
        <row r="17014">
          <cell r="F17014" t="str">
            <v xml:space="preserve">94464104       </v>
          </cell>
          <cell r="O17014">
            <v>45</v>
          </cell>
        </row>
        <row r="17015">
          <cell r="F17015" t="str">
            <v xml:space="preserve">94464104       </v>
          </cell>
          <cell r="O17015">
            <v>738</v>
          </cell>
        </row>
        <row r="17016">
          <cell r="F17016" t="str">
            <v xml:space="preserve">94464104       </v>
          </cell>
          <cell r="O17016">
            <v>135</v>
          </cell>
        </row>
        <row r="17017">
          <cell r="F17017" t="str">
            <v xml:space="preserve">16458005       </v>
          </cell>
          <cell r="O17017">
            <v>360</v>
          </cell>
        </row>
        <row r="17018">
          <cell r="F17018" t="str">
            <v xml:space="preserve">94419930       </v>
          </cell>
          <cell r="O17018">
            <v>360</v>
          </cell>
        </row>
        <row r="17019">
          <cell r="F17019" t="str">
            <v xml:space="preserve">94420019       </v>
          </cell>
          <cell r="O17019">
            <v>15</v>
          </cell>
        </row>
        <row r="17020">
          <cell r="F17020" t="str">
            <v xml:space="preserve">94420019       </v>
          </cell>
          <cell r="O17020">
            <v>360</v>
          </cell>
        </row>
        <row r="17021">
          <cell r="F17021" t="str">
            <v xml:space="preserve">94420019       </v>
          </cell>
          <cell r="O17021">
            <v>45</v>
          </cell>
        </row>
        <row r="17022">
          <cell r="F17022" t="str">
            <v xml:space="preserve">16669313       </v>
          </cell>
          <cell r="O17022">
            <v>27</v>
          </cell>
        </row>
        <row r="17023">
          <cell r="F17023" t="str">
            <v xml:space="preserve">16669313       </v>
          </cell>
          <cell r="O17023">
            <v>450</v>
          </cell>
        </row>
        <row r="17024">
          <cell r="F17024" t="str">
            <v xml:space="preserve">16669313       </v>
          </cell>
          <cell r="O17024">
            <v>135</v>
          </cell>
        </row>
        <row r="17025">
          <cell r="F17025" t="str">
            <v xml:space="preserve">900034686      </v>
          </cell>
          <cell r="O17025">
            <v>45</v>
          </cell>
        </row>
        <row r="17026">
          <cell r="F17026" t="str">
            <v xml:space="preserve">900034686      </v>
          </cell>
          <cell r="O17026">
            <v>54</v>
          </cell>
        </row>
        <row r="17027">
          <cell r="F17027" t="str">
            <v xml:space="preserve">900034686      </v>
          </cell>
          <cell r="O17027">
            <v>54</v>
          </cell>
        </row>
        <row r="17028">
          <cell r="F17028" t="str">
            <v xml:space="preserve">900034686      </v>
          </cell>
          <cell r="O17028">
            <v>180</v>
          </cell>
        </row>
        <row r="17029">
          <cell r="F17029" t="str">
            <v xml:space="preserve">900034686      </v>
          </cell>
          <cell r="O17029">
            <v>72</v>
          </cell>
        </row>
        <row r="17030">
          <cell r="F17030" t="str">
            <v xml:space="preserve">900034686      </v>
          </cell>
          <cell r="O17030">
            <v>135</v>
          </cell>
        </row>
        <row r="17031">
          <cell r="F17031" t="str">
            <v xml:space="preserve">16460421       </v>
          </cell>
          <cell r="O17031">
            <v>9</v>
          </cell>
        </row>
        <row r="17032">
          <cell r="F17032" t="str">
            <v xml:space="preserve">16460421       </v>
          </cell>
          <cell r="O17032">
            <v>36</v>
          </cell>
        </row>
        <row r="17033">
          <cell r="F17033" t="str">
            <v xml:space="preserve">16460421       </v>
          </cell>
          <cell r="O17033">
            <v>75</v>
          </cell>
        </row>
        <row r="17034">
          <cell r="F17034" t="str">
            <v xml:space="preserve">16460421       </v>
          </cell>
          <cell r="O17034">
            <v>774</v>
          </cell>
        </row>
        <row r="17035">
          <cell r="F17035" t="str">
            <v xml:space="preserve">16460421       </v>
          </cell>
          <cell r="O17035">
            <v>45</v>
          </cell>
        </row>
        <row r="17036">
          <cell r="F17036" t="str">
            <v xml:space="preserve">16460421       </v>
          </cell>
          <cell r="O17036">
            <v>18</v>
          </cell>
        </row>
        <row r="17037">
          <cell r="F17037" t="str">
            <v xml:space="preserve">9910443        </v>
          </cell>
          <cell r="O17037">
            <v>2655</v>
          </cell>
        </row>
        <row r="17038">
          <cell r="F17038" t="str">
            <v xml:space="preserve">9910443        </v>
          </cell>
          <cell r="O17038">
            <v>90</v>
          </cell>
        </row>
        <row r="17039">
          <cell r="F17039" t="str">
            <v xml:space="preserve">75099432       </v>
          </cell>
          <cell r="O17039">
            <v>18</v>
          </cell>
        </row>
        <row r="17040">
          <cell r="F17040" t="str">
            <v xml:space="preserve">75099432       </v>
          </cell>
          <cell r="O17040">
            <v>780</v>
          </cell>
        </row>
        <row r="17041">
          <cell r="F17041" t="str">
            <v xml:space="preserve">75099432       </v>
          </cell>
          <cell r="O17041">
            <v>162</v>
          </cell>
        </row>
        <row r="17042">
          <cell r="F17042" t="str">
            <v xml:space="preserve">75099432       </v>
          </cell>
          <cell r="O17042">
            <v>90</v>
          </cell>
        </row>
        <row r="17043">
          <cell r="F17043" t="str">
            <v xml:space="preserve">75099432       </v>
          </cell>
          <cell r="O17043">
            <v>9</v>
          </cell>
        </row>
        <row r="17044">
          <cell r="F17044" t="str">
            <v xml:space="preserve">75099432       </v>
          </cell>
          <cell r="O17044">
            <v>195</v>
          </cell>
        </row>
        <row r="17045">
          <cell r="F17045" t="str">
            <v xml:space="preserve">75099432       </v>
          </cell>
          <cell r="O17045">
            <v>36</v>
          </cell>
        </row>
        <row r="17046">
          <cell r="F17046" t="str">
            <v xml:space="preserve">75099432       </v>
          </cell>
          <cell r="O17046">
            <v>90</v>
          </cell>
        </row>
        <row r="17047">
          <cell r="F17047" t="str">
            <v xml:space="preserve">96359555       </v>
          </cell>
          <cell r="O17047">
            <v>1350</v>
          </cell>
        </row>
        <row r="17048">
          <cell r="F17048" t="str">
            <v xml:space="preserve">900204935      </v>
          </cell>
          <cell r="O17048">
            <v>36</v>
          </cell>
        </row>
        <row r="17049">
          <cell r="F17049" t="str">
            <v xml:space="preserve">9696643        </v>
          </cell>
          <cell r="O17049">
            <v>2610</v>
          </cell>
        </row>
        <row r="17050">
          <cell r="F17050" t="str">
            <v xml:space="preserve">9696643        </v>
          </cell>
          <cell r="O17050">
            <v>756</v>
          </cell>
        </row>
        <row r="17051">
          <cell r="F17051" t="str">
            <v xml:space="preserve">9696643        </v>
          </cell>
          <cell r="O17051">
            <v>2160</v>
          </cell>
        </row>
        <row r="17052">
          <cell r="F17052" t="str">
            <v xml:space="preserve">9696643        </v>
          </cell>
          <cell r="O17052">
            <v>756</v>
          </cell>
        </row>
        <row r="17053">
          <cell r="F17053" t="str">
            <v xml:space="preserve">9696643        </v>
          </cell>
          <cell r="O17053">
            <v>540</v>
          </cell>
        </row>
        <row r="17054">
          <cell r="F17054" t="str">
            <v xml:space="preserve">10237057       </v>
          </cell>
          <cell r="O17054">
            <v>90</v>
          </cell>
        </row>
        <row r="17055">
          <cell r="F17055" t="str">
            <v xml:space="preserve">10237057       </v>
          </cell>
          <cell r="O17055">
            <v>18</v>
          </cell>
        </row>
        <row r="17056">
          <cell r="F17056" t="str">
            <v xml:space="preserve">1111745154     </v>
          </cell>
          <cell r="O17056">
            <v>735</v>
          </cell>
        </row>
        <row r="17057">
          <cell r="F17057" t="str">
            <v xml:space="preserve">1111745154     </v>
          </cell>
          <cell r="O17057">
            <v>54</v>
          </cell>
        </row>
        <row r="17058">
          <cell r="F17058" t="str">
            <v xml:space="preserve">1111745154     </v>
          </cell>
          <cell r="O17058">
            <v>270</v>
          </cell>
        </row>
        <row r="17059">
          <cell r="F17059" t="str">
            <v xml:space="preserve">16456104       </v>
          </cell>
          <cell r="O17059">
            <v>450</v>
          </cell>
        </row>
        <row r="17060">
          <cell r="F17060" t="str">
            <v xml:space="preserve">16456104       </v>
          </cell>
          <cell r="O17060">
            <v>90</v>
          </cell>
        </row>
        <row r="17061">
          <cell r="F17061" t="str">
            <v xml:space="preserve">14471042       </v>
          </cell>
          <cell r="O17061">
            <v>4.5</v>
          </cell>
        </row>
        <row r="17062">
          <cell r="F17062" t="str">
            <v xml:space="preserve">14471042       </v>
          </cell>
          <cell r="O17062">
            <v>90</v>
          </cell>
        </row>
        <row r="17063">
          <cell r="F17063" t="str">
            <v xml:space="preserve">14471042       </v>
          </cell>
          <cell r="O17063">
            <v>90</v>
          </cell>
        </row>
        <row r="17064">
          <cell r="F17064" t="str">
            <v xml:space="preserve">16479359       </v>
          </cell>
          <cell r="O17064">
            <v>165</v>
          </cell>
        </row>
        <row r="17065">
          <cell r="F17065" t="str">
            <v xml:space="preserve">16479359       </v>
          </cell>
          <cell r="O17065">
            <v>90</v>
          </cell>
        </row>
        <row r="17066">
          <cell r="F17066" t="str">
            <v xml:space="preserve">16214926       </v>
          </cell>
          <cell r="O17066">
            <v>4.5</v>
          </cell>
        </row>
        <row r="17067">
          <cell r="F17067" t="str">
            <v xml:space="preserve">16214926       </v>
          </cell>
          <cell r="O17067">
            <v>105</v>
          </cell>
        </row>
        <row r="17068">
          <cell r="F17068" t="str">
            <v xml:space="preserve">29233836       </v>
          </cell>
          <cell r="O17068">
            <v>4.5</v>
          </cell>
        </row>
        <row r="17069">
          <cell r="F17069" t="str">
            <v xml:space="preserve">29233836       </v>
          </cell>
          <cell r="O17069">
            <v>18</v>
          </cell>
        </row>
        <row r="17070">
          <cell r="F17070" t="str">
            <v xml:space="preserve">29233836       </v>
          </cell>
          <cell r="O17070">
            <v>195</v>
          </cell>
        </row>
        <row r="17071">
          <cell r="F17071" t="str">
            <v xml:space="preserve">29233836       </v>
          </cell>
          <cell r="O17071">
            <v>135</v>
          </cell>
        </row>
        <row r="17072">
          <cell r="F17072" t="str">
            <v xml:space="preserve">1151937036     </v>
          </cell>
          <cell r="O17072">
            <v>1260</v>
          </cell>
        </row>
        <row r="17073">
          <cell r="F17073" t="str">
            <v xml:space="preserve">1151937036     </v>
          </cell>
          <cell r="O17073">
            <v>270</v>
          </cell>
        </row>
        <row r="17074">
          <cell r="F17074" t="str">
            <v xml:space="preserve">10007888       </v>
          </cell>
          <cell r="O17074">
            <v>150</v>
          </cell>
        </row>
        <row r="17075">
          <cell r="F17075" t="str">
            <v xml:space="preserve">10007888       </v>
          </cell>
          <cell r="O17075">
            <v>18</v>
          </cell>
        </row>
        <row r="17076">
          <cell r="F17076" t="str">
            <v xml:space="preserve">10007888       </v>
          </cell>
          <cell r="O17076">
            <v>45</v>
          </cell>
        </row>
        <row r="17077">
          <cell r="F17077" t="str">
            <v xml:space="preserve">1088256267     </v>
          </cell>
          <cell r="O17077">
            <v>120</v>
          </cell>
        </row>
        <row r="17078">
          <cell r="F17078" t="str">
            <v xml:space="preserve">1088256267     </v>
          </cell>
          <cell r="O17078">
            <v>54</v>
          </cell>
        </row>
        <row r="17079">
          <cell r="F17079" t="str">
            <v xml:space="preserve">18531114       </v>
          </cell>
          <cell r="O17079">
            <v>360</v>
          </cell>
        </row>
        <row r="17080">
          <cell r="F17080" t="str">
            <v xml:space="preserve">16225682       </v>
          </cell>
          <cell r="O17080">
            <v>345</v>
          </cell>
        </row>
        <row r="17081">
          <cell r="F17081" t="str">
            <v xml:space="preserve">16225682       </v>
          </cell>
          <cell r="O17081">
            <v>36</v>
          </cell>
        </row>
        <row r="17082">
          <cell r="F17082" t="str">
            <v xml:space="preserve">16225682       </v>
          </cell>
          <cell r="O17082">
            <v>315</v>
          </cell>
        </row>
        <row r="17083">
          <cell r="F17083" t="str">
            <v xml:space="preserve">16225682       </v>
          </cell>
          <cell r="O17083">
            <v>54</v>
          </cell>
        </row>
        <row r="17084">
          <cell r="F17084" t="str">
            <v xml:space="preserve">10144092       </v>
          </cell>
          <cell r="O17084">
            <v>465</v>
          </cell>
        </row>
        <row r="17085">
          <cell r="F17085" t="str">
            <v xml:space="preserve">10144092       </v>
          </cell>
          <cell r="O17085">
            <v>36</v>
          </cell>
        </row>
        <row r="17086">
          <cell r="F17086" t="str">
            <v xml:space="preserve">10144092       </v>
          </cell>
          <cell r="O17086">
            <v>45</v>
          </cell>
        </row>
        <row r="17087">
          <cell r="F17087" t="str">
            <v xml:space="preserve">10144092       </v>
          </cell>
          <cell r="O17087">
            <v>30</v>
          </cell>
        </row>
        <row r="17088">
          <cell r="F17088" t="str">
            <v xml:space="preserve">16225675       </v>
          </cell>
          <cell r="O17088">
            <v>162</v>
          </cell>
        </row>
        <row r="17089">
          <cell r="F17089" t="str">
            <v xml:space="preserve">16225675       </v>
          </cell>
          <cell r="O17089">
            <v>90</v>
          </cell>
        </row>
        <row r="17090">
          <cell r="F17090" t="str">
            <v xml:space="preserve">16225675       </v>
          </cell>
          <cell r="O17090">
            <v>465</v>
          </cell>
        </row>
        <row r="17091">
          <cell r="F17091" t="str">
            <v xml:space="preserve">16225675       </v>
          </cell>
          <cell r="O17091">
            <v>18</v>
          </cell>
        </row>
        <row r="17092">
          <cell r="F17092" t="str">
            <v xml:space="preserve">18596221       </v>
          </cell>
          <cell r="O17092">
            <v>195</v>
          </cell>
        </row>
        <row r="17093">
          <cell r="F17093" t="str">
            <v xml:space="preserve">805005148      </v>
          </cell>
          <cell r="O17093">
            <v>828</v>
          </cell>
        </row>
        <row r="17094">
          <cell r="F17094" t="str">
            <v xml:space="preserve">805005148      </v>
          </cell>
          <cell r="O17094">
            <v>1170</v>
          </cell>
        </row>
        <row r="17095">
          <cell r="F17095" t="str">
            <v xml:space="preserve">805005148      </v>
          </cell>
          <cell r="O17095">
            <v>360</v>
          </cell>
        </row>
        <row r="17096">
          <cell r="F17096" t="str">
            <v xml:space="preserve">10303909       </v>
          </cell>
          <cell r="O17096">
            <v>270</v>
          </cell>
        </row>
        <row r="17097">
          <cell r="F17097" t="str">
            <v xml:space="preserve">94373864       </v>
          </cell>
          <cell r="O17097">
            <v>900</v>
          </cell>
        </row>
        <row r="17098">
          <cell r="F17098" t="str">
            <v xml:space="preserve">10532222       </v>
          </cell>
          <cell r="O17098">
            <v>180</v>
          </cell>
        </row>
        <row r="17099">
          <cell r="F17099" t="str">
            <v xml:space="preserve">12168724       </v>
          </cell>
          <cell r="O17099">
            <v>360</v>
          </cell>
        </row>
        <row r="17100">
          <cell r="F17100" t="str">
            <v xml:space="preserve">12168724       </v>
          </cell>
          <cell r="O17100">
            <v>900</v>
          </cell>
        </row>
        <row r="17101">
          <cell r="F17101" t="str">
            <v xml:space="preserve">76211412       </v>
          </cell>
          <cell r="O17101">
            <v>108</v>
          </cell>
        </row>
        <row r="17102">
          <cell r="F17102" t="str">
            <v xml:space="preserve">10755493       </v>
          </cell>
          <cell r="O17102">
            <v>414</v>
          </cell>
        </row>
        <row r="17103">
          <cell r="F17103" t="str">
            <v xml:space="preserve">10755493       </v>
          </cell>
          <cell r="O17103">
            <v>45</v>
          </cell>
        </row>
        <row r="17104">
          <cell r="F17104" t="str">
            <v xml:space="preserve">10292388       </v>
          </cell>
          <cell r="O17104">
            <v>360</v>
          </cell>
        </row>
        <row r="17105">
          <cell r="F17105" t="str">
            <v xml:space="preserve">10292388       </v>
          </cell>
          <cell r="O17105">
            <v>45</v>
          </cell>
        </row>
        <row r="17106">
          <cell r="F17106" t="str">
            <v xml:space="preserve">10292388       </v>
          </cell>
          <cell r="O17106">
            <v>45</v>
          </cell>
        </row>
        <row r="17107">
          <cell r="F17107" t="str">
            <v xml:space="preserve">10292388       </v>
          </cell>
          <cell r="O17107">
            <v>270</v>
          </cell>
        </row>
        <row r="17108">
          <cell r="F17108" t="str">
            <v xml:space="preserve">89009557       </v>
          </cell>
          <cell r="O17108">
            <v>9</v>
          </cell>
        </row>
        <row r="17109">
          <cell r="F17109" t="str">
            <v xml:space="preserve">89009557       </v>
          </cell>
          <cell r="O17109">
            <v>30</v>
          </cell>
        </row>
        <row r="17110">
          <cell r="F17110" t="str">
            <v xml:space="preserve">89009557       </v>
          </cell>
          <cell r="O17110">
            <v>90</v>
          </cell>
        </row>
        <row r="17111">
          <cell r="F17111" t="str">
            <v xml:space="preserve">89009557       </v>
          </cell>
          <cell r="O17111">
            <v>90</v>
          </cell>
        </row>
        <row r="17112">
          <cell r="F17112" t="str">
            <v xml:space="preserve">9900047        </v>
          </cell>
          <cell r="O17112">
            <v>15</v>
          </cell>
        </row>
        <row r="17113">
          <cell r="F17113" t="str">
            <v xml:space="preserve">9900047        </v>
          </cell>
          <cell r="O17113">
            <v>45</v>
          </cell>
        </row>
        <row r="17114">
          <cell r="F17114" t="str">
            <v xml:space="preserve">18389245       </v>
          </cell>
          <cell r="O17114">
            <v>75</v>
          </cell>
        </row>
        <row r="17115">
          <cell r="F17115" t="str">
            <v xml:space="preserve">18389245       </v>
          </cell>
          <cell r="O17115">
            <v>54</v>
          </cell>
        </row>
        <row r="17116">
          <cell r="F17116" t="str">
            <v xml:space="preserve">18389245       </v>
          </cell>
          <cell r="O17116">
            <v>45</v>
          </cell>
        </row>
        <row r="17117">
          <cell r="F17117" t="str">
            <v xml:space="preserve">4613715        </v>
          </cell>
          <cell r="O17117">
            <v>375</v>
          </cell>
        </row>
        <row r="17118">
          <cell r="F17118" t="str">
            <v xml:space="preserve">4613715        </v>
          </cell>
          <cell r="O17118">
            <v>360</v>
          </cell>
        </row>
        <row r="17119">
          <cell r="F17119" t="str">
            <v xml:space="preserve">4613715        </v>
          </cell>
          <cell r="O17119">
            <v>45</v>
          </cell>
        </row>
        <row r="17120">
          <cell r="F17120" t="str">
            <v xml:space="preserve">6110295        </v>
          </cell>
          <cell r="O17120">
            <v>9</v>
          </cell>
        </row>
        <row r="17121">
          <cell r="F17121" t="str">
            <v xml:space="preserve">6110295        </v>
          </cell>
          <cell r="O17121">
            <v>360</v>
          </cell>
        </row>
        <row r="17122">
          <cell r="F17122" t="str">
            <v xml:space="preserve">6110295        </v>
          </cell>
          <cell r="O17122">
            <v>198</v>
          </cell>
        </row>
        <row r="17123">
          <cell r="F17123" t="str">
            <v xml:space="preserve">6110295        </v>
          </cell>
          <cell r="O17123">
            <v>90</v>
          </cell>
        </row>
        <row r="17124">
          <cell r="F17124" t="str">
            <v xml:space="preserve">805005148      </v>
          </cell>
          <cell r="O17124">
            <v>60</v>
          </cell>
        </row>
        <row r="17125">
          <cell r="F17125" t="str">
            <v xml:space="preserve">805005148      </v>
          </cell>
          <cell r="O17125">
            <v>72</v>
          </cell>
        </row>
        <row r="17126">
          <cell r="F17126" t="str">
            <v xml:space="preserve">805005148      </v>
          </cell>
          <cell r="O17126">
            <v>1350</v>
          </cell>
        </row>
        <row r="17127">
          <cell r="F17127" t="str">
            <v xml:space="preserve">805005148      </v>
          </cell>
          <cell r="O17127">
            <v>1152</v>
          </cell>
        </row>
        <row r="17128">
          <cell r="F17128" t="str">
            <v xml:space="preserve">805005148      </v>
          </cell>
          <cell r="O17128">
            <v>270</v>
          </cell>
        </row>
        <row r="17129">
          <cell r="F17129" t="str">
            <v xml:space="preserve">805005148      </v>
          </cell>
          <cell r="O17129">
            <v>144</v>
          </cell>
        </row>
        <row r="17130">
          <cell r="F17130" t="str">
            <v xml:space="preserve">805005148      </v>
          </cell>
          <cell r="O17130">
            <v>45</v>
          </cell>
        </row>
        <row r="17131">
          <cell r="F17131" t="str">
            <v xml:space="preserve">10488839       </v>
          </cell>
          <cell r="O17131">
            <v>30</v>
          </cell>
        </row>
        <row r="17132">
          <cell r="F17132" t="str">
            <v xml:space="preserve">10488839       </v>
          </cell>
          <cell r="O17132">
            <v>1494</v>
          </cell>
        </row>
        <row r="17133">
          <cell r="F17133" t="str">
            <v xml:space="preserve">10488839       </v>
          </cell>
          <cell r="O17133">
            <v>45</v>
          </cell>
        </row>
        <row r="17134">
          <cell r="F17134" t="str">
            <v xml:space="preserve">16843578       </v>
          </cell>
          <cell r="O17134">
            <v>2340</v>
          </cell>
        </row>
        <row r="17135">
          <cell r="F17135" t="str">
            <v xml:space="preserve">900034686      </v>
          </cell>
          <cell r="O17135">
            <v>90</v>
          </cell>
        </row>
        <row r="17136">
          <cell r="F17136" t="str">
            <v xml:space="preserve">10484782       </v>
          </cell>
          <cell r="O17136">
            <v>1818</v>
          </cell>
        </row>
        <row r="17137">
          <cell r="F17137" t="str">
            <v xml:space="preserve">10484782       </v>
          </cell>
          <cell r="O17137">
            <v>900</v>
          </cell>
        </row>
        <row r="17138">
          <cell r="F17138" t="str">
            <v xml:space="preserve">16849293       </v>
          </cell>
          <cell r="O17138">
            <v>162</v>
          </cell>
        </row>
        <row r="17139">
          <cell r="F17139" t="str">
            <v xml:space="preserve">16849293       </v>
          </cell>
          <cell r="O17139">
            <v>45</v>
          </cell>
        </row>
        <row r="17140">
          <cell r="F17140" t="str">
            <v xml:space="preserve">901465120      </v>
          </cell>
          <cell r="O17140">
            <v>18</v>
          </cell>
        </row>
        <row r="17141">
          <cell r="F17141" t="str">
            <v xml:space="preserve">10555516       </v>
          </cell>
          <cell r="O17141">
            <v>30</v>
          </cell>
        </row>
        <row r="17142">
          <cell r="F17142" t="str">
            <v xml:space="preserve">10555516       </v>
          </cell>
          <cell r="O17142">
            <v>450</v>
          </cell>
        </row>
        <row r="17143">
          <cell r="F17143" t="str">
            <v xml:space="preserve">10555516       </v>
          </cell>
          <cell r="O17143">
            <v>135</v>
          </cell>
        </row>
        <row r="17144">
          <cell r="F17144" t="str">
            <v xml:space="preserve">900444531      </v>
          </cell>
          <cell r="O17144">
            <v>126</v>
          </cell>
        </row>
        <row r="17145">
          <cell r="F17145" t="str">
            <v xml:space="preserve">900893538      </v>
          </cell>
          <cell r="O17145">
            <v>18</v>
          </cell>
        </row>
        <row r="17146">
          <cell r="F17146" t="str">
            <v xml:space="preserve">7247040        </v>
          </cell>
          <cell r="O17146">
            <v>90</v>
          </cell>
        </row>
        <row r="17147">
          <cell r="F17147" t="str">
            <v xml:space="preserve">7247040        </v>
          </cell>
          <cell r="O17147">
            <v>18</v>
          </cell>
        </row>
        <row r="17148">
          <cell r="F17148" t="str">
            <v xml:space="preserve">14229215       </v>
          </cell>
          <cell r="O17148">
            <v>810</v>
          </cell>
        </row>
        <row r="17149">
          <cell r="F17149" t="str">
            <v xml:space="preserve">79736632       </v>
          </cell>
          <cell r="O17149">
            <v>756</v>
          </cell>
        </row>
        <row r="17150">
          <cell r="F17150" t="str">
            <v xml:space="preserve">79736632       </v>
          </cell>
          <cell r="O17150">
            <v>405</v>
          </cell>
        </row>
        <row r="17151">
          <cell r="F17151" t="str">
            <v xml:space="preserve">901389829      </v>
          </cell>
          <cell r="O17151">
            <v>225</v>
          </cell>
        </row>
        <row r="17152">
          <cell r="F17152" t="str">
            <v xml:space="preserve">26050336       </v>
          </cell>
          <cell r="O17152">
            <v>9</v>
          </cell>
        </row>
        <row r="17153">
          <cell r="F17153" t="str">
            <v xml:space="preserve">26050336       </v>
          </cell>
          <cell r="O17153">
            <v>15</v>
          </cell>
        </row>
        <row r="17154">
          <cell r="F17154" t="str">
            <v xml:space="preserve">26050336       </v>
          </cell>
          <cell r="O17154">
            <v>54</v>
          </cell>
        </row>
        <row r="17155">
          <cell r="F17155" t="str">
            <v xml:space="preserve">830001241      </v>
          </cell>
          <cell r="O17155">
            <v>315</v>
          </cell>
        </row>
        <row r="17156">
          <cell r="F17156" t="str">
            <v xml:space="preserve">830016330      </v>
          </cell>
          <cell r="O17156">
            <v>180</v>
          </cell>
        </row>
        <row r="17157">
          <cell r="F17157" t="str">
            <v xml:space="preserve">830129418      </v>
          </cell>
          <cell r="O17157">
            <v>30</v>
          </cell>
        </row>
        <row r="17158">
          <cell r="F17158" t="str">
            <v xml:space="preserve">901139743      </v>
          </cell>
          <cell r="O17158">
            <v>0</v>
          </cell>
        </row>
        <row r="17159">
          <cell r="F17159" t="str">
            <v xml:space="preserve">7163709        </v>
          </cell>
          <cell r="O17159">
            <v>720</v>
          </cell>
        </row>
        <row r="17160">
          <cell r="F17160" t="str">
            <v xml:space="preserve">7163709        </v>
          </cell>
          <cell r="O17160">
            <v>270</v>
          </cell>
        </row>
        <row r="17161">
          <cell r="F17161" t="str">
            <v xml:space="preserve">7163709        </v>
          </cell>
          <cell r="O17161">
            <v>300</v>
          </cell>
        </row>
        <row r="17162">
          <cell r="F17162" t="str">
            <v xml:space="preserve">93152963       </v>
          </cell>
          <cell r="O17162">
            <v>465</v>
          </cell>
        </row>
        <row r="17163">
          <cell r="F17163" t="str">
            <v xml:space="preserve">93152963       </v>
          </cell>
          <cell r="O17163">
            <v>885</v>
          </cell>
        </row>
        <row r="17164">
          <cell r="F17164" t="str">
            <v xml:space="preserve">93152963       </v>
          </cell>
          <cell r="O17164">
            <v>450</v>
          </cell>
        </row>
        <row r="17165">
          <cell r="F17165" t="str">
            <v xml:space="preserve">93152963       </v>
          </cell>
          <cell r="O17165">
            <v>1080</v>
          </cell>
        </row>
        <row r="17166">
          <cell r="F17166" t="str">
            <v xml:space="preserve">830133323      </v>
          </cell>
          <cell r="O17166">
            <v>45</v>
          </cell>
        </row>
        <row r="17167">
          <cell r="F17167" t="str">
            <v xml:space="preserve">830133323      </v>
          </cell>
          <cell r="O17167">
            <v>45</v>
          </cell>
        </row>
        <row r="17168">
          <cell r="F17168" t="str">
            <v xml:space="preserve">830133323      </v>
          </cell>
          <cell r="O17168">
            <v>90</v>
          </cell>
        </row>
        <row r="17169">
          <cell r="F17169" t="str">
            <v xml:space="preserve">830133323      </v>
          </cell>
          <cell r="O17169">
            <v>45</v>
          </cell>
        </row>
        <row r="17170">
          <cell r="F17170" t="str">
            <v xml:space="preserve">91360601       </v>
          </cell>
          <cell r="O17170">
            <v>30</v>
          </cell>
        </row>
        <row r="17171">
          <cell r="F17171" t="str">
            <v xml:space="preserve">91360601       </v>
          </cell>
          <cell r="O17171">
            <v>1638</v>
          </cell>
        </row>
        <row r="17172">
          <cell r="F17172" t="str">
            <v xml:space="preserve">91360601       </v>
          </cell>
          <cell r="O17172">
            <v>270</v>
          </cell>
        </row>
        <row r="17173">
          <cell r="F17173" t="str">
            <v xml:space="preserve">91360601       </v>
          </cell>
          <cell r="O17173">
            <v>36</v>
          </cell>
        </row>
        <row r="17174">
          <cell r="F17174" t="str">
            <v xml:space="preserve">79824837       </v>
          </cell>
          <cell r="O17174">
            <v>756</v>
          </cell>
        </row>
        <row r="17175">
          <cell r="F17175" t="str">
            <v xml:space="preserve">79824837       </v>
          </cell>
          <cell r="O17175">
            <v>2412</v>
          </cell>
        </row>
        <row r="17176">
          <cell r="F17176" t="str">
            <v xml:space="preserve">79824837       </v>
          </cell>
          <cell r="O17176">
            <v>45</v>
          </cell>
        </row>
        <row r="17177">
          <cell r="F17177" t="str">
            <v xml:space="preserve">79824837       </v>
          </cell>
          <cell r="O17177">
            <v>135</v>
          </cell>
        </row>
        <row r="17178">
          <cell r="F17178" t="str">
            <v xml:space="preserve">79824837       </v>
          </cell>
          <cell r="O17178">
            <v>360</v>
          </cell>
        </row>
        <row r="17179">
          <cell r="F17179" t="str">
            <v xml:space="preserve">79824837       </v>
          </cell>
          <cell r="O17179">
            <v>2160</v>
          </cell>
        </row>
        <row r="17180">
          <cell r="F17180" t="str">
            <v xml:space="preserve">79824837       </v>
          </cell>
          <cell r="O17180">
            <v>45</v>
          </cell>
        </row>
        <row r="17181">
          <cell r="F17181" t="str">
            <v xml:space="preserve">830016868      </v>
          </cell>
          <cell r="O17181">
            <v>45</v>
          </cell>
        </row>
        <row r="17182">
          <cell r="F17182" t="str">
            <v xml:space="preserve">830016868      </v>
          </cell>
          <cell r="O17182">
            <v>45</v>
          </cell>
        </row>
        <row r="17183">
          <cell r="F17183" t="str">
            <v xml:space="preserve">1074130475     </v>
          </cell>
          <cell r="O17183">
            <v>882</v>
          </cell>
        </row>
        <row r="17184">
          <cell r="F17184" t="str">
            <v xml:space="preserve">1074130475     </v>
          </cell>
          <cell r="O17184">
            <v>18</v>
          </cell>
        </row>
        <row r="17185">
          <cell r="F17185" t="str">
            <v xml:space="preserve">1074130475     </v>
          </cell>
          <cell r="O17185">
            <v>270</v>
          </cell>
        </row>
        <row r="17186">
          <cell r="F17186" t="str">
            <v xml:space="preserve">3273085        </v>
          </cell>
          <cell r="O17186">
            <v>120</v>
          </cell>
        </row>
        <row r="17187">
          <cell r="F17187" t="str">
            <v xml:space="preserve">3273085        </v>
          </cell>
          <cell r="O17187">
            <v>540</v>
          </cell>
        </row>
        <row r="17188">
          <cell r="F17188" t="str">
            <v xml:space="preserve">3273085        </v>
          </cell>
          <cell r="O17188">
            <v>1134</v>
          </cell>
        </row>
        <row r="17189">
          <cell r="F17189" t="str">
            <v xml:space="preserve">3273085        </v>
          </cell>
          <cell r="O17189">
            <v>45</v>
          </cell>
        </row>
        <row r="17190">
          <cell r="F17190" t="str">
            <v xml:space="preserve">74858565       </v>
          </cell>
          <cell r="O17190">
            <v>180</v>
          </cell>
        </row>
        <row r="17191">
          <cell r="F17191" t="str">
            <v xml:space="preserve">900459366      </v>
          </cell>
          <cell r="O17191">
            <v>900</v>
          </cell>
        </row>
        <row r="17192">
          <cell r="F17192" t="str">
            <v xml:space="preserve">900459366      </v>
          </cell>
          <cell r="O17192">
            <v>1800</v>
          </cell>
        </row>
        <row r="17193">
          <cell r="F17193" t="str">
            <v xml:space="preserve">900459366      </v>
          </cell>
          <cell r="O17193">
            <v>270</v>
          </cell>
        </row>
        <row r="17194">
          <cell r="F17194" t="str">
            <v xml:space="preserve">71312536       </v>
          </cell>
          <cell r="O17194">
            <v>9</v>
          </cell>
        </row>
        <row r="17195">
          <cell r="F17195" t="str">
            <v xml:space="preserve">71312536       </v>
          </cell>
          <cell r="O17195">
            <v>540</v>
          </cell>
        </row>
        <row r="17196">
          <cell r="F17196" t="str">
            <v xml:space="preserve">71312536       </v>
          </cell>
          <cell r="O17196">
            <v>540</v>
          </cell>
        </row>
        <row r="17197">
          <cell r="F17197" t="str">
            <v xml:space="preserve">71215358       </v>
          </cell>
          <cell r="O17197">
            <v>9</v>
          </cell>
        </row>
        <row r="17198">
          <cell r="F17198" t="str">
            <v xml:space="preserve">71215358       </v>
          </cell>
          <cell r="O17198">
            <v>108</v>
          </cell>
        </row>
        <row r="17199">
          <cell r="F17199" t="str">
            <v xml:space="preserve">71215358       </v>
          </cell>
          <cell r="O17199">
            <v>135</v>
          </cell>
        </row>
        <row r="17200">
          <cell r="F17200" t="str">
            <v xml:space="preserve">71215358       </v>
          </cell>
          <cell r="O17200">
            <v>4.5</v>
          </cell>
        </row>
        <row r="17201">
          <cell r="F17201" t="str">
            <v xml:space="preserve">71215358       </v>
          </cell>
          <cell r="O17201">
            <v>45</v>
          </cell>
        </row>
        <row r="17202">
          <cell r="F17202" t="str">
            <v xml:space="preserve">71215358       </v>
          </cell>
          <cell r="O17202">
            <v>45</v>
          </cell>
        </row>
        <row r="17203">
          <cell r="F17203" t="str">
            <v xml:space="preserve">71215358       </v>
          </cell>
          <cell r="O17203">
            <v>684</v>
          </cell>
        </row>
        <row r="17204">
          <cell r="F17204" t="str">
            <v xml:space="preserve">71215358       </v>
          </cell>
          <cell r="O17204">
            <v>270</v>
          </cell>
        </row>
        <row r="17205">
          <cell r="F17205" t="str">
            <v xml:space="preserve">71215358       </v>
          </cell>
          <cell r="O17205">
            <v>216</v>
          </cell>
        </row>
        <row r="17206">
          <cell r="F17206" t="str">
            <v xml:space="preserve">71215358       </v>
          </cell>
          <cell r="O17206">
            <v>135</v>
          </cell>
        </row>
        <row r="17207">
          <cell r="F17207" t="str">
            <v xml:space="preserve">71215358       </v>
          </cell>
          <cell r="O17207">
            <v>18</v>
          </cell>
        </row>
        <row r="17208">
          <cell r="F17208" t="str">
            <v xml:space="preserve">71215358       </v>
          </cell>
          <cell r="O17208">
            <v>15</v>
          </cell>
        </row>
        <row r="17209">
          <cell r="F17209" t="str">
            <v xml:space="preserve">71215358       </v>
          </cell>
          <cell r="O17209">
            <v>180</v>
          </cell>
        </row>
        <row r="17210">
          <cell r="F17210" t="str">
            <v xml:space="preserve">71215358       </v>
          </cell>
          <cell r="O17210">
            <v>135</v>
          </cell>
        </row>
        <row r="17211">
          <cell r="F17211" t="str">
            <v xml:space="preserve">71053866       </v>
          </cell>
          <cell r="O17211">
            <v>1800</v>
          </cell>
        </row>
        <row r="17212">
          <cell r="F17212" t="str">
            <v xml:space="preserve">71053866       </v>
          </cell>
          <cell r="O17212">
            <v>300</v>
          </cell>
        </row>
        <row r="17213">
          <cell r="F17213" t="str">
            <v xml:space="preserve">91179385       </v>
          </cell>
          <cell r="O17213">
            <v>15</v>
          </cell>
        </row>
        <row r="17214">
          <cell r="F17214" t="str">
            <v xml:space="preserve">91179385       </v>
          </cell>
          <cell r="O17214">
            <v>612</v>
          </cell>
        </row>
        <row r="17215">
          <cell r="F17215" t="str">
            <v xml:space="preserve">91179385       </v>
          </cell>
          <cell r="O17215">
            <v>180</v>
          </cell>
        </row>
        <row r="17216">
          <cell r="F17216" t="str">
            <v xml:space="preserve">91179385       </v>
          </cell>
          <cell r="O17216">
            <v>15</v>
          </cell>
        </row>
        <row r="17217">
          <cell r="F17217" t="str">
            <v xml:space="preserve">91179385       </v>
          </cell>
          <cell r="O17217">
            <v>288</v>
          </cell>
        </row>
        <row r="17218">
          <cell r="F17218" t="str">
            <v xml:space="preserve">91179385       </v>
          </cell>
          <cell r="O17218">
            <v>45</v>
          </cell>
        </row>
        <row r="17219">
          <cell r="F17219" t="str">
            <v xml:space="preserve">88275004       </v>
          </cell>
          <cell r="O17219">
            <v>1500</v>
          </cell>
        </row>
        <row r="17220">
          <cell r="F17220" t="str">
            <v xml:space="preserve">88275004       </v>
          </cell>
          <cell r="O17220">
            <v>720</v>
          </cell>
        </row>
        <row r="17221">
          <cell r="F17221" t="str">
            <v xml:space="preserve">88275004       </v>
          </cell>
          <cell r="O17221">
            <v>90</v>
          </cell>
        </row>
        <row r="17222">
          <cell r="F17222" t="str">
            <v xml:space="preserve">88275004       </v>
          </cell>
          <cell r="O17222">
            <v>1515</v>
          </cell>
        </row>
        <row r="17223">
          <cell r="F17223" t="str">
            <v xml:space="preserve">88275004       </v>
          </cell>
          <cell r="O17223">
            <v>360</v>
          </cell>
        </row>
        <row r="17224">
          <cell r="F17224" t="str">
            <v xml:space="preserve">88275004       </v>
          </cell>
          <cell r="O17224">
            <v>450</v>
          </cell>
        </row>
        <row r="17225">
          <cell r="F17225" t="str">
            <v xml:space="preserve">79384689       </v>
          </cell>
          <cell r="O17225">
            <v>45</v>
          </cell>
        </row>
        <row r="17226">
          <cell r="F17226" t="str">
            <v xml:space="preserve">79384689       </v>
          </cell>
          <cell r="O17226">
            <v>75</v>
          </cell>
        </row>
        <row r="17227">
          <cell r="F17227" t="str">
            <v xml:space="preserve">79384689       </v>
          </cell>
          <cell r="O17227">
            <v>18</v>
          </cell>
        </row>
        <row r="17228">
          <cell r="F17228" t="str">
            <v xml:space="preserve">13458443       </v>
          </cell>
          <cell r="O17228">
            <v>150</v>
          </cell>
        </row>
        <row r="17229">
          <cell r="F17229" t="str">
            <v xml:space="preserve">13458443       </v>
          </cell>
          <cell r="O17229">
            <v>36</v>
          </cell>
        </row>
        <row r="17230">
          <cell r="F17230" t="str">
            <v xml:space="preserve">13494934       </v>
          </cell>
          <cell r="O17230">
            <v>210</v>
          </cell>
        </row>
        <row r="17231">
          <cell r="F17231" t="str">
            <v xml:space="preserve">13494934       </v>
          </cell>
          <cell r="O17231">
            <v>54</v>
          </cell>
        </row>
        <row r="17232">
          <cell r="F17232" t="str">
            <v xml:space="preserve">13494934       </v>
          </cell>
          <cell r="O17232">
            <v>225</v>
          </cell>
        </row>
        <row r="17233">
          <cell r="F17233" t="str">
            <v xml:space="preserve">13494934       </v>
          </cell>
          <cell r="O17233">
            <v>105</v>
          </cell>
        </row>
        <row r="17234">
          <cell r="F17234" t="str">
            <v xml:space="preserve">13494934       </v>
          </cell>
          <cell r="O17234">
            <v>45</v>
          </cell>
        </row>
        <row r="17235">
          <cell r="F17235" t="str">
            <v xml:space="preserve">13494934       </v>
          </cell>
          <cell r="O17235">
            <v>30</v>
          </cell>
        </row>
        <row r="17236">
          <cell r="F17236" t="str">
            <v xml:space="preserve">13494934       </v>
          </cell>
          <cell r="O17236">
            <v>90</v>
          </cell>
        </row>
        <row r="17237">
          <cell r="F17237" t="str">
            <v xml:space="preserve">13494934       </v>
          </cell>
          <cell r="O17237">
            <v>480</v>
          </cell>
        </row>
        <row r="17238">
          <cell r="F17238" t="str">
            <v xml:space="preserve">13494934       </v>
          </cell>
          <cell r="O17238">
            <v>144</v>
          </cell>
        </row>
        <row r="17239">
          <cell r="F17239" t="str">
            <v xml:space="preserve">13494934       </v>
          </cell>
          <cell r="O17239">
            <v>180</v>
          </cell>
        </row>
        <row r="17240">
          <cell r="F17240" t="str">
            <v xml:space="preserve">88188644       </v>
          </cell>
          <cell r="O17240">
            <v>600</v>
          </cell>
        </row>
        <row r="17241">
          <cell r="F17241" t="str">
            <v xml:space="preserve">88188644       </v>
          </cell>
          <cell r="O17241">
            <v>180</v>
          </cell>
        </row>
        <row r="17242">
          <cell r="F17242" t="str">
            <v xml:space="preserve">1117502076     </v>
          </cell>
          <cell r="O17242">
            <v>15</v>
          </cell>
        </row>
        <row r="17243">
          <cell r="F17243" t="str">
            <v xml:space="preserve">1117502076     </v>
          </cell>
          <cell r="O17243">
            <v>342</v>
          </cell>
        </row>
        <row r="17244">
          <cell r="F17244" t="str">
            <v xml:space="preserve">1117502076     </v>
          </cell>
          <cell r="O17244">
            <v>180</v>
          </cell>
        </row>
        <row r="17245">
          <cell r="F17245" t="str">
            <v xml:space="preserve">1117502076     </v>
          </cell>
          <cell r="O17245">
            <v>225</v>
          </cell>
        </row>
        <row r="17246">
          <cell r="F17246" t="str">
            <v xml:space="preserve">1117502076     </v>
          </cell>
          <cell r="O17246">
            <v>270</v>
          </cell>
        </row>
        <row r="17247">
          <cell r="F17247" t="str">
            <v xml:space="preserve">91451576       </v>
          </cell>
          <cell r="O17247">
            <v>234</v>
          </cell>
        </row>
        <row r="17248">
          <cell r="F17248" t="str">
            <v xml:space="preserve">91451576       </v>
          </cell>
          <cell r="O17248">
            <v>90</v>
          </cell>
        </row>
        <row r="17249">
          <cell r="F17249" t="str">
            <v xml:space="preserve">5689927        </v>
          </cell>
          <cell r="O17249">
            <v>270</v>
          </cell>
        </row>
        <row r="17250">
          <cell r="F17250" t="str">
            <v xml:space="preserve">5689927        </v>
          </cell>
          <cell r="O17250">
            <v>720</v>
          </cell>
        </row>
        <row r="17251">
          <cell r="F17251" t="str">
            <v xml:space="preserve">91266362       </v>
          </cell>
          <cell r="O17251">
            <v>306</v>
          </cell>
        </row>
        <row r="17252">
          <cell r="F17252" t="str">
            <v xml:space="preserve">91266362       </v>
          </cell>
          <cell r="O17252">
            <v>45</v>
          </cell>
        </row>
        <row r="17253">
          <cell r="F17253" t="str">
            <v xml:space="preserve">91179643       </v>
          </cell>
          <cell r="O17253">
            <v>90</v>
          </cell>
        </row>
        <row r="17254">
          <cell r="F17254" t="str">
            <v xml:space="preserve">890503966      </v>
          </cell>
          <cell r="O17254">
            <v>3375</v>
          </cell>
        </row>
        <row r="17255">
          <cell r="F17255" t="str">
            <v xml:space="preserve">890503966      </v>
          </cell>
          <cell r="O17255">
            <v>558</v>
          </cell>
        </row>
        <row r="17256">
          <cell r="F17256" t="str">
            <v xml:space="preserve">890503966      </v>
          </cell>
          <cell r="O17256">
            <v>1080</v>
          </cell>
        </row>
        <row r="17257">
          <cell r="F17257" t="str">
            <v xml:space="preserve">890503966      </v>
          </cell>
          <cell r="O17257">
            <v>135</v>
          </cell>
        </row>
        <row r="17258">
          <cell r="F17258" t="str">
            <v xml:space="preserve">890503966      </v>
          </cell>
          <cell r="O17258">
            <v>2010</v>
          </cell>
        </row>
        <row r="17259">
          <cell r="F17259" t="str">
            <v xml:space="preserve">890503966      </v>
          </cell>
          <cell r="O17259">
            <v>954</v>
          </cell>
        </row>
        <row r="17260">
          <cell r="F17260" t="str">
            <v xml:space="preserve">890503966      </v>
          </cell>
          <cell r="O17260">
            <v>2025</v>
          </cell>
        </row>
        <row r="17261">
          <cell r="F17261" t="str">
            <v xml:space="preserve">890503966      </v>
          </cell>
          <cell r="O17261">
            <v>90</v>
          </cell>
        </row>
        <row r="17262">
          <cell r="F17262" t="str">
            <v xml:space="preserve">91222539       </v>
          </cell>
          <cell r="O17262">
            <v>150</v>
          </cell>
        </row>
        <row r="17263">
          <cell r="F17263" t="str">
            <v xml:space="preserve">91222539       </v>
          </cell>
          <cell r="O17263">
            <v>144</v>
          </cell>
        </row>
        <row r="17264">
          <cell r="F17264" t="str">
            <v xml:space="preserve">91222539       </v>
          </cell>
          <cell r="O17264">
            <v>120</v>
          </cell>
        </row>
        <row r="17265">
          <cell r="F17265" t="str">
            <v xml:space="preserve">91222539       </v>
          </cell>
          <cell r="O17265">
            <v>36</v>
          </cell>
        </row>
        <row r="17266">
          <cell r="F17266" t="str">
            <v xml:space="preserve">13702886       </v>
          </cell>
          <cell r="O17266">
            <v>975</v>
          </cell>
        </row>
        <row r="17267">
          <cell r="F17267" t="str">
            <v xml:space="preserve">13702886       </v>
          </cell>
          <cell r="O17267">
            <v>75</v>
          </cell>
        </row>
        <row r="17268">
          <cell r="F17268" t="str">
            <v xml:space="preserve">13702886       </v>
          </cell>
          <cell r="O17268">
            <v>270</v>
          </cell>
        </row>
        <row r="17269">
          <cell r="F17269" t="str">
            <v xml:space="preserve">91067422       </v>
          </cell>
          <cell r="O17269">
            <v>45</v>
          </cell>
        </row>
        <row r="17270">
          <cell r="F17270" t="str">
            <v xml:space="preserve">91067422       </v>
          </cell>
          <cell r="O17270">
            <v>135</v>
          </cell>
        </row>
        <row r="17271">
          <cell r="F17271" t="str">
            <v xml:space="preserve">91067422       </v>
          </cell>
          <cell r="O17271">
            <v>36</v>
          </cell>
        </row>
        <row r="17272">
          <cell r="F17272" t="str">
            <v xml:space="preserve">91067422       </v>
          </cell>
          <cell r="O17272">
            <v>15</v>
          </cell>
        </row>
        <row r="17273">
          <cell r="F17273" t="str">
            <v xml:space="preserve">91067422       </v>
          </cell>
          <cell r="O17273">
            <v>270</v>
          </cell>
        </row>
        <row r="17274">
          <cell r="F17274" t="str">
            <v xml:space="preserve">91272730       </v>
          </cell>
          <cell r="O17274">
            <v>135</v>
          </cell>
        </row>
        <row r="17275">
          <cell r="F17275" t="str">
            <v xml:space="preserve">91272730       </v>
          </cell>
          <cell r="O17275">
            <v>108</v>
          </cell>
        </row>
        <row r="17276">
          <cell r="F17276" t="str">
            <v xml:space="preserve">91272730       </v>
          </cell>
          <cell r="O17276">
            <v>90</v>
          </cell>
        </row>
        <row r="17277">
          <cell r="F17277" t="str">
            <v xml:space="preserve">91272730       </v>
          </cell>
          <cell r="O17277">
            <v>45</v>
          </cell>
        </row>
        <row r="17278">
          <cell r="F17278" t="str">
            <v xml:space="preserve">92543124       </v>
          </cell>
          <cell r="O17278">
            <v>1200</v>
          </cell>
        </row>
        <row r="17279">
          <cell r="F17279" t="str">
            <v xml:space="preserve">26229305       </v>
          </cell>
          <cell r="O17279">
            <v>2280</v>
          </cell>
        </row>
        <row r="17280">
          <cell r="F17280" t="str">
            <v xml:space="preserve">26229305       </v>
          </cell>
          <cell r="O17280">
            <v>1200</v>
          </cell>
        </row>
        <row r="17281">
          <cell r="F17281" t="str">
            <v xml:space="preserve">26229305       </v>
          </cell>
          <cell r="O17281">
            <v>180</v>
          </cell>
        </row>
        <row r="17282">
          <cell r="F17282" t="str">
            <v xml:space="preserve">26229305       </v>
          </cell>
          <cell r="O17282">
            <v>900</v>
          </cell>
        </row>
        <row r="17283">
          <cell r="F17283" t="str">
            <v xml:space="preserve">73134768       </v>
          </cell>
          <cell r="O17283">
            <v>270</v>
          </cell>
        </row>
        <row r="17284">
          <cell r="F17284" t="str">
            <v xml:space="preserve">73134768       </v>
          </cell>
          <cell r="O17284">
            <v>324</v>
          </cell>
        </row>
        <row r="17285">
          <cell r="F17285" t="str">
            <v xml:space="preserve">73134768       </v>
          </cell>
          <cell r="O17285">
            <v>330</v>
          </cell>
        </row>
        <row r="17286">
          <cell r="F17286" t="str">
            <v xml:space="preserve">73134768       </v>
          </cell>
          <cell r="O17286">
            <v>522</v>
          </cell>
        </row>
        <row r="17287">
          <cell r="F17287" t="str">
            <v xml:space="preserve">30853980       </v>
          </cell>
          <cell r="O17287">
            <v>60</v>
          </cell>
        </row>
        <row r="17288">
          <cell r="F17288" t="str">
            <v xml:space="preserve">30853980       </v>
          </cell>
          <cell r="O17288">
            <v>468</v>
          </cell>
        </row>
        <row r="17289">
          <cell r="F17289" t="str">
            <v xml:space="preserve">30853980       </v>
          </cell>
          <cell r="O17289">
            <v>90</v>
          </cell>
        </row>
        <row r="17290">
          <cell r="F17290" t="str">
            <v xml:space="preserve">72137594       </v>
          </cell>
          <cell r="O17290">
            <v>45</v>
          </cell>
        </row>
        <row r="17291">
          <cell r="F17291" t="str">
            <v xml:space="preserve">72137594       </v>
          </cell>
          <cell r="O17291">
            <v>468</v>
          </cell>
        </row>
        <row r="17292">
          <cell r="F17292" t="str">
            <v xml:space="preserve">73238025       </v>
          </cell>
          <cell r="O17292">
            <v>4734</v>
          </cell>
        </row>
        <row r="17293">
          <cell r="F17293" t="str">
            <v xml:space="preserve">73238025       </v>
          </cell>
          <cell r="O17293">
            <v>738</v>
          </cell>
        </row>
        <row r="17294">
          <cell r="F17294" t="str">
            <v xml:space="preserve">18916872       </v>
          </cell>
          <cell r="O17294">
            <v>1875</v>
          </cell>
        </row>
        <row r="17295">
          <cell r="F17295" t="str">
            <v xml:space="preserve">18916872       </v>
          </cell>
          <cell r="O17295">
            <v>90</v>
          </cell>
        </row>
        <row r="17296">
          <cell r="F17296" t="str">
            <v xml:space="preserve">91288772       </v>
          </cell>
          <cell r="O17296">
            <v>750</v>
          </cell>
        </row>
        <row r="17297">
          <cell r="F17297" t="str">
            <v xml:space="preserve">91288772       </v>
          </cell>
          <cell r="O17297">
            <v>180</v>
          </cell>
        </row>
        <row r="17298">
          <cell r="F17298" t="str">
            <v xml:space="preserve">72196317       </v>
          </cell>
          <cell r="O17298">
            <v>90</v>
          </cell>
        </row>
        <row r="17299">
          <cell r="F17299" t="str">
            <v xml:space="preserve">72196317       </v>
          </cell>
          <cell r="O17299">
            <v>270</v>
          </cell>
        </row>
        <row r="17300">
          <cell r="F17300" t="str">
            <v xml:space="preserve">72196317       </v>
          </cell>
          <cell r="O17300">
            <v>36</v>
          </cell>
        </row>
        <row r="17301">
          <cell r="F17301" t="str">
            <v xml:space="preserve">72196317       </v>
          </cell>
          <cell r="O17301">
            <v>600</v>
          </cell>
        </row>
        <row r="17302">
          <cell r="F17302" t="str">
            <v xml:space="preserve">72196317       </v>
          </cell>
          <cell r="O17302">
            <v>108</v>
          </cell>
        </row>
        <row r="17303">
          <cell r="F17303" t="str">
            <v xml:space="preserve">72196317       </v>
          </cell>
          <cell r="O17303">
            <v>270</v>
          </cell>
        </row>
        <row r="17304">
          <cell r="F17304" t="str">
            <v xml:space="preserve">73079740       </v>
          </cell>
          <cell r="O17304">
            <v>15</v>
          </cell>
        </row>
        <row r="17305">
          <cell r="F17305" t="str">
            <v xml:space="preserve">73079740       </v>
          </cell>
          <cell r="O17305">
            <v>90</v>
          </cell>
        </row>
        <row r="17306">
          <cell r="F17306" t="str">
            <v xml:space="preserve">73079740       </v>
          </cell>
          <cell r="O17306">
            <v>522</v>
          </cell>
        </row>
        <row r="17307">
          <cell r="F17307" t="str">
            <v xml:space="preserve">73079740       </v>
          </cell>
          <cell r="O17307">
            <v>180</v>
          </cell>
        </row>
        <row r="17308">
          <cell r="F17308" t="str">
            <v xml:space="preserve">73079740       </v>
          </cell>
          <cell r="O17308">
            <v>135</v>
          </cell>
        </row>
        <row r="17309">
          <cell r="F17309" t="str">
            <v xml:space="preserve">15047548       </v>
          </cell>
          <cell r="O17309">
            <v>30</v>
          </cell>
        </row>
        <row r="17310">
          <cell r="F17310" t="str">
            <v xml:space="preserve">15047548       </v>
          </cell>
          <cell r="O17310">
            <v>162</v>
          </cell>
        </row>
        <row r="17311">
          <cell r="F17311" t="str">
            <v xml:space="preserve">15047548       </v>
          </cell>
          <cell r="O17311">
            <v>45</v>
          </cell>
        </row>
        <row r="17312">
          <cell r="F17312" t="str">
            <v xml:space="preserve">15047548       </v>
          </cell>
          <cell r="O17312">
            <v>198</v>
          </cell>
        </row>
        <row r="17313">
          <cell r="F17313" t="str">
            <v xml:space="preserve">18531333       </v>
          </cell>
          <cell r="O17313">
            <v>2940</v>
          </cell>
        </row>
        <row r="17314">
          <cell r="F17314" t="str">
            <v xml:space="preserve">18531333       </v>
          </cell>
          <cell r="O17314">
            <v>225</v>
          </cell>
        </row>
        <row r="17315">
          <cell r="F17315" t="str">
            <v xml:space="preserve">79827688       </v>
          </cell>
          <cell r="O17315">
            <v>180</v>
          </cell>
        </row>
        <row r="17316">
          <cell r="F17316" t="str">
            <v xml:space="preserve">79827688       </v>
          </cell>
          <cell r="O17316">
            <v>306</v>
          </cell>
        </row>
        <row r="17317">
          <cell r="F17317" t="str">
            <v xml:space="preserve">79827688       </v>
          </cell>
          <cell r="O17317">
            <v>315</v>
          </cell>
        </row>
        <row r="17318">
          <cell r="F17318" t="str">
            <v xml:space="preserve">79827688       </v>
          </cell>
          <cell r="O17318">
            <v>15</v>
          </cell>
        </row>
        <row r="17319">
          <cell r="F17319" t="str">
            <v xml:space="preserve">79827688       </v>
          </cell>
          <cell r="O17319">
            <v>270</v>
          </cell>
        </row>
        <row r="17320">
          <cell r="F17320" t="str">
            <v xml:space="preserve">79827688       </v>
          </cell>
          <cell r="O17320">
            <v>45</v>
          </cell>
        </row>
        <row r="17321">
          <cell r="F17321" t="str">
            <v xml:space="preserve">79827688       </v>
          </cell>
          <cell r="O17321">
            <v>15</v>
          </cell>
        </row>
        <row r="17322">
          <cell r="F17322" t="str">
            <v xml:space="preserve">79827688       </v>
          </cell>
          <cell r="O17322">
            <v>306</v>
          </cell>
        </row>
        <row r="17323">
          <cell r="F17323" t="str">
            <v xml:space="preserve">79827688       </v>
          </cell>
          <cell r="O17323">
            <v>90</v>
          </cell>
        </row>
        <row r="17324">
          <cell r="F17324" t="str">
            <v xml:space="preserve">70752579       </v>
          </cell>
          <cell r="O17324">
            <v>225</v>
          </cell>
        </row>
        <row r="17325">
          <cell r="F17325" t="str">
            <v xml:space="preserve">70752579       </v>
          </cell>
          <cell r="O17325">
            <v>240</v>
          </cell>
        </row>
        <row r="17326">
          <cell r="F17326" t="str">
            <v xml:space="preserve">70752579       </v>
          </cell>
          <cell r="O17326">
            <v>468</v>
          </cell>
        </row>
        <row r="17327">
          <cell r="F17327" t="str">
            <v xml:space="preserve">70752579       </v>
          </cell>
          <cell r="O17327">
            <v>225</v>
          </cell>
        </row>
        <row r="17328">
          <cell r="F17328" t="str">
            <v xml:space="preserve">80266206       </v>
          </cell>
          <cell r="O17328">
            <v>54</v>
          </cell>
        </row>
        <row r="17329">
          <cell r="F17329" t="str">
            <v xml:space="preserve">80266206       </v>
          </cell>
          <cell r="O17329">
            <v>342</v>
          </cell>
        </row>
        <row r="17330">
          <cell r="F17330" t="str">
            <v xml:space="preserve">80266206       </v>
          </cell>
          <cell r="O17330">
            <v>90</v>
          </cell>
        </row>
        <row r="17331">
          <cell r="F17331" t="str">
            <v xml:space="preserve">79119755       </v>
          </cell>
          <cell r="O17331">
            <v>9</v>
          </cell>
        </row>
        <row r="17332">
          <cell r="F17332" t="str">
            <v xml:space="preserve">79119755       </v>
          </cell>
          <cell r="O17332">
            <v>720</v>
          </cell>
        </row>
        <row r="17333">
          <cell r="F17333" t="str">
            <v xml:space="preserve">1111739602     </v>
          </cell>
          <cell r="O17333">
            <v>525</v>
          </cell>
        </row>
        <row r="17334">
          <cell r="F17334" t="str">
            <v xml:space="preserve">1111739602     </v>
          </cell>
          <cell r="O17334">
            <v>15</v>
          </cell>
        </row>
        <row r="17335">
          <cell r="F17335" t="str">
            <v xml:space="preserve">1111739602     </v>
          </cell>
          <cell r="O17335">
            <v>18</v>
          </cell>
        </row>
        <row r="17336">
          <cell r="F17336" t="str">
            <v xml:space="preserve">1111739602     </v>
          </cell>
          <cell r="O17336">
            <v>360</v>
          </cell>
        </row>
        <row r="17337">
          <cell r="F17337" t="str">
            <v xml:space="preserve">1111739602     </v>
          </cell>
          <cell r="O17337">
            <v>1770</v>
          </cell>
        </row>
        <row r="17338">
          <cell r="F17338" t="str">
            <v xml:space="preserve">1111739602     </v>
          </cell>
          <cell r="O17338">
            <v>90</v>
          </cell>
        </row>
        <row r="17339">
          <cell r="F17339" t="str">
            <v xml:space="preserve">88168843       </v>
          </cell>
          <cell r="O17339">
            <v>18</v>
          </cell>
        </row>
        <row r="17340">
          <cell r="F17340" t="str">
            <v xml:space="preserve">88168843       </v>
          </cell>
          <cell r="O17340">
            <v>45</v>
          </cell>
        </row>
        <row r="17341">
          <cell r="F17341" t="str">
            <v xml:space="preserve">88168843       </v>
          </cell>
          <cell r="O17341">
            <v>180</v>
          </cell>
        </row>
        <row r="17342">
          <cell r="F17342" t="str">
            <v xml:space="preserve">88168843       </v>
          </cell>
          <cell r="O17342">
            <v>18</v>
          </cell>
        </row>
        <row r="17343">
          <cell r="F17343" t="str">
            <v xml:space="preserve">79266522       </v>
          </cell>
          <cell r="O17343">
            <v>432</v>
          </cell>
        </row>
        <row r="17344">
          <cell r="F17344" t="str">
            <v xml:space="preserve">79221604       </v>
          </cell>
          <cell r="O17344">
            <v>9</v>
          </cell>
        </row>
        <row r="17345">
          <cell r="F17345" t="str">
            <v xml:space="preserve">79221604       </v>
          </cell>
          <cell r="O17345">
            <v>450</v>
          </cell>
        </row>
        <row r="17346">
          <cell r="F17346" t="str">
            <v xml:space="preserve">79221604       </v>
          </cell>
          <cell r="O17346">
            <v>45</v>
          </cell>
        </row>
        <row r="17347">
          <cell r="F17347" t="str">
            <v xml:space="preserve">79221604       </v>
          </cell>
          <cell r="O17347">
            <v>9</v>
          </cell>
        </row>
        <row r="17348">
          <cell r="F17348" t="str">
            <v xml:space="preserve">79221604       </v>
          </cell>
          <cell r="O17348">
            <v>270</v>
          </cell>
        </row>
        <row r="17349">
          <cell r="F17349" t="str">
            <v xml:space="preserve">79221604       </v>
          </cell>
          <cell r="O17349">
            <v>45</v>
          </cell>
        </row>
        <row r="17350">
          <cell r="F17350" t="str">
            <v xml:space="preserve">9867640        </v>
          </cell>
          <cell r="O17350">
            <v>75</v>
          </cell>
        </row>
        <row r="17351">
          <cell r="F17351" t="str">
            <v xml:space="preserve">9867640        </v>
          </cell>
          <cell r="O17351">
            <v>90</v>
          </cell>
        </row>
        <row r="17352">
          <cell r="F17352" t="str">
            <v xml:space="preserve">9867640        </v>
          </cell>
          <cell r="O17352">
            <v>45</v>
          </cell>
        </row>
        <row r="17353">
          <cell r="F17353" t="str">
            <v xml:space="preserve">10315862       </v>
          </cell>
          <cell r="O17353">
            <v>270</v>
          </cell>
        </row>
        <row r="17354">
          <cell r="F17354" t="str">
            <v xml:space="preserve">10315862       </v>
          </cell>
          <cell r="O17354">
            <v>45</v>
          </cell>
        </row>
        <row r="17355">
          <cell r="F17355" t="str">
            <v xml:space="preserve">1103101503     </v>
          </cell>
          <cell r="O17355">
            <v>540</v>
          </cell>
        </row>
        <row r="17356">
          <cell r="F17356" t="str">
            <v xml:space="preserve">1103101503     </v>
          </cell>
          <cell r="O17356">
            <v>405</v>
          </cell>
        </row>
        <row r="17357">
          <cell r="F17357" t="str">
            <v xml:space="preserve">73507193       </v>
          </cell>
          <cell r="O17357">
            <v>90</v>
          </cell>
        </row>
        <row r="17358">
          <cell r="F17358" t="str">
            <v xml:space="preserve">73507193       </v>
          </cell>
          <cell r="O17358">
            <v>360</v>
          </cell>
        </row>
        <row r="17359">
          <cell r="F17359" t="str">
            <v xml:space="preserve">73507193       </v>
          </cell>
          <cell r="O17359">
            <v>558</v>
          </cell>
        </row>
        <row r="17360">
          <cell r="F17360" t="str">
            <v xml:space="preserve">80162310       </v>
          </cell>
          <cell r="O17360">
            <v>30</v>
          </cell>
        </row>
        <row r="17361">
          <cell r="F17361" t="str">
            <v xml:space="preserve">91540489       </v>
          </cell>
          <cell r="O17361">
            <v>1050</v>
          </cell>
        </row>
        <row r="17362">
          <cell r="F17362" t="str">
            <v xml:space="preserve">94429458       </v>
          </cell>
          <cell r="O17362">
            <v>2580</v>
          </cell>
        </row>
        <row r="17363">
          <cell r="F17363" t="str">
            <v xml:space="preserve">94429458       </v>
          </cell>
          <cell r="O17363">
            <v>175</v>
          </cell>
        </row>
        <row r="17364">
          <cell r="F17364" t="str">
            <v xml:space="preserve">94429458       </v>
          </cell>
          <cell r="O17364">
            <v>1890</v>
          </cell>
        </row>
        <row r="17365">
          <cell r="F17365" t="str">
            <v xml:space="preserve">94429458       </v>
          </cell>
          <cell r="O17365">
            <v>360</v>
          </cell>
        </row>
        <row r="17366">
          <cell r="F17366" t="str">
            <v xml:space="preserve">74170036       </v>
          </cell>
          <cell r="O17366">
            <v>495</v>
          </cell>
        </row>
        <row r="17367">
          <cell r="F17367" t="str">
            <v xml:space="preserve">74170036       </v>
          </cell>
          <cell r="O17367">
            <v>30</v>
          </cell>
        </row>
        <row r="17368">
          <cell r="F17368" t="str">
            <v xml:space="preserve">74170036       </v>
          </cell>
          <cell r="O17368">
            <v>1170</v>
          </cell>
        </row>
        <row r="17369">
          <cell r="F17369" t="str">
            <v xml:space="preserve">13929214       </v>
          </cell>
          <cell r="O17369">
            <v>1080</v>
          </cell>
        </row>
        <row r="17370">
          <cell r="F17370" t="str">
            <v xml:space="preserve">13929214       </v>
          </cell>
          <cell r="O17370">
            <v>270</v>
          </cell>
        </row>
        <row r="17371">
          <cell r="F17371" t="str">
            <v xml:space="preserve">13929214       </v>
          </cell>
          <cell r="O17371">
            <v>30</v>
          </cell>
        </row>
        <row r="17372">
          <cell r="F17372" t="str">
            <v xml:space="preserve">4252280        </v>
          </cell>
          <cell r="O17372">
            <v>15</v>
          </cell>
        </row>
        <row r="17373">
          <cell r="F17373" t="str">
            <v xml:space="preserve">4252280        </v>
          </cell>
          <cell r="O17373">
            <v>180</v>
          </cell>
        </row>
        <row r="17374">
          <cell r="F17374" t="str">
            <v xml:space="preserve">4252280        </v>
          </cell>
          <cell r="O17374">
            <v>225</v>
          </cell>
        </row>
        <row r="17375">
          <cell r="F17375" t="str">
            <v xml:space="preserve">3024873        </v>
          </cell>
          <cell r="O17375">
            <v>180</v>
          </cell>
        </row>
        <row r="17376">
          <cell r="F17376" t="str">
            <v xml:space="preserve">901019138      </v>
          </cell>
          <cell r="O17376">
            <v>45</v>
          </cell>
        </row>
        <row r="17377">
          <cell r="F17377" t="str">
            <v xml:space="preserve">35250577       </v>
          </cell>
          <cell r="O17377">
            <v>18</v>
          </cell>
        </row>
        <row r="17378">
          <cell r="F17378" t="str">
            <v xml:space="preserve">35250577       </v>
          </cell>
          <cell r="O17378">
            <v>45</v>
          </cell>
        </row>
        <row r="17379">
          <cell r="F17379" t="str">
            <v xml:space="preserve">35250577       </v>
          </cell>
          <cell r="O17379">
            <v>135</v>
          </cell>
        </row>
        <row r="17380">
          <cell r="F17380" t="str">
            <v xml:space="preserve">19389409       </v>
          </cell>
          <cell r="O17380">
            <v>30</v>
          </cell>
        </row>
        <row r="17381">
          <cell r="F17381" t="str">
            <v xml:space="preserve">19389409       </v>
          </cell>
          <cell r="O17381">
            <v>342</v>
          </cell>
        </row>
        <row r="17382">
          <cell r="F17382" t="str">
            <v xml:space="preserve">19389409       </v>
          </cell>
          <cell r="O17382">
            <v>45</v>
          </cell>
        </row>
        <row r="17383">
          <cell r="F17383" t="str">
            <v xml:space="preserve">11320273       </v>
          </cell>
          <cell r="O17383">
            <v>150</v>
          </cell>
        </row>
        <row r="17384">
          <cell r="F17384" t="str">
            <v xml:space="preserve">11320273       </v>
          </cell>
          <cell r="O17384">
            <v>1080</v>
          </cell>
        </row>
        <row r="17385">
          <cell r="F17385" t="str">
            <v xml:space="preserve">11320273       </v>
          </cell>
          <cell r="O17385">
            <v>675</v>
          </cell>
        </row>
        <row r="17386">
          <cell r="F17386" t="str">
            <v xml:space="preserve">18185538       </v>
          </cell>
          <cell r="O17386">
            <v>324</v>
          </cell>
        </row>
        <row r="17387">
          <cell r="F17387" t="str">
            <v xml:space="preserve">18185538       </v>
          </cell>
          <cell r="O17387">
            <v>135</v>
          </cell>
        </row>
        <row r="17388">
          <cell r="F17388" t="str">
            <v xml:space="preserve">12266504       </v>
          </cell>
          <cell r="O17388">
            <v>90</v>
          </cell>
        </row>
        <row r="17389">
          <cell r="F17389" t="str">
            <v xml:space="preserve">12266504       </v>
          </cell>
          <cell r="O17389">
            <v>270</v>
          </cell>
        </row>
        <row r="17390">
          <cell r="F17390" t="str">
            <v xml:space="preserve">12266504       </v>
          </cell>
          <cell r="O17390">
            <v>240</v>
          </cell>
        </row>
        <row r="17391">
          <cell r="F17391" t="str">
            <v xml:space="preserve">12266504       </v>
          </cell>
          <cell r="O17391">
            <v>45</v>
          </cell>
        </row>
        <row r="17392">
          <cell r="F17392" t="str">
            <v xml:space="preserve">12266504       </v>
          </cell>
          <cell r="O17392">
            <v>345</v>
          </cell>
        </row>
        <row r="17393">
          <cell r="F17393" t="str">
            <v xml:space="preserve">12266504       </v>
          </cell>
          <cell r="O17393">
            <v>90</v>
          </cell>
        </row>
        <row r="17394">
          <cell r="F17394" t="str">
            <v xml:space="preserve">79847779       </v>
          </cell>
          <cell r="O17394">
            <v>360</v>
          </cell>
        </row>
        <row r="17395">
          <cell r="F17395" t="str">
            <v xml:space="preserve">79847779       </v>
          </cell>
          <cell r="O17395">
            <v>450</v>
          </cell>
        </row>
        <row r="17396">
          <cell r="F17396" t="str">
            <v xml:space="preserve">83042067       </v>
          </cell>
          <cell r="O17396">
            <v>15</v>
          </cell>
        </row>
        <row r="17397">
          <cell r="F17397" t="str">
            <v xml:space="preserve">83042067       </v>
          </cell>
          <cell r="O17397">
            <v>36</v>
          </cell>
        </row>
        <row r="17398">
          <cell r="F17398" t="str">
            <v xml:space="preserve">83042067       </v>
          </cell>
          <cell r="O17398">
            <v>315</v>
          </cell>
        </row>
        <row r="17399">
          <cell r="F17399" t="str">
            <v xml:space="preserve">18144684       </v>
          </cell>
          <cell r="O17399">
            <v>54</v>
          </cell>
        </row>
        <row r="17400">
          <cell r="F17400" t="str">
            <v xml:space="preserve">18144684       </v>
          </cell>
          <cell r="O17400">
            <v>90</v>
          </cell>
        </row>
        <row r="17401">
          <cell r="F17401" t="str">
            <v xml:space="preserve">18144684       </v>
          </cell>
          <cell r="O17401">
            <v>315</v>
          </cell>
        </row>
        <row r="17402">
          <cell r="F17402" t="str">
            <v xml:space="preserve">16864143       </v>
          </cell>
          <cell r="O17402">
            <v>1125</v>
          </cell>
        </row>
        <row r="17403">
          <cell r="F17403" t="str">
            <v xml:space="preserve">16864143       </v>
          </cell>
          <cell r="O17403">
            <v>162</v>
          </cell>
        </row>
        <row r="17404">
          <cell r="F17404" t="str">
            <v xml:space="preserve">79004412       </v>
          </cell>
          <cell r="O17404">
            <v>720</v>
          </cell>
        </row>
        <row r="17405">
          <cell r="F17405" t="str">
            <v xml:space="preserve">79004412       </v>
          </cell>
          <cell r="O17405">
            <v>225</v>
          </cell>
        </row>
        <row r="17406">
          <cell r="F17406" t="str">
            <v xml:space="preserve">15945210       </v>
          </cell>
          <cell r="O17406">
            <v>180</v>
          </cell>
        </row>
        <row r="17407">
          <cell r="F17407" t="str">
            <v xml:space="preserve">15945210       </v>
          </cell>
          <cell r="O17407">
            <v>540</v>
          </cell>
        </row>
        <row r="17408">
          <cell r="F17408" t="str">
            <v xml:space="preserve">15945210       </v>
          </cell>
          <cell r="O17408">
            <v>45</v>
          </cell>
        </row>
        <row r="17409">
          <cell r="F17409" t="str">
            <v xml:space="preserve">11445090       </v>
          </cell>
          <cell r="O17409">
            <v>45</v>
          </cell>
        </row>
        <row r="17410">
          <cell r="F17410" t="str">
            <v xml:space="preserve">11445090       </v>
          </cell>
          <cell r="O17410">
            <v>972</v>
          </cell>
        </row>
        <row r="17411">
          <cell r="F17411" t="str">
            <v xml:space="preserve">11445090       </v>
          </cell>
          <cell r="O17411">
            <v>225</v>
          </cell>
        </row>
        <row r="17412">
          <cell r="F17412" t="str">
            <v xml:space="preserve">11445090       </v>
          </cell>
          <cell r="O17412">
            <v>117</v>
          </cell>
        </row>
        <row r="17413">
          <cell r="F17413" t="str">
            <v xml:space="preserve">11445090       </v>
          </cell>
          <cell r="O17413">
            <v>45</v>
          </cell>
        </row>
        <row r="17414">
          <cell r="F17414" t="str">
            <v xml:space="preserve">11445090       </v>
          </cell>
          <cell r="O17414">
            <v>756</v>
          </cell>
        </row>
        <row r="17415">
          <cell r="F17415" t="str">
            <v xml:space="preserve">11445090       </v>
          </cell>
          <cell r="O17415">
            <v>315</v>
          </cell>
        </row>
        <row r="17416">
          <cell r="F17416" t="str">
            <v xml:space="preserve">11445090       </v>
          </cell>
          <cell r="O17416">
            <v>18</v>
          </cell>
        </row>
        <row r="17417">
          <cell r="F17417" t="str">
            <v xml:space="preserve">11445090       </v>
          </cell>
          <cell r="O17417">
            <v>30</v>
          </cell>
        </row>
        <row r="17418">
          <cell r="F17418" t="str">
            <v xml:space="preserve">11445090       </v>
          </cell>
          <cell r="O17418">
            <v>756</v>
          </cell>
        </row>
        <row r="17419">
          <cell r="F17419" t="str">
            <v xml:space="preserve">11445090       </v>
          </cell>
          <cell r="O17419">
            <v>225</v>
          </cell>
        </row>
        <row r="17420">
          <cell r="F17420" t="str">
            <v xml:space="preserve">901033312      </v>
          </cell>
          <cell r="O17420">
            <v>105</v>
          </cell>
        </row>
        <row r="17421">
          <cell r="F17421" t="str">
            <v xml:space="preserve">375997         </v>
          </cell>
          <cell r="O17421">
            <v>360</v>
          </cell>
        </row>
        <row r="17422">
          <cell r="F17422" t="str">
            <v xml:space="preserve">375997         </v>
          </cell>
          <cell r="O17422">
            <v>180</v>
          </cell>
        </row>
        <row r="17423">
          <cell r="F17423" t="str">
            <v xml:space="preserve">3158780        </v>
          </cell>
          <cell r="O17423">
            <v>9</v>
          </cell>
        </row>
        <row r="17424">
          <cell r="F17424" t="str">
            <v xml:space="preserve">3158780        </v>
          </cell>
          <cell r="O17424">
            <v>15</v>
          </cell>
        </row>
        <row r="17425">
          <cell r="F17425" t="str">
            <v xml:space="preserve">3158780        </v>
          </cell>
          <cell r="O17425">
            <v>432</v>
          </cell>
        </row>
        <row r="17426">
          <cell r="F17426" t="str">
            <v xml:space="preserve">3158780        </v>
          </cell>
          <cell r="O17426">
            <v>45</v>
          </cell>
        </row>
        <row r="17427">
          <cell r="F17427" t="str">
            <v xml:space="preserve">1010164223     </v>
          </cell>
          <cell r="O17427">
            <v>450</v>
          </cell>
        </row>
        <row r="17428">
          <cell r="F17428" t="str">
            <v xml:space="preserve">1015995477     </v>
          </cell>
          <cell r="O17428">
            <v>108</v>
          </cell>
        </row>
        <row r="17429">
          <cell r="F17429" t="str">
            <v xml:space="preserve">1015995477     </v>
          </cell>
          <cell r="O17429">
            <v>15</v>
          </cell>
        </row>
        <row r="17430">
          <cell r="F17430" t="str">
            <v xml:space="preserve">3159567        </v>
          </cell>
          <cell r="O17430">
            <v>90</v>
          </cell>
        </row>
        <row r="17431">
          <cell r="F17431" t="str">
            <v xml:space="preserve">3159567        </v>
          </cell>
          <cell r="O17431">
            <v>666</v>
          </cell>
        </row>
        <row r="17432">
          <cell r="F17432" t="str">
            <v xml:space="preserve">830133323      </v>
          </cell>
          <cell r="O17432">
            <v>18</v>
          </cell>
        </row>
        <row r="17433">
          <cell r="F17433" t="str">
            <v xml:space="preserve">830133323      </v>
          </cell>
          <cell r="O17433">
            <v>90</v>
          </cell>
        </row>
        <row r="17434">
          <cell r="F17434" t="str">
            <v xml:space="preserve">80351964       </v>
          </cell>
          <cell r="O17434">
            <v>99</v>
          </cell>
        </row>
        <row r="17435">
          <cell r="F17435" t="str">
            <v xml:space="preserve">80351964       </v>
          </cell>
          <cell r="O17435">
            <v>324</v>
          </cell>
        </row>
        <row r="17436">
          <cell r="F17436" t="str">
            <v xml:space="preserve">23624338       </v>
          </cell>
          <cell r="O17436">
            <v>1044</v>
          </cell>
        </row>
        <row r="17437">
          <cell r="F17437" t="str">
            <v xml:space="preserve">74282624       </v>
          </cell>
          <cell r="O17437">
            <v>90</v>
          </cell>
        </row>
        <row r="17438">
          <cell r="F17438" t="str">
            <v xml:space="preserve">3085945        </v>
          </cell>
          <cell r="O17438">
            <v>1080</v>
          </cell>
        </row>
        <row r="17439">
          <cell r="F17439" t="str">
            <v xml:space="preserve">3085945        </v>
          </cell>
          <cell r="O17439">
            <v>35</v>
          </cell>
        </row>
        <row r="17440">
          <cell r="F17440" t="str">
            <v xml:space="preserve">3085945        </v>
          </cell>
          <cell r="O17440">
            <v>270</v>
          </cell>
        </row>
        <row r="17441">
          <cell r="F17441" t="str">
            <v xml:space="preserve">830133323      </v>
          </cell>
          <cell r="O17441">
            <v>90</v>
          </cell>
        </row>
        <row r="17442">
          <cell r="F17442" t="str">
            <v xml:space="preserve">80283261       </v>
          </cell>
          <cell r="O17442">
            <v>468</v>
          </cell>
        </row>
        <row r="17443">
          <cell r="F17443" t="str">
            <v xml:space="preserve">80283261       </v>
          </cell>
          <cell r="O17443">
            <v>90</v>
          </cell>
        </row>
        <row r="17444">
          <cell r="F17444" t="str">
            <v xml:space="preserve">3090329        </v>
          </cell>
          <cell r="O17444">
            <v>540</v>
          </cell>
        </row>
        <row r="17445">
          <cell r="F17445" t="str">
            <v xml:space="preserve">3090329        </v>
          </cell>
          <cell r="O17445">
            <v>90</v>
          </cell>
        </row>
        <row r="17446">
          <cell r="F17446" t="str">
            <v xml:space="preserve">4090572        </v>
          </cell>
          <cell r="O17446">
            <v>72</v>
          </cell>
        </row>
        <row r="17447">
          <cell r="F17447" t="str">
            <v xml:space="preserve">4090572        </v>
          </cell>
          <cell r="O17447">
            <v>15</v>
          </cell>
        </row>
        <row r="17448">
          <cell r="F17448" t="str">
            <v xml:space="preserve">4090572        </v>
          </cell>
          <cell r="O17448">
            <v>684</v>
          </cell>
        </row>
        <row r="17449">
          <cell r="F17449" t="str">
            <v xml:space="preserve">4090572        </v>
          </cell>
          <cell r="O17449">
            <v>180</v>
          </cell>
        </row>
        <row r="17450">
          <cell r="F17450" t="str">
            <v xml:space="preserve">79589699       </v>
          </cell>
          <cell r="O17450">
            <v>18</v>
          </cell>
        </row>
        <row r="17451">
          <cell r="F17451" t="str">
            <v xml:space="preserve">79589699       </v>
          </cell>
          <cell r="O17451">
            <v>15</v>
          </cell>
        </row>
        <row r="17452">
          <cell r="F17452" t="str">
            <v xml:space="preserve">80024551       </v>
          </cell>
          <cell r="O17452">
            <v>81</v>
          </cell>
        </row>
        <row r="17453">
          <cell r="F17453" t="str">
            <v xml:space="preserve">80024551       </v>
          </cell>
          <cell r="O17453">
            <v>60</v>
          </cell>
        </row>
        <row r="17454">
          <cell r="F17454" t="str">
            <v xml:space="preserve">80024551       </v>
          </cell>
          <cell r="O17454">
            <v>1134</v>
          </cell>
        </row>
        <row r="17455">
          <cell r="F17455" t="str">
            <v xml:space="preserve">80024551       </v>
          </cell>
          <cell r="O17455">
            <v>315</v>
          </cell>
        </row>
        <row r="17456">
          <cell r="F17456" t="str">
            <v xml:space="preserve">4090806        </v>
          </cell>
          <cell r="O17456">
            <v>252</v>
          </cell>
        </row>
        <row r="17457">
          <cell r="F17457" t="str">
            <v xml:space="preserve">4090806        </v>
          </cell>
          <cell r="O17457">
            <v>27</v>
          </cell>
        </row>
        <row r="17458">
          <cell r="F17458" t="str">
            <v xml:space="preserve">4090806        </v>
          </cell>
          <cell r="O17458">
            <v>30</v>
          </cell>
        </row>
        <row r="17459">
          <cell r="F17459" t="str">
            <v xml:space="preserve">4090806        </v>
          </cell>
          <cell r="O17459">
            <v>468</v>
          </cell>
        </row>
        <row r="17460">
          <cell r="F17460" t="str">
            <v xml:space="preserve">4090806        </v>
          </cell>
          <cell r="O17460">
            <v>450</v>
          </cell>
        </row>
        <row r="17461">
          <cell r="F17461" t="str">
            <v xml:space="preserve">890301839      </v>
          </cell>
          <cell r="O17461">
            <v>36</v>
          </cell>
        </row>
        <row r="17462">
          <cell r="F17462" t="str">
            <v xml:space="preserve">1049794120     </v>
          </cell>
          <cell r="O17462">
            <v>558</v>
          </cell>
        </row>
        <row r="17463">
          <cell r="F17463" t="str">
            <v xml:space="preserve">1049794120     </v>
          </cell>
          <cell r="O17463">
            <v>90</v>
          </cell>
        </row>
        <row r="17464">
          <cell r="F17464" t="str">
            <v xml:space="preserve">79339314       </v>
          </cell>
          <cell r="O17464">
            <v>135</v>
          </cell>
        </row>
        <row r="17465">
          <cell r="F17465" t="str">
            <v xml:space="preserve">79339314       </v>
          </cell>
          <cell r="O17465">
            <v>36</v>
          </cell>
        </row>
        <row r="17466">
          <cell r="F17466" t="str">
            <v xml:space="preserve">79339314       </v>
          </cell>
          <cell r="O17466">
            <v>90</v>
          </cell>
        </row>
        <row r="17467">
          <cell r="F17467" t="str">
            <v xml:space="preserve">3171403        </v>
          </cell>
          <cell r="O17467">
            <v>15</v>
          </cell>
        </row>
        <row r="17468">
          <cell r="F17468" t="str">
            <v xml:space="preserve">3171403        </v>
          </cell>
          <cell r="O17468">
            <v>216</v>
          </cell>
        </row>
        <row r="17469">
          <cell r="F17469" t="str">
            <v xml:space="preserve">3171403        </v>
          </cell>
          <cell r="O17469">
            <v>135</v>
          </cell>
        </row>
        <row r="17470">
          <cell r="F17470" t="str">
            <v xml:space="preserve">83218584       </v>
          </cell>
          <cell r="O17470">
            <v>510</v>
          </cell>
        </row>
        <row r="17471">
          <cell r="F17471" t="str">
            <v xml:space="preserve">83218584       </v>
          </cell>
          <cell r="O17471">
            <v>54</v>
          </cell>
        </row>
        <row r="17472">
          <cell r="F17472" t="str">
            <v xml:space="preserve">83218584       </v>
          </cell>
          <cell r="O17472">
            <v>90</v>
          </cell>
        </row>
        <row r="17473">
          <cell r="F17473" t="str">
            <v xml:space="preserve">83218584       </v>
          </cell>
          <cell r="O17473">
            <v>465</v>
          </cell>
        </row>
        <row r="17474">
          <cell r="F17474" t="str">
            <v xml:space="preserve">83218584       </v>
          </cell>
          <cell r="O17474">
            <v>126</v>
          </cell>
        </row>
        <row r="17475">
          <cell r="F17475" t="str">
            <v xml:space="preserve">83218584       </v>
          </cell>
          <cell r="O17475">
            <v>90</v>
          </cell>
        </row>
        <row r="17476">
          <cell r="F17476" t="str">
            <v xml:space="preserve">7305728        </v>
          </cell>
          <cell r="O17476">
            <v>45</v>
          </cell>
        </row>
        <row r="17477">
          <cell r="F17477" t="str">
            <v xml:space="preserve">7305728        </v>
          </cell>
          <cell r="O17477">
            <v>60</v>
          </cell>
        </row>
        <row r="17478">
          <cell r="F17478" t="str">
            <v xml:space="preserve">7305728        </v>
          </cell>
          <cell r="O17478">
            <v>270</v>
          </cell>
        </row>
        <row r="17479">
          <cell r="F17479" t="str">
            <v xml:space="preserve">51856228       </v>
          </cell>
          <cell r="O17479">
            <v>135</v>
          </cell>
        </row>
        <row r="17480">
          <cell r="F17480" t="str">
            <v xml:space="preserve">51856228       </v>
          </cell>
          <cell r="O17480">
            <v>45</v>
          </cell>
        </row>
        <row r="17481">
          <cell r="F17481" t="str">
            <v xml:space="preserve">860068121      </v>
          </cell>
          <cell r="O17481">
            <v>135</v>
          </cell>
        </row>
        <row r="17482">
          <cell r="F17482" t="str">
            <v xml:space="preserve">1114887745     </v>
          </cell>
          <cell r="O17482">
            <v>648</v>
          </cell>
        </row>
        <row r="17483">
          <cell r="F17483" t="str">
            <v xml:space="preserve">1112626290     </v>
          </cell>
          <cell r="O17483">
            <v>153</v>
          </cell>
        </row>
        <row r="17484">
          <cell r="F17484" t="str">
            <v xml:space="preserve">1112626290     </v>
          </cell>
          <cell r="O17484">
            <v>135</v>
          </cell>
        </row>
        <row r="17485">
          <cell r="F17485" t="str">
            <v xml:space="preserve">1112626290     </v>
          </cell>
          <cell r="O17485">
            <v>432</v>
          </cell>
        </row>
        <row r="17486">
          <cell r="F17486" t="str">
            <v xml:space="preserve">1093217151     </v>
          </cell>
          <cell r="O17486">
            <v>270</v>
          </cell>
        </row>
        <row r="17487">
          <cell r="F17487" t="str">
            <v xml:space="preserve">1097404034     </v>
          </cell>
          <cell r="O17487">
            <v>18</v>
          </cell>
        </row>
        <row r="17488">
          <cell r="F17488" t="str">
            <v xml:space="preserve">8458310        </v>
          </cell>
          <cell r="O17488">
            <v>45</v>
          </cell>
        </row>
        <row r="17489">
          <cell r="F17489" t="str">
            <v xml:space="preserve">8458310        </v>
          </cell>
          <cell r="O17489">
            <v>126</v>
          </cell>
        </row>
        <row r="17490">
          <cell r="F17490" t="str">
            <v xml:space="preserve">8458310        </v>
          </cell>
          <cell r="O17490">
            <v>270</v>
          </cell>
        </row>
        <row r="17491">
          <cell r="F17491" t="str">
            <v xml:space="preserve">1039696881     </v>
          </cell>
          <cell r="O17491">
            <v>9</v>
          </cell>
        </row>
        <row r="17492">
          <cell r="F17492" t="str">
            <v xml:space="preserve">1039696881     </v>
          </cell>
          <cell r="O17492">
            <v>9</v>
          </cell>
        </row>
        <row r="17493">
          <cell r="F17493" t="str">
            <v xml:space="preserve">1039696881     </v>
          </cell>
          <cell r="O17493">
            <v>1170</v>
          </cell>
        </row>
        <row r="17494">
          <cell r="F17494" t="str">
            <v xml:space="preserve">1039696881     </v>
          </cell>
          <cell r="O17494">
            <v>180</v>
          </cell>
        </row>
        <row r="17495">
          <cell r="F17495" t="str">
            <v xml:space="preserve">16186973       </v>
          </cell>
          <cell r="O17495">
            <v>18</v>
          </cell>
        </row>
        <row r="17496">
          <cell r="F17496" t="str">
            <v xml:space="preserve">16186973       </v>
          </cell>
          <cell r="O17496">
            <v>702</v>
          </cell>
        </row>
        <row r="17497">
          <cell r="F17497" t="str">
            <v xml:space="preserve">16186973       </v>
          </cell>
          <cell r="O17497">
            <v>180</v>
          </cell>
        </row>
        <row r="17498">
          <cell r="F17498" t="str">
            <v xml:space="preserve">1070329625     </v>
          </cell>
          <cell r="O17498">
            <v>1044</v>
          </cell>
        </row>
        <row r="17499">
          <cell r="F17499" t="str">
            <v xml:space="preserve">91352291       </v>
          </cell>
          <cell r="O17499">
            <v>105</v>
          </cell>
        </row>
        <row r="17500">
          <cell r="F17500" t="str">
            <v xml:space="preserve">91352291       </v>
          </cell>
          <cell r="O17500">
            <v>180</v>
          </cell>
        </row>
        <row r="17501">
          <cell r="F17501" t="str">
            <v xml:space="preserve">91352291       </v>
          </cell>
          <cell r="O17501">
            <v>360</v>
          </cell>
        </row>
        <row r="17502">
          <cell r="F17502" t="str">
            <v xml:space="preserve">91352291       </v>
          </cell>
          <cell r="O17502">
            <v>9</v>
          </cell>
        </row>
        <row r="17503">
          <cell r="F17503" t="str">
            <v xml:space="preserve">91352291       </v>
          </cell>
          <cell r="O17503">
            <v>45</v>
          </cell>
        </row>
        <row r="17504">
          <cell r="F17504" t="str">
            <v xml:space="preserve">91352291       </v>
          </cell>
          <cell r="O17504">
            <v>900</v>
          </cell>
        </row>
        <row r="17505">
          <cell r="F17505" t="str">
            <v xml:space="preserve">91352291       </v>
          </cell>
          <cell r="O17505">
            <v>75</v>
          </cell>
        </row>
        <row r="17506">
          <cell r="F17506" t="str">
            <v xml:space="preserve">91352291       </v>
          </cell>
          <cell r="O17506">
            <v>144</v>
          </cell>
        </row>
        <row r="17507">
          <cell r="F17507" t="str">
            <v xml:space="preserve">15381508       </v>
          </cell>
          <cell r="O17507">
            <v>180</v>
          </cell>
        </row>
        <row r="17508">
          <cell r="F17508" t="str">
            <v xml:space="preserve">1104069879     </v>
          </cell>
          <cell r="O17508">
            <v>225</v>
          </cell>
        </row>
        <row r="17509">
          <cell r="F17509" t="str">
            <v xml:space="preserve">93291251       </v>
          </cell>
          <cell r="O17509">
            <v>180</v>
          </cell>
        </row>
        <row r="17510">
          <cell r="F17510" t="str">
            <v xml:space="preserve">93291251       </v>
          </cell>
          <cell r="O17510">
            <v>225</v>
          </cell>
        </row>
        <row r="17511">
          <cell r="F17511" t="str">
            <v xml:space="preserve">93291251       </v>
          </cell>
          <cell r="O17511">
            <v>846</v>
          </cell>
        </row>
        <row r="17512">
          <cell r="F17512" t="str">
            <v xml:space="preserve">93291251       </v>
          </cell>
          <cell r="O17512">
            <v>405</v>
          </cell>
        </row>
        <row r="17513">
          <cell r="F17513" t="str">
            <v xml:space="preserve">1105671149     </v>
          </cell>
          <cell r="O17513">
            <v>800</v>
          </cell>
        </row>
        <row r="17514">
          <cell r="F17514" t="str">
            <v xml:space="preserve">1105671149     </v>
          </cell>
          <cell r="O17514">
            <v>180</v>
          </cell>
        </row>
        <row r="17515">
          <cell r="F17515" t="str">
            <v xml:space="preserve">1105671149     </v>
          </cell>
          <cell r="O17515">
            <v>60</v>
          </cell>
        </row>
        <row r="17516">
          <cell r="F17516" t="str">
            <v xml:space="preserve">1105671149     </v>
          </cell>
          <cell r="O17516">
            <v>405</v>
          </cell>
        </row>
        <row r="17517">
          <cell r="F17517" t="str">
            <v xml:space="preserve">88273778       </v>
          </cell>
          <cell r="O17517">
            <v>75</v>
          </cell>
        </row>
        <row r="17518">
          <cell r="F17518" t="str">
            <v xml:space="preserve">88273778       </v>
          </cell>
          <cell r="O17518">
            <v>525</v>
          </cell>
        </row>
        <row r="17519">
          <cell r="F17519" t="str">
            <v xml:space="preserve">88273778       </v>
          </cell>
          <cell r="O17519">
            <v>18</v>
          </cell>
        </row>
        <row r="17520">
          <cell r="F17520" t="str">
            <v xml:space="preserve">88273778       </v>
          </cell>
          <cell r="O17520">
            <v>90</v>
          </cell>
        </row>
        <row r="17521">
          <cell r="F17521" t="str">
            <v xml:space="preserve">74283129       </v>
          </cell>
          <cell r="O17521">
            <v>468</v>
          </cell>
        </row>
        <row r="17522">
          <cell r="F17522" t="str">
            <v xml:space="preserve">74283129       </v>
          </cell>
          <cell r="O17522">
            <v>45</v>
          </cell>
        </row>
        <row r="17523">
          <cell r="F17523" t="str">
            <v xml:space="preserve">74283129       </v>
          </cell>
          <cell r="O17523">
            <v>360</v>
          </cell>
        </row>
        <row r="17524">
          <cell r="F17524" t="str">
            <v xml:space="preserve">13476066       </v>
          </cell>
          <cell r="O17524">
            <v>495</v>
          </cell>
        </row>
        <row r="17525">
          <cell r="F17525" t="str">
            <v xml:space="preserve">13476066       </v>
          </cell>
          <cell r="O17525">
            <v>18</v>
          </cell>
        </row>
        <row r="17526">
          <cell r="F17526" t="str">
            <v xml:space="preserve">13476066       </v>
          </cell>
          <cell r="O17526">
            <v>900</v>
          </cell>
        </row>
        <row r="17527">
          <cell r="F17527" t="str">
            <v xml:space="preserve">98763233       </v>
          </cell>
          <cell r="O17527">
            <v>864</v>
          </cell>
        </row>
        <row r="17528">
          <cell r="F17528" t="str">
            <v xml:space="preserve">10180926       </v>
          </cell>
          <cell r="O17528">
            <v>15</v>
          </cell>
        </row>
        <row r="17529">
          <cell r="F17529" t="str">
            <v xml:space="preserve">10180926       </v>
          </cell>
          <cell r="O17529">
            <v>180</v>
          </cell>
        </row>
        <row r="17530">
          <cell r="F17530" t="str">
            <v xml:space="preserve">10180926       </v>
          </cell>
          <cell r="O17530">
            <v>90</v>
          </cell>
        </row>
        <row r="17531">
          <cell r="F17531" t="str">
            <v xml:space="preserve">98711342       </v>
          </cell>
          <cell r="O17531">
            <v>15</v>
          </cell>
        </row>
        <row r="17532">
          <cell r="F17532" t="str">
            <v xml:space="preserve">98711342       </v>
          </cell>
          <cell r="O17532">
            <v>342</v>
          </cell>
        </row>
        <row r="17533">
          <cell r="F17533" t="str">
            <v xml:space="preserve">37726719       </v>
          </cell>
          <cell r="O17533">
            <v>300</v>
          </cell>
        </row>
        <row r="17534">
          <cell r="F17534" t="str">
            <v xml:space="preserve">37726719       </v>
          </cell>
          <cell r="O17534">
            <v>720</v>
          </cell>
        </row>
        <row r="17535">
          <cell r="F17535" t="str">
            <v xml:space="preserve">37726719       </v>
          </cell>
          <cell r="O17535">
            <v>180</v>
          </cell>
        </row>
        <row r="17536">
          <cell r="F17536" t="str">
            <v xml:space="preserve">1036942800     </v>
          </cell>
          <cell r="O17536">
            <v>60</v>
          </cell>
        </row>
        <row r="17537">
          <cell r="F17537" t="str">
            <v xml:space="preserve">1036942800     </v>
          </cell>
          <cell r="O17537">
            <v>270</v>
          </cell>
        </row>
        <row r="17538">
          <cell r="F17538" t="str">
            <v xml:space="preserve">1036942800     </v>
          </cell>
          <cell r="O17538">
            <v>360</v>
          </cell>
        </row>
        <row r="17539">
          <cell r="F17539" t="str">
            <v xml:space="preserve">94420654       </v>
          </cell>
          <cell r="O17539">
            <v>126</v>
          </cell>
        </row>
        <row r="17540">
          <cell r="F17540" t="str">
            <v xml:space="preserve">94420654       </v>
          </cell>
          <cell r="O17540">
            <v>45</v>
          </cell>
        </row>
        <row r="17541">
          <cell r="F17541" t="str">
            <v xml:space="preserve">1090397527     </v>
          </cell>
          <cell r="O17541">
            <v>570</v>
          </cell>
        </row>
        <row r="17542">
          <cell r="F17542" t="str">
            <v xml:space="preserve">1090397527     </v>
          </cell>
          <cell r="O17542">
            <v>855</v>
          </cell>
        </row>
        <row r="17543">
          <cell r="F17543" t="str">
            <v xml:space="preserve">1090397527     </v>
          </cell>
          <cell r="O17543">
            <v>180</v>
          </cell>
        </row>
        <row r="17544">
          <cell r="F17544" t="str">
            <v xml:space="preserve">1090397527     </v>
          </cell>
          <cell r="O17544">
            <v>450</v>
          </cell>
        </row>
        <row r="17545">
          <cell r="F17545" t="str">
            <v xml:space="preserve">1090397527     </v>
          </cell>
          <cell r="O17545">
            <v>600</v>
          </cell>
        </row>
        <row r="17546">
          <cell r="F17546" t="str">
            <v xml:space="preserve">1090397527     </v>
          </cell>
          <cell r="O17546">
            <v>702</v>
          </cell>
        </row>
        <row r="17547">
          <cell r="F17547" t="str">
            <v xml:space="preserve">1090397527     </v>
          </cell>
          <cell r="O17547">
            <v>180</v>
          </cell>
        </row>
        <row r="17548">
          <cell r="F17548" t="str">
            <v xml:space="preserve">1039694009     </v>
          </cell>
          <cell r="O17548">
            <v>1035</v>
          </cell>
        </row>
        <row r="17549">
          <cell r="F17549" t="str">
            <v xml:space="preserve">1039694009     </v>
          </cell>
          <cell r="O17549">
            <v>90</v>
          </cell>
        </row>
        <row r="17550">
          <cell r="F17550" t="str">
            <v xml:space="preserve">1039694009     </v>
          </cell>
          <cell r="O17550">
            <v>90</v>
          </cell>
        </row>
        <row r="17551">
          <cell r="F17551" t="str">
            <v xml:space="preserve">1100623000     </v>
          </cell>
          <cell r="O17551">
            <v>30</v>
          </cell>
        </row>
        <row r="17552">
          <cell r="F17552" t="str">
            <v xml:space="preserve">1100623000     </v>
          </cell>
          <cell r="O17552">
            <v>828</v>
          </cell>
        </row>
        <row r="17553">
          <cell r="F17553" t="str">
            <v xml:space="preserve">73126502       </v>
          </cell>
          <cell r="O17553">
            <v>135</v>
          </cell>
        </row>
        <row r="17554">
          <cell r="F17554" t="str">
            <v xml:space="preserve">73126502       </v>
          </cell>
          <cell r="O17554">
            <v>216</v>
          </cell>
        </row>
        <row r="17555">
          <cell r="F17555" t="str">
            <v xml:space="preserve">73126502       </v>
          </cell>
          <cell r="O17555">
            <v>45</v>
          </cell>
        </row>
        <row r="17556">
          <cell r="F17556" t="str">
            <v xml:space="preserve">83221998       </v>
          </cell>
          <cell r="O17556">
            <v>270</v>
          </cell>
        </row>
        <row r="17557">
          <cell r="F17557" t="str">
            <v xml:space="preserve">83221998       </v>
          </cell>
          <cell r="O17557">
            <v>216</v>
          </cell>
        </row>
        <row r="17558">
          <cell r="F17558" t="str">
            <v xml:space="preserve">83221998       </v>
          </cell>
          <cell r="O17558">
            <v>90</v>
          </cell>
        </row>
        <row r="17559">
          <cell r="F17559" t="str">
            <v xml:space="preserve">71142360       </v>
          </cell>
          <cell r="O17559">
            <v>90</v>
          </cell>
        </row>
        <row r="17560">
          <cell r="F17560" t="str">
            <v xml:space="preserve">71142360       </v>
          </cell>
          <cell r="O17560">
            <v>756</v>
          </cell>
        </row>
        <row r="17561">
          <cell r="F17561" t="str">
            <v xml:space="preserve">71142360       </v>
          </cell>
          <cell r="O17561">
            <v>300</v>
          </cell>
        </row>
        <row r="17562">
          <cell r="F17562" t="str">
            <v xml:space="preserve">71142360       </v>
          </cell>
          <cell r="O17562">
            <v>288</v>
          </cell>
        </row>
        <row r="17563">
          <cell r="F17563" t="str">
            <v xml:space="preserve">71142360       </v>
          </cell>
          <cell r="O17563">
            <v>90</v>
          </cell>
        </row>
        <row r="17564">
          <cell r="F17564" t="str">
            <v xml:space="preserve">71142360       </v>
          </cell>
          <cell r="O17564">
            <v>135</v>
          </cell>
        </row>
        <row r="17565">
          <cell r="F17565" t="str">
            <v xml:space="preserve">71142360       </v>
          </cell>
          <cell r="O17565">
            <v>828</v>
          </cell>
        </row>
        <row r="17566">
          <cell r="F17566" t="str">
            <v xml:space="preserve">901355735      </v>
          </cell>
          <cell r="O17566">
            <v>36</v>
          </cell>
        </row>
        <row r="17567">
          <cell r="F17567" t="str">
            <v xml:space="preserve">43656575       </v>
          </cell>
          <cell r="O17567">
            <v>9</v>
          </cell>
        </row>
        <row r="17568">
          <cell r="F17568" t="str">
            <v xml:space="preserve">43656575       </v>
          </cell>
          <cell r="O17568">
            <v>30</v>
          </cell>
        </row>
        <row r="17569">
          <cell r="F17569" t="str">
            <v xml:space="preserve">43656575       </v>
          </cell>
          <cell r="O17569">
            <v>180</v>
          </cell>
        </row>
        <row r="17570">
          <cell r="F17570" t="str">
            <v xml:space="preserve">43656575       </v>
          </cell>
          <cell r="O17570">
            <v>315</v>
          </cell>
        </row>
        <row r="17571">
          <cell r="F17571" t="str">
            <v xml:space="preserve">16836063       </v>
          </cell>
          <cell r="O17571">
            <v>90</v>
          </cell>
        </row>
        <row r="17572">
          <cell r="F17572" t="str">
            <v xml:space="preserve">16836063       </v>
          </cell>
          <cell r="O17572">
            <v>135</v>
          </cell>
        </row>
        <row r="17573">
          <cell r="F17573" t="str">
            <v xml:space="preserve">800255713      </v>
          </cell>
          <cell r="O17573">
            <v>220</v>
          </cell>
        </row>
        <row r="17574">
          <cell r="F17574" t="str">
            <v xml:space="preserve">1214745372     </v>
          </cell>
          <cell r="O17574">
            <v>36</v>
          </cell>
        </row>
        <row r="17575">
          <cell r="F17575" t="str">
            <v xml:space="preserve">1214745372     </v>
          </cell>
          <cell r="O17575">
            <v>9</v>
          </cell>
        </row>
        <row r="17576">
          <cell r="F17576" t="str">
            <v xml:space="preserve">1214745372     </v>
          </cell>
          <cell r="O17576">
            <v>30</v>
          </cell>
        </row>
        <row r="17577">
          <cell r="F17577" t="str">
            <v xml:space="preserve">1214745372     </v>
          </cell>
          <cell r="O17577">
            <v>1062</v>
          </cell>
        </row>
        <row r="17578">
          <cell r="F17578" t="str">
            <v xml:space="preserve">1214745372     </v>
          </cell>
          <cell r="O17578">
            <v>45</v>
          </cell>
        </row>
        <row r="17579">
          <cell r="F17579" t="str">
            <v xml:space="preserve">93419128       </v>
          </cell>
          <cell r="O17579">
            <v>9</v>
          </cell>
        </row>
        <row r="17580">
          <cell r="F17580" t="str">
            <v xml:space="preserve">93419128       </v>
          </cell>
          <cell r="O17580">
            <v>90</v>
          </cell>
        </row>
        <row r="17581">
          <cell r="F17581" t="str">
            <v xml:space="preserve">93419128       </v>
          </cell>
          <cell r="O17581">
            <v>630</v>
          </cell>
        </row>
        <row r="17582">
          <cell r="F17582" t="str">
            <v xml:space="preserve">860005265      </v>
          </cell>
          <cell r="O17582">
            <v>1025</v>
          </cell>
        </row>
        <row r="17583">
          <cell r="F17583" t="str">
            <v xml:space="preserve">860005265      </v>
          </cell>
          <cell r="O17583">
            <v>826.95</v>
          </cell>
        </row>
        <row r="17584">
          <cell r="F17584" t="str">
            <v xml:space="preserve">860047066      </v>
          </cell>
          <cell r="O17584">
            <v>100</v>
          </cell>
        </row>
        <row r="17585">
          <cell r="F17585" t="str">
            <v xml:space="preserve">203            </v>
          </cell>
          <cell r="O17585">
            <v>72</v>
          </cell>
        </row>
        <row r="17586">
          <cell r="F17586" t="str">
            <v xml:space="preserve">203            </v>
          </cell>
          <cell r="O17586">
            <v>135</v>
          </cell>
        </row>
        <row r="17587">
          <cell r="F17587" t="str">
            <v xml:space="preserve">900084859      </v>
          </cell>
          <cell r="O17587">
            <v>45</v>
          </cell>
        </row>
        <row r="17588">
          <cell r="F17588" t="str">
            <v xml:space="preserve">900110594      </v>
          </cell>
          <cell r="O17588">
            <v>90</v>
          </cell>
        </row>
        <row r="17589">
          <cell r="F17589" t="str">
            <v xml:space="preserve">901485271      </v>
          </cell>
          <cell r="O17589">
            <v>90</v>
          </cell>
        </row>
        <row r="17590">
          <cell r="F17590" t="str">
            <v xml:space="preserve">901485271      </v>
          </cell>
          <cell r="O17590">
            <v>90</v>
          </cell>
        </row>
        <row r="17591">
          <cell r="F17591" t="str">
            <v xml:space="preserve">800012375      </v>
          </cell>
          <cell r="O17591">
            <v>162</v>
          </cell>
        </row>
        <row r="17592">
          <cell r="F17592" t="str">
            <v xml:space="preserve">800150267      </v>
          </cell>
          <cell r="O17592">
            <v>54</v>
          </cell>
        </row>
        <row r="17593">
          <cell r="F17593" t="str">
            <v xml:space="preserve">815002042      </v>
          </cell>
          <cell r="O17593">
            <v>90</v>
          </cell>
        </row>
        <row r="17594">
          <cell r="F17594" t="str">
            <v xml:space="preserve">821000169      </v>
          </cell>
          <cell r="O17594">
            <v>64</v>
          </cell>
        </row>
        <row r="17595">
          <cell r="F17595" t="str">
            <v xml:space="preserve">890903939      </v>
          </cell>
          <cell r="O17595">
            <v>152</v>
          </cell>
        </row>
        <row r="17596">
          <cell r="F17596" t="str">
            <v xml:space="preserve">890903939      </v>
          </cell>
          <cell r="O17596">
            <v>190</v>
          </cell>
        </row>
        <row r="17597">
          <cell r="F17597" t="str">
            <v xml:space="preserve">891301549      </v>
          </cell>
          <cell r="O17597">
            <v>36</v>
          </cell>
        </row>
        <row r="17598">
          <cell r="F17598" t="str">
            <v xml:space="preserve">900492170      </v>
          </cell>
          <cell r="O17598">
            <v>270</v>
          </cell>
        </row>
        <row r="17599">
          <cell r="F17599" t="str">
            <v xml:space="preserve">800067861      </v>
          </cell>
          <cell r="O17599">
            <v>112.1</v>
          </cell>
        </row>
        <row r="17600">
          <cell r="F17600" t="str">
            <v xml:space="preserve">860001697      </v>
          </cell>
          <cell r="O17600">
            <v>156.35</v>
          </cell>
        </row>
        <row r="17601">
          <cell r="F17601" t="str">
            <v xml:space="preserve">860001697      </v>
          </cell>
          <cell r="O17601">
            <v>380.65</v>
          </cell>
        </row>
        <row r="17602">
          <cell r="F17602" t="str">
            <v xml:space="preserve">860001697      </v>
          </cell>
          <cell r="O17602">
            <v>510.95</v>
          </cell>
        </row>
        <row r="17603">
          <cell r="F17603" t="str">
            <v xml:space="preserve">900239671      </v>
          </cell>
          <cell r="O17603">
            <v>72</v>
          </cell>
        </row>
        <row r="17604">
          <cell r="F17604" t="str">
            <v xml:space="preserve">901079460      </v>
          </cell>
          <cell r="O17604">
            <v>231.8</v>
          </cell>
        </row>
        <row r="17605">
          <cell r="F17605" t="str">
            <v xml:space="preserve">203            </v>
          </cell>
          <cell r="O17605">
            <v>18</v>
          </cell>
        </row>
        <row r="17606">
          <cell r="F17606" t="str">
            <v xml:space="preserve">890934961      </v>
          </cell>
          <cell r="O17606">
            <v>9</v>
          </cell>
        </row>
        <row r="17607">
          <cell r="F17607" t="str">
            <v xml:space="preserve">890934961      </v>
          </cell>
          <cell r="O17607">
            <v>15</v>
          </cell>
        </row>
        <row r="17608">
          <cell r="F17608" t="str">
            <v xml:space="preserve">101            </v>
          </cell>
          <cell r="O17608">
            <v>54</v>
          </cell>
        </row>
        <row r="17609">
          <cell r="F17609" t="str">
            <v xml:space="preserve">101            </v>
          </cell>
          <cell r="O17609">
            <v>36</v>
          </cell>
        </row>
        <row r="17610">
          <cell r="F17610" t="str">
            <v xml:space="preserve">101            </v>
          </cell>
          <cell r="O17610">
            <v>45</v>
          </cell>
        </row>
        <row r="17611">
          <cell r="F17611" t="str">
            <v xml:space="preserve">101            </v>
          </cell>
          <cell r="O17611">
            <v>45</v>
          </cell>
        </row>
        <row r="17612">
          <cell r="F17612" t="str">
            <v xml:space="preserve">102            </v>
          </cell>
          <cell r="O17612">
            <v>18</v>
          </cell>
        </row>
        <row r="17613">
          <cell r="F17613" t="str">
            <v xml:space="preserve">102            </v>
          </cell>
          <cell r="O17613">
            <v>90</v>
          </cell>
        </row>
        <row r="17614">
          <cell r="F17614" t="str">
            <v xml:space="preserve">890800450      </v>
          </cell>
          <cell r="O17614">
            <v>36</v>
          </cell>
        </row>
        <row r="17615">
          <cell r="F17615" t="str">
            <v xml:space="preserve">890903939      </v>
          </cell>
          <cell r="O17615">
            <v>54</v>
          </cell>
        </row>
        <row r="17616">
          <cell r="F17616" t="str">
            <v xml:space="preserve">900543878      </v>
          </cell>
          <cell r="O17616">
            <v>18</v>
          </cell>
        </row>
        <row r="17617">
          <cell r="F17617" t="str">
            <v xml:space="preserve">901555731      </v>
          </cell>
          <cell r="O17617">
            <v>45</v>
          </cell>
        </row>
        <row r="17618">
          <cell r="F17618" t="str">
            <v xml:space="preserve">32772122       </v>
          </cell>
          <cell r="O17618">
            <v>45</v>
          </cell>
        </row>
        <row r="17619">
          <cell r="F17619" t="str">
            <v xml:space="preserve">404            </v>
          </cell>
          <cell r="O17619">
            <v>252</v>
          </cell>
        </row>
        <row r="17620">
          <cell r="F17620" t="str">
            <v xml:space="preserve">404            </v>
          </cell>
          <cell r="O17620">
            <v>180</v>
          </cell>
        </row>
        <row r="17621">
          <cell r="F17621" t="str">
            <v xml:space="preserve">404            </v>
          </cell>
          <cell r="O17621">
            <v>9</v>
          </cell>
        </row>
        <row r="17622">
          <cell r="F17622" t="str">
            <v xml:space="preserve">73186091       </v>
          </cell>
          <cell r="O17622">
            <v>180</v>
          </cell>
        </row>
        <row r="17623">
          <cell r="F17623" t="str">
            <v xml:space="preserve">800211643      </v>
          </cell>
          <cell r="O17623">
            <v>94.55</v>
          </cell>
        </row>
        <row r="17624">
          <cell r="F17624" t="str">
            <v xml:space="preserve">800230447      </v>
          </cell>
          <cell r="O17624">
            <v>100</v>
          </cell>
        </row>
        <row r="17625">
          <cell r="F17625" t="str">
            <v xml:space="preserve">830006735      </v>
          </cell>
          <cell r="O17625">
            <v>721.45</v>
          </cell>
        </row>
        <row r="17626">
          <cell r="F17626" t="str">
            <v xml:space="preserve">830094679      </v>
          </cell>
          <cell r="O17626">
            <v>160</v>
          </cell>
        </row>
        <row r="17627">
          <cell r="F17627" t="str">
            <v xml:space="preserve">860020382      </v>
          </cell>
          <cell r="O17627">
            <v>40</v>
          </cell>
        </row>
        <row r="17628">
          <cell r="F17628" t="str">
            <v xml:space="preserve">860020382      </v>
          </cell>
          <cell r="O17628">
            <v>60</v>
          </cell>
        </row>
        <row r="17629">
          <cell r="F17629" t="str">
            <v xml:space="preserve">890903475      </v>
          </cell>
          <cell r="O17629">
            <v>60</v>
          </cell>
        </row>
        <row r="17630">
          <cell r="F17630" t="str">
            <v xml:space="preserve">900136553      </v>
          </cell>
          <cell r="O17630">
            <v>54</v>
          </cell>
        </row>
        <row r="17631">
          <cell r="F17631" t="str">
            <v xml:space="preserve">890205142      </v>
          </cell>
          <cell r="O17631">
            <v>1215</v>
          </cell>
        </row>
        <row r="17632">
          <cell r="F17632" t="str">
            <v xml:space="preserve">890205142      </v>
          </cell>
          <cell r="O17632">
            <v>2025</v>
          </cell>
        </row>
        <row r="17633">
          <cell r="F17633" t="str">
            <v xml:space="preserve">890205142      </v>
          </cell>
          <cell r="O17633">
            <v>270</v>
          </cell>
        </row>
        <row r="17634">
          <cell r="F17634" t="str">
            <v xml:space="preserve">407            </v>
          </cell>
          <cell r="O17634">
            <v>105</v>
          </cell>
        </row>
        <row r="17635">
          <cell r="F17635" t="str">
            <v xml:space="preserve">407            </v>
          </cell>
          <cell r="O17635">
            <v>180</v>
          </cell>
        </row>
        <row r="17636">
          <cell r="F17636" t="str">
            <v xml:space="preserve">407            </v>
          </cell>
          <cell r="O17636">
            <v>45</v>
          </cell>
        </row>
        <row r="17637">
          <cell r="F17637" t="str">
            <v xml:space="preserve">890923514      </v>
          </cell>
          <cell r="O17637">
            <v>150</v>
          </cell>
        </row>
        <row r="17638">
          <cell r="F17638" t="str">
            <v xml:space="preserve">800090890      </v>
          </cell>
          <cell r="O17638">
            <v>57</v>
          </cell>
        </row>
        <row r="17639">
          <cell r="F17639" t="str">
            <v xml:space="preserve">800090890      </v>
          </cell>
          <cell r="O17639">
            <v>16</v>
          </cell>
        </row>
        <row r="17640">
          <cell r="F17640" t="str">
            <v xml:space="preserve">800090890      </v>
          </cell>
          <cell r="O17640">
            <v>57</v>
          </cell>
        </row>
        <row r="17641">
          <cell r="F17641" t="str">
            <v xml:space="preserve">811014849      </v>
          </cell>
          <cell r="O17641">
            <v>180</v>
          </cell>
        </row>
        <row r="17642">
          <cell r="F17642" t="str">
            <v xml:space="preserve">811014849      </v>
          </cell>
          <cell r="O17642">
            <v>126</v>
          </cell>
        </row>
        <row r="17643">
          <cell r="F17643" t="str">
            <v xml:space="preserve">890903939      </v>
          </cell>
          <cell r="O17643">
            <v>1037.5</v>
          </cell>
        </row>
        <row r="17644">
          <cell r="F17644" t="str">
            <v xml:space="preserve">890903939      </v>
          </cell>
          <cell r="O17644">
            <v>255.86</v>
          </cell>
        </row>
        <row r="17645">
          <cell r="F17645" t="str">
            <v xml:space="preserve">890903939      </v>
          </cell>
          <cell r="O17645">
            <v>143.55000000000001</v>
          </cell>
        </row>
        <row r="17646">
          <cell r="F17646" t="str">
            <v xml:space="preserve">802015827      </v>
          </cell>
          <cell r="O17646">
            <v>30</v>
          </cell>
        </row>
        <row r="17647">
          <cell r="F17647" t="str">
            <v xml:space="preserve">811032699      </v>
          </cell>
          <cell r="O17647">
            <v>36</v>
          </cell>
        </row>
        <row r="17648">
          <cell r="F17648" t="str">
            <v xml:space="preserve">811032699      </v>
          </cell>
          <cell r="O17648">
            <v>36</v>
          </cell>
        </row>
        <row r="17649">
          <cell r="F17649" t="str">
            <v xml:space="preserve">830094679      </v>
          </cell>
          <cell r="O17649">
            <v>150</v>
          </cell>
        </row>
        <row r="17650">
          <cell r="F17650" t="str">
            <v xml:space="preserve">830095213      </v>
          </cell>
          <cell r="O17650">
            <v>180</v>
          </cell>
        </row>
        <row r="17651">
          <cell r="F17651" t="str">
            <v xml:space="preserve">830095213      </v>
          </cell>
          <cell r="O17651">
            <v>90</v>
          </cell>
        </row>
        <row r="17652">
          <cell r="F17652" t="str">
            <v xml:space="preserve">890406520      </v>
          </cell>
          <cell r="O17652">
            <v>90</v>
          </cell>
        </row>
        <row r="17653">
          <cell r="F17653" t="str">
            <v xml:space="preserve">890903939      </v>
          </cell>
          <cell r="O17653">
            <v>378.96</v>
          </cell>
        </row>
        <row r="17654">
          <cell r="F17654" t="str">
            <v xml:space="preserve">900275396      </v>
          </cell>
          <cell r="O17654">
            <v>90</v>
          </cell>
        </row>
        <row r="17655">
          <cell r="F17655" t="str">
            <v xml:space="preserve">900468599      </v>
          </cell>
          <cell r="O17655">
            <v>54</v>
          </cell>
        </row>
        <row r="17656">
          <cell r="F17656" t="str">
            <v xml:space="preserve">900820045      </v>
          </cell>
          <cell r="O17656">
            <v>18</v>
          </cell>
        </row>
        <row r="17657">
          <cell r="F17657" t="str">
            <v xml:space="preserve">830009573      </v>
          </cell>
          <cell r="O17657">
            <v>45</v>
          </cell>
        </row>
        <row r="17658">
          <cell r="F17658" t="str">
            <v xml:space="preserve">830010908      </v>
          </cell>
          <cell r="O17658">
            <v>80</v>
          </cell>
        </row>
        <row r="17659">
          <cell r="F17659" t="str">
            <v xml:space="preserve">860001697      </v>
          </cell>
          <cell r="O17659">
            <v>1082.0999999999999</v>
          </cell>
        </row>
        <row r="17660">
          <cell r="F17660" t="str">
            <v xml:space="preserve">860048371      </v>
          </cell>
          <cell r="O17660">
            <v>40</v>
          </cell>
        </row>
        <row r="17661">
          <cell r="F17661" t="str">
            <v xml:space="preserve">860048371      </v>
          </cell>
          <cell r="O17661">
            <v>18</v>
          </cell>
        </row>
        <row r="17662">
          <cell r="F17662" t="str">
            <v xml:space="preserve">860502509      </v>
          </cell>
          <cell r="O17662">
            <v>310.89999999999998</v>
          </cell>
        </row>
        <row r="17663">
          <cell r="F17663" t="str">
            <v xml:space="preserve">811016729      </v>
          </cell>
          <cell r="O17663">
            <v>18</v>
          </cell>
        </row>
        <row r="17664">
          <cell r="F17664" t="str">
            <v xml:space="preserve">830106563      </v>
          </cell>
          <cell r="O17664">
            <v>1070.4000000000001</v>
          </cell>
        </row>
        <row r="17665">
          <cell r="F17665" t="str">
            <v xml:space="preserve">860020382      </v>
          </cell>
          <cell r="O17665">
            <v>60</v>
          </cell>
        </row>
        <row r="17666">
          <cell r="F17666" t="str">
            <v xml:space="preserve">890322007      </v>
          </cell>
          <cell r="O17666">
            <v>15</v>
          </cell>
        </row>
        <row r="17667">
          <cell r="F17667" t="str">
            <v xml:space="preserve">901008538      </v>
          </cell>
          <cell r="O17667">
            <v>1499.8</v>
          </cell>
        </row>
        <row r="17668">
          <cell r="F17668" t="str">
            <v xml:space="preserve">901017528      </v>
          </cell>
          <cell r="O17668">
            <v>345</v>
          </cell>
        </row>
        <row r="17669">
          <cell r="F17669" t="str">
            <v xml:space="preserve">901046830      </v>
          </cell>
          <cell r="O17669">
            <v>390</v>
          </cell>
        </row>
        <row r="17670">
          <cell r="F17670" t="str">
            <v xml:space="preserve">901491446      </v>
          </cell>
          <cell r="O17670">
            <v>200.3</v>
          </cell>
        </row>
        <row r="17671">
          <cell r="F17671" t="str">
            <v xml:space="preserve">16070775       </v>
          </cell>
          <cell r="O17671">
            <v>202.3</v>
          </cell>
        </row>
        <row r="17672">
          <cell r="F17672" t="str">
            <v xml:space="preserve">30305213       </v>
          </cell>
          <cell r="O17672">
            <v>33.5</v>
          </cell>
        </row>
        <row r="17673">
          <cell r="F17673" t="str">
            <v xml:space="preserve">30310943       </v>
          </cell>
          <cell r="O17673">
            <v>82.4</v>
          </cell>
        </row>
        <row r="17674">
          <cell r="F17674" t="str">
            <v xml:space="preserve">810006197      </v>
          </cell>
          <cell r="O17674">
            <v>1275.9000000000001</v>
          </cell>
        </row>
        <row r="17675">
          <cell r="F17675" t="str">
            <v xml:space="preserve">890932124      </v>
          </cell>
          <cell r="O17675">
            <v>5201.3</v>
          </cell>
        </row>
        <row r="17676">
          <cell r="F17676" t="str">
            <v xml:space="preserve">890932124      </v>
          </cell>
          <cell r="O17676">
            <v>143.5</v>
          </cell>
        </row>
        <row r="17677">
          <cell r="F17677" t="str">
            <v xml:space="preserve">901071157      </v>
          </cell>
          <cell r="O17677">
            <v>2170.1</v>
          </cell>
        </row>
        <row r="17678">
          <cell r="F17678" t="str">
            <v xml:space="preserve">901457609      </v>
          </cell>
          <cell r="O17678">
            <v>209.4</v>
          </cell>
        </row>
        <row r="17679">
          <cell r="F17679" t="str">
            <v xml:space="preserve">1088315297     </v>
          </cell>
          <cell r="O17679">
            <v>55</v>
          </cell>
        </row>
        <row r="17680">
          <cell r="F17680" t="str">
            <v xml:space="preserve">29121175       </v>
          </cell>
          <cell r="O17680">
            <v>125.1</v>
          </cell>
        </row>
        <row r="17681">
          <cell r="F17681" t="str">
            <v xml:space="preserve">805017257      </v>
          </cell>
          <cell r="O17681">
            <v>302.39999999999998</v>
          </cell>
        </row>
        <row r="17682">
          <cell r="F17682" t="str">
            <v xml:space="preserve">830512556      </v>
          </cell>
          <cell r="O17682">
            <v>151.80000000000001</v>
          </cell>
        </row>
        <row r="17683">
          <cell r="F17683" t="str">
            <v xml:space="preserve">890200474      </v>
          </cell>
          <cell r="O17683">
            <v>1200.2</v>
          </cell>
        </row>
        <row r="17684">
          <cell r="F17684" t="str">
            <v xml:space="preserve">900030756      </v>
          </cell>
          <cell r="O17684">
            <v>2737.4</v>
          </cell>
        </row>
        <row r="17685">
          <cell r="F17685" t="str">
            <v xml:space="preserve">900384449      </v>
          </cell>
          <cell r="O17685">
            <v>194.4</v>
          </cell>
        </row>
        <row r="17686">
          <cell r="F17686" t="str">
            <v xml:space="preserve">30206395       </v>
          </cell>
          <cell r="O17686">
            <v>54.2</v>
          </cell>
        </row>
        <row r="17687">
          <cell r="F17687" t="str">
            <v xml:space="preserve">30206395       </v>
          </cell>
          <cell r="O17687">
            <v>471.2</v>
          </cell>
        </row>
        <row r="17688">
          <cell r="F17688" t="str">
            <v xml:space="preserve">830042212      </v>
          </cell>
          <cell r="O17688">
            <v>2001.1</v>
          </cell>
        </row>
        <row r="17689">
          <cell r="F17689" t="str">
            <v xml:space="preserve">832006599      </v>
          </cell>
          <cell r="O17689">
            <v>5150.1000000000004</v>
          </cell>
        </row>
        <row r="17690">
          <cell r="F17690" t="str">
            <v xml:space="preserve">12264547       </v>
          </cell>
          <cell r="O17690">
            <v>157.30000000000001</v>
          </cell>
        </row>
        <row r="17691">
          <cell r="F17691" t="str">
            <v xml:space="preserve">860001697      </v>
          </cell>
          <cell r="O17691">
            <v>458.8</v>
          </cell>
        </row>
        <row r="17692">
          <cell r="F17692" t="str">
            <v xml:space="preserve">212            </v>
          </cell>
          <cell r="O17692">
            <v>30</v>
          </cell>
        </row>
        <row r="17693">
          <cell r="F17693" t="str">
            <v xml:space="preserve">212            </v>
          </cell>
          <cell r="O17693">
            <v>30</v>
          </cell>
        </row>
        <row r="17694">
          <cell r="F17694" t="str">
            <v xml:space="preserve">212            </v>
          </cell>
          <cell r="O17694">
            <v>90</v>
          </cell>
        </row>
        <row r="17695">
          <cell r="F17695" t="str">
            <v xml:space="preserve">213            </v>
          </cell>
          <cell r="O17695">
            <v>450</v>
          </cell>
        </row>
        <row r="17696">
          <cell r="F17696" t="str">
            <v xml:space="preserve">213            </v>
          </cell>
          <cell r="O17696">
            <v>540</v>
          </cell>
        </row>
        <row r="17697">
          <cell r="F17697" t="str">
            <v xml:space="preserve">213            </v>
          </cell>
          <cell r="O17697">
            <v>135</v>
          </cell>
        </row>
        <row r="17698">
          <cell r="F17698" t="str">
            <v xml:space="preserve">70052771       </v>
          </cell>
          <cell r="O17698">
            <v>72</v>
          </cell>
        </row>
        <row r="17699">
          <cell r="F17699" t="str">
            <v xml:space="preserve">811022351      </v>
          </cell>
          <cell r="O17699">
            <v>144</v>
          </cell>
        </row>
        <row r="17700">
          <cell r="F17700" t="str">
            <v xml:space="preserve">860013809      </v>
          </cell>
          <cell r="O17700">
            <v>162</v>
          </cell>
        </row>
        <row r="17701">
          <cell r="F17701" t="str">
            <v xml:space="preserve">860020382      </v>
          </cell>
          <cell r="O17701">
            <v>60</v>
          </cell>
        </row>
        <row r="17702">
          <cell r="F17702" t="str">
            <v xml:space="preserve">890905790      </v>
          </cell>
          <cell r="O17702">
            <v>75</v>
          </cell>
        </row>
        <row r="17703">
          <cell r="F17703" t="str">
            <v xml:space="preserve">890906407      </v>
          </cell>
          <cell r="O17703">
            <v>72</v>
          </cell>
        </row>
        <row r="17704">
          <cell r="F17704" t="str">
            <v xml:space="preserve">890907406      </v>
          </cell>
          <cell r="O17704">
            <v>30</v>
          </cell>
        </row>
        <row r="17705">
          <cell r="F17705" t="str">
            <v xml:space="preserve">890921463      </v>
          </cell>
          <cell r="O17705">
            <v>15</v>
          </cell>
        </row>
        <row r="17706">
          <cell r="F17706" t="str">
            <v xml:space="preserve">890921463      </v>
          </cell>
          <cell r="O17706">
            <v>36</v>
          </cell>
        </row>
        <row r="17707">
          <cell r="F17707" t="str">
            <v xml:space="preserve">899999049      </v>
          </cell>
          <cell r="O17707">
            <v>54</v>
          </cell>
        </row>
        <row r="17708">
          <cell r="F17708" t="str">
            <v xml:space="preserve">900049818      </v>
          </cell>
          <cell r="O17708">
            <v>30</v>
          </cell>
        </row>
        <row r="17709">
          <cell r="F17709" t="str">
            <v xml:space="preserve">901436775      </v>
          </cell>
          <cell r="O17709">
            <v>165</v>
          </cell>
        </row>
        <row r="17710">
          <cell r="F17710" t="str">
            <v xml:space="preserve">210            </v>
          </cell>
          <cell r="O17710">
            <v>720</v>
          </cell>
        </row>
        <row r="17711">
          <cell r="F17711" t="str">
            <v xml:space="preserve">210            </v>
          </cell>
          <cell r="O17711">
            <v>45</v>
          </cell>
        </row>
        <row r="17712">
          <cell r="F17712" t="str">
            <v xml:space="preserve">210            </v>
          </cell>
          <cell r="O17712">
            <v>1800</v>
          </cell>
        </row>
        <row r="17713">
          <cell r="F17713" t="str">
            <v xml:space="preserve">210            </v>
          </cell>
          <cell r="O17713">
            <v>270</v>
          </cell>
        </row>
        <row r="17714">
          <cell r="F17714" t="str">
            <v xml:space="preserve">890399000      </v>
          </cell>
          <cell r="O17714">
            <v>135</v>
          </cell>
        </row>
        <row r="17715">
          <cell r="F17715" t="str">
            <v xml:space="preserve">808001297      </v>
          </cell>
          <cell r="O17715">
            <v>45</v>
          </cell>
        </row>
        <row r="17716">
          <cell r="F17716" t="str">
            <v xml:space="preserve">860001697      </v>
          </cell>
          <cell r="O17716">
            <v>845.6</v>
          </cell>
        </row>
        <row r="17717">
          <cell r="F17717" t="str">
            <v xml:space="preserve">210            </v>
          </cell>
          <cell r="O17717">
            <v>324</v>
          </cell>
        </row>
        <row r="17718">
          <cell r="F17718" t="str">
            <v xml:space="preserve">210            </v>
          </cell>
          <cell r="O17718">
            <v>45</v>
          </cell>
        </row>
        <row r="17719">
          <cell r="F17719" t="str">
            <v xml:space="preserve">6621568        </v>
          </cell>
          <cell r="O17719">
            <v>18</v>
          </cell>
        </row>
        <row r="17720">
          <cell r="F17720" t="str">
            <v xml:space="preserve">6621568        </v>
          </cell>
          <cell r="O17720">
            <v>135</v>
          </cell>
        </row>
        <row r="17721">
          <cell r="F17721" t="str">
            <v xml:space="preserve">800068285      </v>
          </cell>
          <cell r="O17721">
            <v>18</v>
          </cell>
        </row>
        <row r="17722">
          <cell r="F17722" t="str">
            <v xml:space="preserve">800115720      </v>
          </cell>
          <cell r="O17722">
            <v>18</v>
          </cell>
        </row>
        <row r="17723">
          <cell r="F17723" t="str">
            <v xml:space="preserve">811020038      </v>
          </cell>
          <cell r="O17723">
            <v>36</v>
          </cell>
        </row>
        <row r="17724">
          <cell r="F17724" t="str">
            <v xml:space="preserve">817004766      </v>
          </cell>
          <cell r="O17724">
            <v>180</v>
          </cell>
        </row>
        <row r="17725">
          <cell r="F17725" t="str">
            <v xml:space="preserve">890301602      </v>
          </cell>
          <cell r="O17725">
            <v>72</v>
          </cell>
        </row>
        <row r="17726">
          <cell r="F17726" t="str">
            <v xml:space="preserve">890302609      </v>
          </cell>
          <cell r="O17726">
            <v>195</v>
          </cell>
        </row>
        <row r="17727">
          <cell r="F17727" t="str">
            <v xml:space="preserve">890302955      </v>
          </cell>
          <cell r="O17727">
            <v>54</v>
          </cell>
        </row>
        <row r="17728">
          <cell r="F17728" t="str">
            <v xml:space="preserve">890304607      </v>
          </cell>
          <cell r="O17728">
            <v>90</v>
          </cell>
        </row>
        <row r="17729">
          <cell r="F17729" t="str">
            <v xml:space="preserve">890304611      </v>
          </cell>
          <cell r="O17729">
            <v>45</v>
          </cell>
        </row>
        <row r="17730">
          <cell r="F17730" t="str">
            <v xml:space="preserve">890321924      </v>
          </cell>
          <cell r="O17730">
            <v>18</v>
          </cell>
        </row>
        <row r="17731">
          <cell r="F17731" t="str">
            <v xml:space="preserve">890805453      </v>
          </cell>
          <cell r="O17731">
            <v>18</v>
          </cell>
        </row>
        <row r="17732">
          <cell r="F17732" t="str">
            <v xml:space="preserve">890903939      </v>
          </cell>
          <cell r="O17732">
            <v>263</v>
          </cell>
        </row>
        <row r="17733">
          <cell r="F17733" t="str">
            <v xml:space="preserve">890903939      </v>
          </cell>
          <cell r="O17733">
            <v>299</v>
          </cell>
        </row>
        <row r="17734">
          <cell r="F17734" t="str">
            <v xml:space="preserve">890932389      </v>
          </cell>
          <cell r="O17734">
            <v>135</v>
          </cell>
        </row>
        <row r="17735">
          <cell r="F17735" t="str">
            <v xml:space="preserve">891300382      </v>
          </cell>
          <cell r="O17735">
            <v>18</v>
          </cell>
        </row>
        <row r="17736">
          <cell r="F17736" t="str">
            <v xml:space="preserve">900233101      </v>
          </cell>
          <cell r="O17736">
            <v>36</v>
          </cell>
        </row>
        <row r="17737">
          <cell r="F17737" t="str">
            <v xml:space="preserve">901167377      </v>
          </cell>
          <cell r="O17737">
            <v>194.5</v>
          </cell>
        </row>
        <row r="17738">
          <cell r="F17738" t="str">
            <v xml:space="preserve">901204601      </v>
          </cell>
          <cell r="O17738">
            <v>18</v>
          </cell>
        </row>
        <row r="17739">
          <cell r="F17739" t="str">
            <v xml:space="preserve">900392835      </v>
          </cell>
          <cell r="O17739">
            <v>0</v>
          </cell>
        </row>
        <row r="17740">
          <cell r="F17740" t="str">
            <v xml:space="preserve">203            </v>
          </cell>
          <cell r="O17740">
            <v>30</v>
          </cell>
        </row>
        <row r="17741">
          <cell r="F17741" t="str">
            <v xml:space="preserve">203            </v>
          </cell>
          <cell r="O17741">
            <v>36</v>
          </cell>
        </row>
        <row r="17742">
          <cell r="F17742" t="str">
            <v xml:space="preserve">203            </v>
          </cell>
          <cell r="O17742">
            <v>45</v>
          </cell>
        </row>
        <row r="17743">
          <cell r="F17743" t="str">
            <v xml:space="preserve">203            </v>
          </cell>
          <cell r="O17743">
            <v>9</v>
          </cell>
        </row>
        <row r="17744">
          <cell r="F17744" t="str">
            <v xml:space="preserve">203            </v>
          </cell>
          <cell r="O17744">
            <v>72</v>
          </cell>
        </row>
        <row r="17745">
          <cell r="F17745" t="str">
            <v xml:space="preserve">890905179      </v>
          </cell>
          <cell r="O17745">
            <v>45</v>
          </cell>
        </row>
        <row r="17746">
          <cell r="F17746" t="str">
            <v xml:space="preserve">900208749      </v>
          </cell>
          <cell r="O17746">
            <v>45</v>
          </cell>
        </row>
        <row r="17747">
          <cell r="F17747" t="str">
            <v xml:space="preserve">900445736      </v>
          </cell>
          <cell r="O17747">
            <v>225</v>
          </cell>
        </row>
        <row r="17748">
          <cell r="F17748" t="str">
            <v xml:space="preserve">800215546      </v>
          </cell>
          <cell r="O17748">
            <v>0</v>
          </cell>
        </row>
        <row r="17749">
          <cell r="F17749" t="str">
            <v xml:space="preserve">830133323      </v>
          </cell>
          <cell r="O17749">
            <v>225</v>
          </cell>
        </row>
        <row r="17750">
          <cell r="F17750" t="str">
            <v xml:space="preserve">39620366       </v>
          </cell>
          <cell r="O17750">
            <v>43.7</v>
          </cell>
        </row>
        <row r="17751">
          <cell r="F17751" t="str">
            <v xml:space="preserve">41786266       </v>
          </cell>
          <cell r="O17751">
            <v>37.1</v>
          </cell>
        </row>
        <row r="17752">
          <cell r="F17752" t="str">
            <v xml:space="preserve">860020194      </v>
          </cell>
          <cell r="O17752">
            <v>111.5</v>
          </cell>
        </row>
        <row r="17753">
          <cell r="F17753" t="str">
            <v xml:space="preserve">900339313      </v>
          </cell>
          <cell r="O17753">
            <v>-257</v>
          </cell>
        </row>
        <row r="17754">
          <cell r="F17754" t="str">
            <v xml:space="preserve">901142353      </v>
          </cell>
          <cell r="O17754">
            <v>70.900000000000006</v>
          </cell>
        </row>
        <row r="17755">
          <cell r="F17755" t="str">
            <v xml:space="preserve">901142353      </v>
          </cell>
          <cell r="O17755">
            <v>78.099999999999994</v>
          </cell>
        </row>
        <row r="17756">
          <cell r="F17756" t="str">
            <v xml:space="preserve">901270087      </v>
          </cell>
          <cell r="O17756">
            <v>221.2</v>
          </cell>
        </row>
        <row r="17757">
          <cell r="F17757" t="str">
            <v xml:space="preserve">18936116       </v>
          </cell>
          <cell r="O17757">
            <v>198</v>
          </cell>
        </row>
        <row r="17758">
          <cell r="F17758" t="str">
            <v xml:space="preserve">18936116       </v>
          </cell>
          <cell r="O17758">
            <v>180</v>
          </cell>
        </row>
        <row r="17759">
          <cell r="F17759" t="str">
            <v xml:space="preserve">110            </v>
          </cell>
          <cell r="O17759">
            <v>756</v>
          </cell>
        </row>
        <row r="17760">
          <cell r="F17760" t="str">
            <v xml:space="preserve">212            </v>
          </cell>
          <cell r="O17760">
            <v>60</v>
          </cell>
        </row>
        <row r="17761">
          <cell r="F17761" t="str">
            <v xml:space="preserve">212            </v>
          </cell>
          <cell r="O17761">
            <v>180</v>
          </cell>
        </row>
        <row r="17762">
          <cell r="F17762" t="str">
            <v xml:space="preserve">900495908      </v>
          </cell>
          <cell r="O17762">
            <v>45</v>
          </cell>
        </row>
        <row r="17763">
          <cell r="F17763" t="str">
            <v xml:space="preserve">900495908      </v>
          </cell>
          <cell r="O17763">
            <v>45</v>
          </cell>
        </row>
        <row r="17764">
          <cell r="F17764" t="str">
            <v xml:space="preserve">900495908      </v>
          </cell>
          <cell r="O17764">
            <v>45</v>
          </cell>
        </row>
        <row r="17765">
          <cell r="F17765" t="str">
            <v xml:space="preserve">900495908      </v>
          </cell>
          <cell r="O17765">
            <v>15</v>
          </cell>
        </row>
        <row r="17766">
          <cell r="F17766" t="str">
            <v xml:space="preserve">830010738      </v>
          </cell>
          <cell r="O17766">
            <v>2001.6</v>
          </cell>
        </row>
        <row r="17767">
          <cell r="F17767" t="str">
            <v xml:space="preserve">830010738      </v>
          </cell>
          <cell r="O17767">
            <v>166</v>
          </cell>
        </row>
        <row r="17768">
          <cell r="F17768" t="str">
            <v xml:space="preserve">830016868      </v>
          </cell>
          <cell r="O17768">
            <v>200.2</v>
          </cell>
        </row>
        <row r="17769">
          <cell r="F17769" t="str">
            <v xml:space="preserve">830016868      </v>
          </cell>
          <cell r="O17769">
            <v>403.2</v>
          </cell>
        </row>
        <row r="17770">
          <cell r="F17770" t="str">
            <v xml:space="preserve">900474647      </v>
          </cell>
          <cell r="O17770">
            <v>1200</v>
          </cell>
        </row>
        <row r="17771">
          <cell r="F17771" t="str">
            <v xml:space="preserve">900306309      </v>
          </cell>
          <cell r="O17771">
            <v>2349.1999999999998</v>
          </cell>
        </row>
        <row r="17772">
          <cell r="F17772" t="str">
            <v xml:space="preserve">900306309      </v>
          </cell>
          <cell r="O17772">
            <v>927.5</v>
          </cell>
        </row>
        <row r="17773">
          <cell r="F17773" t="str">
            <v xml:space="preserve">900569044      </v>
          </cell>
          <cell r="O17773">
            <v>18</v>
          </cell>
        </row>
        <row r="17774">
          <cell r="F17774" t="str">
            <v xml:space="preserve">42795633       </v>
          </cell>
          <cell r="O17774">
            <v>27</v>
          </cell>
        </row>
        <row r="17775">
          <cell r="F17775" t="str">
            <v xml:space="preserve">811014849      </v>
          </cell>
          <cell r="O17775">
            <v>36</v>
          </cell>
        </row>
        <row r="17776">
          <cell r="F17776" t="str">
            <v xml:space="preserve">811014849      </v>
          </cell>
          <cell r="O17776">
            <v>72</v>
          </cell>
        </row>
        <row r="17777">
          <cell r="F17777" t="str">
            <v xml:space="preserve">890900161      </v>
          </cell>
          <cell r="O17777">
            <v>15</v>
          </cell>
        </row>
        <row r="17778">
          <cell r="F17778" t="str">
            <v xml:space="preserve">890900161      </v>
          </cell>
          <cell r="O17778">
            <v>45</v>
          </cell>
        </row>
        <row r="17779">
          <cell r="F17779" t="str">
            <v xml:space="preserve">900313945      </v>
          </cell>
          <cell r="O17779">
            <v>105</v>
          </cell>
        </row>
        <row r="17780">
          <cell r="F17780" t="str">
            <v xml:space="preserve">900599145      </v>
          </cell>
          <cell r="O17780">
            <v>90</v>
          </cell>
        </row>
        <row r="17781">
          <cell r="F17781" t="str">
            <v xml:space="preserve">802004090      </v>
          </cell>
          <cell r="O17781">
            <v>54</v>
          </cell>
        </row>
        <row r="17782">
          <cell r="F17782" t="str">
            <v xml:space="preserve">805012977      </v>
          </cell>
          <cell r="O17782">
            <v>90</v>
          </cell>
        </row>
        <row r="17783">
          <cell r="F17783" t="str">
            <v xml:space="preserve">860020382      </v>
          </cell>
          <cell r="O17783">
            <v>54</v>
          </cell>
        </row>
        <row r="17784">
          <cell r="F17784" t="str">
            <v xml:space="preserve">890307885      </v>
          </cell>
          <cell r="O17784">
            <v>162</v>
          </cell>
        </row>
        <row r="17785">
          <cell r="F17785" t="str">
            <v xml:space="preserve">890311251      </v>
          </cell>
          <cell r="O17785">
            <v>18</v>
          </cell>
        </row>
        <row r="17786">
          <cell r="F17786" t="str">
            <v xml:space="preserve">890322007      </v>
          </cell>
          <cell r="O17786">
            <v>144</v>
          </cell>
        </row>
        <row r="17787">
          <cell r="F17787" t="str">
            <v xml:space="preserve">890332889      </v>
          </cell>
          <cell r="O17787">
            <v>63</v>
          </cell>
        </row>
        <row r="17788">
          <cell r="F17788" t="str">
            <v xml:space="preserve">899999049      </v>
          </cell>
          <cell r="O17788">
            <v>54</v>
          </cell>
        </row>
        <row r="17789">
          <cell r="F17789" t="str">
            <v xml:space="preserve">899999049      </v>
          </cell>
          <cell r="O17789">
            <v>72</v>
          </cell>
        </row>
        <row r="17790">
          <cell r="F17790" t="str">
            <v xml:space="preserve">900896300      </v>
          </cell>
          <cell r="O17790">
            <v>123</v>
          </cell>
        </row>
        <row r="17791">
          <cell r="F17791" t="str">
            <v xml:space="preserve">901026262      </v>
          </cell>
          <cell r="O17791">
            <v>72</v>
          </cell>
        </row>
        <row r="17792">
          <cell r="F17792" t="str">
            <v xml:space="preserve">212            </v>
          </cell>
          <cell r="O17792">
            <v>15</v>
          </cell>
        </row>
        <row r="17793">
          <cell r="F17793" t="str">
            <v xml:space="preserve">212            </v>
          </cell>
          <cell r="O17793">
            <v>18</v>
          </cell>
        </row>
        <row r="17794">
          <cell r="F17794" t="str">
            <v xml:space="preserve">212            </v>
          </cell>
          <cell r="O17794">
            <v>120</v>
          </cell>
        </row>
        <row r="17795">
          <cell r="F17795" t="str">
            <v xml:space="preserve">212            </v>
          </cell>
          <cell r="O17795">
            <v>72</v>
          </cell>
        </row>
        <row r="17796">
          <cell r="F17796" t="str">
            <v xml:space="preserve">900495908      </v>
          </cell>
          <cell r="O17796">
            <v>18</v>
          </cell>
        </row>
        <row r="17797">
          <cell r="F17797" t="str">
            <v xml:space="preserve">900495908      </v>
          </cell>
          <cell r="O17797">
            <v>15</v>
          </cell>
        </row>
        <row r="17798">
          <cell r="F17798" t="str">
            <v xml:space="preserve">900495908      </v>
          </cell>
          <cell r="O17798">
            <v>18</v>
          </cell>
        </row>
        <row r="17799">
          <cell r="F17799" t="str">
            <v xml:space="preserve">900495908      </v>
          </cell>
          <cell r="O17799">
            <v>45</v>
          </cell>
        </row>
        <row r="17800">
          <cell r="F17800" t="str">
            <v xml:space="preserve">900495908      </v>
          </cell>
          <cell r="O17800">
            <v>36</v>
          </cell>
        </row>
        <row r="17801">
          <cell r="F17801" t="str">
            <v xml:space="preserve">890901271      </v>
          </cell>
          <cell r="O17801">
            <v>2000.2</v>
          </cell>
        </row>
        <row r="17802">
          <cell r="F17802" t="str">
            <v xml:space="preserve">1090375745     </v>
          </cell>
          <cell r="O17802">
            <v>118.9</v>
          </cell>
        </row>
        <row r="17803">
          <cell r="F17803" t="str">
            <v xml:space="preserve">1095837688     </v>
          </cell>
          <cell r="O17803">
            <v>45.7</v>
          </cell>
        </row>
        <row r="17804">
          <cell r="F17804" t="str">
            <v xml:space="preserve">1098799280     </v>
          </cell>
          <cell r="O17804">
            <v>84.1</v>
          </cell>
        </row>
        <row r="17805">
          <cell r="F17805" t="str">
            <v xml:space="preserve">37246615       </v>
          </cell>
          <cell r="O17805">
            <v>91.6</v>
          </cell>
        </row>
        <row r="17806">
          <cell r="F17806" t="str">
            <v xml:space="preserve">37392006       </v>
          </cell>
          <cell r="O17806">
            <v>51.8</v>
          </cell>
        </row>
        <row r="17807">
          <cell r="F17807" t="str">
            <v xml:space="preserve">37397539       </v>
          </cell>
          <cell r="O17807">
            <v>87</v>
          </cell>
        </row>
        <row r="17808">
          <cell r="F17808" t="str">
            <v xml:space="preserve">807004341      </v>
          </cell>
          <cell r="O17808">
            <v>543.9</v>
          </cell>
        </row>
        <row r="17809">
          <cell r="F17809" t="str">
            <v xml:space="preserve">88249426       </v>
          </cell>
          <cell r="O17809">
            <v>93.4</v>
          </cell>
        </row>
        <row r="17810">
          <cell r="F17810" t="str">
            <v xml:space="preserve">901215181      </v>
          </cell>
          <cell r="O17810">
            <v>77</v>
          </cell>
        </row>
        <row r="17811">
          <cell r="F17811" t="str">
            <v xml:space="preserve">901595394      </v>
          </cell>
          <cell r="O17811">
            <v>621.9</v>
          </cell>
        </row>
        <row r="17812">
          <cell r="F17812" t="str">
            <v xml:space="preserve">901177420      </v>
          </cell>
          <cell r="O17812">
            <v>602.1</v>
          </cell>
        </row>
        <row r="17813">
          <cell r="F17813" t="str">
            <v xml:space="preserve">901398284      </v>
          </cell>
          <cell r="O17813">
            <v>1900.2</v>
          </cell>
        </row>
        <row r="17814">
          <cell r="F17814" t="str">
            <v xml:space="preserve">901398284      </v>
          </cell>
          <cell r="O17814">
            <v>3246</v>
          </cell>
        </row>
        <row r="17815">
          <cell r="F17815" t="str">
            <v xml:space="preserve">900197640      </v>
          </cell>
          <cell r="O17815">
            <v>1173</v>
          </cell>
        </row>
        <row r="17816">
          <cell r="F17816" t="str">
            <v xml:space="preserve">900197640      </v>
          </cell>
          <cell r="O17816">
            <v>496.8</v>
          </cell>
        </row>
        <row r="17817">
          <cell r="F17817" t="str">
            <v xml:space="preserve">900197640      </v>
          </cell>
          <cell r="O17817">
            <v>2738.5</v>
          </cell>
        </row>
        <row r="17818">
          <cell r="F17818" t="str">
            <v xml:space="preserve">900197640      </v>
          </cell>
          <cell r="O17818">
            <v>509.6</v>
          </cell>
        </row>
        <row r="17819">
          <cell r="F17819" t="str">
            <v xml:space="preserve">900197640      </v>
          </cell>
          <cell r="O17819">
            <v>537.9</v>
          </cell>
        </row>
        <row r="17820">
          <cell r="F17820" t="str">
            <v xml:space="preserve">900197640      </v>
          </cell>
          <cell r="O17820">
            <v>600.20000000000005</v>
          </cell>
        </row>
        <row r="17821">
          <cell r="F17821" t="str">
            <v xml:space="preserve">900834440      </v>
          </cell>
          <cell r="O17821">
            <v>3908.5</v>
          </cell>
        </row>
        <row r="17822">
          <cell r="F17822" t="str">
            <v xml:space="preserve">94192875       </v>
          </cell>
          <cell r="O17822">
            <v>361.5</v>
          </cell>
        </row>
        <row r="17823">
          <cell r="F17823" t="str">
            <v xml:space="preserve">42795633       </v>
          </cell>
          <cell r="O17823">
            <v>184.3</v>
          </cell>
        </row>
        <row r="17824">
          <cell r="F17824" t="str">
            <v xml:space="preserve">800039849      </v>
          </cell>
          <cell r="O17824">
            <v>2338.1999999999998</v>
          </cell>
        </row>
        <row r="17825">
          <cell r="F17825" t="str">
            <v xml:space="preserve">811014849      </v>
          </cell>
          <cell r="O17825">
            <v>940.6</v>
          </cell>
        </row>
        <row r="17826">
          <cell r="F17826" t="str">
            <v xml:space="preserve">890900161      </v>
          </cell>
          <cell r="O17826">
            <v>168</v>
          </cell>
        </row>
        <row r="17827">
          <cell r="F17827" t="str">
            <v xml:space="preserve">890900223      </v>
          </cell>
          <cell r="O17827">
            <v>730</v>
          </cell>
        </row>
        <row r="17828">
          <cell r="F17828" t="str">
            <v xml:space="preserve">900649729      </v>
          </cell>
          <cell r="O17828">
            <v>668.8</v>
          </cell>
        </row>
        <row r="17829">
          <cell r="F17829" t="str">
            <v xml:space="preserve">901008628      </v>
          </cell>
          <cell r="O17829">
            <v>272.10000000000002</v>
          </cell>
        </row>
        <row r="17830">
          <cell r="F17830" t="str">
            <v xml:space="preserve">800154428      </v>
          </cell>
          <cell r="O17830">
            <v>79.3</v>
          </cell>
        </row>
        <row r="17831">
          <cell r="F17831" t="str">
            <v xml:space="preserve">830086392      </v>
          </cell>
          <cell r="O17831">
            <v>104.5</v>
          </cell>
        </row>
        <row r="17832">
          <cell r="F17832" t="str">
            <v xml:space="preserve">860011109      </v>
          </cell>
          <cell r="O17832">
            <v>3621.7</v>
          </cell>
        </row>
        <row r="17833">
          <cell r="F17833" t="str">
            <v xml:space="preserve">900436352      </v>
          </cell>
          <cell r="O17833">
            <v>2071.6</v>
          </cell>
        </row>
        <row r="17834">
          <cell r="F17834" t="str">
            <v xml:space="preserve">900801855      </v>
          </cell>
          <cell r="O17834">
            <v>307.89999999999998</v>
          </cell>
        </row>
        <row r="17835">
          <cell r="F17835" t="str">
            <v xml:space="preserve">1105788514     </v>
          </cell>
          <cell r="O17835">
            <v>39.799999999999997</v>
          </cell>
        </row>
        <row r="17836">
          <cell r="F17836" t="str">
            <v xml:space="preserve">39813103       </v>
          </cell>
          <cell r="O17836">
            <v>228</v>
          </cell>
        </row>
        <row r="17837">
          <cell r="F17837" t="str">
            <v xml:space="preserve">860403972      </v>
          </cell>
          <cell r="O17837">
            <v>2702.8</v>
          </cell>
        </row>
        <row r="17838">
          <cell r="F17838" t="str">
            <v xml:space="preserve">808001297      </v>
          </cell>
          <cell r="O17838">
            <v>45</v>
          </cell>
        </row>
        <row r="17839">
          <cell r="F17839" t="str">
            <v xml:space="preserve">808001297      </v>
          </cell>
          <cell r="O17839">
            <v>90</v>
          </cell>
        </row>
        <row r="17840">
          <cell r="F17840" t="str">
            <v xml:space="preserve">81754024       </v>
          </cell>
          <cell r="O17840">
            <v>781.8</v>
          </cell>
        </row>
        <row r="17841">
          <cell r="F17841" t="str">
            <v xml:space="preserve">860033419      </v>
          </cell>
          <cell r="O17841">
            <v>95</v>
          </cell>
        </row>
        <row r="17842">
          <cell r="F17842" t="str">
            <v xml:space="preserve">860527701      </v>
          </cell>
          <cell r="O17842">
            <v>857</v>
          </cell>
        </row>
        <row r="17843">
          <cell r="F17843" t="str">
            <v xml:space="preserve">70900706       </v>
          </cell>
          <cell r="O17843">
            <v>45</v>
          </cell>
        </row>
        <row r="17844">
          <cell r="F17844" t="str">
            <v xml:space="preserve">890936747      </v>
          </cell>
          <cell r="O17844">
            <v>450</v>
          </cell>
        </row>
        <row r="17845">
          <cell r="F17845" t="str">
            <v xml:space="preserve">890903939      </v>
          </cell>
          <cell r="O17845">
            <v>234</v>
          </cell>
        </row>
        <row r="17846">
          <cell r="F17846" t="str">
            <v xml:space="preserve">890903939      </v>
          </cell>
          <cell r="O17846">
            <v>108</v>
          </cell>
        </row>
        <row r="17847">
          <cell r="F17847" t="str">
            <v xml:space="preserve">890903939      </v>
          </cell>
          <cell r="O17847">
            <v>252</v>
          </cell>
        </row>
        <row r="17848">
          <cell r="F17848" t="str">
            <v xml:space="preserve">890903939      </v>
          </cell>
          <cell r="O17848">
            <v>162</v>
          </cell>
        </row>
        <row r="17849">
          <cell r="F17849" t="str">
            <v xml:space="preserve">31187615       </v>
          </cell>
          <cell r="O17849">
            <v>1929.3</v>
          </cell>
        </row>
        <row r="17850">
          <cell r="F17850" t="str">
            <v xml:space="preserve">891301594      </v>
          </cell>
          <cell r="O17850">
            <v>1015</v>
          </cell>
        </row>
        <row r="17851">
          <cell r="F17851" t="str">
            <v xml:space="preserve">891301594      </v>
          </cell>
          <cell r="O17851">
            <v>1034.0999999999999</v>
          </cell>
        </row>
        <row r="17852">
          <cell r="F17852" t="str">
            <v xml:space="preserve">900045238      </v>
          </cell>
          <cell r="O17852">
            <v>193.7</v>
          </cell>
        </row>
        <row r="17853">
          <cell r="F17853" t="str">
            <v xml:space="preserve">94355775       </v>
          </cell>
          <cell r="O17853">
            <v>203.3</v>
          </cell>
        </row>
        <row r="17854">
          <cell r="F17854" t="str">
            <v xml:space="preserve">003            </v>
          </cell>
          <cell r="O17854">
            <v>5958.34</v>
          </cell>
        </row>
        <row r="17855">
          <cell r="F17855" t="str">
            <v xml:space="preserve">003            </v>
          </cell>
          <cell r="O17855">
            <v>343.72</v>
          </cell>
        </row>
        <row r="17856">
          <cell r="F17856" t="str">
            <v xml:space="preserve">003            </v>
          </cell>
          <cell r="O17856">
            <v>753.19</v>
          </cell>
        </row>
        <row r="17857">
          <cell r="F17857" t="str">
            <v xml:space="preserve">003            </v>
          </cell>
          <cell r="O17857">
            <v>686.17</v>
          </cell>
        </row>
        <row r="17858">
          <cell r="F17858" t="str">
            <v xml:space="preserve">91135477       </v>
          </cell>
          <cell r="O17858">
            <v>414.4</v>
          </cell>
        </row>
        <row r="17859">
          <cell r="F17859" t="str">
            <v xml:space="preserve">003            </v>
          </cell>
          <cell r="O17859">
            <v>391.66</v>
          </cell>
        </row>
        <row r="17860">
          <cell r="F17860" t="str">
            <v xml:space="preserve">003            </v>
          </cell>
          <cell r="O17860">
            <v>1744.31</v>
          </cell>
        </row>
        <row r="17861">
          <cell r="F17861" t="str">
            <v xml:space="preserve">003            </v>
          </cell>
          <cell r="O17861">
            <v>188.06</v>
          </cell>
        </row>
        <row r="17862">
          <cell r="F17862" t="str">
            <v xml:space="preserve">003            </v>
          </cell>
          <cell r="O17862">
            <v>363.67</v>
          </cell>
        </row>
        <row r="17863">
          <cell r="F17863" t="str">
            <v xml:space="preserve">003            </v>
          </cell>
          <cell r="O17863">
            <v>427.01</v>
          </cell>
        </row>
        <row r="17864">
          <cell r="F17864" t="str">
            <v xml:space="preserve">003            </v>
          </cell>
          <cell r="O17864">
            <v>1060.8499999999999</v>
          </cell>
        </row>
        <row r="17865">
          <cell r="F17865" t="str">
            <v xml:space="preserve">003            </v>
          </cell>
          <cell r="O17865">
            <v>105.93</v>
          </cell>
        </row>
        <row r="17866">
          <cell r="F17866" t="str">
            <v xml:space="preserve">901037565      </v>
          </cell>
          <cell r="O17866">
            <v>953.8</v>
          </cell>
        </row>
        <row r="17867">
          <cell r="F17867" t="str">
            <v xml:space="preserve">901175206      </v>
          </cell>
          <cell r="O17867">
            <v>1204</v>
          </cell>
        </row>
        <row r="17868">
          <cell r="F17868" t="str">
            <v xml:space="preserve">901175206      </v>
          </cell>
          <cell r="O17868">
            <v>1313.1</v>
          </cell>
        </row>
        <row r="17869">
          <cell r="F17869" t="str">
            <v xml:space="preserve">811014849      </v>
          </cell>
          <cell r="O17869">
            <v>633.12</v>
          </cell>
        </row>
        <row r="17870">
          <cell r="F17870" t="str">
            <v xml:space="preserve">830086392      </v>
          </cell>
          <cell r="O17870">
            <v>174.3</v>
          </cell>
        </row>
        <row r="17871">
          <cell r="F17871" t="str">
            <v xml:space="preserve">891300382      </v>
          </cell>
          <cell r="O17871">
            <v>14.18</v>
          </cell>
        </row>
        <row r="17872">
          <cell r="F17872" t="str">
            <v xml:space="preserve">891300382      </v>
          </cell>
          <cell r="O17872">
            <v>15.4</v>
          </cell>
        </row>
        <row r="17873">
          <cell r="F17873" t="str">
            <v xml:space="preserve">891300382      </v>
          </cell>
          <cell r="O17873">
            <v>14.69</v>
          </cell>
        </row>
        <row r="17874">
          <cell r="F17874" t="str">
            <v xml:space="preserve">900449794      </v>
          </cell>
          <cell r="O17874">
            <v>61.26</v>
          </cell>
        </row>
        <row r="17875">
          <cell r="F17875" t="str">
            <v xml:space="preserve">1038409699     </v>
          </cell>
          <cell r="O17875">
            <v>153.1</v>
          </cell>
        </row>
        <row r="17876">
          <cell r="F17876" t="str">
            <v xml:space="preserve">1075232460     </v>
          </cell>
          <cell r="O17876">
            <v>31.8</v>
          </cell>
        </row>
        <row r="17877">
          <cell r="F17877" t="str">
            <v xml:space="preserve">1075246453     </v>
          </cell>
          <cell r="O17877">
            <v>87.3</v>
          </cell>
        </row>
        <row r="17878">
          <cell r="F17878" t="str">
            <v xml:space="preserve">1075266988     </v>
          </cell>
          <cell r="O17878">
            <v>45.9</v>
          </cell>
        </row>
        <row r="17879">
          <cell r="F17879" t="str">
            <v xml:space="preserve">1075270672     </v>
          </cell>
          <cell r="O17879">
            <v>118.4</v>
          </cell>
        </row>
        <row r="17880">
          <cell r="F17880" t="str">
            <v xml:space="preserve">12102897       </v>
          </cell>
          <cell r="O17880">
            <v>49</v>
          </cell>
        </row>
        <row r="17881">
          <cell r="F17881" t="str">
            <v xml:space="preserve">12117834       </v>
          </cell>
          <cell r="O17881">
            <v>39.299999999999997</v>
          </cell>
        </row>
        <row r="17882">
          <cell r="F17882" t="str">
            <v xml:space="preserve">26430314       </v>
          </cell>
          <cell r="O17882">
            <v>44.7</v>
          </cell>
        </row>
        <row r="17883">
          <cell r="F17883" t="str">
            <v xml:space="preserve">36147801       </v>
          </cell>
          <cell r="O17883">
            <v>69.400000000000006</v>
          </cell>
        </row>
        <row r="17884">
          <cell r="F17884" t="str">
            <v xml:space="preserve">36152861       </v>
          </cell>
          <cell r="O17884">
            <v>109.8</v>
          </cell>
        </row>
        <row r="17885">
          <cell r="F17885" t="str">
            <v xml:space="preserve">36156828       </v>
          </cell>
          <cell r="O17885">
            <v>153</v>
          </cell>
        </row>
        <row r="17886">
          <cell r="F17886" t="str">
            <v xml:space="preserve">36156828       </v>
          </cell>
          <cell r="O17886">
            <v>269.2</v>
          </cell>
        </row>
        <row r="17887">
          <cell r="F17887" t="str">
            <v xml:space="preserve">36304110       </v>
          </cell>
          <cell r="O17887">
            <v>69.5</v>
          </cell>
        </row>
        <row r="17888">
          <cell r="F17888" t="str">
            <v xml:space="preserve">55207082		     </v>
          </cell>
          <cell r="O17888">
            <v>54.6</v>
          </cell>
        </row>
        <row r="17889">
          <cell r="F17889" t="str">
            <v xml:space="preserve">55207082		     </v>
          </cell>
          <cell r="O17889">
            <v>62</v>
          </cell>
        </row>
        <row r="17890">
          <cell r="F17890" t="str">
            <v xml:space="preserve">811020688      </v>
          </cell>
          <cell r="O17890">
            <v>207</v>
          </cell>
        </row>
        <row r="17891">
          <cell r="F17891" t="str">
            <v xml:space="preserve">830091965      </v>
          </cell>
          <cell r="O17891">
            <v>1000</v>
          </cell>
        </row>
        <row r="17892">
          <cell r="F17892" t="str">
            <v xml:space="preserve">83229489       </v>
          </cell>
          <cell r="O17892">
            <v>64.3</v>
          </cell>
        </row>
        <row r="17893">
          <cell r="F17893" t="str">
            <v xml:space="preserve">860002536      </v>
          </cell>
          <cell r="O17893">
            <v>751.8</v>
          </cell>
        </row>
        <row r="17894">
          <cell r="F17894" t="str">
            <v xml:space="preserve">860005986      </v>
          </cell>
          <cell r="O17894">
            <v>3370</v>
          </cell>
        </row>
        <row r="17895">
          <cell r="F17895" t="str">
            <v xml:space="preserve">900992422      </v>
          </cell>
          <cell r="O17895">
            <v>5115.2</v>
          </cell>
        </row>
        <row r="17896">
          <cell r="F17896" t="str">
            <v xml:space="preserve">901127896      </v>
          </cell>
          <cell r="O17896">
            <v>132.1</v>
          </cell>
        </row>
        <row r="17897">
          <cell r="F17897" t="str">
            <v xml:space="preserve">901127896      </v>
          </cell>
          <cell r="O17897">
            <v>121</v>
          </cell>
        </row>
        <row r="17898">
          <cell r="F17898" t="str">
            <v xml:space="preserve">901127896      </v>
          </cell>
          <cell r="O17898">
            <v>102.9</v>
          </cell>
        </row>
        <row r="17899">
          <cell r="F17899" t="str">
            <v xml:space="preserve">901127896      </v>
          </cell>
          <cell r="O17899">
            <v>60.1</v>
          </cell>
        </row>
        <row r="17900">
          <cell r="F17900" t="str">
            <v xml:space="preserve">901468908      </v>
          </cell>
          <cell r="O17900">
            <v>116.3</v>
          </cell>
        </row>
        <row r="17901">
          <cell r="F17901" t="str">
            <v xml:space="preserve">179352         </v>
          </cell>
          <cell r="O17901">
            <v>96.8</v>
          </cell>
        </row>
        <row r="17902">
          <cell r="F17902" t="str">
            <v xml:space="preserve">39738354       </v>
          </cell>
          <cell r="O17902">
            <v>83.5</v>
          </cell>
        </row>
        <row r="17903">
          <cell r="F17903" t="str">
            <v xml:space="preserve">830106563      </v>
          </cell>
          <cell r="O17903">
            <v>700.1</v>
          </cell>
        </row>
        <row r="17904">
          <cell r="F17904" t="str">
            <v xml:space="preserve">1143841554     </v>
          </cell>
          <cell r="O17904">
            <v>18</v>
          </cell>
        </row>
        <row r="17905">
          <cell r="F17905" t="str">
            <v xml:space="preserve">800253667      </v>
          </cell>
          <cell r="O17905">
            <v>54</v>
          </cell>
        </row>
        <row r="17906">
          <cell r="F17906" t="str">
            <v xml:space="preserve">800253667      </v>
          </cell>
          <cell r="O17906">
            <v>135</v>
          </cell>
        </row>
        <row r="17907">
          <cell r="F17907" t="str">
            <v xml:space="preserve">805005148      </v>
          </cell>
          <cell r="O17907">
            <v>5400</v>
          </cell>
        </row>
        <row r="17908">
          <cell r="F17908" t="str">
            <v xml:space="preserve">805005148      </v>
          </cell>
          <cell r="O17908">
            <v>765</v>
          </cell>
        </row>
        <row r="17909">
          <cell r="F17909" t="str">
            <v xml:space="preserve">805005148      </v>
          </cell>
          <cell r="O17909">
            <v>9</v>
          </cell>
        </row>
        <row r="17910">
          <cell r="F17910" t="str">
            <v xml:space="preserve">805005148      </v>
          </cell>
          <cell r="O17910">
            <v>18</v>
          </cell>
        </row>
        <row r="17911">
          <cell r="F17911" t="str">
            <v xml:space="preserve">805005148      </v>
          </cell>
          <cell r="O17911">
            <v>1404</v>
          </cell>
        </row>
        <row r="17912">
          <cell r="F17912" t="str">
            <v xml:space="preserve">805005148      </v>
          </cell>
          <cell r="O17912">
            <v>270</v>
          </cell>
        </row>
        <row r="17913">
          <cell r="F17913" t="str">
            <v xml:space="preserve">805005148      </v>
          </cell>
          <cell r="O17913">
            <v>45</v>
          </cell>
        </row>
        <row r="17914">
          <cell r="F17914" t="str">
            <v xml:space="preserve">805005148      </v>
          </cell>
          <cell r="O17914">
            <v>1170</v>
          </cell>
        </row>
        <row r="17915">
          <cell r="F17915" t="str">
            <v xml:space="preserve">805005148      </v>
          </cell>
          <cell r="O17915">
            <v>405</v>
          </cell>
        </row>
        <row r="17916">
          <cell r="F17916" t="str">
            <v xml:space="preserve">805005148      </v>
          </cell>
          <cell r="O17916">
            <v>390</v>
          </cell>
        </row>
        <row r="17917">
          <cell r="F17917" t="str">
            <v xml:space="preserve">805005148      </v>
          </cell>
          <cell r="O17917">
            <v>1188</v>
          </cell>
        </row>
        <row r="17918">
          <cell r="F17918" t="str">
            <v xml:space="preserve">805005148      </v>
          </cell>
          <cell r="O17918">
            <v>3375</v>
          </cell>
        </row>
        <row r="17919">
          <cell r="F17919" t="str">
            <v xml:space="preserve">805005148      </v>
          </cell>
          <cell r="O17919">
            <v>63</v>
          </cell>
        </row>
        <row r="17920">
          <cell r="F17920" t="str">
            <v xml:space="preserve">805005148      </v>
          </cell>
          <cell r="O17920">
            <v>615</v>
          </cell>
        </row>
        <row r="17921">
          <cell r="F17921" t="str">
            <v xml:space="preserve">805005148      </v>
          </cell>
          <cell r="O17921">
            <v>864</v>
          </cell>
        </row>
        <row r="17922">
          <cell r="F17922" t="str">
            <v xml:space="preserve">805005148      </v>
          </cell>
          <cell r="O17922">
            <v>270</v>
          </cell>
        </row>
        <row r="17923">
          <cell r="F17923" t="str">
            <v xml:space="preserve">805005148      </v>
          </cell>
          <cell r="O17923">
            <v>30</v>
          </cell>
        </row>
        <row r="17924">
          <cell r="F17924" t="str">
            <v xml:space="preserve">805005148      </v>
          </cell>
          <cell r="O17924">
            <v>36</v>
          </cell>
        </row>
        <row r="17925">
          <cell r="F17925" t="str">
            <v xml:space="preserve">891409156      </v>
          </cell>
          <cell r="O17925">
            <v>18</v>
          </cell>
        </row>
        <row r="17926">
          <cell r="F17926" t="str">
            <v xml:space="preserve">901215210      </v>
          </cell>
          <cell r="O17926">
            <v>75</v>
          </cell>
        </row>
        <row r="17927">
          <cell r="F17927" t="str">
            <v xml:space="preserve">1130605276     </v>
          </cell>
          <cell r="O17927">
            <v>9</v>
          </cell>
        </row>
        <row r="17928">
          <cell r="F17928" t="str">
            <v xml:space="preserve">1130605276     </v>
          </cell>
          <cell r="O17928">
            <v>75</v>
          </cell>
        </row>
        <row r="17929">
          <cell r="F17929" t="str">
            <v xml:space="preserve">1130605276     </v>
          </cell>
          <cell r="O17929">
            <v>1080</v>
          </cell>
        </row>
        <row r="17930">
          <cell r="F17930" t="str">
            <v xml:space="preserve">1130605276     </v>
          </cell>
          <cell r="O17930">
            <v>90</v>
          </cell>
        </row>
        <row r="17931">
          <cell r="F17931" t="str">
            <v xml:space="preserve">94050412       </v>
          </cell>
          <cell r="O17931">
            <v>270</v>
          </cell>
        </row>
        <row r="17932">
          <cell r="F17932" t="str">
            <v xml:space="preserve">800210144      </v>
          </cell>
          <cell r="O17932">
            <v>360</v>
          </cell>
        </row>
        <row r="17933">
          <cell r="F17933" t="str">
            <v xml:space="preserve">815003963      </v>
          </cell>
          <cell r="O17933">
            <v>18</v>
          </cell>
        </row>
        <row r="17934">
          <cell r="F17934" t="str">
            <v xml:space="preserve">88275315       </v>
          </cell>
          <cell r="O17934">
            <v>36</v>
          </cell>
        </row>
        <row r="17935">
          <cell r="F17935" t="str">
            <v xml:space="preserve">88275315       </v>
          </cell>
          <cell r="O17935">
            <v>90</v>
          </cell>
        </row>
        <row r="17936">
          <cell r="F17936" t="str">
            <v xml:space="preserve">88275315       </v>
          </cell>
          <cell r="O17936">
            <v>1602</v>
          </cell>
        </row>
        <row r="17937">
          <cell r="F17937" t="str">
            <v xml:space="preserve">88275315       </v>
          </cell>
          <cell r="O17937">
            <v>90</v>
          </cell>
        </row>
        <row r="17938">
          <cell r="F17938" t="str">
            <v xml:space="preserve">88275315       </v>
          </cell>
          <cell r="O17938">
            <v>720</v>
          </cell>
        </row>
        <row r="17939">
          <cell r="F17939" t="str">
            <v xml:space="preserve">88275315       </v>
          </cell>
          <cell r="O17939">
            <v>13.5</v>
          </cell>
        </row>
        <row r="17940">
          <cell r="F17940" t="str">
            <v xml:space="preserve">88275315       </v>
          </cell>
          <cell r="O17940">
            <v>36</v>
          </cell>
        </row>
        <row r="17941">
          <cell r="F17941" t="str">
            <v xml:space="preserve">88275315       </v>
          </cell>
          <cell r="O17941">
            <v>120</v>
          </cell>
        </row>
        <row r="17942">
          <cell r="F17942" t="str">
            <v xml:space="preserve">88275315       </v>
          </cell>
          <cell r="O17942">
            <v>1710</v>
          </cell>
        </row>
        <row r="17943">
          <cell r="F17943" t="str">
            <v xml:space="preserve">88275315       </v>
          </cell>
          <cell r="O17943">
            <v>108</v>
          </cell>
        </row>
        <row r="17944">
          <cell r="F17944" t="str">
            <v xml:space="preserve">94464104       </v>
          </cell>
          <cell r="O17944">
            <v>108</v>
          </cell>
        </row>
        <row r="17945">
          <cell r="F17945" t="str">
            <v xml:space="preserve">94464104       </v>
          </cell>
          <cell r="O17945">
            <v>90</v>
          </cell>
        </row>
        <row r="17946">
          <cell r="F17946" t="str">
            <v xml:space="preserve">16458005       </v>
          </cell>
          <cell r="O17946">
            <v>15</v>
          </cell>
        </row>
        <row r="17947">
          <cell r="F17947" t="str">
            <v xml:space="preserve">16458005       </v>
          </cell>
          <cell r="O17947">
            <v>180</v>
          </cell>
        </row>
        <row r="17948">
          <cell r="F17948" t="str">
            <v xml:space="preserve">901204907      </v>
          </cell>
          <cell r="O17948">
            <v>18</v>
          </cell>
        </row>
        <row r="17949">
          <cell r="F17949" t="str">
            <v xml:space="preserve">94419930       </v>
          </cell>
          <cell r="O17949">
            <v>252</v>
          </cell>
        </row>
        <row r="17950">
          <cell r="F17950" t="str">
            <v xml:space="preserve">94420019       </v>
          </cell>
          <cell r="O17950">
            <v>72</v>
          </cell>
        </row>
        <row r="17951">
          <cell r="F17951" t="str">
            <v xml:space="preserve">94420019       </v>
          </cell>
          <cell r="O17951">
            <v>135</v>
          </cell>
        </row>
        <row r="17952">
          <cell r="F17952" t="str">
            <v xml:space="preserve">900034686      </v>
          </cell>
          <cell r="O17952">
            <v>45</v>
          </cell>
        </row>
        <row r="17953">
          <cell r="F17953" t="str">
            <v xml:space="preserve">16460421       </v>
          </cell>
          <cell r="O17953">
            <v>9</v>
          </cell>
        </row>
        <row r="17954">
          <cell r="F17954" t="str">
            <v xml:space="preserve">16460421       </v>
          </cell>
          <cell r="O17954">
            <v>9</v>
          </cell>
        </row>
        <row r="17955">
          <cell r="F17955" t="str">
            <v xml:space="preserve">16460421       </v>
          </cell>
          <cell r="O17955">
            <v>630</v>
          </cell>
        </row>
        <row r="17956">
          <cell r="F17956" t="str">
            <v xml:space="preserve">16460421       </v>
          </cell>
          <cell r="O17956">
            <v>90</v>
          </cell>
        </row>
        <row r="17957">
          <cell r="F17957" t="str">
            <v xml:space="preserve">890318280      </v>
          </cell>
          <cell r="O17957">
            <v>90</v>
          </cell>
        </row>
        <row r="17958">
          <cell r="F17958" t="str">
            <v xml:space="preserve">75099432       </v>
          </cell>
          <cell r="O17958">
            <v>72</v>
          </cell>
        </row>
        <row r="17959">
          <cell r="F17959" t="str">
            <v xml:space="preserve">75099432       </v>
          </cell>
          <cell r="O17959">
            <v>108</v>
          </cell>
        </row>
        <row r="17960">
          <cell r="F17960" t="str">
            <v xml:space="preserve">75099432       </v>
          </cell>
          <cell r="O17960">
            <v>90</v>
          </cell>
        </row>
        <row r="17961">
          <cell r="F17961" t="str">
            <v xml:space="preserve">75099432       </v>
          </cell>
          <cell r="O17961">
            <v>720</v>
          </cell>
        </row>
        <row r="17962">
          <cell r="F17962" t="str">
            <v xml:space="preserve">15920401       </v>
          </cell>
          <cell r="O17962">
            <v>1800</v>
          </cell>
        </row>
        <row r="17963">
          <cell r="F17963" t="str">
            <v xml:space="preserve">15920401       </v>
          </cell>
          <cell r="O17963">
            <v>900</v>
          </cell>
        </row>
        <row r="17964">
          <cell r="F17964" t="str">
            <v xml:space="preserve">890903939      </v>
          </cell>
          <cell r="O17964">
            <v>108</v>
          </cell>
        </row>
        <row r="17965">
          <cell r="F17965" t="str">
            <v xml:space="preserve">9696643        </v>
          </cell>
          <cell r="O17965">
            <v>3360</v>
          </cell>
        </row>
        <row r="17966">
          <cell r="F17966" t="str">
            <v xml:space="preserve">10237057       </v>
          </cell>
          <cell r="O17966">
            <v>225</v>
          </cell>
        </row>
        <row r="17967">
          <cell r="F17967" t="str">
            <v xml:space="preserve">10237057       </v>
          </cell>
          <cell r="O17967">
            <v>54</v>
          </cell>
        </row>
        <row r="17968">
          <cell r="F17968" t="str">
            <v xml:space="preserve">901555731      </v>
          </cell>
          <cell r="O17968">
            <v>36</v>
          </cell>
        </row>
        <row r="17969">
          <cell r="F17969" t="str">
            <v xml:space="preserve">901555731      </v>
          </cell>
          <cell r="O17969">
            <v>90</v>
          </cell>
        </row>
        <row r="17970">
          <cell r="F17970" t="str">
            <v xml:space="preserve">6157942        </v>
          </cell>
          <cell r="O17970">
            <v>900</v>
          </cell>
        </row>
        <row r="17971">
          <cell r="F17971" t="str">
            <v xml:space="preserve">1111745154     </v>
          </cell>
          <cell r="O17971">
            <v>180</v>
          </cell>
        </row>
        <row r="17972">
          <cell r="F17972" t="str">
            <v xml:space="preserve">14471042       </v>
          </cell>
          <cell r="O17972">
            <v>165</v>
          </cell>
        </row>
        <row r="17973">
          <cell r="F17973" t="str">
            <v xml:space="preserve">14471042       </v>
          </cell>
          <cell r="O17973">
            <v>45</v>
          </cell>
        </row>
        <row r="17974">
          <cell r="F17974" t="str">
            <v xml:space="preserve">16479359       </v>
          </cell>
          <cell r="O17974">
            <v>90</v>
          </cell>
        </row>
        <row r="17975">
          <cell r="F17975" t="str">
            <v xml:space="preserve">16479359       </v>
          </cell>
          <cell r="O17975">
            <v>135</v>
          </cell>
        </row>
        <row r="17976">
          <cell r="F17976" t="str">
            <v xml:space="preserve">16214926       </v>
          </cell>
          <cell r="O17976">
            <v>720</v>
          </cell>
        </row>
        <row r="17977">
          <cell r="F17977" t="str">
            <v xml:space="preserve">16214926       </v>
          </cell>
          <cell r="O17977">
            <v>225</v>
          </cell>
        </row>
        <row r="17978">
          <cell r="F17978" t="str">
            <v xml:space="preserve">10007888       </v>
          </cell>
          <cell r="O17978">
            <v>90</v>
          </cell>
        </row>
        <row r="17979">
          <cell r="F17979" t="str">
            <v xml:space="preserve">10007888       </v>
          </cell>
          <cell r="O17979">
            <v>36</v>
          </cell>
        </row>
        <row r="17980">
          <cell r="F17980" t="str">
            <v xml:space="preserve">10007888       </v>
          </cell>
          <cell r="O17980">
            <v>45</v>
          </cell>
        </row>
        <row r="17981">
          <cell r="F17981" t="str">
            <v xml:space="preserve">1088256267     </v>
          </cell>
          <cell r="O17981">
            <v>9</v>
          </cell>
        </row>
        <row r="17982">
          <cell r="F17982" t="str">
            <v xml:space="preserve">1088256267     </v>
          </cell>
          <cell r="O17982">
            <v>90</v>
          </cell>
        </row>
        <row r="17983">
          <cell r="F17983" t="str">
            <v xml:space="preserve">1088256267     </v>
          </cell>
          <cell r="O17983">
            <v>90</v>
          </cell>
        </row>
        <row r="17984">
          <cell r="F17984" t="str">
            <v xml:space="preserve">1088256267     </v>
          </cell>
          <cell r="O17984">
            <v>165</v>
          </cell>
        </row>
        <row r="17985">
          <cell r="F17985" t="str">
            <v xml:space="preserve">1088256267     </v>
          </cell>
          <cell r="O17985">
            <v>90</v>
          </cell>
        </row>
        <row r="17986">
          <cell r="F17986" t="str">
            <v xml:space="preserve">66676270       </v>
          </cell>
          <cell r="O17986">
            <v>90</v>
          </cell>
        </row>
        <row r="17987">
          <cell r="F17987" t="str">
            <v xml:space="preserve">66676270       </v>
          </cell>
          <cell r="O17987">
            <v>180</v>
          </cell>
        </row>
        <row r="17988">
          <cell r="F17988" t="str">
            <v xml:space="preserve">94228120       </v>
          </cell>
          <cell r="O17988">
            <v>99</v>
          </cell>
        </row>
        <row r="17989">
          <cell r="F17989" t="str">
            <v xml:space="preserve">94228120       </v>
          </cell>
          <cell r="O17989">
            <v>30</v>
          </cell>
        </row>
        <row r="17990">
          <cell r="F17990" t="str">
            <v xml:space="preserve">94228120       </v>
          </cell>
          <cell r="O17990">
            <v>576</v>
          </cell>
        </row>
        <row r="17991">
          <cell r="F17991" t="str">
            <v xml:space="preserve">94228120       </v>
          </cell>
          <cell r="O17991">
            <v>180</v>
          </cell>
        </row>
        <row r="17992">
          <cell r="F17992" t="str">
            <v xml:space="preserve">15896671       </v>
          </cell>
          <cell r="O17992">
            <v>300</v>
          </cell>
        </row>
        <row r="17993">
          <cell r="F17993" t="str">
            <v xml:space="preserve">15896671       </v>
          </cell>
          <cell r="O17993">
            <v>90</v>
          </cell>
        </row>
        <row r="17994">
          <cell r="F17994" t="str">
            <v xml:space="preserve">66679645       </v>
          </cell>
          <cell r="O17994">
            <v>36</v>
          </cell>
        </row>
        <row r="17995">
          <cell r="F17995" t="str">
            <v xml:space="preserve">66679645       </v>
          </cell>
          <cell r="O17995">
            <v>90</v>
          </cell>
        </row>
        <row r="17996">
          <cell r="F17996" t="str">
            <v xml:space="preserve">10144092       </v>
          </cell>
          <cell r="O17996">
            <v>510</v>
          </cell>
        </row>
        <row r="17997">
          <cell r="F17997" t="str">
            <v xml:space="preserve">10144092       </v>
          </cell>
          <cell r="O17997">
            <v>90</v>
          </cell>
        </row>
        <row r="17998">
          <cell r="F17998" t="str">
            <v xml:space="preserve">10144092       </v>
          </cell>
          <cell r="O17998">
            <v>45</v>
          </cell>
        </row>
        <row r="17999">
          <cell r="F17999" t="str">
            <v xml:space="preserve">10144092       </v>
          </cell>
          <cell r="O17999">
            <v>9</v>
          </cell>
        </row>
        <row r="18000">
          <cell r="F18000" t="str">
            <v xml:space="preserve">10144092       </v>
          </cell>
          <cell r="O18000">
            <v>345</v>
          </cell>
        </row>
        <row r="18001">
          <cell r="F18001" t="str">
            <v xml:space="preserve">10144092       </v>
          </cell>
          <cell r="O18001">
            <v>72</v>
          </cell>
        </row>
        <row r="18002">
          <cell r="F18002" t="str">
            <v xml:space="preserve">805005148      </v>
          </cell>
          <cell r="O18002">
            <v>15</v>
          </cell>
        </row>
        <row r="18003">
          <cell r="F18003" t="str">
            <v xml:space="preserve">805005148      </v>
          </cell>
          <cell r="O18003">
            <v>954</v>
          </cell>
        </row>
        <row r="18004">
          <cell r="F18004" t="str">
            <v xml:space="preserve">805005148      </v>
          </cell>
          <cell r="O18004">
            <v>450</v>
          </cell>
        </row>
        <row r="18005">
          <cell r="F18005" t="str">
            <v xml:space="preserve">901303668      </v>
          </cell>
          <cell r="O18005">
            <v>405</v>
          </cell>
        </row>
        <row r="18006">
          <cell r="F18006" t="str">
            <v xml:space="preserve">76323227       </v>
          </cell>
          <cell r="O18006">
            <v>30</v>
          </cell>
        </row>
        <row r="18007">
          <cell r="F18007" t="str">
            <v xml:space="preserve">76323227       </v>
          </cell>
          <cell r="O18007">
            <v>900</v>
          </cell>
        </row>
        <row r="18008">
          <cell r="F18008" t="str">
            <v xml:space="preserve">10532222       </v>
          </cell>
          <cell r="O18008">
            <v>162</v>
          </cell>
        </row>
        <row r="18009">
          <cell r="F18009" t="str">
            <v xml:space="preserve">12168724       </v>
          </cell>
          <cell r="O18009">
            <v>30</v>
          </cell>
        </row>
        <row r="18010">
          <cell r="F18010" t="str">
            <v xml:space="preserve">12168724       </v>
          </cell>
          <cell r="O18010">
            <v>216</v>
          </cell>
        </row>
        <row r="18011">
          <cell r="F18011" t="str">
            <v xml:space="preserve">12168724       </v>
          </cell>
          <cell r="O18011">
            <v>810</v>
          </cell>
        </row>
        <row r="18012">
          <cell r="F18012" t="str">
            <v xml:space="preserve">12168724       </v>
          </cell>
          <cell r="O18012">
            <v>45</v>
          </cell>
        </row>
        <row r="18013">
          <cell r="F18013" t="str">
            <v xml:space="preserve">76211412       </v>
          </cell>
          <cell r="O18013">
            <v>126</v>
          </cell>
        </row>
        <row r="18014">
          <cell r="F18014" t="str">
            <v xml:space="preserve">10755493       </v>
          </cell>
          <cell r="O18014">
            <v>702</v>
          </cell>
        </row>
        <row r="18015">
          <cell r="F18015" t="str">
            <v xml:space="preserve">10755493       </v>
          </cell>
          <cell r="O18015">
            <v>45</v>
          </cell>
        </row>
        <row r="18016">
          <cell r="F18016" t="str">
            <v xml:space="preserve">10755493       </v>
          </cell>
          <cell r="O18016">
            <v>684</v>
          </cell>
        </row>
        <row r="18017">
          <cell r="F18017" t="str">
            <v xml:space="preserve">10292388       </v>
          </cell>
          <cell r="O18017">
            <v>450</v>
          </cell>
        </row>
        <row r="18018">
          <cell r="F18018" t="str">
            <v xml:space="preserve">10292388       </v>
          </cell>
          <cell r="O18018">
            <v>90</v>
          </cell>
        </row>
        <row r="18019">
          <cell r="F18019" t="str">
            <v xml:space="preserve">76331539       </v>
          </cell>
          <cell r="O18019">
            <v>105</v>
          </cell>
        </row>
        <row r="18020">
          <cell r="F18020" t="str">
            <v xml:space="preserve">76331539       </v>
          </cell>
          <cell r="O18020">
            <v>918</v>
          </cell>
        </row>
        <row r="18021">
          <cell r="F18021" t="str">
            <v xml:space="preserve">76331539       </v>
          </cell>
          <cell r="O18021">
            <v>45</v>
          </cell>
        </row>
        <row r="18022">
          <cell r="F18022" t="str">
            <v xml:space="preserve">9900047        </v>
          </cell>
          <cell r="O18022">
            <v>30</v>
          </cell>
        </row>
        <row r="18023">
          <cell r="F18023" t="str">
            <v xml:space="preserve">9900047        </v>
          </cell>
          <cell r="O18023">
            <v>72</v>
          </cell>
        </row>
        <row r="18024">
          <cell r="F18024" t="str">
            <v xml:space="preserve">18389245       </v>
          </cell>
          <cell r="O18024">
            <v>180</v>
          </cell>
        </row>
        <row r="18025">
          <cell r="F18025" t="str">
            <v xml:space="preserve">18389245       </v>
          </cell>
          <cell r="O18025">
            <v>18</v>
          </cell>
        </row>
        <row r="18026">
          <cell r="F18026" t="str">
            <v xml:space="preserve">18389245       </v>
          </cell>
          <cell r="O18026">
            <v>90</v>
          </cell>
        </row>
        <row r="18027">
          <cell r="F18027" t="str">
            <v xml:space="preserve">18416624       </v>
          </cell>
          <cell r="O18027">
            <v>9</v>
          </cell>
        </row>
        <row r="18028">
          <cell r="F18028" t="str">
            <v xml:space="preserve">18416624       </v>
          </cell>
          <cell r="O18028">
            <v>60</v>
          </cell>
        </row>
        <row r="18029">
          <cell r="F18029" t="str">
            <v xml:space="preserve">18416624       </v>
          </cell>
          <cell r="O18029">
            <v>108</v>
          </cell>
        </row>
        <row r="18030">
          <cell r="F18030" t="str">
            <v xml:space="preserve">4613715        </v>
          </cell>
          <cell r="O18030">
            <v>9</v>
          </cell>
        </row>
        <row r="18031">
          <cell r="F18031" t="str">
            <v xml:space="preserve">4613715        </v>
          </cell>
          <cell r="O18031">
            <v>420</v>
          </cell>
        </row>
        <row r="18032">
          <cell r="F18032" t="str">
            <v xml:space="preserve">4613715        </v>
          </cell>
          <cell r="O18032">
            <v>504</v>
          </cell>
        </row>
        <row r="18033">
          <cell r="F18033" t="str">
            <v xml:space="preserve">4613715        </v>
          </cell>
          <cell r="O18033">
            <v>90</v>
          </cell>
        </row>
        <row r="18034">
          <cell r="F18034" t="str">
            <v xml:space="preserve">6110295        </v>
          </cell>
          <cell r="O18034">
            <v>360</v>
          </cell>
        </row>
        <row r="18035">
          <cell r="F18035" t="str">
            <v xml:space="preserve">6110295        </v>
          </cell>
          <cell r="O18035">
            <v>9</v>
          </cell>
        </row>
        <row r="18036">
          <cell r="F18036" t="str">
            <v xml:space="preserve">6110295        </v>
          </cell>
          <cell r="O18036">
            <v>252</v>
          </cell>
        </row>
        <row r="18037">
          <cell r="F18037" t="str">
            <v xml:space="preserve">6110295        </v>
          </cell>
          <cell r="O18037">
            <v>90</v>
          </cell>
        </row>
        <row r="18038">
          <cell r="F18038" t="str">
            <v xml:space="preserve">805005148      </v>
          </cell>
          <cell r="O18038">
            <v>540</v>
          </cell>
        </row>
        <row r="18039">
          <cell r="F18039" t="str">
            <v xml:space="preserve">805005148      </v>
          </cell>
          <cell r="O18039">
            <v>45</v>
          </cell>
        </row>
        <row r="18040">
          <cell r="F18040" t="str">
            <v xml:space="preserve">805005148      </v>
          </cell>
          <cell r="O18040">
            <v>2520</v>
          </cell>
        </row>
        <row r="18041">
          <cell r="F18041" t="str">
            <v xml:space="preserve">805005148      </v>
          </cell>
          <cell r="O18041">
            <v>270</v>
          </cell>
        </row>
        <row r="18042">
          <cell r="F18042" t="str">
            <v xml:space="preserve">805005148      </v>
          </cell>
          <cell r="O18042">
            <v>4.5</v>
          </cell>
        </row>
        <row r="18043">
          <cell r="F18043" t="str">
            <v xml:space="preserve">805005148      </v>
          </cell>
          <cell r="O18043">
            <v>18</v>
          </cell>
        </row>
        <row r="18044">
          <cell r="F18044" t="str">
            <v xml:space="preserve">805005148      </v>
          </cell>
          <cell r="O18044">
            <v>15</v>
          </cell>
        </row>
        <row r="18045">
          <cell r="F18045" t="str">
            <v xml:space="preserve">805005148      </v>
          </cell>
          <cell r="O18045">
            <v>90</v>
          </cell>
        </row>
        <row r="18046">
          <cell r="F18046" t="str">
            <v xml:space="preserve">805005148      </v>
          </cell>
          <cell r="O18046">
            <v>540</v>
          </cell>
        </row>
        <row r="18047">
          <cell r="F18047" t="str">
            <v xml:space="preserve">10488839       </v>
          </cell>
          <cell r="O18047">
            <v>720</v>
          </cell>
        </row>
        <row r="18048">
          <cell r="F18048" t="str">
            <v xml:space="preserve">10488839       </v>
          </cell>
          <cell r="O18048">
            <v>270</v>
          </cell>
        </row>
        <row r="18049">
          <cell r="F18049" t="str">
            <v xml:space="preserve">10488839       </v>
          </cell>
          <cell r="O18049">
            <v>720</v>
          </cell>
        </row>
        <row r="18050">
          <cell r="F18050" t="str">
            <v xml:space="preserve">16849293       </v>
          </cell>
          <cell r="O18050">
            <v>162</v>
          </cell>
        </row>
        <row r="18051">
          <cell r="F18051" t="str">
            <v xml:space="preserve">16849293       </v>
          </cell>
          <cell r="O18051">
            <v>45</v>
          </cell>
        </row>
        <row r="18052">
          <cell r="F18052" t="str">
            <v xml:space="preserve">6009148        </v>
          </cell>
          <cell r="O18052">
            <v>540</v>
          </cell>
        </row>
        <row r="18053">
          <cell r="F18053" t="str">
            <v xml:space="preserve">14229215       </v>
          </cell>
          <cell r="O18053">
            <v>540</v>
          </cell>
        </row>
        <row r="18054">
          <cell r="F18054" t="str">
            <v xml:space="preserve">79736632       </v>
          </cell>
          <cell r="O18054">
            <v>1224</v>
          </cell>
        </row>
        <row r="18055">
          <cell r="F18055" t="str">
            <v xml:space="preserve">13701412       </v>
          </cell>
          <cell r="O18055">
            <v>810</v>
          </cell>
        </row>
        <row r="18056">
          <cell r="F18056" t="str">
            <v xml:space="preserve">13701412       </v>
          </cell>
          <cell r="O18056">
            <v>90</v>
          </cell>
        </row>
        <row r="18057">
          <cell r="F18057" t="str">
            <v xml:space="preserve">79263601       </v>
          </cell>
          <cell r="O18057">
            <v>720</v>
          </cell>
        </row>
        <row r="18058">
          <cell r="F18058" t="str">
            <v xml:space="preserve">26050336       </v>
          </cell>
          <cell r="O18058">
            <v>15</v>
          </cell>
        </row>
        <row r="18059">
          <cell r="F18059" t="str">
            <v xml:space="preserve">26050336       </v>
          </cell>
          <cell r="O18059">
            <v>72</v>
          </cell>
        </row>
        <row r="18060">
          <cell r="F18060" t="str">
            <v xml:space="preserve">26050336       </v>
          </cell>
          <cell r="O18060">
            <v>45</v>
          </cell>
        </row>
        <row r="18061">
          <cell r="F18061" t="str">
            <v xml:space="preserve">80397293       </v>
          </cell>
          <cell r="O18061">
            <v>150</v>
          </cell>
        </row>
        <row r="18062">
          <cell r="F18062" t="str">
            <v xml:space="preserve">80397293       </v>
          </cell>
          <cell r="O18062">
            <v>270</v>
          </cell>
        </row>
        <row r="18063">
          <cell r="F18063" t="str">
            <v xml:space="preserve">80397293       </v>
          </cell>
          <cell r="O18063">
            <v>180</v>
          </cell>
        </row>
        <row r="18064">
          <cell r="F18064" t="str">
            <v xml:space="preserve">93152963       </v>
          </cell>
          <cell r="O18064">
            <v>750</v>
          </cell>
        </row>
        <row r="18065">
          <cell r="F18065" t="str">
            <v xml:space="preserve">93152963       </v>
          </cell>
          <cell r="O18065">
            <v>540</v>
          </cell>
        </row>
        <row r="18066">
          <cell r="F18066" t="str">
            <v xml:space="preserve">93152963       </v>
          </cell>
          <cell r="O18066">
            <v>315</v>
          </cell>
        </row>
        <row r="18067">
          <cell r="F18067" t="str">
            <v xml:space="preserve">93152963       </v>
          </cell>
          <cell r="O18067">
            <v>180</v>
          </cell>
        </row>
        <row r="18068">
          <cell r="F18068" t="str">
            <v xml:space="preserve">93152963       </v>
          </cell>
          <cell r="O18068">
            <v>360</v>
          </cell>
        </row>
        <row r="18069">
          <cell r="F18069" t="str">
            <v xml:space="preserve">93152963       </v>
          </cell>
          <cell r="O18069">
            <v>45</v>
          </cell>
        </row>
        <row r="18070">
          <cell r="F18070" t="str">
            <v xml:space="preserve">3273085        </v>
          </cell>
          <cell r="O18070">
            <v>720</v>
          </cell>
        </row>
        <row r="18071">
          <cell r="F18071" t="str">
            <v xml:space="preserve">3273085        </v>
          </cell>
          <cell r="O18071">
            <v>225</v>
          </cell>
        </row>
        <row r="18072">
          <cell r="F18072" t="str">
            <v xml:space="preserve">3273085        </v>
          </cell>
          <cell r="O18072">
            <v>900</v>
          </cell>
        </row>
        <row r="18073">
          <cell r="F18073" t="str">
            <v xml:space="preserve">900459366      </v>
          </cell>
          <cell r="O18073">
            <v>2592</v>
          </cell>
        </row>
        <row r="18074">
          <cell r="F18074" t="str">
            <v xml:space="preserve">900459366      </v>
          </cell>
          <cell r="O18074">
            <v>180</v>
          </cell>
        </row>
        <row r="18075">
          <cell r="F18075" t="str">
            <v xml:space="preserve">900459366      </v>
          </cell>
          <cell r="O18075">
            <v>15</v>
          </cell>
        </row>
        <row r="18076">
          <cell r="F18076" t="str">
            <v xml:space="preserve">900459366      </v>
          </cell>
          <cell r="O18076">
            <v>36</v>
          </cell>
        </row>
        <row r="18077">
          <cell r="F18077" t="str">
            <v xml:space="preserve">71215358       </v>
          </cell>
          <cell r="O18077">
            <v>9</v>
          </cell>
        </row>
        <row r="18078">
          <cell r="F18078" t="str">
            <v xml:space="preserve">71215358       </v>
          </cell>
          <cell r="O18078">
            <v>45</v>
          </cell>
        </row>
        <row r="18079">
          <cell r="F18079" t="str">
            <v xml:space="preserve">71215358       </v>
          </cell>
          <cell r="O18079">
            <v>45</v>
          </cell>
        </row>
        <row r="18080">
          <cell r="F18080" t="str">
            <v xml:space="preserve">71215358       </v>
          </cell>
          <cell r="O18080">
            <v>342</v>
          </cell>
        </row>
        <row r="18081">
          <cell r="F18081" t="str">
            <v xml:space="preserve">71215358       </v>
          </cell>
          <cell r="O18081">
            <v>45</v>
          </cell>
        </row>
        <row r="18082">
          <cell r="F18082" t="str">
            <v xml:space="preserve">91179385       </v>
          </cell>
          <cell r="O18082">
            <v>15</v>
          </cell>
        </row>
        <row r="18083">
          <cell r="F18083" t="str">
            <v xml:space="preserve">91179385       </v>
          </cell>
          <cell r="O18083">
            <v>324</v>
          </cell>
        </row>
        <row r="18084">
          <cell r="F18084" t="str">
            <v xml:space="preserve">91179385       </v>
          </cell>
          <cell r="O18084">
            <v>90</v>
          </cell>
        </row>
        <row r="18085">
          <cell r="F18085" t="str">
            <v xml:space="preserve">91179385       </v>
          </cell>
          <cell r="O18085">
            <v>15</v>
          </cell>
        </row>
        <row r="18086">
          <cell r="F18086" t="str">
            <v xml:space="preserve">91179385       </v>
          </cell>
          <cell r="O18086">
            <v>522</v>
          </cell>
        </row>
        <row r="18087">
          <cell r="F18087" t="str">
            <v xml:space="preserve">91179385       </v>
          </cell>
          <cell r="O18087">
            <v>225</v>
          </cell>
        </row>
        <row r="18088">
          <cell r="F18088" t="str">
            <v xml:space="preserve">91179385       </v>
          </cell>
          <cell r="O18088">
            <v>30</v>
          </cell>
        </row>
        <row r="18089">
          <cell r="F18089" t="str">
            <v xml:space="preserve">79384689       </v>
          </cell>
          <cell r="O18089">
            <v>135</v>
          </cell>
        </row>
        <row r="18090">
          <cell r="F18090" t="str">
            <v xml:space="preserve">88288258       </v>
          </cell>
          <cell r="O18090">
            <v>405</v>
          </cell>
        </row>
        <row r="18091">
          <cell r="F18091" t="str">
            <v xml:space="preserve">88288258       </v>
          </cell>
          <cell r="O18091">
            <v>60</v>
          </cell>
        </row>
        <row r="18092">
          <cell r="F18092" t="str">
            <v xml:space="preserve">13494934       </v>
          </cell>
          <cell r="O18092">
            <v>240</v>
          </cell>
        </row>
        <row r="18093">
          <cell r="F18093" t="str">
            <v xml:space="preserve">13494934       </v>
          </cell>
          <cell r="O18093">
            <v>216</v>
          </cell>
        </row>
        <row r="18094">
          <cell r="F18094" t="str">
            <v xml:space="preserve">13494934       </v>
          </cell>
          <cell r="O18094">
            <v>90</v>
          </cell>
        </row>
        <row r="18095">
          <cell r="F18095" t="str">
            <v xml:space="preserve">13494934       </v>
          </cell>
          <cell r="O18095">
            <v>330</v>
          </cell>
        </row>
        <row r="18096">
          <cell r="F18096" t="str">
            <v xml:space="preserve">13494934       </v>
          </cell>
          <cell r="O18096">
            <v>225</v>
          </cell>
        </row>
        <row r="18097">
          <cell r="F18097" t="str">
            <v xml:space="preserve">88188644       </v>
          </cell>
          <cell r="O18097">
            <v>510</v>
          </cell>
        </row>
        <row r="18098">
          <cell r="F18098" t="str">
            <v xml:space="preserve">88188644       </v>
          </cell>
          <cell r="O18098">
            <v>270</v>
          </cell>
        </row>
        <row r="18099">
          <cell r="F18099" t="str">
            <v xml:space="preserve">1117502076     </v>
          </cell>
          <cell r="O18099">
            <v>198</v>
          </cell>
        </row>
        <row r="18100">
          <cell r="F18100" t="str">
            <v xml:space="preserve">1117502076     </v>
          </cell>
          <cell r="O18100">
            <v>45</v>
          </cell>
        </row>
        <row r="18101">
          <cell r="F18101" t="str">
            <v xml:space="preserve">1117502076     </v>
          </cell>
          <cell r="O18101">
            <v>324</v>
          </cell>
        </row>
        <row r="18102">
          <cell r="F18102" t="str">
            <v xml:space="preserve">91451576       </v>
          </cell>
          <cell r="O18102">
            <v>180</v>
          </cell>
        </row>
        <row r="18103">
          <cell r="F18103" t="str">
            <v xml:space="preserve">91451576       </v>
          </cell>
          <cell r="O18103">
            <v>225</v>
          </cell>
        </row>
        <row r="18104">
          <cell r="F18104" t="str">
            <v xml:space="preserve">13537217       </v>
          </cell>
          <cell r="O18104">
            <v>90</v>
          </cell>
        </row>
        <row r="18105">
          <cell r="F18105" t="str">
            <v xml:space="preserve">13537217       </v>
          </cell>
          <cell r="O18105">
            <v>1350</v>
          </cell>
        </row>
        <row r="18106">
          <cell r="F18106" t="str">
            <v xml:space="preserve">13537217       </v>
          </cell>
          <cell r="O18106">
            <v>360</v>
          </cell>
        </row>
        <row r="18107">
          <cell r="F18107" t="str">
            <v xml:space="preserve">91179643       </v>
          </cell>
          <cell r="O18107">
            <v>72</v>
          </cell>
        </row>
        <row r="18108">
          <cell r="F18108" t="str">
            <v xml:space="preserve">91136131       </v>
          </cell>
          <cell r="O18108">
            <v>900</v>
          </cell>
        </row>
        <row r="18109">
          <cell r="F18109" t="str">
            <v xml:space="preserve">91136131       </v>
          </cell>
          <cell r="O18109">
            <v>270</v>
          </cell>
        </row>
        <row r="18110">
          <cell r="F18110" t="str">
            <v xml:space="preserve">91136131       </v>
          </cell>
          <cell r="O18110">
            <v>135</v>
          </cell>
        </row>
        <row r="18111">
          <cell r="F18111" t="str">
            <v xml:space="preserve">74080481       </v>
          </cell>
          <cell r="O18111">
            <v>765</v>
          </cell>
        </row>
        <row r="18112">
          <cell r="F18112" t="str">
            <v xml:space="preserve">74080481       </v>
          </cell>
          <cell r="O18112">
            <v>18</v>
          </cell>
        </row>
        <row r="18113">
          <cell r="F18113" t="str">
            <v xml:space="preserve">74080481       </v>
          </cell>
          <cell r="O18113">
            <v>975</v>
          </cell>
        </row>
        <row r="18114">
          <cell r="F18114" t="str">
            <v xml:space="preserve">74080481       </v>
          </cell>
          <cell r="O18114">
            <v>306</v>
          </cell>
        </row>
        <row r="18115">
          <cell r="F18115" t="str">
            <v xml:space="preserve">74080481       </v>
          </cell>
          <cell r="O18115">
            <v>360</v>
          </cell>
        </row>
        <row r="18116">
          <cell r="F18116" t="str">
            <v xml:space="preserve">91222539       </v>
          </cell>
          <cell r="O18116">
            <v>795</v>
          </cell>
        </row>
        <row r="18117">
          <cell r="F18117" t="str">
            <v xml:space="preserve">91222539       </v>
          </cell>
          <cell r="O18117">
            <v>225</v>
          </cell>
        </row>
        <row r="18118">
          <cell r="F18118" t="str">
            <v xml:space="preserve">91272730       </v>
          </cell>
          <cell r="O18118">
            <v>240</v>
          </cell>
        </row>
        <row r="18119">
          <cell r="F18119" t="str">
            <v xml:space="preserve">91272730       </v>
          </cell>
          <cell r="O18119">
            <v>108</v>
          </cell>
        </row>
        <row r="18120">
          <cell r="F18120" t="str">
            <v xml:space="preserve">91272730       </v>
          </cell>
          <cell r="O18120">
            <v>135</v>
          </cell>
        </row>
        <row r="18121">
          <cell r="F18121" t="str">
            <v xml:space="preserve">91272730       </v>
          </cell>
          <cell r="O18121">
            <v>135</v>
          </cell>
        </row>
        <row r="18122">
          <cell r="F18122" t="str">
            <v xml:space="preserve">91272730       </v>
          </cell>
          <cell r="O18122">
            <v>36</v>
          </cell>
        </row>
        <row r="18123">
          <cell r="F18123" t="str">
            <v xml:space="preserve">91272730       </v>
          </cell>
          <cell r="O18123">
            <v>225</v>
          </cell>
        </row>
        <row r="18124">
          <cell r="F18124" t="str">
            <v xml:space="preserve">13701254       </v>
          </cell>
          <cell r="O18124">
            <v>900</v>
          </cell>
        </row>
        <row r="18125">
          <cell r="F18125" t="str">
            <v xml:space="preserve">13701254       </v>
          </cell>
          <cell r="O18125">
            <v>144</v>
          </cell>
        </row>
        <row r="18126">
          <cell r="F18126" t="str">
            <v xml:space="preserve">13701254       </v>
          </cell>
          <cell r="O18126">
            <v>360</v>
          </cell>
        </row>
        <row r="18127">
          <cell r="F18127" t="str">
            <v xml:space="preserve">92543124       </v>
          </cell>
          <cell r="O18127">
            <v>600</v>
          </cell>
        </row>
        <row r="18128">
          <cell r="F18128" t="str">
            <v xml:space="preserve">78033625       </v>
          </cell>
          <cell r="O18128">
            <v>2736</v>
          </cell>
        </row>
        <row r="18129">
          <cell r="F18129" t="str">
            <v xml:space="preserve">901096204      </v>
          </cell>
          <cell r="O18129">
            <v>1620</v>
          </cell>
        </row>
        <row r="18130">
          <cell r="F18130" t="str">
            <v xml:space="preserve">17842923       </v>
          </cell>
          <cell r="O18130">
            <v>2535</v>
          </cell>
        </row>
        <row r="18131">
          <cell r="F18131" t="str">
            <v xml:space="preserve">17842923       </v>
          </cell>
          <cell r="O18131">
            <v>1395</v>
          </cell>
        </row>
        <row r="18132">
          <cell r="F18132" t="str">
            <v xml:space="preserve">17842923       </v>
          </cell>
          <cell r="O18132">
            <v>1188</v>
          </cell>
        </row>
        <row r="18133">
          <cell r="F18133" t="str">
            <v xml:space="preserve">77191750       </v>
          </cell>
          <cell r="O18133">
            <v>1476</v>
          </cell>
        </row>
        <row r="18134">
          <cell r="F18134" t="str">
            <v xml:space="preserve">91213004       </v>
          </cell>
          <cell r="O18134">
            <v>450</v>
          </cell>
        </row>
        <row r="18135">
          <cell r="F18135" t="str">
            <v xml:space="preserve">91213004       </v>
          </cell>
          <cell r="O18135">
            <v>540</v>
          </cell>
        </row>
        <row r="18136">
          <cell r="F18136" t="str">
            <v xml:space="preserve">9262987        </v>
          </cell>
          <cell r="O18136">
            <v>144</v>
          </cell>
        </row>
        <row r="18137">
          <cell r="F18137" t="str">
            <v xml:space="preserve">72196317       </v>
          </cell>
          <cell r="O18137">
            <v>750</v>
          </cell>
        </row>
        <row r="18138">
          <cell r="F18138" t="str">
            <v xml:space="preserve">72196317       </v>
          </cell>
          <cell r="O18138">
            <v>90</v>
          </cell>
        </row>
        <row r="18139">
          <cell r="F18139" t="str">
            <v xml:space="preserve">72196317       </v>
          </cell>
          <cell r="O18139">
            <v>75</v>
          </cell>
        </row>
        <row r="18140">
          <cell r="F18140" t="str">
            <v xml:space="preserve">72196317       </v>
          </cell>
          <cell r="O18140">
            <v>18</v>
          </cell>
        </row>
        <row r="18141">
          <cell r="F18141" t="str">
            <v xml:space="preserve">72196317       </v>
          </cell>
          <cell r="O18141">
            <v>108</v>
          </cell>
        </row>
        <row r="18142">
          <cell r="F18142" t="str">
            <v xml:space="preserve">72196317       </v>
          </cell>
          <cell r="O18142">
            <v>195</v>
          </cell>
        </row>
        <row r="18143">
          <cell r="F18143" t="str">
            <v xml:space="preserve">72196317       </v>
          </cell>
          <cell r="O18143">
            <v>54</v>
          </cell>
        </row>
        <row r="18144">
          <cell r="F18144" t="str">
            <v xml:space="preserve">1047231108     </v>
          </cell>
          <cell r="O18144">
            <v>525</v>
          </cell>
        </row>
        <row r="18145">
          <cell r="F18145" t="str">
            <v xml:space="preserve">1047349327     </v>
          </cell>
          <cell r="O18145">
            <v>210</v>
          </cell>
        </row>
        <row r="18146">
          <cell r="F18146" t="str">
            <v xml:space="preserve">1047349327     </v>
          </cell>
          <cell r="O18146">
            <v>72</v>
          </cell>
        </row>
        <row r="18147">
          <cell r="F18147" t="str">
            <v xml:space="preserve">18531333       </v>
          </cell>
          <cell r="O18147">
            <v>120</v>
          </cell>
        </row>
        <row r="18148">
          <cell r="F18148" t="str">
            <v xml:space="preserve">18531333       </v>
          </cell>
          <cell r="O18148">
            <v>36</v>
          </cell>
        </row>
        <row r="18149">
          <cell r="F18149" t="str">
            <v xml:space="preserve">18531333       </v>
          </cell>
          <cell r="O18149">
            <v>450</v>
          </cell>
        </row>
        <row r="18150">
          <cell r="F18150" t="str">
            <v xml:space="preserve">1120352593     </v>
          </cell>
          <cell r="O18150">
            <v>75</v>
          </cell>
        </row>
        <row r="18151">
          <cell r="F18151" t="str">
            <v xml:space="preserve">1120352593     </v>
          </cell>
          <cell r="O18151">
            <v>3024</v>
          </cell>
        </row>
        <row r="18152">
          <cell r="F18152" t="str">
            <v xml:space="preserve">1120352593     </v>
          </cell>
          <cell r="O18152">
            <v>90</v>
          </cell>
        </row>
        <row r="18153">
          <cell r="F18153" t="str">
            <v xml:space="preserve">1020712348     </v>
          </cell>
          <cell r="O18153">
            <v>540</v>
          </cell>
        </row>
        <row r="18154">
          <cell r="F18154" t="str">
            <v xml:space="preserve">1020712348     </v>
          </cell>
          <cell r="O18154">
            <v>540</v>
          </cell>
        </row>
        <row r="18155">
          <cell r="F18155" t="str">
            <v xml:space="preserve">79827688       </v>
          </cell>
          <cell r="O18155">
            <v>75</v>
          </cell>
        </row>
        <row r="18156">
          <cell r="F18156" t="str">
            <v xml:space="preserve">79827688       </v>
          </cell>
          <cell r="O18156">
            <v>378</v>
          </cell>
        </row>
        <row r="18157">
          <cell r="F18157" t="str">
            <v xml:space="preserve">92520690       </v>
          </cell>
          <cell r="O18157">
            <v>45</v>
          </cell>
        </row>
        <row r="18158">
          <cell r="F18158" t="str">
            <v xml:space="preserve">92520690       </v>
          </cell>
          <cell r="O18158">
            <v>1962</v>
          </cell>
        </row>
        <row r="18159">
          <cell r="F18159" t="str">
            <v xml:space="preserve">80266206       </v>
          </cell>
          <cell r="O18159">
            <v>15</v>
          </cell>
        </row>
        <row r="18160">
          <cell r="F18160" t="str">
            <v xml:space="preserve">80266206       </v>
          </cell>
          <cell r="O18160">
            <v>216</v>
          </cell>
        </row>
        <row r="18161">
          <cell r="F18161" t="str">
            <v xml:space="preserve">80266206       </v>
          </cell>
          <cell r="O18161">
            <v>180</v>
          </cell>
        </row>
        <row r="18162">
          <cell r="F18162" t="str">
            <v xml:space="preserve">80266206       </v>
          </cell>
          <cell r="O18162">
            <v>63</v>
          </cell>
        </row>
        <row r="18163">
          <cell r="F18163" t="str">
            <v xml:space="preserve">1111739602     </v>
          </cell>
          <cell r="O18163">
            <v>780</v>
          </cell>
        </row>
        <row r="18164">
          <cell r="F18164" t="str">
            <v xml:space="preserve">1111739602     </v>
          </cell>
          <cell r="O18164">
            <v>135</v>
          </cell>
        </row>
        <row r="18165">
          <cell r="F18165" t="str">
            <v xml:space="preserve">1111739602     </v>
          </cell>
          <cell r="O18165">
            <v>1215</v>
          </cell>
        </row>
        <row r="18166">
          <cell r="F18166" t="str">
            <v xml:space="preserve">88168843       </v>
          </cell>
          <cell r="O18166">
            <v>18</v>
          </cell>
        </row>
        <row r="18167">
          <cell r="F18167" t="str">
            <v xml:space="preserve">88168843       </v>
          </cell>
          <cell r="O18167">
            <v>270</v>
          </cell>
        </row>
        <row r="18168">
          <cell r="F18168" t="str">
            <v xml:space="preserve">88168843       </v>
          </cell>
          <cell r="O18168">
            <v>15</v>
          </cell>
        </row>
        <row r="18169">
          <cell r="F18169" t="str">
            <v xml:space="preserve">88168843       </v>
          </cell>
          <cell r="O18169">
            <v>216</v>
          </cell>
        </row>
        <row r="18170">
          <cell r="F18170" t="str">
            <v xml:space="preserve">88168843       </v>
          </cell>
          <cell r="O18170">
            <v>9</v>
          </cell>
        </row>
        <row r="18171">
          <cell r="F18171" t="str">
            <v xml:space="preserve">79221604       </v>
          </cell>
          <cell r="O18171">
            <v>18</v>
          </cell>
        </row>
        <row r="18172">
          <cell r="F18172" t="str">
            <v xml:space="preserve">79221604       </v>
          </cell>
          <cell r="O18172">
            <v>180</v>
          </cell>
        </row>
        <row r="18173">
          <cell r="F18173" t="str">
            <v xml:space="preserve">79221604       </v>
          </cell>
          <cell r="O18173">
            <v>45</v>
          </cell>
        </row>
        <row r="18174">
          <cell r="F18174" t="str">
            <v xml:space="preserve">79221604       </v>
          </cell>
          <cell r="O18174">
            <v>18</v>
          </cell>
        </row>
        <row r="18175">
          <cell r="F18175" t="str">
            <v xml:space="preserve">79221604       </v>
          </cell>
          <cell r="O18175">
            <v>270</v>
          </cell>
        </row>
        <row r="18176">
          <cell r="F18176" t="str">
            <v xml:space="preserve">79221604       </v>
          </cell>
          <cell r="O18176">
            <v>45</v>
          </cell>
        </row>
        <row r="18177">
          <cell r="F18177" t="str">
            <v xml:space="preserve">10315862       </v>
          </cell>
          <cell r="O18177">
            <v>15</v>
          </cell>
        </row>
        <row r="18178">
          <cell r="F18178" t="str">
            <v xml:space="preserve">10315862       </v>
          </cell>
          <cell r="O18178">
            <v>90</v>
          </cell>
        </row>
        <row r="18179">
          <cell r="F18179" t="str">
            <v xml:space="preserve">10315862       </v>
          </cell>
          <cell r="O18179">
            <v>90</v>
          </cell>
        </row>
        <row r="18180">
          <cell r="F18180" t="str">
            <v xml:space="preserve">1103101503     </v>
          </cell>
          <cell r="O18180">
            <v>30</v>
          </cell>
        </row>
        <row r="18181">
          <cell r="F18181" t="str">
            <v xml:space="preserve">1103101503     </v>
          </cell>
          <cell r="O18181">
            <v>756</v>
          </cell>
        </row>
        <row r="18182">
          <cell r="F18182" t="str">
            <v xml:space="preserve">1143374955     </v>
          </cell>
          <cell r="O18182">
            <v>285</v>
          </cell>
        </row>
        <row r="18183">
          <cell r="F18183" t="str">
            <v xml:space="preserve">1143374955     </v>
          </cell>
          <cell r="O18183">
            <v>306</v>
          </cell>
        </row>
        <row r="18184">
          <cell r="F18184" t="str">
            <v xml:space="preserve">1143374955     </v>
          </cell>
          <cell r="O18184">
            <v>90</v>
          </cell>
        </row>
        <row r="18185">
          <cell r="F18185" t="str">
            <v xml:space="preserve">80021718       </v>
          </cell>
          <cell r="O18185">
            <v>900</v>
          </cell>
        </row>
        <row r="18186">
          <cell r="F18186" t="str">
            <v xml:space="preserve">80021718       </v>
          </cell>
          <cell r="O18186">
            <v>450</v>
          </cell>
        </row>
        <row r="18187">
          <cell r="F18187" t="str">
            <v xml:space="preserve">860001697      </v>
          </cell>
          <cell r="O18187">
            <v>483.55</v>
          </cell>
        </row>
        <row r="18188">
          <cell r="F18188" t="str">
            <v xml:space="preserve">860001697      </v>
          </cell>
          <cell r="O18188">
            <v>624.1</v>
          </cell>
        </row>
        <row r="18189">
          <cell r="F18189" t="str">
            <v xml:space="preserve">860001697      </v>
          </cell>
          <cell r="O18189">
            <v>403.95</v>
          </cell>
        </row>
        <row r="18190">
          <cell r="F18190" t="str">
            <v xml:space="preserve">74170036       </v>
          </cell>
          <cell r="O18190">
            <v>450</v>
          </cell>
        </row>
        <row r="18191">
          <cell r="F18191" t="str">
            <v xml:space="preserve">74170036       </v>
          </cell>
          <cell r="O18191">
            <v>135</v>
          </cell>
        </row>
        <row r="18192">
          <cell r="F18192" t="str">
            <v xml:space="preserve">7305518        </v>
          </cell>
          <cell r="O18192">
            <v>2070</v>
          </cell>
        </row>
        <row r="18193">
          <cell r="F18193" t="str">
            <v xml:space="preserve">7305518        </v>
          </cell>
          <cell r="O18193">
            <v>540</v>
          </cell>
        </row>
        <row r="18194">
          <cell r="F18194" t="str">
            <v xml:space="preserve">7223456        </v>
          </cell>
          <cell r="O18194">
            <v>60</v>
          </cell>
        </row>
        <row r="18195">
          <cell r="F18195" t="str">
            <v xml:space="preserve">7223456        </v>
          </cell>
          <cell r="O18195">
            <v>900</v>
          </cell>
        </row>
        <row r="18196">
          <cell r="F18196" t="str">
            <v xml:space="preserve">13616258       </v>
          </cell>
          <cell r="O18196">
            <v>450</v>
          </cell>
        </row>
        <row r="18197">
          <cell r="F18197" t="str">
            <v xml:space="preserve">13616258       </v>
          </cell>
          <cell r="O18197">
            <v>2160</v>
          </cell>
        </row>
        <row r="18198">
          <cell r="F18198" t="str">
            <v xml:space="preserve">13616258       </v>
          </cell>
          <cell r="O18198">
            <v>1350</v>
          </cell>
        </row>
        <row r="18199">
          <cell r="F18199" t="str">
            <v xml:space="preserve">13616258       </v>
          </cell>
          <cell r="O18199">
            <v>90</v>
          </cell>
        </row>
        <row r="18200">
          <cell r="F18200" t="str">
            <v xml:space="preserve">7305425        </v>
          </cell>
          <cell r="O18200">
            <v>540</v>
          </cell>
        </row>
        <row r="18201">
          <cell r="F18201" t="str">
            <v xml:space="preserve">7305425        </v>
          </cell>
          <cell r="O18201">
            <v>45</v>
          </cell>
        </row>
        <row r="18202">
          <cell r="F18202" t="str">
            <v xml:space="preserve">7301411        </v>
          </cell>
          <cell r="O18202">
            <v>9</v>
          </cell>
        </row>
        <row r="18203">
          <cell r="F18203" t="str">
            <v xml:space="preserve">7301411        </v>
          </cell>
          <cell r="O18203">
            <v>774</v>
          </cell>
        </row>
        <row r="18204">
          <cell r="F18204" t="str">
            <v xml:space="preserve">7301411        </v>
          </cell>
          <cell r="O18204">
            <v>225</v>
          </cell>
        </row>
        <row r="18205">
          <cell r="F18205" t="str">
            <v xml:space="preserve">17655129       </v>
          </cell>
          <cell r="O18205">
            <v>450</v>
          </cell>
        </row>
        <row r="18206">
          <cell r="F18206" t="str">
            <v xml:space="preserve">17655129       </v>
          </cell>
          <cell r="O18206">
            <v>35</v>
          </cell>
        </row>
        <row r="18207">
          <cell r="F18207" t="str">
            <v xml:space="preserve">17655129       </v>
          </cell>
          <cell r="O18207">
            <v>135</v>
          </cell>
        </row>
        <row r="18208">
          <cell r="F18208" t="str">
            <v xml:space="preserve">1083686504     </v>
          </cell>
          <cell r="O18208">
            <v>225</v>
          </cell>
        </row>
        <row r="18209">
          <cell r="F18209" t="str">
            <v xml:space="preserve">1083686504     </v>
          </cell>
          <cell r="O18209">
            <v>90</v>
          </cell>
        </row>
        <row r="18210">
          <cell r="F18210" t="str">
            <v xml:space="preserve">12256895       </v>
          </cell>
          <cell r="O18210">
            <v>135</v>
          </cell>
        </row>
        <row r="18211">
          <cell r="F18211" t="str">
            <v xml:space="preserve">12256895       </v>
          </cell>
          <cell r="O18211">
            <v>900</v>
          </cell>
        </row>
        <row r="18212">
          <cell r="F18212" t="str">
            <v xml:space="preserve">3024873        </v>
          </cell>
          <cell r="O18212">
            <v>180</v>
          </cell>
        </row>
        <row r="18213">
          <cell r="F18213" t="str">
            <v xml:space="preserve">3024873        </v>
          </cell>
          <cell r="O18213">
            <v>360</v>
          </cell>
        </row>
        <row r="18214">
          <cell r="F18214" t="str">
            <v xml:space="preserve">93131041       </v>
          </cell>
          <cell r="O18214">
            <v>576</v>
          </cell>
        </row>
        <row r="18215">
          <cell r="F18215" t="str">
            <v xml:space="preserve">93131041       </v>
          </cell>
          <cell r="O18215">
            <v>225</v>
          </cell>
        </row>
        <row r="18216">
          <cell r="F18216" t="str">
            <v xml:space="preserve">83226520       </v>
          </cell>
          <cell r="O18216">
            <v>540</v>
          </cell>
        </row>
        <row r="18217">
          <cell r="F18217" t="str">
            <v xml:space="preserve">83226520       </v>
          </cell>
          <cell r="O18217">
            <v>2520</v>
          </cell>
        </row>
        <row r="18218">
          <cell r="F18218" t="str">
            <v xml:space="preserve">12266504       </v>
          </cell>
          <cell r="O18218">
            <v>270</v>
          </cell>
        </row>
        <row r="18219">
          <cell r="F18219" t="str">
            <v xml:space="preserve">12266504       </v>
          </cell>
          <cell r="O18219">
            <v>18</v>
          </cell>
        </row>
        <row r="18220">
          <cell r="F18220" t="str">
            <v xml:space="preserve">12231586       </v>
          </cell>
          <cell r="O18220">
            <v>210</v>
          </cell>
        </row>
        <row r="18221">
          <cell r="F18221" t="str">
            <v xml:space="preserve">12231586       </v>
          </cell>
          <cell r="O18221">
            <v>54</v>
          </cell>
        </row>
        <row r="18222">
          <cell r="F18222" t="str">
            <v xml:space="preserve">12231586       </v>
          </cell>
          <cell r="O18222">
            <v>180</v>
          </cell>
        </row>
        <row r="18223">
          <cell r="F18223" t="str">
            <v xml:space="preserve">83042067       </v>
          </cell>
          <cell r="O18223">
            <v>225</v>
          </cell>
        </row>
        <row r="18224">
          <cell r="F18224" t="str">
            <v xml:space="preserve">83042067       </v>
          </cell>
          <cell r="O18224">
            <v>54</v>
          </cell>
        </row>
        <row r="18225">
          <cell r="F18225" t="str">
            <v xml:space="preserve">83042067       </v>
          </cell>
          <cell r="O18225">
            <v>315</v>
          </cell>
        </row>
        <row r="18226">
          <cell r="F18226" t="str">
            <v xml:space="preserve">11445090       </v>
          </cell>
          <cell r="O18226">
            <v>54</v>
          </cell>
        </row>
        <row r="18227">
          <cell r="F18227" t="str">
            <v xml:space="preserve">11445090       </v>
          </cell>
          <cell r="O18227">
            <v>15</v>
          </cell>
        </row>
        <row r="18228">
          <cell r="F18228" t="str">
            <v xml:space="preserve">11445090       </v>
          </cell>
          <cell r="O18228">
            <v>36</v>
          </cell>
        </row>
        <row r="18229">
          <cell r="F18229" t="str">
            <v xml:space="preserve">11445090       </v>
          </cell>
          <cell r="O18229">
            <v>15</v>
          </cell>
        </row>
        <row r="18230">
          <cell r="F18230" t="str">
            <v xml:space="preserve">11445090       </v>
          </cell>
          <cell r="O18230">
            <v>63</v>
          </cell>
        </row>
        <row r="18231">
          <cell r="F18231" t="str">
            <v xml:space="preserve">11445090       </v>
          </cell>
          <cell r="O18231">
            <v>45</v>
          </cell>
        </row>
        <row r="18232">
          <cell r="F18232" t="str">
            <v xml:space="preserve">11445090       </v>
          </cell>
          <cell r="O18232">
            <v>90</v>
          </cell>
        </row>
        <row r="18233">
          <cell r="F18233" t="str">
            <v xml:space="preserve">11445090       </v>
          </cell>
          <cell r="O18233">
            <v>405</v>
          </cell>
        </row>
        <row r="18234">
          <cell r="F18234" t="str">
            <v xml:space="preserve">11445090       </v>
          </cell>
          <cell r="O18234">
            <v>117</v>
          </cell>
        </row>
        <row r="18235">
          <cell r="F18235" t="str">
            <v xml:space="preserve">11445090       </v>
          </cell>
          <cell r="O18235">
            <v>15</v>
          </cell>
        </row>
        <row r="18236">
          <cell r="F18236" t="str">
            <v xml:space="preserve">11445090       </v>
          </cell>
          <cell r="O18236">
            <v>756</v>
          </cell>
        </row>
        <row r="18237">
          <cell r="F18237" t="str">
            <v xml:space="preserve">11445090       </v>
          </cell>
          <cell r="O18237">
            <v>135</v>
          </cell>
        </row>
        <row r="18238">
          <cell r="F18238" t="str">
            <v xml:space="preserve">11445090       </v>
          </cell>
          <cell r="O18238">
            <v>189</v>
          </cell>
        </row>
        <row r="18239">
          <cell r="F18239" t="str">
            <v xml:space="preserve">11445090       </v>
          </cell>
          <cell r="O18239">
            <v>180</v>
          </cell>
        </row>
        <row r="18240">
          <cell r="F18240" t="str">
            <v xml:space="preserve">11445090       </v>
          </cell>
          <cell r="O18240">
            <v>828</v>
          </cell>
        </row>
        <row r="18241">
          <cell r="F18241" t="str">
            <v xml:space="preserve">11445090       </v>
          </cell>
          <cell r="O18241">
            <v>270</v>
          </cell>
        </row>
        <row r="18242">
          <cell r="F18242" t="str">
            <v xml:space="preserve">11445090       </v>
          </cell>
          <cell r="O18242">
            <v>684</v>
          </cell>
        </row>
        <row r="18243">
          <cell r="F18243" t="str">
            <v xml:space="preserve">11445090       </v>
          </cell>
          <cell r="O18243">
            <v>63</v>
          </cell>
        </row>
        <row r="18244">
          <cell r="F18244" t="str">
            <v xml:space="preserve">11445090       </v>
          </cell>
          <cell r="O18244">
            <v>60</v>
          </cell>
        </row>
        <row r="18245">
          <cell r="F18245" t="str">
            <v xml:space="preserve">11445090       </v>
          </cell>
          <cell r="O18245">
            <v>90</v>
          </cell>
        </row>
        <row r="18246">
          <cell r="F18246" t="str">
            <v xml:space="preserve">11445090       </v>
          </cell>
          <cell r="O18246">
            <v>144</v>
          </cell>
        </row>
        <row r="18247">
          <cell r="F18247" t="str">
            <v xml:space="preserve">11445090       </v>
          </cell>
          <cell r="O18247">
            <v>120</v>
          </cell>
        </row>
        <row r="18248">
          <cell r="F18248" t="str">
            <v xml:space="preserve">11445090       </v>
          </cell>
          <cell r="O18248">
            <v>792</v>
          </cell>
        </row>
        <row r="18249">
          <cell r="F18249" t="str">
            <v xml:space="preserve">11445090       </v>
          </cell>
          <cell r="O18249">
            <v>270</v>
          </cell>
        </row>
        <row r="18250">
          <cell r="F18250" t="str">
            <v xml:space="preserve">11445090       </v>
          </cell>
          <cell r="O18250">
            <v>99</v>
          </cell>
        </row>
        <row r="18251">
          <cell r="F18251" t="str">
            <v xml:space="preserve">11445090       </v>
          </cell>
          <cell r="O18251">
            <v>120</v>
          </cell>
        </row>
        <row r="18252">
          <cell r="F18252" t="str">
            <v xml:space="preserve">11445090       </v>
          </cell>
          <cell r="O18252">
            <v>954</v>
          </cell>
        </row>
        <row r="18253">
          <cell r="F18253" t="str">
            <v xml:space="preserve">11445090       </v>
          </cell>
          <cell r="O18253">
            <v>81</v>
          </cell>
        </row>
        <row r="18254">
          <cell r="F18254" t="str">
            <v xml:space="preserve">11445090       </v>
          </cell>
          <cell r="O18254">
            <v>45</v>
          </cell>
        </row>
        <row r="18255">
          <cell r="F18255" t="str">
            <v xml:space="preserve">11445090       </v>
          </cell>
          <cell r="O18255">
            <v>270</v>
          </cell>
        </row>
        <row r="18256">
          <cell r="F18256" t="str">
            <v xml:space="preserve">11445090       </v>
          </cell>
          <cell r="O18256">
            <v>1044</v>
          </cell>
        </row>
        <row r="18257">
          <cell r="F18257" t="str">
            <v xml:space="preserve">11445090       </v>
          </cell>
          <cell r="O18257">
            <v>99</v>
          </cell>
        </row>
        <row r="18258">
          <cell r="F18258" t="str">
            <v xml:space="preserve">11445090       </v>
          </cell>
          <cell r="O18258">
            <v>120</v>
          </cell>
        </row>
        <row r="18259">
          <cell r="F18259" t="str">
            <v xml:space="preserve">11445090       </v>
          </cell>
          <cell r="O18259">
            <v>18</v>
          </cell>
        </row>
        <row r="18260">
          <cell r="F18260" t="str">
            <v xml:space="preserve">11445090       </v>
          </cell>
          <cell r="O18260">
            <v>225</v>
          </cell>
        </row>
        <row r="18261">
          <cell r="F18261" t="str">
            <v xml:space="preserve">11445090       </v>
          </cell>
          <cell r="O18261">
            <v>36</v>
          </cell>
        </row>
        <row r="18262">
          <cell r="F18262" t="str">
            <v xml:space="preserve">11445090       </v>
          </cell>
          <cell r="O18262">
            <v>30</v>
          </cell>
        </row>
        <row r="18263">
          <cell r="F18263" t="str">
            <v xml:space="preserve">11445090       </v>
          </cell>
          <cell r="O18263">
            <v>126</v>
          </cell>
        </row>
        <row r="18264">
          <cell r="F18264" t="str">
            <v xml:space="preserve">11445090       </v>
          </cell>
          <cell r="O18264">
            <v>90</v>
          </cell>
        </row>
        <row r="18265">
          <cell r="F18265" t="str">
            <v xml:space="preserve">11445090       </v>
          </cell>
          <cell r="O18265">
            <v>144</v>
          </cell>
        </row>
        <row r="18266">
          <cell r="F18266" t="str">
            <v xml:space="preserve">11445090       </v>
          </cell>
          <cell r="O18266">
            <v>882</v>
          </cell>
        </row>
        <row r="18267">
          <cell r="F18267" t="str">
            <v xml:space="preserve">11445090       </v>
          </cell>
          <cell r="O18267">
            <v>180</v>
          </cell>
        </row>
        <row r="18268">
          <cell r="F18268" t="str">
            <v xml:space="preserve">11445090       </v>
          </cell>
          <cell r="O18268">
            <v>15</v>
          </cell>
        </row>
        <row r="18269">
          <cell r="F18269" t="str">
            <v xml:space="preserve">11445090       </v>
          </cell>
          <cell r="O18269">
            <v>666</v>
          </cell>
        </row>
        <row r="18270">
          <cell r="F18270" t="str">
            <v xml:space="preserve">830133323      </v>
          </cell>
          <cell r="O18270">
            <v>72</v>
          </cell>
        </row>
        <row r="18271">
          <cell r="F18271" t="str">
            <v xml:space="preserve">80277771       </v>
          </cell>
          <cell r="O18271">
            <v>1242</v>
          </cell>
        </row>
        <row r="18272">
          <cell r="F18272" t="str">
            <v xml:space="preserve">80277771       </v>
          </cell>
          <cell r="O18272">
            <v>720</v>
          </cell>
        </row>
        <row r="18273">
          <cell r="F18273" t="str">
            <v xml:space="preserve">830133323      </v>
          </cell>
          <cell r="O18273">
            <v>72</v>
          </cell>
        </row>
        <row r="18274">
          <cell r="F18274" t="str">
            <v xml:space="preserve">830133323      </v>
          </cell>
          <cell r="O18274">
            <v>45</v>
          </cell>
        </row>
        <row r="18275">
          <cell r="F18275" t="str">
            <v xml:space="preserve">830133323      </v>
          </cell>
          <cell r="O18275">
            <v>45</v>
          </cell>
        </row>
        <row r="18276">
          <cell r="F18276" t="str">
            <v xml:space="preserve">80351964       </v>
          </cell>
          <cell r="O18276">
            <v>72</v>
          </cell>
        </row>
        <row r="18277">
          <cell r="F18277" t="str">
            <v xml:space="preserve">80351964       </v>
          </cell>
          <cell r="O18277">
            <v>216</v>
          </cell>
        </row>
        <row r="18278">
          <cell r="F18278" t="str">
            <v xml:space="preserve">80351964       </v>
          </cell>
          <cell r="O18278">
            <v>45</v>
          </cell>
        </row>
        <row r="18279">
          <cell r="F18279" t="str">
            <v xml:space="preserve">1072422938     </v>
          </cell>
          <cell r="O18279">
            <v>342</v>
          </cell>
        </row>
        <row r="18280">
          <cell r="F18280" t="str">
            <v xml:space="preserve">1072422938     </v>
          </cell>
          <cell r="O18280">
            <v>450</v>
          </cell>
        </row>
        <row r="18281">
          <cell r="F18281" t="str">
            <v xml:space="preserve">80276442       </v>
          </cell>
          <cell r="O18281">
            <v>486</v>
          </cell>
        </row>
        <row r="18282">
          <cell r="F18282" t="str">
            <v xml:space="preserve">80276442       </v>
          </cell>
          <cell r="O18282">
            <v>90</v>
          </cell>
        </row>
        <row r="18283">
          <cell r="F18283" t="str">
            <v xml:space="preserve">4090572        </v>
          </cell>
          <cell r="O18283">
            <v>45</v>
          </cell>
        </row>
        <row r="18284">
          <cell r="F18284" t="str">
            <v xml:space="preserve">4090572        </v>
          </cell>
          <cell r="O18284">
            <v>30</v>
          </cell>
        </row>
        <row r="18285">
          <cell r="F18285" t="str">
            <v xml:space="preserve">4090572        </v>
          </cell>
          <cell r="O18285">
            <v>504</v>
          </cell>
        </row>
        <row r="18286">
          <cell r="F18286" t="str">
            <v xml:space="preserve">4090572        </v>
          </cell>
          <cell r="O18286">
            <v>27</v>
          </cell>
        </row>
        <row r="18287">
          <cell r="F18287" t="str">
            <v xml:space="preserve">4090572        </v>
          </cell>
          <cell r="O18287">
            <v>90</v>
          </cell>
        </row>
        <row r="18288">
          <cell r="F18288" t="str">
            <v xml:space="preserve">4090572        </v>
          </cell>
          <cell r="O18288">
            <v>90</v>
          </cell>
        </row>
        <row r="18289">
          <cell r="F18289" t="str">
            <v xml:space="preserve">79210220       </v>
          </cell>
          <cell r="O18289">
            <v>18</v>
          </cell>
        </row>
        <row r="18290">
          <cell r="F18290" t="str">
            <v xml:space="preserve">79210220       </v>
          </cell>
          <cell r="O18290">
            <v>360</v>
          </cell>
        </row>
        <row r="18291">
          <cell r="F18291" t="str">
            <v xml:space="preserve">79210220       </v>
          </cell>
          <cell r="O18291">
            <v>90</v>
          </cell>
        </row>
        <row r="18292">
          <cell r="F18292" t="str">
            <v xml:space="preserve">79589699       </v>
          </cell>
          <cell r="O18292">
            <v>18</v>
          </cell>
        </row>
        <row r="18293">
          <cell r="F18293" t="str">
            <v xml:space="preserve">80024551       </v>
          </cell>
          <cell r="O18293">
            <v>90</v>
          </cell>
        </row>
        <row r="18294">
          <cell r="F18294" t="str">
            <v xml:space="preserve">80024551       </v>
          </cell>
          <cell r="O18294">
            <v>1152</v>
          </cell>
        </row>
        <row r="18295">
          <cell r="F18295" t="str">
            <v xml:space="preserve">80024551       </v>
          </cell>
          <cell r="O18295">
            <v>270</v>
          </cell>
        </row>
        <row r="18296">
          <cell r="F18296" t="str">
            <v xml:space="preserve">80024551       </v>
          </cell>
          <cell r="O18296">
            <v>54</v>
          </cell>
        </row>
        <row r="18297">
          <cell r="F18297" t="str">
            <v xml:space="preserve">4198272        </v>
          </cell>
          <cell r="O18297">
            <v>54</v>
          </cell>
        </row>
        <row r="18298">
          <cell r="F18298" t="str">
            <v xml:space="preserve">4198272        </v>
          </cell>
          <cell r="O18298">
            <v>45</v>
          </cell>
        </row>
        <row r="18299">
          <cell r="F18299" t="str">
            <v xml:space="preserve">4198272        </v>
          </cell>
          <cell r="O18299">
            <v>540</v>
          </cell>
        </row>
        <row r="18300">
          <cell r="F18300" t="str">
            <v xml:space="preserve">4198272        </v>
          </cell>
          <cell r="O18300">
            <v>90</v>
          </cell>
        </row>
        <row r="18301">
          <cell r="F18301" t="str">
            <v xml:space="preserve">4198272        </v>
          </cell>
          <cell r="O18301">
            <v>1980</v>
          </cell>
        </row>
        <row r="18302">
          <cell r="F18302" t="str">
            <v xml:space="preserve">80829725       </v>
          </cell>
          <cell r="O18302">
            <v>1260</v>
          </cell>
        </row>
        <row r="18303">
          <cell r="F18303" t="str">
            <v xml:space="preserve">80829725       </v>
          </cell>
          <cell r="O18303">
            <v>270</v>
          </cell>
        </row>
        <row r="18304">
          <cell r="F18304" t="str">
            <v xml:space="preserve">80004213       </v>
          </cell>
          <cell r="O18304">
            <v>60</v>
          </cell>
        </row>
        <row r="18305">
          <cell r="F18305" t="str">
            <v xml:space="preserve">80004213       </v>
          </cell>
          <cell r="O18305">
            <v>540</v>
          </cell>
        </row>
        <row r="18306">
          <cell r="F18306" t="str">
            <v xml:space="preserve">80004213       </v>
          </cell>
          <cell r="O18306">
            <v>270</v>
          </cell>
        </row>
        <row r="18307">
          <cell r="F18307" t="str">
            <v xml:space="preserve">79339314       </v>
          </cell>
          <cell r="O18307">
            <v>90</v>
          </cell>
        </row>
        <row r="18308">
          <cell r="F18308" t="str">
            <v xml:space="preserve">79339314       </v>
          </cell>
          <cell r="O18308">
            <v>90</v>
          </cell>
        </row>
        <row r="18309">
          <cell r="F18309" t="str">
            <v xml:space="preserve">79339314       </v>
          </cell>
          <cell r="O18309">
            <v>90</v>
          </cell>
        </row>
        <row r="18310">
          <cell r="F18310" t="str">
            <v xml:space="preserve">3171403        </v>
          </cell>
          <cell r="O18310">
            <v>180</v>
          </cell>
        </row>
        <row r="18311">
          <cell r="F18311" t="str">
            <v xml:space="preserve">3171403        </v>
          </cell>
          <cell r="O18311">
            <v>15</v>
          </cell>
        </row>
        <row r="18312">
          <cell r="F18312" t="str">
            <v xml:space="preserve">3171403        </v>
          </cell>
          <cell r="O18312">
            <v>414</v>
          </cell>
        </row>
        <row r="18313">
          <cell r="F18313" t="str">
            <v xml:space="preserve">83218584       </v>
          </cell>
          <cell r="O18313">
            <v>420</v>
          </cell>
        </row>
        <row r="18314">
          <cell r="F18314" t="str">
            <v xml:space="preserve">83218584       </v>
          </cell>
          <cell r="O18314">
            <v>90</v>
          </cell>
        </row>
        <row r="18315">
          <cell r="F18315" t="str">
            <v xml:space="preserve">51856228       </v>
          </cell>
          <cell r="O18315">
            <v>9</v>
          </cell>
        </row>
        <row r="18316">
          <cell r="F18316" t="str">
            <v xml:space="preserve">51856228       </v>
          </cell>
          <cell r="O18316">
            <v>864</v>
          </cell>
        </row>
        <row r="18317">
          <cell r="F18317" t="str">
            <v xml:space="preserve">51856228       </v>
          </cell>
          <cell r="O18317">
            <v>135</v>
          </cell>
        </row>
        <row r="18318">
          <cell r="F18318" t="str">
            <v xml:space="preserve">830133323      </v>
          </cell>
          <cell r="O18318">
            <v>54</v>
          </cell>
        </row>
        <row r="18319">
          <cell r="F18319" t="str">
            <v xml:space="preserve">830133323      </v>
          </cell>
          <cell r="O18319">
            <v>18</v>
          </cell>
        </row>
        <row r="18320">
          <cell r="F18320" t="str">
            <v xml:space="preserve">830133323      </v>
          </cell>
          <cell r="O18320">
            <v>90</v>
          </cell>
        </row>
        <row r="18321">
          <cell r="F18321" t="str">
            <v xml:space="preserve">16186421       </v>
          </cell>
          <cell r="O18321">
            <v>1500</v>
          </cell>
        </row>
        <row r="18322">
          <cell r="F18322" t="str">
            <v xml:space="preserve">16186421       </v>
          </cell>
          <cell r="O18322">
            <v>225</v>
          </cell>
        </row>
        <row r="18323">
          <cell r="F18323" t="str">
            <v xml:space="preserve">63316163       </v>
          </cell>
          <cell r="O18323">
            <v>1260</v>
          </cell>
        </row>
        <row r="18324">
          <cell r="F18324" t="str">
            <v xml:space="preserve">63316163       </v>
          </cell>
          <cell r="O18324">
            <v>675</v>
          </cell>
        </row>
        <row r="18325">
          <cell r="F18325" t="str">
            <v xml:space="preserve">1097404034     </v>
          </cell>
          <cell r="O18325">
            <v>600</v>
          </cell>
        </row>
        <row r="18326">
          <cell r="F18326" t="str">
            <v xml:space="preserve">1097404034     </v>
          </cell>
          <cell r="O18326">
            <v>36</v>
          </cell>
        </row>
        <row r="18327">
          <cell r="F18327" t="str">
            <v xml:space="preserve">1097404034     </v>
          </cell>
          <cell r="O18327">
            <v>45</v>
          </cell>
        </row>
        <row r="18328">
          <cell r="F18328" t="str">
            <v xml:space="preserve">15989735       </v>
          </cell>
          <cell r="O18328">
            <v>9</v>
          </cell>
        </row>
        <row r="18329">
          <cell r="F18329" t="str">
            <v xml:space="preserve">15989735       </v>
          </cell>
          <cell r="O18329">
            <v>300</v>
          </cell>
        </row>
        <row r="18330">
          <cell r="F18330" t="str">
            <v xml:space="preserve">15989735       </v>
          </cell>
          <cell r="O18330">
            <v>1620</v>
          </cell>
        </row>
        <row r="18331">
          <cell r="F18331" t="str">
            <v xml:space="preserve">15989735       </v>
          </cell>
          <cell r="O18331">
            <v>180</v>
          </cell>
        </row>
        <row r="18332">
          <cell r="F18332" t="str">
            <v xml:space="preserve">94071517       </v>
          </cell>
          <cell r="O18332">
            <v>90</v>
          </cell>
        </row>
        <row r="18333">
          <cell r="F18333" t="str">
            <v xml:space="preserve">94071517       </v>
          </cell>
          <cell r="O18333">
            <v>225</v>
          </cell>
        </row>
        <row r="18334">
          <cell r="F18334" t="str">
            <v xml:space="preserve">94071517       </v>
          </cell>
          <cell r="O18334">
            <v>225</v>
          </cell>
        </row>
        <row r="18335">
          <cell r="F18335" t="str">
            <v xml:space="preserve">94071517       </v>
          </cell>
          <cell r="O18335">
            <v>54</v>
          </cell>
        </row>
        <row r="18336">
          <cell r="F18336" t="str">
            <v xml:space="preserve">8435389        </v>
          </cell>
          <cell r="O18336">
            <v>1500</v>
          </cell>
        </row>
        <row r="18337">
          <cell r="F18337" t="str">
            <v xml:space="preserve">8435389        </v>
          </cell>
          <cell r="O18337">
            <v>1566</v>
          </cell>
        </row>
        <row r="18338">
          <cell r="F18338" t="str">
            <v xml:space="preserve">8435389        </v>
          </cell>
          <cell r="O18338">
            <v>234</v>
          </cell>
        </row>
        <row r="18339">
          <cell r="F18339" t="str">
            <v xml:space="preserve">8458310        </v>
          </cell>
          <cell r="O18339">
            <v>30</v>
          </cell>
        </row>
        <row r="18340">
          <cell r="F18340" t="str">
            <v xml:space="preserve">8458310        </v>
          </cell>
          <cell r="O18340">
            <v>108</v>
          </cell>
        </row>
        <row r="18341">
          <cell r="F18341" t="str">
            <v xml:space="preserve">8458310        </v>
          </cell>
          <cell r="O18341">
            <v>360</v>
          </cell>
        </row>
        <row r="18342">
          <cell r="F18342" t="str">
            <v xml:space="preserve">211            </v>
          </cell>
          <cell r="O18342">
            <v>4.5</v>
          </cell>
        </row>
        <row r="18343">
          <cell r="F18343" t="str">
            <v xml:space="preserve">211            </v>
          </cell>
          <cell r="O18343">
            <v>2052</v>
          </cell>
        </row>
        <row r="18344">
          <cell r="F18344" t="str">
            <v xml:space="preserve">1101440685     </v>
          </cell>
          <cell r="O18344">
            <v>210</v>
          </cell>
        </row>
        <row r="18345">
          <cell r="F18345" t="str">
            <v xml:space="preserve">1101440685     </v>
          </cell>
          <cell r="O18345">
            <v>972</v>
          </cell>
        </row>
        <row r="18346">
          <cell r="F18346" t="str">
            <v xml:space="preserve">1101440685     </v>
          </cell>
          <cell r="O18346">
            <v>90</v>
          </cell>
        </row>
        <row r="18347">
          <cell r="F18347" t="str">
            <v xml:space="preserve">901269856      </v>
          </cell>
          <cell r="O18347">
            <v>540</v>
          </cell>
        </row>
        <row r="18348">
          <cell r="F18348" t="str">
            <v xml:space="preserve">901269856      </v>
          </cell>
          <cell r="O18348">
            <v>45</v>
          </cell>
        </row>
        <row r="18349">
          <cell r="F18349" t="str">
            <v xml:space="preserve">1039696881     </v>
          </cell>
          <cell r="O18349">
            <v>846</v>
          </cell>
        </row>
        <row r="18350">
          <cell r="F18350" t="str">
            <v xml:space="preserve">1070329625     </v>
          </cell>
          <cell r="O18350">
            <v>135</v>
          </cell>
        </row>
        <row r="18351">
          <cell r="F18351" t="str">
            <v xml:space="preserve">1070329625     </v>
          </cell>
          <cell r="O18351">
            <v>900</v>
          </cell>
        </row>
        <row r="18352">
          <cell r="F18352" t="str">
            <v xml:space="preserve">1092154547     </v>
          </cell>
          <cell r="O18352">
            <v>378</v>
          </cell>
        </row>
        <row r="18353">
          <cell r="F18353" t="str">
            <v xml:space="preserve">15381508       </v>
          </cell>
          <cell r="O18353">
            <v>315</v>
          </cell>
        </row>
        <row r="18354">
          <cell r="F18354" t="str">
            <v xml:space="preserve">15381508       </v>
          </cell>
          <cell r="O18354">
            <v>288</v>
          </cell>
        </row>
        <row r="18355">
          <cell r="F18355" t="str">
            <v xml:space="preserve">15381508       </v>
          </cell>
          <cell r="O18355">
            <v>180</v>
          </cell>
        </row>
        <row r="18356">
          <cell r="F18356" t="str">
            <v xml:space="preserve">88273778       </v>
          </cell>
          <cell r="O18356">
            <v>300</v>
          </cell>
        </row>
        <row r="18357">
          <cell r="F18357" t="str">
            <v xml:space="preserve">88273778       </v>
          </cell>
          <cell r="O18357">
            <v>18</v>
          </cell>
        </row>
        <row r="18358">
          <cell r="F18358" t="str">
            <v xml:space="preserve">10174892       </v>
          </cell>
          <cell r="O18358">
            <v>45</v>
          </cell>
        </row>
        <row r="18359">
          <cell r="F18359" t="str">
            <v xml:space="preserve">10174892       </v>
          </cell>
          <cell r="O18359">
            <v>180</v>
          </cell>
        </row>
        <row r="18360">
          <cell r="F18360" t="str">
            <v xml:space="preserve">10174892       </v>
          </cell>
          <cell r="O18360">
            <v>90</v>
          </cell>
        </row>
        <row r="18361">
          <cell r="F18361" t="str">
            <v xml:space="preserve">10174892       </v>
          </cell>
          <cell r="O18361">
            <v>18</v>
          </cell>
        </row>
        <row r="18362">
          <cell r="F18362" t="str">
            <v xml:space="preserve">10174892       </v>
          </cell>
          <cell r="O18362">
            <v>30</v>
          </cell>
        </row>
        <row r="18363">
          <cell r="F18363" t="str">
            <v xml:space="preserve">10174892       </v>
          </cell>
          <cell r="O18363">
            <v>810</v>
          </cell>
        </row>
        <row r="18364">
          <cell r="F18364" t="str">
            <v xml:space="preserve">10174892       </v>
          </cell>
          <cell r="O18364">
            <v>90</v>
          </cell>
        </row>
        <row r="18365">
          <cell r="F18365" t="str">
            <v xml:space="preserve">98763233       </v>
          </cell>
          <cell r="O18365">
            <v>27</v>
          </cell>
        </row>
        <row r="18366">
          <cell r="F18366" t="str">
            <v xml:space="preserve">98763233       </v>
          </cell>
          <cell r="O18366">
            <v>30</v>
          </cell>
        </row>
        <row r="18367">
          <cell r="F18367" t="str">
            <v xml:space="preserve">98763233       </v>
          </cell>
          <cell r="O18367">
            <v>1278</v>
          </cell>
        </row>
        <row r="18368">
          <cell r="F18368" t="str">
            <v xml:space="preserve">98711342       </v>
          </cell>
          <cell r="O18368">
            <v>9</v>
          </cell>
        </row>
        <row r="18369">
          <cell r="F18369" t="str">
            <v xml:space="preserve">98711342       </v>
          </cell>
          <cell r="O18369">
            <v>378</v>
          </cell>
        </row>
        <row r="18370">
          <cell r="F18370" t="str">
            <v xml:space="preserve">37726719       </v>
          </cell>
          <cell r="O18370">
            <v>450</v>
          </cell>
        </row>
        <row r="18371">
          <cell r="F18371" t="str">
            <v xml:space="preserve">37726719       </v>
          </cell>
          <cell r="O18371">
            <v>900</v>
          </cell>
        </row>
        <row r="18372">
          <cell r="F18372" t="str">
            <v xml:space="preserve">37726719       </v>
          </cell>
          <cell r="O18372">
            <v>180</v>
          </cell>
        </row>
        <row r="18373">
          <cell r="F18373" t="str">
            <v xml:space="preserve">901301637      </v>
          </cell>
          <cell r="O18373">
            <v>5634</v>
          </cell>
        </row>
        <row r="18374">
          <cell r="F18374" t="str">
            <v xml:space="preserve">901301637      </v>
          </cell>
          <cell r="O18374">
            <v>1080</v>
          </cell>
        </row>
        <row r="18375">
          <cell r="F18375" t="str">
            <v xml:space="preserve">901301637      </v>
          </cell>
          <cell r="O18375">
            <v>45</v>
          </cell>
        </row>
        <row r="18376">
          <cell r="F18376" t="str">
            <v xml:space="preserve">900689732      </v>
          </cell>
          <cell r="O18376">
            <v>18</v>
          </cell>
        </row>
        <row r="18377">
          <cell r="F18377" t="str">
            <v xml:space="preserve">1090397527     </v>
          </cell>
          <cell r="O18377">
            <v>1050</v>
          </cell>
        </row>
        <row r="18378">
          <cell r="F18378" t="str">
            <v xml:space="preserve">1090397527     </v>
          </cell>
          <cell r="O18378">
            <v>900</v>
          </cell>
        </row>
        <row r="18379">
          <cell r="F18379" t="str">
            <v xml:space="preserve">1090397527     </v>
          </cell>
          <cell r="O18379">
            <v>1125</v>
          </cell>
        </row>
        <row r="18380">
          <cell r="F18380" t="str">
            <v xml:space="preserve">1090397527     </v>
          </cell>
          <cell r="O18380">
            <v>270</v>
          </cell>
        </row>
        <row r="18381">
          <cell r="F18381" t="str">
            <v xml:space="preserve">1090397527     </v>
          </cell>
          <cell r="O18381">
            <v>300</v>
          </cell>
        </row>
        <row r="18382">
          <cell r="F18382" t="str">
            <v xml:space="preserve">1090397527     </v>
          </cell>
          <cell r="O18382">
            <v>135</v>
          </cell>
        </row>
        <row r="18383">
          <cell r="F18383" t="str">
            <v xml:space="preserve">1090397527     </v>
          </cell>
          <cell r="O18383">
            <v>120</v>
          </cell>
        </row>
        <row r="18384">
          <cell r="F18384" t="str">
            <v xml:space="preserve">1090397527     </v>
          </cell>
          <cell r="O18384">
            <v>360</v>
          </cell>
        </row>
        <row r="18385">
          <cell r="F18385" t="str">
            <v xml:space="preserve">1090397527     </v>
          </cell>
          <cell r="O18385">
            <v>450</v>
          </cell>
        </row>
        <row r="18386">
          <cell r="F18386" t="str">
            <v xml:space="preserve">860001697      </v>
          </cell>
          <cell r="O18386">
            <v>261.41000000000003</v>
          </cell>
        </row>
        <row r="18387">
          <cell r="F18387" t="str">
            <v xml:space="preserve">1053331458     </v>
          </cell>
          <cell r="O18387">
            <v>738</v>
          </cell>
        </row>
        <row r="18388">
          <cell r="F18388" t="str">
            <v xml:space="preserve">1053331458     </v>
          </cell>
          <cell r="O18388">
            <v>135</v>
          </cell>
        </row>
        <row r="18389">
          <cell r="F18389" t="str">
            <v xml:space="preserve">73126502       </v>
          </cell>
          <cell r="O18389">
            <v>4.5</v>
          </cell>
        </row>
        <row r="18390">
          <cell r="F18390" t="str">
            <v xml:space="preserve">73126502       </v>
          </cell>
          <cell r="O18390">
            <v>195</v>
          </cell>
        </row>
        <row r="18391">
          <cell r="F18391" t="str">
            <v xml:space="preserve">73126502       </v>
          </cell>
          <cell r="O18391">
            <v>108</v>
          </cell>
        </row>
        <row r="18392">
          <cell r="F18392" t="str">
            <v xml:space="preserve">73126502       </v>
          </cell>
          <cell r="O18392">
            <v>45</v>
          </cell>
        </row>
        <row r="18393">
          <cell r="F18393" t="str">
            <v xml:space="preserve">71142360       </v>
          </cell>
          <cell r="O18393">
            <v>300</v>
          </cell>
        </row>
        <row r="18394">
          <cell r="F18394" t="str">
            <v xml:space="preserve">71142360       </v>
          </cell>
          <cell r="O18394">
            <v>288</v>
          </cell>
        </row>
        <row r="18395">
          <cell r="F18395" t="str">
            <v xml:space="preserve">71142360       </v>
          </cell>
          <cell r="O18395">
            <v>135</v>
          </cell>
        </row>
        <row r="18396">
          <cell r="F18396" t="str">
            <v xml:space="preserve">71142360       </v>
          </cell>
          <cell r="O18396">
            <v>810</v>
          </cell>
        </row>
        <row r="18397">
          <cell r="F18397" t="str">
            <v xml:space="preserve">71142360       </v>
          </cell>
          <cell r="O18397">
            <v>594</v>
          </cell>
        </row>
        <row r="18398">
          <cell r="F18398" t="str">
            <v xml:space="preserve">71142360       </v>
          </cell>
          <cell r="O18398">
            <v>45</v>
          </cell>
        </row>
        <row r="18399">
          <cell r="F18399" t="str">
            <v xml:space="preserve">18592123       </v>
          </cell>
          <cell r="O18399">
            <v>2250</v>
          </cell>
        </row>
        <row r="18400">
          <cell r="F18400" t="str">
            <v xml:space="preserve">24341063       </v>
          </cell>
          <cell r="O18400">
            <v>9</v>
          </cell>
        </row>
        <row r="18401">
          <cell r="F18401" t="str">
            <v xml:space="preserve">24341063       </v>
          </cell>
          <cell r="O18401">
            <v>750</v>
          </cell>
        </row>
        <row r="18402">
          <cell r="F18402" t="str">
            <v xml:space="preserve">24341063       </v>
          </cell>
          <cell r="O18402">
            <v>108</v>
          </cell>
        </row>
        <row r="18403">
          <cell r="F18403" t="str">
            <v xml:space="preserve">24341063       </v>
          </cell>
          <cell r="O18403">
            <v>90</v>
          </cell>
        </row>
        <row r="18404">
          <cell r="F18404" t="str">
            <v xml:space="preserve">901178932      </v>
          </cell>
          <cell r="O18404">
            <v>54</v>
          </cell>
        </row>
        <row r="18405">
          <cell r="F18405" t="str">
            <v xml:space="preserve">43656575       </v>
          </cell>
          <cell r="O18405">
            <v>1134</v>
          </cell>
        </row>
        <row r="18406">
          <cell r="F18406" t="str">
            <v xml:space="preserve">17421056       </v>
          </cell>
          <cell r="O18406">
            <v>15</v>
          </cell>
        </row>
        <row r="18407">
          <cell r="F18407" t="str">
            <v xml:space="preserve">17421056       </v>
          </cell>
          <cell r="O18407">
            <v>30</v>
          </cell>
        </row>
        <row r="18408">
          <cell r="F18408" t="str">
            <v xml:space="preserve">73559455       </v>
          </cell>
          <cell r="O18408">
            <v>9</v>
          </cell>
        </row>
        <row r="18409">
          <cell r="F18409" t="str">
            <v xml:space="preserve">73559455       </v>
          </cell>
          <cell r="O18409">
            <v>150</v>
          </cell>
        </row>
        <row r="18410">
          <cell r="F18410" t="str">
            <v xml:space="preserve">73559455       </v>
          </cell>
          <cell r="O18410">
            <v>144</v>
          </cell>
        </row>
        <row r="18411">
          <cell r="F18411" t="str">
            <v xml:space="preserve">901150879      </v>
          </cell>
          <cell r="O18411">
            <v>15</v>
          </cell>
        </row>
        <row r="18412">
          <cell r="F18412" t="str">
            <v xml:space="preserve">1214745372     </v>
          </cell>
          <cell r="O18412">
            <v>504</v>
          </cell>
        </row>
        <row r="18413">
          <cell r="F18413" t="str">
            <v xml:space="preserve">860001697      </v>
          </cell>
          <cell r="O18413">
            <v>254.5</v>
          </cell>
        </row>
        <row r="18414">
          <cell r="F18414" t="str">
            <v xml:space="preserve">860005265      </v>
          </cell>
          <cell r="O18414">
            <v>1109</v>
          </cell>
        </row>
        <row r="18415">
          <cell r="F18415" t="str">
            <v xml:space="preserve">860005265      </v>
          </cell>
          <cell r="O18415">
            <v>668.5</v>
          </cell>
        </row>
        <row r="18416">
          <cell r="F18416" t="str">
            <v xml:space="preserve">800052377      </v>
          </cell>
          <cell r="O18416">
            <v>72</v>
          </cell>
        </row>
        <row r="18417">
          <cell r="F18417" t="str">
            <v xml:space="preserve">800052377      </v>
          </cell>
          <cell r="O18417">
            <v>54</v>
          </cell>
        </row>
        <row r="18418">
          <cell r="F18418" t="str">
            <v xml:space="preserve">805018495      </v>
          </cell>
          <cell r="O18418">
            <v>126</v>
          </cell>
        </row>
        <row r="18419">
          <cell r="F18419" t="str">
            <v xml:space="preserve">830107617      </v>
          </cell>
          <cell r="O18419">
            <v>54</v>
          </cell>
        </row>
        <row r="18420">
          <cell r="F18420" t="str">
            <v xml:space="preserve">890302594      </v>
          </cell>
          <cell r="O18420">
            <v>180</v>
          </cell>
        </row>
        <row r="18421">
          <cell r="F18421" t="str">
            <v xml:space="preserve">890302594      </v>
          </cell>
          <cell r="O18421">
            <v>108</v>
          </cell>
        </row>
        <row r="18422">
          <cell r="F18422" t="str">
            <v xml:space="preserve">890903939      </v>
          </cell>
          <cell r="O18422">
            <v>132</v>
          </cell>
        </row>
        <row r="18423">
          <cell r="F18423" t="str">
            <v xml:space="preserve">860001697      </v>
          </cell>
          <cell r="O18423">
            <v>346.3</v>
          </cell>
        </row>
        <row r="18424">
          <cell r="F18424" t="str">
            <v xml:space="preserve">860001697      </v>
          </cell>
          <cell r="O18424">
            <v>114.65</v>
          </cell>
        </row>
        <row r="18425">
          <cell r="F18425" t="str">
            <v xml:space="preserve">860001697      </v>
          </cell>
          <cell r="O18425">
            <v>479.35</v>
          </cell>
        </row>
        <row r="18426">
          <cell r="F18426" t="str">
            <v xml:space="preserve">860005265      </v>
          </cell>
          <cell r="O18426">
            <v>147.41999999999999</v>
          </cell>
        </row>
        <row r="18427">
          <cell r="F18427" t="str">
            <v xml:space="preserve">101            </v>
          </cell>
          <cell r="O18427">
            <v>30</v>
          </cell>
        </row>
        <row r="18428">
          <cell r="F18428" t="str">
            <v xml:space="preserve">101            </v>
          </cell>
          <cell r="O18428">
            <v>15</v>
          </cell>
        </row>
        <row r="18429">
          <cell r="F18429" t="str">
            <v xml:space="preserve">101            </v>
          </cell>
          <cell r="O18429">
            <v>90</v>
          </cell>
        </row>
        <row r="18430">
          <cell r="F18430" t="str">
            <v xml:space="preserve">102            </v>
          </cell>
          <cell r="O18430">
            <v>15</v>
          </cell>
        </row>
        <row r="18431">
          <cell r="F18431" t="str">
            <v xml:space="preserve">800090890      </v>
          </cell>
          <cell r="O18431">
            <v>36</v>
          </cell>
        </row>
        <row r="18432">
          <cell r="F18432" t="str">
            <v xml:space="preserve">811014849      </v>
          </cell>
          <cell r="O18432">
            <v>90</v>
          </cell>
        </row>
        <row r="18433">
          <cell r="F18433" t="str">
            <v xml:space="preserve">890800450      </v>
          </cell>
          <cell r="O18433">
            <v>36</v>
          </cell>
        </row>
        <row r="18434">
          <cell r="F18434" t="str">
            <v xml:space="preserve">890805453      </v>
          </cell>
          <cell r="O18434">
            <v>54</v>
          </cell>
        </row>
        <row r="18435">
          <cell r="F18435" t="str">
            <v xml:space="preserve">890903939      </v>
          </cell>
          <cell r="O18435">
            <v>126</v>
          </cell>
        </row>
        <row r="18436">
          <cell r="F18436" t="str">
            <v xml:space="preserve">900543878      </v>
          </cell>
          <cell r="O18436">
            <v>18</v>
          </cell>
        </row>
        <row r="18437">
          <cell r="F18437" t="str">
            <v xml:space="preserve">901555731      </v>
          </cell>
          <cell r="O18437">
            <v>18</v>
          </cell>
        </row>
        <row r="18438">
          <cell r="F18438" t="str">
            <v xml:space="preserve">901555731      </v>
          </cell>
          <cell r="O18438">
            <v>135</v>
          </cell>
        </row>
        <row r="18439">
          <cell r="F18439" t="str">
            <v xml:space="preserve">901555731      </v>
          </cell>
          <cell r="O18439">
            <v>90</v>
          </cell>
        </row>
        <row r="18440">
          <cell r="F18440" t="str">
            <v xml:space="preserve">73186091       </v>
          </cell>
          <cell r="O18440">
            <v>270</v>
          </cell>
        </row>
        <row r="18441">
          <cell r="F18441" t="str">
            <v xml:space="preserve">830036921      </v>
          </cell>
          <cell r="O18441">
            <v>251</v>
          </cell>
        </row>
        <row r="18442">
          <cell r="F18442" t="str">
            <v xml:space="preserve">860001697      </v>
          </cell>
          <cell r="O18442">
            <v>1078.45</v>
          </cell>
        </row>
        <row r="18443">
          <cell r="F18443" t="str">
            <v xml:space="preserve">800226901      </v>
          </cell>
          <cell r="O18443">
            <v>380</v>
          </cell>
        </row>
        <row r="18444">
          <cell r="F18444" t="str">
            <v xml:space="preserve">800226901      </v>
          </cell>
          <cell r="O18444">
            <v>45</v>
          </cell>
        </row>
        <row r="18445">
          <cell r="F18445" t="str">
            <v xml:space="preserve">800226901      </v>
          </cell>
          <cell r="O18445">
            <v>-60</v>
          </cell>
        </row>
        <row r="18446">
          <cell r="F18446" t="str">
            <v xml:space="preserve">800226901      </v>
          </cell>
          <cell r="O18446">
            <v>-100</v>
          </cell>
        </row>
        <row r="18447">
          <cell r="F18447" t="str">
            <v xml:space="preserve">800226901      </v>
          </cell>
          <cell r="O18447">
            <v>-40</v>
          </cell>
        </row>
        <row r="18448">
          <cell r="F18448" t="str">
            <v xml:space="preserve">800226901      </v>
          </cell>
          <cell r="O18448">
            <v>-45</v>
          </cell>
        </row>
        <row r="18449">
          <cell r="F18449" t="str">
            <v xml:space="preserve">800226901      </v>
          </cell>
          <cell r="O18449">
            <v>-180</v>
          </cell>
        </row>
        <row r="18450">
          <cell r="F18450" t="str">
            <v xml:space="preserve">811047008      </v>
          </cell>
          <cell r="O18450">
            <v>54</v>
          </cell>
        </row>
        <row r="18451">
          <cell r="F18451" t="str">
            <v xml:space="preserve">830011337      </v>
          </cell>
          <cell r="O18451">
            <v>72</v>
          </cell>
        </row>
        <row r="18452">
          <cell r="F18452" t="str">
            <v xml:space="preserve">830099238      </v>
          </cell>
          <cell r="O18452">
            <v>80</v>
          </cell>
        </row>
        <row r="18453">
          <cell r="F18453" t="str">
            <v xml:space="preserve">860002536      </v>
          </cell>
          <cell r="O18453">
            <v>90</v>
          </cell>
        </row>
        <row r="18454">
          <cell r="F18454" t="str">
            <v xml:space="preserve">860002536      </v>
          </cell>
          <cell r="O18454">
            <v>15</v>
          </cell>
        </row>
        <row r="18455">
          <cell r="F18455" t="str">
            <v xml:space="preserve">860002536      </v>
          </cell>
          <cell r="O18455">
            <v>30</v>
          </cell>
        </row>
        <row r="18456">
          <cell r="F18456" t="str">
            <v xml:space="preserve">900049818      </v>
          </cell>
          <cell r="O18456">
            <v>32</v>
          </cell>
        </row>
        <row r="18457">
          <cell r="F18457" t="str">
            <v xml:space="preserve">900603554      </v>
          </cell>
          <cell r="O18457">
            <v>198</v>
          </cell>
        </row>
        <row r="18458">
          <cell r="F18458" t="str">
            <v xml:space="preserve">900896246      </v>
          </cell>
          <cell r="O18458">
            <v>72</v>
          </cell>
        </row>
        <row r="18459">
          <cell r="F18459" t="str">
            <v xml:space="preserve">901083559      </v>
          </cell>
          <cell r="O18459">
            <v>60</v>
          </cell>
        </row>
        <row r="18460">
          <cell r="F18460" t="str">
            <v xml:space="preserve">811014849      </v>
          </cell>
          <cell r="O18460">
            <v>357.1</v>
          </cell>
        </row>
        <row r="18461">
          <cell r="F18461" t="str">
            <v xml:space="preserve">830006735      </v>
          </cell>
          <cell r="O18461">
            <v>126</v>
          </cell>
        </row>
        <row r="18462">
          <cell r="F18462" t="str">
            <v xml:space="preserve">890205142      </v>
          </cell>
          <cell r="O18462">
            <v>405</v>
          </cell>
        </row>
        <row r="18463">
          <cell r="F18463" t="str">
            <v xml:space="preserve">890205142      </v>
          </cell>
          <cell r="O18463">
            <v>360</v>
          </cell>
        </row>
        <row r="18464">
          <cell r="F18464" t="str">
            <v xml:space="preserve">1104405256     </v>
          </cell>
          <cell r="O18464">
            <v>900</v>
          </cell>
        </row>
        <row r="18465">
          <cell r="F18465" t="str">
            <v xml:space="preserve">1104405256     </v>
          </cell>
          <cell r="O18465">
            <v>720</v>
          </cell>
        </row>
        <row r="18466">
          <cell r="F18466" t="str">
            <v xml:space="preserve">407            </v>
          </cell>
          <cell r="O18466">
            <v>270</v>
          </cell>
        </row>
        <row r="18467">
          <cell r="F18467" t="str">
            <v xml:space="preserve">800090890      </v>
          </cell>
          <cell r="O18467">
            <v>19</v>
          </cell>
        </row>
        <row r="18468">
          <cell r="F18468" t="str">
            <v xml:space="preserve">800090890      </v>
          </cell>
          <cell r="O18468">
            <v>48</v>
          </cell>
        </row>
        <row r="18469">
          <cell r="F18469" t="str">
            <v xml:space="preserve">800090890      </v>
          </cell>
          <cell r="O18469">
            <v>19</v>
          </cell>
        </row>
        <row r="18470">
          <cell r="F18470" t="str">
            <v xml:space="preserve">811014849      </v>
          </cell>
          <cell r="O18470">
            <v>180</v>
          </cell>
        </row>
        <row r="18471">
          <cell r="F18471" t="str">
            <v xml:space="preserve">811014849      </v>
          </cell>
          <cell r="O18471">
            <v>108</v>
          </cell>
        </row>
        <row r="18472">
          <cell r="F18472" t="str">
            <v xml:space="preserve">890903939      </v>
          </cell>
          <cell r="O18472">
            <v>1175.5</v>
          </cell>
        </row>
        <row r="18473">
          <cell r="F18473" t="str">
            <v xml:space="preserve">890903939      </v>
          </cell>
          <cell r="O18473">
            <v>260.66000000000003</v>
          </cell>
        </row>
        <row r="18474">
          <cell r="F18474" t="str">
            <v xml:space="preserve">890903939      </v>
          </cell>
          <cell r="O18474">
            <v>157.15</v>
          </cell>
        </row>
        <row r="18475">
          <cell r="F18475" t="str">
            <v xml:space="preserve">211            </v>
          </cell>
          <cell r="O18475">
            <v>465</v>
          </cell>
        </row>
        <row r="18476">
          <cell r="F18476" t="str">
            <v xml:space="preserve">211            </v>
          </cell>
          <cell r="O18476">
            <v>612</v>
          </cell>
        </row>
        <row r="18477">
          <cell r="F18477" t="str">
            <v xml:space="preserve">211            </v>
          </cell>
          <cell r="O18477">
            <v>90</v>
          </cell>
        </row>
        <row r="18478">
          <cell r="F18478" t="str">
            <v xml:space="preserve">211            </v>
          </cell>
          <cell r="O18478">
            <v>360</v>
          </cell>
        </row>
        <row r="18479">
          <cell r="F18479" t="str">
            <v xml:space="preserve">211            </v>
          </cell>
          <cell r="O18479">
            <v>315</v>
          </cell>
        </row>
        <row r="18480">
          <cell r="F18480" t="str">
            <v xml:space="preserve">860001697      </v>
          </cell>
          <cell r="O18480">
            <v>230.6</v>
          </cell>
        </row>
        <row r="18481">
          <cell r="F18481" t="str">
            <v xml:space="preserve">860001697      </v>
          </cell>
          <cell r="O18481">
            <v>254.55</v>
          </cell>
        </row>
        <row r="18482">
          <cell r="F18482" t="str">
            <v xml:space="preserve">806008873      </v>
          </cell>
          <cell r="O18482">
            <v>0</v>
          </cell>
        </row>
        <row r="18483">
          <cell r="F18483" t="str">
            <v xml:space="preserve">806008873      </v>
          </cell>
          <cell r="O18483">
            <v>225</v>
          </cell>
        </row>
        <row r="18484">
          <cell r="F18484" t="str">
            <v xml:space="preserve">811032699      </v>
          </cell>
          <cell r="O18484">
            <v>72</v>
          </cell>
        </row>
        <row r="18485">
          <cell r="F18485" t="str">
            <v xml:space="preserve">830076368      </v>
          </cell>
          <cell r="O18485">
            <v>45</v>
          </cell>
        </row>
        <row r="18486">
          <cell r="F18486" t="str">
            <v xml:space="preserve">830076368      </v>
          </cell>
          <cell r="O18486">
            <v>105</v>
          </cell>
        </row>
        <row r="18487">
          <cell r="F18487" t="str">
            <v xml:space="preserve">830095213      </v>
          </cell>
          <cell r="O18487">
            <v>180</v>
          </cell>
        </row>
        <row r="18488">
          <cell r="F18488" t="str">
            <v xml:space="preserve">830095213      </v>
          </cell>
          <cell r="O18488">
            <v>45</v>
          </cell>
        </row>
        <row r="18489">
          <cell r="F18489" t="str">
            <v xml:space="preserve">890403515      </v>
          </cell>
          <cell r="O18489">
            <v>54</v>
          </cell>
        </row>
        <row r="18490">
          <cell r="F18490" t="str">
            <v xml:space="preserve">890903939      </v>
          </cell>
          <cell r="O18490">
            <v>379.04</v>
          </cell>
        </row>
        <row r="18491">
          <cell r="F18491" t="str">
            <v xml:space="preserve">900093075      </v>
          </cell>
          <cell r="O18491">
            <v>36</v>
          </cell>
        </row>
        <row r="18492">
          <cell r="F18492" t="str">
            <v xml:space="preserve">900820045      </v>
          </cell>
          <cell r="O18492">
            <v>36</v>
          </cell>
        </row>
        <row r="18493">
          <cell r="F18493" t="str">
            <v xml:space="preserve">900820045      </v>
          </cell>
          <cell r="O18493">
            <v>18</v>
          </cell>
        </row>
        <row r="18494">
          <cell r="F18494" t="str">
            <v xml:space="preserve">900820045      </v>
          </cell>
          <cell r="O18494">
            <v>36</v>
          </cell>
        </row>
        <row r="18495">
          <cell r="F18495" t="str">
            <v xml:space="preserve">901196694      </v>
          </cell>
          <cell r="O18495">
            <v>36</v>
          </cell>
        </row>
        <row r="18496">
          <cell r="F18496" t="str">
            <v xml:space="preserve">800229035      </v>
          </cell>
          <cell r="O18496">
            <v>90</v>
          </cell>
        </row>
        <row r="18497">
          <cell r="F18497" t="str">
            <v xml:space="preserve">800229035      </v>
          </cell>
          <cell r="O18497">
            <v>90</v>
          </cell>
        </row>
        <row r="18498">
          <cell r="F18498" t="str">
            <v xml:space="preserve">800229035      </v>
          </cell>
          <cell r="O18498">
            <v>60</v>
          </cell>
        </row>
        <row r="18499">
          <cell r="F18499" t="str">
            <v xml:space="preserve">890903939      </v>
          </cell>
          <cell r="O18499">
            <v>355.8</v>
          </cell>
        </row>
        <row r="18500">
          <cell r="F18500" t="str">
            <v xml:space="preserve">890903939      </v>
          </cell>
          <cell r="O18500">
            <v>697.45</v>
          </cell>
        </row>
        <row r="18501">
          <cell r="F18501" t="str">
            <v xml:space="preserve">901046830      </v>
          </cell>
          <cell r="O18501">
            <v>405</v>
          </cell>
        </row>
        <row r="18502">
          <cell r="F18502" t="str">
            <v xml:space="preserve">18593088       </v>
          </cell>
          <cell r="O18502">
            <v>74.3</v>
          </cell>
        </row>
        <row r="18503">
          <cell r="F18503" t="str">
            <v xml:space="preserve">890803296      </v>
          </cell>
          <cell r="O18503">
            <v>864.6</v>
          </cell>
        </row>
        <row r="18504">
          <cell r="F18504" t="str">
            <v xml:space="preserve">900417711      </v>
          </cell>
          <cell r="O18504">
            <v>214</v>
          </cell>
        </row>
        <row r="18505">
          <cell r="F18505" t="str">
            <v xml:space="preserve">900444396      </v>
          </cell>
          <cell r="O18505">
            <v>223.1</v>
          </cell>
        </row>
        <row r="18506">
          <cell r="F18506" t="str">
            <v xml:space="preserve">830107617      </v>
          </cell>
          <cell r="O18506">
            <v>4910</v>
          </cell>
        </row>
        <row r="18507">
          <cell r="F18507" t="str">
            <v xml:space="preserve">901247983      </v>
          </cell>
          <cell r="O18507">
            <v>4130</v>
          </cell>
        </row>
        <row r="18508">
          <cell r="F18508" t="str">
            <v xml:space="preserve">3267641        </v>
          </cell>
          <cell r="O18508">
            <v>45.6</v>
          </cell>
        </row>
        <row r="18509">
          <cell r="F18509" t="str">
            <v xml:space="preserve">830071552      </v>
          </cell>
          <cell r="O18509">
            <v>1773.5</v>
          </cell>
        </row>
        <row r="18510">
          <cell r="F18510" t="str">
            <v xml:space="preserve">900893568      </v>
          </cell>
          <cell r="O18510">
            <v>188.6</v>
          </cell>
        </row>
        <row r="18511">
          <cell r="F18511" t="str">
            <v xml:space="preserve">901488798      </v>
          </cell>
          <cell r="O18511">
            <v>249.8</v>
          </cell>
        </row>
        <row r="18512">
          <cell r="F18512" t="str">
            <v xml:space="preserve">901547550      </v>
          </cell>
          <cell r="O18512">
            <v>662.7</v>
          </cell>
        </row>
        <row r="18513">
          <cell r="F18513" t="str">
            <v xml:space="preserve">1075233722     </v>
          </cell>
          <cell r="O18513">
            <v>95.5</v>
          </cell>
        </row>
        <row r="18514">
          <cell r="F18514" t="str">
            <v xml:space="preserve">1117528016     </v>
          </cell>
          <cell r="O18514">
            <v>64.099999999999994</v>
          </cell>
        </row>
        <row r="18515">
          <cell r="F18515" t="str">
            <v xml:space="preserve">17655255       </v>
          </cell>
          <cell r="O18515">
            <v>46.7</v>
          </cell>
        </row>
        <row r="18516">
          <cell r="F18516" t="str">
            <v xml:space="preserve">40759008       </v>
          </cell>
          <cell r="O18516">
            <v>65</v>
          </cell>
        </row>
        <row r="18517">
          <cell r="F18517" t="str">
            <v xml:space="preserve">700171862      </v>
          </cell>
          <cell r="O18517">
            <v>145.69999999999999</v>
          </cell>
        </row>
        <row r="18518">
          <cell r="F18518" t="str">
            <v xml:space="preserve">94364658       </v>
          </cell>
          <cell r="O18518">
            <v>155.4</v>
          </cell>
        </row>
        <row r="18519">
          <cell r="F18519" t="str">
            <v xml:space="preserve">860403972      </v>
          </cell>
          <cell r="O18519">
            <v>1255.0999999999999</v>
          </cell>
        </row>
        <row r="18520">
          <cell r="F18520" t="str">
            <v xml:space="preserve">890332769      </v>
          </cell>
          <cell r="O18520">
            <v>5338.4</v>
          </cell>
        </row>
        <row r="18521">
          <cell r="F18521" t="str">
            <v xml:space="preserve">212            </v>
          </cell>
          <cell r="O18521">
            <v>15</v>
          </cell>
        </row>
        <row r="18522">
          <cell r="F18522" t="str">
            <v xml:space="preserve">212            </v>
          </cell>
          <cell r="O18522">
            <v>18</v>
          </cell>
        </row>
        <row r="18523">
          <cell r="F18523" t="str">
            <v xml:space="preserve">212            </v>
          </cell>
          <cell r="O18523">
            <v>135</v>
          </cell>
        </row>
        <row r="18524">
          <cell r="F18524" t="str">
            <v xml:space="preserve">212            </v>
          </cell>
          <cell r="O18524">
            <v>60</v>
          </cell>
        </row>
        <row r="18525">
          <cell r="F18525" t="str">
            <v xml:space="preserve">212            </v>
          </cell>
          <cell r="O18525">
            <v>144</v>
          </cell>
        </row>
        <row r="18526">
          <cell r="F18526" t="str">
            <v xml:space="preserve">900569044      </v>
          </cell>
          <cell r="O18526">
            <v>45</v>
          </cell>
        </row>
        <row r="18527">
          <cell r="F18527" t="str">
            <v xml:space="preserve">900569044      </v>
          </cell>
          <cell r="O18527">
            <v>45</v>
          </cell>
        </row>
        <row r="18528">
          <cell r="F18528" t="str">
            <v xml:space="preserve">213            </v>
          </cell>
          <cell r="O18528">
            <v>450</v>
          </cell>
        </row>
        <row r="18529">
          <cell r="F18529" t="str">
            <v xml:space="preserve">213            </v>
          </cell>
          <cell r="O18529">
            <v>288</v>
          </cell>
        </row>
        <row r="18530">
          <cell r="F18530" t="str">
            <v xml:space="preserve">70052771       </v>
          </cell>
          <cell r="O18530">
            <v>75</v>
          </cell>
        </row>
        <row r="18531">
          <cell r="F18531" t="str">
            <v xml:space="preserve">70052771       </v>
          </cell>
          <cell r="O18531">
            <v>54</v>
          </cell>
        </row>
        <row r="18532">
          <cell r="F18532" t="str">
            <v xml:space="preserve">800147650      </v>
          </cell>
          <cell r="O18532">
            <v>105</v>
          </cell>
        </row>
        <row r="18533">
          <cell r="F18533" t="str">
            <v xml:space="preserve">811035741      </v>
          </cell>
          <cell r="O18533">
            <v>72</v>
          </cell>
        </row>
        <row r="18534">
          <cell r="F18534" t="str">
            <v xml:space="preserve">811035741      </v>
          </cell>
          <cell r="O18534">
            <v>60</v>
          </cell>
        </row>
        <row r="18535">
          <cell r="F18535" t="str">
            <v xml:space="preserve">860013809      </v>
          </cell>
          <cell r="O18535">
            <v>180</v>
          </cell>
        </row>
        <row r="18536">
          <cell r="F18536" t="str">
            <v xml:space="preserve">890900424      </v>
          </cell>
          <cell r="O18536">
            <v>30</v>
          </cell>
        </row>
        <row r="18537">
          <cell r="F18537" t="str">
            <v xml:space="preserve">890904713      </v>
          </cell>
          <cell r="O18537">
            <v>30</v>
          </cell>
        </row>
        <row r="18538">
          <cell r="F18538" t="str">
            <v xml:space="preserve">890918272      </v>
          </cell>
          <cell r="O18538">
            <v>36</v>
          </cell>
        </row>
        <row r="18539">
          <cell r="F18539" t="str">
            <v xml:space="preserve">899999049      </v>
          </cell>
          <cell r="O18539">
            <v>15</v>
          </cell>
        </row>
        <row r="18540">
          <cell r="F18540" t="str">
            <v xml:space="preserve">899999049      </v>
          </cell>
          <cell r="O18540">
            <v>36</v>
          </cell>
        </row>
        <row r="18541">
          <cell r="F18541" t="str">
            <v xml:space="preserve">900743223      </v>
          </cell>
          <cell r="O18541">
            <v>15</v>
          </cell>
        </row>
        <row r="18542">
          <cell r="F18542" t="str">
            <v xml:space="preserve">900743223      </v>
          </cell>
          <cell r="O18542">
            <v>54</v>
          </cell>
        </row>
        <row r="18543">
          <cell r="F18543" t="str">
            <v xml:space="preserve">901436775      </v>
          </cell>
          <cell r="O18543">
            <v>0</v>
          </cell>
        </row>
        <row r="18544">
          <cell r="F18544" t="str">
            <v xml:space="preserve">901436775      </v>
          </cell>
          <cell r="O18544">
            <v>165</v>
          </cell>
        </row>
        <row r="18545">
          <cell r="F18545" t="str">
            <v xml:space="preserve">901436775      </v>
          </cell>
          <cell r="O18545">
            <v>-75</v>
          </cell>
        </row>
        <row r="18546">
          <cell r="F18546" t="str">
            <v xml:space="preserve">210            </v>
          </cell>
          <cell r="O18546">
            <v>630</v>
          </cell>
        </row>
        <row r="18547">
          <cell r="F18547" t="str">
            <v xml:space="preserve">210            </v>
          </cell>
          <cell r="O18547">
            <v>135</v>
          </cell>
        </row>
        <row r="18548">
          <cell r="F18548" t="str">
            <v xml:space="preserve">101            </v>
          </cell>
          <cell r="O18548">
            <v>9</v>
          </cell>
        </row>
        <row r="18549">
          <cell r="F18549" t="str">
            <v xml:space="preserve">101            </v>
          </cell>
          <cell r="O18549">
            <v>60</v>
          </cell>
        </row>
        <row r="18550">
          <cell r="F18550" t="str">
            <v xml:space="preserve">101            </v>
          </cell>
          <cell r="O18550">
            <v>432</v>
          </cell>
        </row>
        <row r="18551">
          <cell r="F18551" t="str">
            <v xml:space="preserve">101            </v>
          </cell>
          <cell r="O18551">
            <v>9</v>
          </cell>
        </row>
        <row r="18552">
          <cell r="F18552" t="str">
            <v xml:space="preserve">101            </v>
          </cell>
          <cell r="O18552">
            <v>36</v>
          </cell>
        </row>
        <row r="18553">
          <cell r="F18553" t="str">
            <v xml:space="preserve">101            </v>
          </cell>
          <cell r="O18553">
            <v>45</v>
          </cell>
        </row>
        <row r="18554">
          <cell r="F18554" t="str">
            <v xml:space="preserve">101            </v>
          </cell>
          <cell r="O18554">
            <v>36</v>
          </cell>
        </row>
        <row r="18555">
          <cell r="F18555" t="str">
            <v xml:space="preserve">890903939      </v>
          </cell>
          <cell r="O18555">
            <v>73</v>
          </cell>
        </row>
        <row r="18556">
          <cell r="F18556" t="str">
            <v xml:space="preserve">404            </v>
          </cell>
          <cell r="O18556">
            <v>360</v>
          </cell>
        </row>
        <row r="18557">
          <cell r="F18557" t="str">
            <v xml:space="preserve">404            </v>
          </cell>
          <cell r="O18557">
            <v>18</v>
          </cell>
        </row>
        <row r="18558">
          <cell r="F18558" t="str">
            <v xml:space="preserve">404            </v>
          </cell>
          <cell r="O18558">
            <v>45</v>
          </cell>
        </row>
        <row r="18559">
          <cell r="F18559" t="str">
            <v xml:space="preserve">404            </v>
          </cell>
          <cell r="O18559">
            <v>285</v>
          </cell>
        </row>
        <row r="18560">
          <cell r="F18560" t="str">
            <v xml:space="preserve">860026753      </v>
          </cell>
          <cell r="O18560">
            <v>135</v>
          </cell>
        </row>
        <row r="18561">
          <cell r="F18561" t="str">
            <v xml:space="preserve">890108961      </v>
          </cell>
          <cell r="O18561">
            <v>90</v>
          </cell>
        </row>
        <row r="18562">
          <cell r="F18562" t="str">
            <v xml:space="preserve">210            </v>
          </cell>
          <cell r="O18562">
            <v>30</v>
          </cell>
        </row>
        <row r="18563">
          <cell r="F18563" t="str">
            <v xml:space="preserve">210            </v>
          </cell>
          <cell r="O18563">
            <v>4.5</v>
          </cell>
        </row>
        <row r="18564">
          <cell r="F18564" t="str">
            <v xml:space="preserve">210            </v>
          </cell>
          <cell r="O18564">
            <v>252</v>
          </cell>
        </row>
        <row r="18565">
          <cell r="F18565" t="str">
            <v xml:space="preserve">800003267      </v>
          </cell>
          <cell r="O18565">
            <v>162</v>
          </cell>
        </row>
        <row r="18566">
          <cell r="F18566" t="str">
            <v xml:space="preserve">800068285      </v>
          </cell>
          <cell r="O18566">
            <v>18</v>
          </cell>
        </row>
        <row r="18567">
          <cell r="F18567" t="str">
            <v xml:space="preserve">800161451      </v>
          </cell>
          <cell r="O18567">
            <v>18</v>
          </cell>
        </row>
        <row r="18568">
          <cell r="F18568" t="str">
            <v xml:space="preserve">800222648      </v>
          </cell>
          <cell r="O18568">
            <v>18</v>
          </cell>
        </row>
        <row r="18569">
          <cell r="F18569" t="str">
            <v xml:space="preserve">805026018      </v>
          </cell>
          <cell r="O18569">
            <v>36</v>
          </cell>
        </row>
        <row r="18570">
          <cell r="F18570" t="str">
            <v xml:space="preserve">811047008      </v>
          </cell>
          <cell r="O18570">
            <v>36</v>
          </cell>
        </row>
        <row r="18571">
          <cell r="F18571" t="str">
            <v xml:space="preserve">890301752      </v>
          </cell>
          <cell r="O18571">
            <v>54</v>
          </cell>
        </row>
        <row r="18572">
          <cell r="F18572" t="str">
            <v xml:space="preserve">890302609      </v>
          </cell>
          <cell r="O18572">
            <v>129</v>
          </cell>
        </row>
        <row r="18573">
          <cell r="F18573" t="str">
            <v xml:space="preserve">890321924      </v>
          </cell>
          <cell r="O18573">
            <v>18</v>
          </cell>
        </row>
        <row r="18574">
          <cell r="F18574" t="str">
            <v xml:space="preserve">890903939      </v>
          </cell>
          <cell r="O18574">
            <v>244</v>
          </cell>
        </row>
        <row r="18575">
          <cell r="F18575" t="str">
            <v xml:space="preserve">900517670      </v>
          </cell>
          <cell r="O18575">
            <v>18</v>
          </cell>
        </row>
        <row r="18576">
          <cell r="F18576" t="str">
            <v xml:space="preserve">900555944      </v>
          </cell>
          <cell r="O18576">
            <v>18</v>
          </cell>
        </row>
        <row r="18577">
          <cell r="F18577" t="str">
            <v xml:space="preserve">900767174      </v>
          </cell>
          <cell r="O18577">
            <v>36</v>
          </cell>
        </row>
        <row r="18578">
          <cell r="F18578" t="str">
            <v xml:space="preserve">811020038      </v>
          </cell>
          <cell r="O18578">
            <v>54</v>
          </cell>
        </row>
        <row r="18579">
          <cell r="F18579" t="str">
            <v xml:space="preserve">860001697      </v>
          </cell>
          <cell r="O18579">
            <v>508.46</v>
          </cell>
        </row>
        <row r="18580">
          <cell r="F18580" t="str">
            <v xml:space="preserve">860001697      </v>
          </cell>
          <cell r="O18580">
            <v>219.49</v>
          </cell>
        </row>
        <row r="18581">
          <cell r="F18581" t="str">
            <v xml:space="preserve">800141632      </v>
          </cell>
          <cell r="O18581">
            <v>180</v>
          </cell>
        </row>
        <row r="18582">
          <cell r="F18582" t="str">
            <v xml:space="preserve">52790620       </v>
          </cell>
          <cell r="O18582">
            <v>2232</v>
          </cell>
        </row>
        <row r="18583">
          <cell r="F18583" t="str">
            <v xml:space="preserve">860001697      </v>
          </cell>
          <cell r="O18583">
            <v>277.64999999999998</v>
          </cell>
        </row>
        <row r="18584">
          <cell r="F18584" t="str">
            <v xml:space="preserve">890903939      </v>
          </cell>
          <cell r="O18584">
            <v>205</v>
          </cell>
        </row>
        <row r="18585">
          <cell r="F18585" t="str">
            <v xml:space="preserve">212            </v>
          </cell>
          <cell r="O18585">
            <v>36</v>
          </cell>
        </row>
        <row r="18586">
          <cell r="F18586" t="str">
            <v xml:space="preserve">900495908      </v>
          </cell>
          <cell r="O18586">
            <v>45</v>
          </cell>
        </row>
        <row r="18587">
          <cell r="F18587" t="str">
            <v xml:space="preserve">900495908      </v>
          </cell>
          <cell r="O18587">
            <v>15</v>
          </cell>
        </row>
        <row r="18588">
          <cell r="F18588" t="str">
            <v xml:space="preserve">213            </v>
          </cell>
          <cell r="O18588">
            <v>180</v>
          </cell>
        </row>
        <row r="18589">
          <cell r="F18589" t="str">
            <v xml:space="preserve">213            </v>
          </cell>
          <cell r="O18589">
            <v>432</v>
          </cell>
        </row>
        <row r="18590">
          <cell r="F18590" t="str">
            <v xml:space="preserve">213            </v>
          </cell>
          <cell r="O18590">
            <v>45</v>
          </cell>
        </row>
        <row r="18591">
          <cell r="F18591" t="str">
            <v xml:space="preserve">830010738      </v>
          </cell>
          <cell r="O18591">
            <v>934.4</v>
          </cell>
        </row>
        <row r="18592">
          <cell r="F18592" t="str">
            <v xml:space="preserve">860002536      </v>
          </cell>
          <cell r="O18592">
            <v>1314</v>
          </cell>
        </row>
        <row r="18593">
          <cell r="F18593" t="str">
            <v xml:space="preserve">900474647      </v>
          </cell>
          <cell r="O18593">
            <v>1000.4</v>
          </cell>
        </row>
        <row r="18594">
          <cell r="F18594" t="str">
            <v xml:space="preserve">212            </v>
          </cell>
          <cell r="O18594">
            <v>45</v>
          </cell>
        </row>
        <row r="18595">
          <cell r="F18595" t="str">
            <v xml:space="preserve">890900161      </v>
          </cell>
          <cell r="O18595">
            <v>150</v>
          </cell>
        </row>
        <row r="18596">
          <cell r="F18596" t="str">
            <v xml:space="preserve">890985417      </v>
          </cell>
          <cell r="O18596">
            <v>18</v>
          </cell>
        </row>
        <row r="18597">
          <cell r="F18597" t="str">
            <v xml:space="preserve">805000977      </v>
          </cell>
          <cell r="O18597">
            <v>18</v>
          </cell>
        </row>
        <row r="18598">
          <cell r="F18598" t="str">
            <v xml:space="preserve">805007674      </v>
          </cell>
          <cell r="O18598">
            <v>468</v>
          </cell>
        </row>
        <row r="18599">
          <cell r="F18599" t="str">
            <v xml:space="preserve">805012977      </v>
          </cell>
          <cell r="O18599">
            <v>72</v>
          </cell>
        </row>
        <row r="18600">
          <cell r="F18600" t="str">
            <v xml:space="preserve">815004320      </v>
          </cell>
          <cell r="O18600">
            <v>36</v>
          </cell>
        </row>
        <row r="18601">
          <cell r="F18601" t="str">
            <v xml:space="preserve">860020382      </v>
          </cell>
          <cell r="O18601">
            <v>36</v>
          </cell>
        </row>
        <row r="18602">
          <cell r="F18602" t="str">
            <v xml:space="preserve">860020382      </v>
          </cell>
          <cell r="O18602">
            <v>54</v>
          </cell>
        </row>
        <row r="18603">
          <cell r="F18603" t="str">
            <v xml:space="preserve">890300534      </v>
          </cell>
          <cell r="O18603">
            <v>45</v>
          </cell>
        </row>
        <row r="18604">
          <cell r="F18604" t="str">
            <v xml:space="preserve">890308085      </v>
          </cell>
          <cell r="O18604">
            <v>54</v>
          </cell>
        </row>
        <row r="18605">
          <cell r="F18605" t="str">
            <v xml:space="preserve">890311251      </v>
          </cell>
          <cell r="O18605">
            <v>72</v>
          </cell>
        </row>
        <row r="18606">
          <cell r="F18606" t="str">
            <v xml:space="preserve">890311251      </v>
          </cell>
          <cell r="O18606">
            <v>72</v>
          </cell>
        </row>
        <row r="18607">
          <cell r="F18607" t="str">
            <v xml:space="preserve">890312630      </v>
          </cell>
          <cell r="O18607">
            <v>78</v>
          </cell>
        </row>
        <row r="18608">
          <cell r="F18608" t="str">
            <v xml:space="preserve">890904713      </v>
          </cell>
          <cell r="O18608">
            <v>54</v>
          </cell>
        </row>
        <row r="18609">
          <cell r="F18609" t="str">
            <v xml:space="preserve">900234565      </v>
          </cell>
          <cell r="O18609">
            <v>18</v>
          </cell>
        </row>
        <row r="18610">
          <cell r="F18610" t="str">
            <v xml:space="preserve">900818921      </v>
          </cell>
          <cell r="O18610">
            <v>374</v>
          </cell>
        </row>
        <row r="18611">
          <cell r="F18611" t="str">
            <v xml:space="preserve">900896300      </v>
          </cell>
          <cell r="O18611">
            <v>141</v>
          </cell>
        </row>
        <row r="18612">
          <cell r="F18612" t="str">
            <v xml:space="preserve">901026262      </v>
          </cell>
          <cell r="O18612">
            <v>72</v>
          </cell>
        </row>
        <row r="18613">
          <cell r="F18613" t="str">
            <v xml:space="preserve">901026262      </v>
          </cell>
          <cell r="O18613">
            <v>36</v>
          </cell>
        </row>
        <row r="18614">
          <cell r="F18614" t="str">
            <v xml:space="preserve">212            </v>
          </cell>
          <cell r="O18614">
            <v>180</v>
          </cell>
        </row>
        <row r="18615">
          <cell r="F18615" t="str">
            <v xml:space="preserve">212            </v>
          </cell>
          <cell r="O18615">
            <v>90</v>
          </cell>
        </row>
        <row r="18616">
          <cell r="F18616" t="str">
            <v xml:space="preserve">212            </v>
          </cell>
          <cell r="O18616">
            <v>30</v>
          </cell>
        </row>
        <row r="18617">
          <cell r="F18617" t="str">
            <v xml:space="preserve">212            </v>
          </cell>
          <cell r="O18617">
            <v>18</v>
          </cell>
        </row>
        <row r="18618">
          <cell r="F18618" t="str">
            <v xml:space="preserve">212            </v>
          </cell>
          <cell r="O18618">
            <v>15</v>
          </cell>
        </row>
        <row r="18619">
          <cell r="F18619" t="str">
            <v xml:space="preserve">203            </v>
          </cell>
          <cell r="O18619">
            <v>270</v>
          </cell>
        </row>
        <row r="18620">
          <cell r="F18620" t="str">
            <v xml:space="preserve">203            </v>
          </cell>
          <cell r="O18620">
            <v>216</v>
          </cell>
        </row>
        <row r="18621">
          <cell r="F18621" t="str">
            <v xml:space="preserve">901390944      </v>
          </cell>
          <cell r="O18621">
            <v>6106.2</v>
          </cell>
        </row>
        <row r="18622">
          <cell r="F18622" t="str">
            <v xml:space="preserve">804013578      </v>
          </cell>
          <cell r="O18622">
            <v>17.600000000000001</v>
          </cell>
        </row>
        <row r="18623">
          <cell r="F18623" t="str">
            <v xml:space="preserve">804013578      </v>
          </cell>
          <cell r="O18623">
            <v>4851.3</v>
          </cell>
        </row>
        <row r="18624">
          <cell r="F18624" t="str">
            <v xml:space="preserve">88261865       </v>
          </cell>
          <cell r="O18624">
            <v>135.6</v>
          </cell>
        </row>
        <row r="18625">
          <cell r="F18625" t="str">
            <v xml:space="preserve">890503314      </v>
          </cell>
          <cell r="O18625">
            <v>27660</v>
          </cell>
        </row>
        <row r="18626">
          <cell r="F18626" t="str">
            <v xml:space="preserve">29352455       </v>
          </cell>
          <cell r="O18626">
            <v>64.8</v>
          </cell>
        </row>
        <row r="18627">
          <cell r="F18627" t="str">
            <v xml:space="preserve">860058831      </v>
          </cell>
          <cell r="O18627">
            <v>1179.5999999999999</v>
          </cell>
        </row>
        <row r="18628">
          <cell r="F18628" t="str">
            <v xml:space="preserve">860058831      </v>
          </cell>
          <cell r="O18628">
            <v>1485.2</v>
          </cell>
        </row>
        <row r="18629">
          <cell r="F18629" t="str">
            <v xml:space="preserve">890308786      </v>
          </cell>
          <cell r="O18629">
            <v>2360.4</v>
          </cell>
        </row>
        <row r="18630">
          <cell r="F18630" t="str">
            <v xml:space="preserve">890904713      </v>
          </cell>
          <cell r="O18630">
            <v>69.599999999999994</v>
          </cell>
        </row>
        <row r="18631">
          <cell r="F18631" t="str">
            <v xml:space="preserve">890904713      </v>
          </cell>
          <cell r="O18631">
            <v>-69.06</v>
          </cell>
        </row>
        <row r="18632">
          <cell r="F18632" t="str">
            <v xml:space="preserve">900870666      </v>
          </cell>
          <cell r="O18632">
            <v>2872.9</v>
          </cell>
        </row>
        <row r="18633">
          <cell r="F18633" t="str">
            <v xml:space="preserve">900872443      </v>
          </cell>
          <cell r="O18633">
            <v>811</v>
          </cell>
        </row>
        <row r="18634">
          <cell r="F18634" t="str">
            <v xml:space="preserve">13874825       </v>
          </cell>
          <cell r="O18634">
            <v>209.1</v>
          </cell>
        </row>
        <row r="18635">
          <cell r="F18635" t="str">
            <v xml:space="preserve">804002825      </v>
          </cell>
          <cell r="O18635">
            <v>3599.2</v>
          </cell>
        </row>
        <row r="18636">
          <cell r="F18636" t="str">
            <v xml:space="preserve">890205142      </v>
          </cell>
          <cell r="O18636">
            <v>2385</v>
          </cell>
        </row>
        <row r="18637">
          <cell r="F18637" t="str">
            <v xml:space="preserve">901590045      </v>
          </cell>
          <cell r="O18637">
            <v>203.2</v>
          </cell>
        </row>
        <row r="18638">
          <cell r="F18638" t="str">
            <v xml:space="preserve">860058831      </v>
          </cell>
          <cell r="O18638">
            <v>251.9</v>
          </cell>
        </row>
        <row r="18639">
          <cell r="F18639" t="str">
            <v xml:space="preserve">860058831      </v>
          </cell>
          <cell r="O18639">
            <v>1166</v>
          </cell>
        </row>
        <row r="18640">
          <cell r="F18640" t="str">
            <v xml:space="preserve">860058831      </v>
          </cell>
          <cell r="O18640">
            <v>816.1</v>
          </cell>
        </row>
        <row r="18641">
          <cell r="F18641" t="str">
            <v xml:space="preserve">860518811      </v>
          </cell>
          <cell r="O18641">
            <v>1105</v>
          </cell>
        </row>
        <row r="18642">
          <cell r="F18642" t="str">
            <v xml:space="preserve">860518811      </v>
          </cell>
          <cell r="O18642">
            <v>619.9</v>
          </cell>
        </row>
        <row r="18643">
          <cell r="F18643" t="str">
            <v xml:space="preserve">901221052      </v>
          </cell>
          <cell r="O18643">
            <v>1349.4</v>
          </cell>
        </row>
        <row r="18644">
          <cell r="F18644" t="str">
            <v xml:space="preserve">811014849      </v>
          </cell>
          <cell r="O18644">
            <v>1007.4</v>
          </cell>
        </row>
        <row r="18645">
          <cell r="F18645" t="str">
            <v xml:space="preserve">811014849      </v>
          </cell>
          <cell r="O18645">
            <v>627.70000000000005</v>
          </cell>
        </row>
        <row r="18646">
          <cell r="F18646" t="str">
            <v xml:space="preserve">890900161      </v>
          </cell>
          <cell r="O18646">
            <v>812</v>
          </cell>
        </row>
        <row r="18647">
          <cell r="F18647" t="str">
            <v xml:space="preserve">890910131      </v>
          </cell>
          <cell r="O18647">
            <v>510.9</v>
          </cell>
        </row>
        <row r="18648">
          <cell r="F18648" t="str">
            <v xml:space="preserve">890910131      </v>
          </cell>
          <cell r="O18648">
            <v>179.3</v>
          </cell>
        </row>
        <row r="18649">
          <cell r="F18649" t="str">
            <v xml:space="preserve">900486627      </v>
          </cell>
          <cell r="O18649">
            <v>154.4</v>
          </cell>
        </row>
        <row r="18650">
          <cell r="F18650" t="str">
            <v xml:space="preserve">900750257      </v>
          </cell>
          <cell r="O18650">
            <v>501.5</v>
          </cell>
        </row>
        <row r="18651">
          <cell r="F18651" t="str">
            <v xml:space="preserve">900756147      </v>
          </cell>
          <cell r="O18651">
            <v>2000.9</v>
          </cell>
        </row>
        <row r="18652">
          <cell r="F18652" t="str">
            <v xml:space="preserve">811047008      </v>
          </cell>
          <cell r="O18652">
            <v>393.3</v>
          </cell>
        </row>
        <row r="18653">
          <cell r="F18653" t="str">
            <v xml:space="preserve">860510406      </v>
          </cell>
          <cell r="O18653">
            <v>306.5</v>
          </cell>
        </row>
        <row r="18654">
          <cell r="F18654" t="str">
            <v xml:space="preserve">900662475      </v>
          </cell>
          <cell r="O18654">
            <v>2412.6</v>
          </cell>
        </row>
        <row r="18655">
          <cell r="F18655" t="str">
            <v xml:space="preserve">860058831      </v>
          </cell>
          <cell r="O18655">
            <v>0</v>
          </cell>
        </row>
        <row r="18656">
          <cell r="F18656" t="str">
            <v xml:space="preserve">24711613       </v>
          </cell>
          <cell r="O18656">
            <v>152.69999999999999</v>
          </cell>
        </row>
        <row r="18657">
          <cell r="F18657" t="str">
            <v xml:space="preserve">52656913       </v>
          </cell>
          <cell r="O18657">
            <v>272</v>
          </cell>
        </row>
        <row r="18658">
          <cell r="F18658" t="str">
            <v xml:space="preserve">808001297      </v>
          </cell>
          <cell r="O18658">
            <v>434.1</v>
          </cell>
        </row>
        <row r="18659">
          <cell r="F18659" t="str">
            <v xml:space="preserve">811014849      </v>
          </cell>
          <cell r="O18659">
            <v>2070</v>
          </cell>
        </row>
        <row r="18660">
          <cell r="F18660" t="str">
            <v xml:space="preserve">52790620       </v>
          </cell>
          <cell r="O18660">
            <v>150</v>
          </cell>
        </row>
        <row r="18661">
          <cell r="F18661" t="str">
            <v xml:space="preserve">52790620       </v>
          </cell>
          <cell r="O18661">
            <v>225</v>
          </cell>
        </row>
        <row r="18662">
          <cell r="F18662" t="str">
            <v xml:space="preserve">52790620       </v>
          </cell>
          <cell r="O18662">
            <v>225</v>
          </cell>
        </row>
        <row r="18663">
          <cell r="F18663" t="str">
            <v xml:space="preserve">901067836      </v>
          </cell>
          <cell r="O18663">
            <v>1184.7</v>
          </cell>
        </row>
        <row r="18664">
          <cell r="F18664" t="str">
            <v xml:space="preserve">21895758       </v>
          </cell>
          <cell r="O18664">
            <v>450</v>
          </cell>
        </row>
        <row r="18665">
          <cell r="F18665" t="str">
            <v xml:space="preserve">70900706       </v>
          </cell>
          <cell r="O18665">
            <v>600</v>
          </cell>
        </row>
        <row r="18666">
          <cell r="F18666" t="str">
            <v xml:space="preserve">70900706       </v>
          </cell>
          <cell r="O18666">
            <v>540</v>
          </cell>
        </row>
        <row r="18667">
          <cell r="F18667" t="str">
            <v xml:space="preserve">890903939      </v>
          </cell>
          <cell r="O18667">
            <v>180</v>
          </cell>
        </row>
        <row r="18668">
          <cell r="F18668" t="str">
            <v xml:space="preserve">890903939      </v>
          </cell>
          <cell r="O18668">
            <v>234</v>
          </cell>
        </row>
        <row r="18669">
          <cell r="F18669" t="str">
            <v xml:space="preserve">890903939      </v>
          </cell>
          <cell r="O18669">
            <v>252</v>
          </cell>
        </row>
        <row r="18670">
          <cell r="F18670" t="str">
            <v xml:space="preserve">890903939      </v>
          </cell>
          <cell r="O18670">
            <v>198</v>
          </cell>
        </row>
        <row r="18671">
          <cell r="F18671" t="str">
            <v xml:space="preserve">890903939      </v>
          </cell>
          <cell r="O18671">
            <v>90</v>
          </cell>
        </row>
        <row r="18672">
          <cell r="F18672" t="str">
            <v xml:space="preserve">890903939      </v>
          </cell>
          <cell r="O18672">
            <v>270</v>
          </cell>
        </row>
        <row r="18673">
          <cell r="F18673" t="str">
            <v xml:space="preserve">1061529988     </v>
          </cell>
          <cell r="O18673">
            <v>255</v>
          </cell>
        </row>
        <row r="18674">
          <cell r="F18674" t="str">
            <v xml:space="preserve">1107085525     </v>
          </cell>
          <cell r="O18674">
            <v>59</v>
          </cell>
        </row>
        <row r="18675">
          <cell r="F18675" t="str">
            <v xml:space="preserve">1118292828     </v>
          </cell>
          <cell r="O18675">
            <v>61</v>
          </cell>
        </row>
        <row r="18676">
          <cell r="F18676" t="str">
            <v xml:space="preserve">1144138380     </v>
          </cell>
          <cell r="O18676">
            <v>140.6</v>
          </cell>
        </row>
        <row r="18677">
          <cell r="F18677" t="str">
            <v xml:space="preserve">1144138380     </v>
          </cell>
          <cell r="O18677">
            <v>75.099999999999994</v>
          </cell>
        </row>
        <row r="18678">
          <cell r="F18678" t="str">
            <v xml:space="preserve">31147223       </v>
          </cell>
          <cell r="O18678">
            <v>63</v>
          </cell>
        </row>
        <row r="18679">
          <cell r="F18679" t="str">
            <v xml:space="preserve">41916620       </v>
          </cell>
          <cell r="O18679">
            <v>54.7</v>
          </cell>
        </row>
        <row r="18680">
          <cell r="F18680" t="str">
            <v xml:space="preserve">6256980        </v>
          </cell>
          <cell r="O18680">
            <v>86.1</v>
          </cell>
        </row>
        <row r="18681">
          <cell r="F18681" t="str">
            <v xml:space="preserve">76312079       </v>
          </cell>
          <cell r="O18681">
            <v>41</v>
          </cell>
        </row>
        <row r="18682">
          <cell r="F18682" t="str">
            <v xml:space="preserve">890300431      </v>
          </cell>
          <cell r="O18682">
            <v>1142</v>
          </cell>
        </row>
        <row r="18683">
          <cell r="F18683" t="str">
            <v xml:space="preserve">900598527      </v>
          </cell>
          <cell r="O18683">
            <v>302.8</v>
          </cell>
        </row>
        <row r="18684">
          <cell r="F18684" t="str">
            <v xml:space="preserve">900702496      </v>
          </cell>
          <cell r="O18684">
            <v>515</v>
          </cell>
        </row>
        <row r="18685">
          <cell r="F18685" t="str">
            <v xml:space="preserve">901019138      </v>
          </cell>
          <cell r="O18685">
            <v>28695.16</v>
          </cell>
        </row>
        <row r="18686">
          <cell r="F18686" t="str">
            <v xml:space="preserve">860001697      </v>
          </cell>
          <cell r="O18686">
            <v>166.02</v>
          </cell>
        </row>
        <row r="18687">
          <cell r="F18687" t="str">
            <v xml:space="preserve">860001697      </v>
          </cell>
          <cell r="O18687">
            <v>362.6</v>
          </cell>
        </row>
        <row r="18688">
          <cell r="F18688" t="str">
            <v xml:space="preserve">830118416      </v>
          </cell>
          <cell r="O18688">
            <v>5047</v>
          </cell>
        </row>
        <row r="18689">
          <cell r="F18689" t="str">
            <v xml:space="preserve">830118416      </v>
          </cell>
          <cell r="O18689">
            <v>6211.11</v>
          </cell>
        </row>
        <row r="18690">
          <cell r="F18690" t="str">
            <v xml:space="preserve">804002825      </v>
          </cell>
          <cell r="O18690">
            <v>7225</v>
          </cell>
        </row>
        <row r="18691">
          <cell r="F18691" t="str">
            <v xml:space="preserve">804002825      </v>
          </cell>
          <cell r="O18691">
            <v>6930</v>
          </cell>
        </row>
        <row r="18692">
          <cell r="F18692" t="str">
            <v xml:space="preserve">901020967      </v>
          </cell>
          <cell r="O18692">
            <v>3890</v>
          </cell>
        </row>
        <row r="18693">
          <cell r="F18693" t="str">
            <v xml:space="preserve">51958738       </v>
          </cell>
          <cell r="O18693">
            <v>428.4</v>
          </cell>
        </row>
        <row r="18694">
          <cell r="F18694" t="str">
            <v xml:space="preserve">830002131      </v>
          </cell>
          <cell r="O18694">
            <v>21.51</v>
          </cell>
        </row>
        <row r="18695">
          <cell r="F18695" t="str">
            <v xml:space="preserve">830026277      </v>
          </cell>
          <cell r="O18695">
            <v>684.05</v>
          </cell>
        </row>
        <row r="18696">
          <cell r="F18696" t="str">
            <v xml:space="preserve">830111206      </v>
          </cell>
          <cell r="O18696">
            <v>200.11</v>
          </cell>
        </row>
        <row r="18697">
          <cell r="F18697" t="str">
            <v xml:space="preserve">860033045      </v>
          </cell>
          <cell r="O18697">
            <v>1192.28</v>
          </cell>
        </row>
        <row r="18698">
          <cell r="F18698" t="str">
            <v xml:space="preserve">860033045      </v>
          </cell>
          <cell r="O18698">
            <v>263.45</v>
          </cell>
        </row>
        <row r="18699">
          <cell r="F18699" t="str">
            <v xml:space="preserve">860069497      </v>
          </cell>
          <cell r="O18699">
            <v>267.02</v>
          </cell>
        </row>
        <row r="18700">
          <cell r="F18700" t="str">
            <v xml:space="preserve">800049083      </v>
          </cell>
          <cell r="O18700">
            <v>940</v>
          </cell>
        </row>
        <row r="18701">
          <cell r="F18701" t="str">
            <v xml:space="preserve">830010738      </v>
          </cell>
          <cell r="O18701">
            <v>342.4</v>
          </cell>
        </row>
        <row r="18702">
          <cell r="F18702" t="str">
            <v xml:space="preserve">900327148      </v>
          </cell>
          <cell r="O18702">
            <v>359.8</v>
          </cell>
        </row>
        <row r="18703">
          <cell r="F18703" t="str">
            <v xml:space="preserve">79059597       </v>
          </cell>
          <cell r="O18703">
            <v>1550</v>
          </cell>
        </row>
        <row r="18704">
          <cell r="F18704" t="str">
            <v xml:space="preserve">79581982       </v>
          </cell>
          <cell r="O18704">
            <v>286.2</v>
          </cell>
        </row>
        <row r="18705">
          <cell r="F18705" t="str">
            <v xml:space="preserve">860058831      </v>
          </cell>
          <cell r="O18705">
            <v>1343.1</v>
          </cell>
        </row>
        <row r="18706">
          <cell r="F18706" t="str">
            <v xml:space="preserve">900474647      </v>
          </cell>
          <cell r="O18706">
            <v>1186.8</v>
          </cell>
        </row>
        <row r="18707">
          <cell r="F18707" t="str">
            <v xml:space="preserve">800028446      </v>
          </cell>
          <cell r="O18707">
            <v>772.2</v>
          </cell>
        </row>
        <row r="18708">
          <cell r="F18708" t="str">
            <v xml:space="preserve">830010738      </v>
          </cell>
          <cell r="O18708">
            <v>296.10000000000002</v>
          </cell>
        </row>
        <row r="18709">
          <cell r="F18709" t="str">
            <v xml:space="preserve">860002119      </v>
          </cell>
          <cell r="O18709">
            <v>1684.2</v>
          </cell>
        </row>
        <row r="18710">
          <cell r="F18710" t="str">
            <v xml:space="preserve">860011109      </v>
          </cell>
          <cell r="O18710">
            <v>1373.7</v>
          </cell>
        </row>
        <row r="18711">
          <cell r="F18711" t="str">
            <v xml:space="preserve">800209179      </v>
          </cell>
          <cell r="O18711">
            <v>45</v>
          </cell>
        </row>
        <row r="18712">
          <cell r="F18712" t="str">
            <v xml:space="preserve">805005148      </v>
          </cell>
          <cell r="O18712">
            <v>1296</v>
          </cell>
        </row>
        <row r="18713">
          <cell r="F18713" t="str">
            <v xml:space="preserve">805005148      </v>
          </cell>
          <cell r="O18713">
            <v>600</v>
          </cell>
        </row>
        <row r="18714">
          <cell r="F18714" t="str">
            <v xml:space="preserve">805005148      </v>
          </cell>
          <cell r="O18714">
            <v>450</v>
          </cell>
        </row>
        <row r="18715">
          <cell r="F18715" t="str">
            <v xml:space="preserve">805005148      </v>
          </cell>
          <cell r="O18715">
            <v>30</v>
          </cell>
        </row>
        <row r="18716">
          <cell r="F18716" t="str">
            <v xml:space="preserve">805005148      </v>
          </cell>
          <cell r="O18716">
            <v>1260</v>
          </cell>
        </row>
        <row r="18717">
          <cell r="F18717" t="str">
            <v xml:space="preserve">805005148      </v>
          </cell>
          <cell r="O18717">
            <v>18</v>
          </cell>
        </row>
        <row r="18718">
          <cell r="F18718" t="str">
            <v xml:space="preserve">805005148      </v>
          </cell>
          <cell r="O18718">
            <v>18</v>
          </cell>
        </row>
        <row r="18719">
          <cell r="F18719" t="str">
            <v xml:space="preserve">805005148      </v>
          </cell>
          <cell r="O18719">
            <v>1440</v>
          </cell>
        </row>
        <row r="18720">
          <cell r="F18720" t="str">
            <v xml:space="preserve">805005148      </v>
          </cell>
          <cell r="O18720">
            <v>225</v>
          </cell>
        </row>
        <row r="18721">
          <cell r="F18721" t="str">
            <v xml:space="preserve">805005148      </v>
          </cell>
          <cell r="O18721">
            <v>1260</v>
          </cell>
        </row>
        <row r="18722">
          <cell r="F18722" t="str">
            <v xml:space="preserve">830089785      </v>
          </cell>
          <cell r="O18722">
            <v>54</v>
          </cell>
        </row>
        <row r="18723">
          <cell r="F18723" t="str">
            <v xml:space="preserve">901435739      </v>
          </cell>
          <cell r="O18723">
            <v>45</v>
          </cell>
        </row>
        <row r="18724">
          <cell r="F18724" t="str">
            <v xml:space="preserve">1130605276     </v>
          </cell>
          <cell r="O18724">
            <v>18</v>
          </cell>
        </row>
        <row r="18725">
          <cell r="F18725" t="str">
            <v xml:space="preserve">1130605276     </v>
          </cell>
          <cell r="O18725">
            <v>90</v>
          </cell>
        </row>
        <row r="18726">
          <cell r="F18726" t="str">
            <v xml:space="preserve">1130605276     </v>
          </cell>
          <cell r="O18726">
            <v>666</v>
          </cell>
        </row>
        <row r="18727">
          <cell r="F18727" t="str">
            <v xml:space="preserve">94050412       </v>
          </cell>
          <cell r="O18727">
            <v>45</v>
          </cell>
        </row>
        <row r="18728">
          <cell r="F18728" t="str">
            <v xml:space="preserve">94050412       </v>
          </cell>
          <cell r="O18728">
            <v>450</v>
          </cell>
        </row>
        <row r="18729">
          <cell r="F18729" t="str">
            <v xml:space="preserve">94050412       </v>
          </cell>
          <cell r="O18729">
            <v>135</v>
          </cell>
        </row>
        <row r="18730">
          <cell r="F18730" t="str">
            <v xml:space="preserve">88275315       </v>
          </cell>
          <cell r="O18730">
            <v>756</v>
          </cell>
        </row>
        <row r="18731">
          <cell r="F18731" t="str">
            <v xml:space="preserve">88275315       </v>
          </cell>
          <cell r="O18731">
            <v>90</v>
          </cell>
        </row>
        <row r="18732">
          <cell r="F18732" t="str">
            <v xml:space="preserve">88275315       </v>
          </cell>
          <cell r="O18732">
            <v>36</v>
          </cell>
        </row>
        <row r="18733">
          <cell r="F18733" t="str">
            <v xml:space="preserve">94464104       </v>
          </cell>
          <cell r="O18733">
            <v>468</v>
          </cell>
        </row>
        <row r="18734">
          <cell r="F18734" t="str">
            <v xml:space="preserve">94464104       </v>
          </cell>
          <cell r="O18734">
            <v>1800</v>
          </cell>
        </row>
        <row r="18735">
          <cell r="F18735" t="str">
            <v xml:space="preserve">94464104       </v>
          </cell>
          <cell r="O18735">
            <v>75</v>
          </cell>
        </row>
        <row r="18736">
          <cell r="F18736" t="str">
            <v xml:space="preserve">94464104       </v>
          </cell>
          <cell r="O18736">
            <v>558</v>
          </cell>
        </row>
        <row r="18737">
          <cell r="F18737" t="str">
            <v xml:space="preserve">94464104       </v>
          </cell>
          <cell r="O18737">
            <v>360</v>
          </cell>
        </row>
        <row r="18738">
          <cell r="F18738" t="str">
            <v xml:space="preserve">16458005       </v>
          </cell>
          <cell r="O18738">
            <v>216</v>
          </cell>
        </row>
        <row r="18739">
          <cell r="F18739" t="str">
            <v xml:space="preserve">94419930       </v>
          </cell>
          <cell r="O18739">
            <v>414</v>
          </cell>
        </row>
        <row r="18740">
          <cell r="F18740" t="str">
            <v xml:space="preserve">16669313       </v>
          </cell>
          <cell r="O18740">
            <v>702</v>
          </cell>
        </row>
        <row r="18741">
          <cell r="F18741" t="str">
            <v xml:space="preserve">16669313       </v>
          </cell>
          <cell r="O18741">
            <v>9</v>
          </cell>
        </row>
        <row r="18742">
          <cell r="F18742" t="str">
            <v xml:space="preserve">16669313       </v>
          </cell>
          <cell r="O18742">
            <v>30</v>
          </cell>
        </row>
        <row r="18743">
          <cell r="F18743" t="str">
            <v xml:space="preserve">16669313       </v>
          </cell>
          <cell r="O18743">
            <v>720</v>
          </cell>
        </row>
        <row r="18744">
          <cell r="F18744" t="str">
            <v xml:space="preserve">16669313       </v>
          </cell>
          <cell r="O18744">
            <v>9</v>
          </cell>
        </row>
        <row r="18745">
          <cell r="F18745" t="str">
            <v xml:space="preserve">16669313       </v>
          </cell>
          <cell r="O18745">
            <v>45</v>
          </cell>
        </row>
        <row r="18746">
          <cell r="F18746" t="str">
            <v xml:space="preserve">16669313       </v>
          </cell>
          <cell r="O18746">
            <v>504</v>
          </cell>
        </row>
        <row r="18747">
          <cell r="F18747" t="str">
            <v xml:space="preserve">16669313       </v>
          </cell>
          <cell r="O18747">
            <v>225</v>
          </cell>
        </row>
        <row r="18748">
          <cell r="F18748" t="str">
            <v xml:space="preserve">900034686      </v>
          </cell>
          <cell r="O18748">
            <v>90</v>
          </cell>
        </row>
        <row r="18749">
          <cell r="F18749" t="str">
            <v xml:space="preserve">900034686      </v>
          </cell>
          <cell r="O18749">
            <v>36</v>
          </cell>
        </row>
        <row r="18750">
          <cell r="F18750" t="str">
            <v xml:space="preserve">900034686      </v>
          </cell>
          <cell r="O18750">
            <v>18</v>
          </cell>
        </row>
        <row r="18751">
          <cell r="F18751" t="str">
            <v xml:space="preserve">900034686      </v>
          </cell>
          <cell r="O18751">
            <v>90</v>
          </cell>
        </row>
        <row r="18752">
          <cell r="F18752" t="str">
            <v xml:space="preserve">900034686      </v>
          </cell>
          <cell r="O18752">
            <v>36</v>
          </cell>
        </row>
        <row r="18753">
          <cell r="F18753" t="str">
            <v xml:space="preserve">900034686      </v>
          </cell>
          <cell r="O18753">
            <v>135</v>
          </cell>
        </row>
        <row r="18754">
          <cell r="F18754" t="str">
            <v xml:space="preserve">901076778      </v>
          </cell>
          <cell r="O18754">
            <v>54</v>
          </cell>
        </row>
        <row r="18755">
          <cell r="F18755" t="str">
            <v xml:space="preserve">901551934      </v>
          </cell>
          <cell r="O18755">
            <v>36</v>
          </cell>
        </row>
        <row r="18756">
          <cell r="F18756" t="str">
            <v xml:space="preserve">901551934      </v>
          </cell>
          <cell r="O18756">
            <v>90</v>
          </cell>
        </row>
        <row r="18757">
          <cell r="F18757" t="str">
            <v xml:space="preserve">75074760       </v>
          </cell>
          <cell r="O18757">
            <v>18</v>
          </cell>
        </row>
        <row r="18758">
          <cell r="F18758" t="str">
            <v xml:space="preserve">75074760       </v>
          </cell>
          <cell r="O18758">
            <v>405</v>
          </cell>
        </row>
        <row r="18759">
          <cell r="F18759" t="str">
            <v xml:space="preserve">75074760       </v>
          </cell>
          <cell r="O18759">
            <v>18</v>
          </cell>
        </row>
        <row r="18760">
          <cell r="F18760" t="str">
            <v xml:space="preserve">75074760       </v>
          </cell>
          <cell r="O18760">
            <v>126</v>
          </cell>
        </row>
        <row r="18761">
          <cell r="F18761" t="str">
            <v xml:space="preserve">75099432       </v>
          </cell>
          <cell r="O18761">
            <v>615</v>
          </cell>
        </row>
        <row r="18762">
          <cell r="F18762" t="str">
            <v xml:space="preserve">75099432       </v>
          </cell>
          <cell r="O18762">
            <v>36</v>
          </cell>
        </row>
        <row r="18763">
          <cell r="F18763" t="str">
            <v xml:space="preserve">75099432       </v>
          </cell>
          <cell r="O18763">
            <v>45</v>
          </cell>
        </row>
        <row r="18764">
          <cell r="F18764" t="str">
            <v xml:space="preserve">75099432       </v>
          </cell>
          <cell r="O18764">
            <v>126</v>
          </cell>
        </row>
        <row r="18765">
          <cell r="F18765" t="str">
            <v xml:space="preserve">75099432       </v>
          </cell>
          <cell r="O18765">
            <v>90</v>
          </cell>
        </row>
        <row r="18766">
          <cell r="F18766" t="str">
            <v xml:space="preserve">890802833      </v>
          </cell>
          <cell r="O18766">
            <v>45</v>
          </cell>
        </row>
        <row r="18767">
          <cell r="F18767" t="str">
            <v xml:space="preserve">890806490      </v>
          </cell>
          <cell r="O18767">
            <v>315</v>
          </cell>
        </row>
        <row r="18768">
          <cell r="F18768" t="str">
            <v xml:space="preserve">901356866      </v>
          </cell>
          <cell r="O18768">
            <v>45</v>
          </cell>
        </row>
        <row r="18769">
          <cell r="F18769" t="str">
            <v xml:space="preserve">9696643        </v>
          </cell>
          <cell r="O18769">
            <v>3360</v>
          </cell>
        </row>
        <row r="18770">
          <cell r="F18770" t="str">
            <v xml:space="preserve">10237057       </v>
          </cell>
          <cell r="O18770">
            <v>105</v>
          </cell>
        </row>
        <row r="18771">
          <cell r="F18771" t="str">
            <v xml:space="preserve">10237057       </v>
          </cell>
          <cell r="O18771">
            <v>72</v>
          </cell>
        </row>
        <row r="18772">
          <cell r="F18772" t="str">
            <v xml:space="preserve">810001366      </v>
          </cell>
          <cell r="O18772">
            <v>15</v>
          </cell>
        </row>
        <row r="18773">
          <cell r="F18773" t="str">
            <v xml:space="preserve">6157942        </v>
          </cell>
          <cell r="O18773">
            <v>660</v>
          </cell>
        </row>
        <row r="18774">
          <cell r="F18774" t="str">
            <v xml:space="preserve">6157942        </v>
          </cell>
          <cell r="O18774">
            <v>90</v>
          </cell>
        </row>
        <row r="18775">
          <cell r="F18775" t="str">
            <v xml:space="preserve">1111745154     </v>
          </cell>
          <cell r="O18775">
            <v>18</v>
          </cell>
        </row>
        <row r="18776">
          <cell r="F18776" t="str">
            <v xml:space="preserve">1111745154     </v>
          </cell>
          <cell r="O18776">
            <v>180</v>
          </cell>
        </row>
        <row r="18777">
          <cell r="F18777" t="str">
            <v xml:space="preserve">1111745154     </v>
          </cell>
          <cell r="O18777">
            <v>480</v>
          </cell>
        </row>
        <row r="18778">
          <cell r="F18778" t="str">
            <v xml:space="preserve">16456104       </v>
          </cell>
          <cell r="O18778">
            <v>270</v>
          </cell>
        </row>
        <row r="18779">
          <cell r="F18779" t="str">
            <v xml:space="preserve">16456104       </v>
          </cell>
          <cell r="O18779">
            <v>90</v>
          </cell>
        </row>
        <row r="18780">
          <cell r="F18780" t="str">
            <v xml:space="preserve">71734502       </v>
          </cell>
          <cell r="O18780">
            <v>105</v>
          </cell>
        </row>
        <row r="18781">
          <cell r="F18781" t="str">
            <v xml:space="preserve">29233836       </v>
          </cell>
          <cell r="O18781">
            <v>75</v>
          </cell>
        </row>
        <row r="18782">
          <cell r="F18782" t="str">
            <v xml:space="preserve">29233836       </v>
          </cell>
          <cell r="O18782">
            <v>45</v>
          </cell>
        </row>
        <row r="18783">
          <cell r="F18783" t="str">
            <v xml:space="preserve">1088256267     </v>
          </cell>
          <cell r="O18783">
            <v>90</v>
          </cell>
        </row>
        <row r="18784">
          <cell r="F18784" t="str">
            <v xml:space="preserve">1088256267     </v>
          </cell>
          <cell r="O18784">
            <v>18</v>
          </cell>
        </row>
        <row r="18785">
          <cell r="F18785" t="str">
            <v xml:space="preserve">1088256267     </v>
          </cell>
          <cell r="O18785">
            <v>15</v>
          </cell>
        </row>
        <row r="18786">
          <cell r="F18786" t="str">
            <v xml:space="preserve">1088256267     </v>
          </cell>
          <cell r="O18786">
            <v>18</v>
          </cell>
        </row>
        <row r="18787">
          <cell r="F18787" t="str">
            <v xml:space="preserve">1088256267     </v>
          </cell>
          <cell r="O18787">
            <v>180</v>
          </cell>
        </row>
        <row r="18788">
          <cell r="F18788" t="str">
            <v xml:space="preserve">15896671       </v>
          </cell>
          <cell r="O18788">
            <v>108</v>
          </cell>
        </row>
        <row r="18789">
          <cell r="F18789" t="str">
            <v xml:space="preserve">15896671       </v>
          </cell>
          <cell r="O18789">
            <v>450</v>
          </cell>
        </row>
        <row r="18790">
          <cell r="F18790" t="str">
            <v xml:space="preserve">16225682       </v>
          </cell>
          <cell r="O18790">
            <v>285</v>
          </cell>
        </row>
        <row r="18791">
          <cell r="F18791" t="str">
            <v xml:space="preserve">16225682       </v>
          </cell>
          <cell r="O18791">
            <v>54</v>
          </cell>
        </row>
        <row r="18792">
          <cell r="F18792" t="str">
            <v xml:space="preserve">16225682       </v>
          </cell>
          <cell r="O18792">
            <v>90</v>
          </cell>
        </row>
        <row r="18793">
          <cell r="F18793" t="str">
            <v xml:space="preserve">16225682       </v>
          </cell>
          <cell r="O18793">
            <v>15</v>
          </cell>
        </row>
        <row r="18794">
          <cell r="F18794" t="str">
            <v xml:space="preserve">16225682       </v>
          </cell>
          <cell r="O18794">
            <v>9</v>
          </cell>
        </row>
        <row r="18795">
          <cell r="F18795" t="str">
            <v xml:space="preserve">16225682       </v>
          </cell>
          <cell r="O18795">
            <v>420</v>
          </cell>
        </row>
        <row r="18796">
          <cell r="F18796" t="str">
            <v xml:space="preserve">16225682       </v>
          </cell>
          <cell r="O18796">
            <v>18</v>
          </cell>
        </row>
        <row r="18797">
          <cell r="F18797" t="str">
            <v xml:space="preserve">16225682       </v>
          </cell>
          <cell r="O18797">
            <v>45</v>
          </cell>
        </row>
        <row r="18798">
          <cell r="F18798" t="str">
            <v xml:space="preserve">10144092       </v>
          </cell>
          <cell r="O18798">
            <v>60</v>
          </cell>
        </row>
        <row r="18799">
          <cell r="F18799" t="str">
            <v xml:space="preserve">24835836       </v>
          </cell>
          <cell r="O18799">
            <v>270</v>
          </cell>
        </row>
        <row r="18800">
          <cell r="F18800" t="str">
            <v xml:space="preserve">24835836       </v>
          </cell>
          <cell r="O18800">
            <v>36</v>
          </cell>
        </row>
        <row r="18801">
          <cell r="F18801" t="str">
            <v xml:space="preserve">16225675       </v>
          </cell>
          <cell r="O18801">
            <v>4.5</v>
          </cell>
        </row>
        <row r="18802">
          <cell r="F18802" t="str">
            <v xml:space="preserve">16225675       </v>
          </cell>
          <cell r="O18802">
            <v>18</v>
          </cell>
        </row>
        <row r="18803">
          <cell r="F18803" t="str">
            <v xml:space="preserve">16225675       </v>
          </cell>
          <cell r="O18803">
            <v>735</v>
          </cell>
        </row>
        <row r="18804">
          <cell r="F18804" t="str">
            <v xml:space="preserve">16225675       </v>
          </cell>
          <cell r="O18804">
            <v>180</v>
          </cell>
        </row>
        <row r="18805">
          <cell r="F18805" t="str">
            <v xml:space="preserve">16225675       </v>
          </cell>
          <cell r="O18805">
            <v>9</v>
          </cell>
        </row>
        <row r="18806">
          <cell r="F18806" t="str">
            <v xml:space="preserve">16225675       </v>
          </cell>
          <cell r="O18806">
            <v>420</v>
          </cell>
        </row>
        <row r="18807">
          <cell r="F18807" t="str">
            <v xml:space="preserve">16225675       </v>
          </cell>
          <cell r="O18807">
            <v>36</v>
          </cell>
        </row>
        <row r="18808">
          <cell r="F18808" t="str">
            <v xml:space="preserve">16225675       </v>
          </cell>
          <cell r="O18808">
            <v>45</v>
          </cell>
        </row>
        <row r="18809">
          <cell r="F18809" t="str">
            <v xml:space="preserve">18596221       </v>
          </cell>
          <cell r="O18809">
            <v>180</v>
          </cell>
        </row>
        <row r="18810">
          <cell r="F18810" t="str">
            <v xml:space="preserve">805005148      </v>
          </cell>
          <cell r="O18810">
            <v>15</v>
          </cell>
        </row>
        <row r="18811">
          <cell r="F18811" t="str">
            <v xml:space="preserve">805005148      </v>
          </cell>
          <cell r="O18811">
            <v>1656</v>
          </cell>
        </row>
        <row r="18812">
          <cell r="F18812" t="str">
            <v xml:space="preserve">10303909       </v>
          </cell>
          <cell r="O18812">
            <v>225</v>
          </cell>
        </row>
        <row r="18813">
          <cell r="F18813" t="str">
            <v xml:space="preserve">94373864       </v>
          </cell>
          <cell r="O18813">
            <v>540</v>
          </cell>
        </row>
        <row r="18814">
          <cell r="F18814" t="str">
            <v xml:space="preserve">76323227       </v>
          </cell>
          <cell r="O18814">
            <v>3780</v>
          </cell>
        </row>
        <row r="18815">
          <cell r="F18815" t="str">
            <v xml:space="preserve">76323227       </v>
          </cell>
          <cell r="O18815">
            <v>180</v>
          </cell>
        </row>
        <row r="18816">
          <cell r="F18816" t="str">
            <v xml:space="preserve">10532222       </v>
          </cell>
          <cell r="O18816">
            <v>15</v>
          </cell>
        </row>
        <row r="18817">
          <cell r="F18817" t="str">
            <v xml:space="preserve">10532222       </v>
          </cell>
          <cell r="O18817">
            <v>144</v>
          </cell>
        </row>
        <row r="18818">
          <cell r="F18818" t="str">
            <v xml:space="preserve">12168724       </v>
          </cell>
          <cell r="O18818">
            <v>30</v>
          </cell>
        </row>
        <row r="18819">
          <cell r="F18819" t="str">
            <v xml:space="preserve">12168724       </v>
          </cell>
          <cell r="O18819">
            <v>540</v>
          </cell>
        </row>
        <row r="18820">
          <cell r="F18820" t="str">
            <v xml:space="preserve">12168724       </v>
          </cell>
          <cell r="O18820">
            <v>45</v>
          </cell>
        </row>
        <row r="18821">
          <cell r="F18821" t="str">
            <v xml:space="preserve">76211412       </v>
          </cell>
          <cell r="O18821">
            <v>180</v>
          </cell>
        </row>
        <row r="18822">
          <cell r="F18822" t="str">
            <v xml:space="preserve">10755493       </v>
          </cell>
          <cell r="O18822">
            <v>504</v>
          </cell>
        </row>
        <row r="18823">
          <cell r="F18823" t="str">
            <v xml:space="preserve">76331539       </v>
          </cell>
          <cell r="O18823">
            <v>90</v>
          </cell>
        </row>
        <row r="18824">
          <cell r="F18824" t="str">
            <v xml:space="preserve">76331539       </v>
          </cell>
          <cell r="O18824">
            <v>738</v>
          </cell>
        </row>
        <row r="18825">
          <cell r="F18825" t="str">
            <v xml:space="preserve">76331539       </v>
          </cell>
          <cell r="O18825">
            <v>90</v>
          </cell>
        </row>
        <row r="18826">
          <cell r="F18826" t="str">
            <v xml:space="preserve">9900047        </v>
          </cell>
          <cell r="O18826">
            <v>72</v>
          </cell>
        </row>
        <row r="18827">
          <cell r="F18827" t="str">
            <v xml:space="preserve">9900047        </v>
          </cell>
          <cell r="O18827">
            <v>30</v>
          </cell>
        </row>
        <row r="18828">
          <cell r="F18828" t="str">
            <v xml:space="preserve">9900047        </v>
          </cell>
          <cell r="O18828">
            <v>162</v>
          </cell>
        </row>
        <row r="18829">
          <cell r="F18829" t="str">
            <v xml:space="preserve">18389245       </v>
          </cell>
          <cell r="O18829">
            <v>285</v>
          </cell>
        </row>
        <row r="18830">
          <cell r="F18830" t="str">
            <v xml:space="preserve">18389245       </v>
          </cell>
          <cell r="O18830">
            <v>18</v>
          </cell>
        </row>
        <row r="18831">
          <cell r="F18831" t="str">
            <v xml:space="preserve">18416624       </v>
          </cell>
          <cell r="O18831">
            <v>90</v>
          </cell>
        </row>
        <row r="18832">
          <cell r="F18832" t="str">
            <v xml:space="preserve">4613715        </v>
          </cell>
          <cell r="O18832">
            <v>45</v>
          </cell>
        </row>
        <row r="18833">
          <cell r="F18833" t="str">
            <v xml:space="preserve">4613715        </v>
          </cell>
          <cell r="O18833">
            <v>18</v>
          </cell>
        </row>
        <row r="18834">
          <cell r="F18834" t="str">
            <v xml:space="preserve">4613715        </v>
          </cell>
          <cell r="O18834">
            <v>180</v>
          </cell>
        </row>
        <row r="18835">
          <cell r="F18835" t="str">
            <v xml:space="preserve">4613715        </v>
          </cell>
          <cell r="O18835">
            <v>54</v>
          </cell>
        </row>
        <row r="18836">
          <cell r="F18836" t="str">
            <v xml:space="preserve">4613715        </v>
          </cell>
          <cell r="O18836">
            <v>90</v>
          </cell>
        </row>
        <row r="18837">
          <cell r="F18837" t="str">
            <v xml:space="preserve">9805400        </v>
          </cell>
          <cell r="O18837">
            <v>90</v>
          </cell>
        </row>
        <row r="18838">
          <cell r="F18838" t="str">
            <v xml:space="preserve">9805400        </v>
          </cell>
          <cell r="O18838">
            <v>45</v>
          </cell>
        </row>
        <row r="18839">
          <cell r="F18839" t="str">
            <v xml:space="preserve">9805400        </v>
          </cell>
          <cell r="O18839">
            <v>90</v>
          </cell>
        </row>
        <row r="18840">
          <cell r="F18840" t="str">
            <v xml:space="preserve">6110295        </v>
          </cell>
          <cell r="O18840">
            <v>9</v>
          </cell>
        </row>
        <row r="18841">
          <cell r="F18841" t="str">
            <v xml:space="preserve">6110295        </v>
          </cell>
          <cell r="O18841">
            <v>216</v>
          </cell>
        </row>
        <row r="18842">
          <cell r="F18842" t="str">
            <v xml:space="preserve">6110295        </v>
          </cell>
          <cell r="O18842">
            <v>210</v>
          </cell>
        </row>
        <row r="18843">
          <cell r="F18843" t="str">
            <v xml:space="preserve">805005148      </v>
          </cell>
          <cell r="O18843">
            <v>162</v>
          </cell>
        </row>
        <row r="18844">
          <cell r="F18844" t="str">
            <v xml:space="preserve">805005148      </v>
          </cell>
          <cell r="O18844">
            <v>45</v>
          </cell>
        </row>
        <row r="18845">
          <cell r="F18845" t="str">
            <v xml:space="preserve">805005148      </v>
          </cell>
          <cell r="O18845">
            <v>150</v>
          </cell>
        </row>
        <row r="18846">
          <cell r="F18846" t="str">
            <v xml:space="preserve">805005148      </v>
          </cell>
          <cell r="O18846">
            <v>270</v>
          </cell>
        </row>
        <row r="18847">
          <cell r="F18847" t="str">
            <v xml:space="preserve">805005148      </v>
          </cell>
          <cell r="O18847">
            <v>2520</v>
          </cell>
        </row>
        <row r="18848">
          <cell r="F18848" t="str">
            <v xml:space="preserve">16843578       </v>
          </cell>
          <cell r="O18848">
            <v>1440</v>
          </cell>
        </row>
        <row r="18849">
          <cell r="F18849" t="str">
            <v xml:space="preserve">900034686      </v>
          </cell>
          <cell r="O18849">
            <v>135</v>
          </cell>
        </row>
        <row r="18850">
          <cell r="F18850" t="str">
            <v xml:space="preserve">900034686      </v>
          </cell>
          <cell r="O18850">
            <v>495</v>
          </cell>
        </row>
        <row r="18851">
          <cell r="F18851" t="str">
            <v xml:space="preserve">10484782       </v>
          </cell>
          <cell r="O18851">
            <v>972</v>
          </cell>
        </row>
        <row r="18852">
          <cell r="F18852" t="str">
            <v xml:space="preserve">10484782       </v>
          </cell>
          <cell r="O18852">
            <v>1710</v>
          </cell>
        </row>
        <row r="18853">
          <cell r="F18853" t="str">
            <v xml:space="preserve">16849293       </v>
          </cell>
          <cell r="O18853">
            <v>9</v>
          </cell>
        </row>
        <row r="18854">
          <cell r="F18854" t="str">
            <v xml:space="preserve">16849293       </v>
          </cell>
          <cell r="O18854">
            <v>60</v>
          </cell>
        </row>
        <row r="18855">
          <cell r="F18855" t="str">
            <v xml:space="preserve">16849293       </v>
          </cell>
          <cell r="O18855">
            <v>540</v>
          </cell>
        </row>
        <row r="18856">
          <cell r="F18856" t="str">
            <v xml:space="preserve">16849293       </v>
          </cell>
          <cell r="O18856">
            <v>180</v>
          </cell>
        </row>
        <row r="18857">
          <cell r="F18857" t="str">
            <v xml:space="preserve">7247040        </v>
          </cell>
          <cell r="O18857">
            <v>105</v>
          </cell>
        </row>
        <row r="18858">
          <cell r="F18858" t="str">
            <v xml:space="preserve">14229215       </v>
          </cell>
          <cell r="O18858">
            <v>630</v>
          </cell>
        </row>
        <row r="18859">
          <cell r="F18859" t="str">
            <v xml:space="preserve">79736632       </v>
          </cell>
          <cell r="O18859">
            <v>702</v>
          </cell>
        </row>
        <row r="18860">
          <cell r="F18860" t="str">
            <v xml:space="preserve">79736632       </v>
          </cell>
          <cell r="O18860">
            <v>90</v>
          </cell>
        </row>
        <row r="18861">
          <cell r="F18861" t="str">
            <v xml:space="preserve">79736632       </v>
          </cell>
          <cell r="O18861">
            <v>540</v>
          </cell>
        </row>
        <row r="18862">
          <cell r="F18862" t="str">
            <v xml:space="preserve">26050336       </v>
          </cell>
          <cell r="O18862">
            <v>27</v>
          </cell>
        </row>
        <row r="18863">
          <cell r="F18863" t="str">
            <v xml:space="preserve">26050336       </v>
          </cell>
          <cell r="O18863">
            <v>15</v>
          </cell>
        </row>
        <row r="18864">
          <cell r="F18864" t="str">
            <v xml:space="preserve">26050336       </v>
          </cell>
          <cell r="O18864">
            <v>72</v>
          </cell>
        </row>
        <row r="18865">
          <cell r="F18865" t="str">
            <v xml:space="preserve">26050336       </v>
          </cell>
          <cell r="O18865">
            <v>135</v>
          </cell>
        </row>
        <row r="18866">
          <cell r="F18866" t="str">
            <v xml:space="preserve">7163709        </v>
          </cell>
          <cell r="O18866">
            <v>450</v>
          </cell>
        </row>
        <row r="18867">
          <cell r="F18867" t="str">
            <v xml:space="preserve">7163709        </v>
          </cell>
          <cell r="O18867">
            <v>1260</v>
          </cell>
        </row>
        <row r="18868">
          <cell r="F18868" t="str">
            <v xml:space="preserve">7163709        </v>
          </cell>
          <cell r="O18868">
            <v>450</v>
          </cell>
        </row>
        <row r="18869">
          <cell r="F18869" t="str">
            <v xml:space="preserve">7163709        </v>
          </cell>
          <cell r="O18869">
            <v>-450</v>
          </cell>
        </row>
        <row r="18870">
          <cell r="F18870" t="str">
            <v xml:space="preserve">7163709        </v>
          </cell>
          <cell r="O18870">
            <v>-1260</v>
          </cell>
        </row>
        <row r="18871">
          <cell r="F18871" t="str">
            <v xml:space="preserve">7163709        </v>
          </cell>
          <cell r="O18871">
            <v>-450</v>
          </cell>
        </row>
        <row r="18872">
          <cell r="F18872" t="str">
            <v xml:space="preserve">39627929       </v>
          </cell>
          <cell r="O18872">
            <v>540</v>
          </cell>
        </row>
        <row r="18873">
          <cell r="F18873" t="str">
            <v xml:space="preserve">830133323      </v>
          </cell>
          <cell r="O18873">
            <v>72</v>
          </cell>
        </row>
        <row r="18874">
          <cell r="F18874" t="str">
            <v xml:space="preserve">830133323      </v>
          </cell>
          <cell r="O18874">
            <v>90</v>
          </cell>
        </row>
        <row r="18875">
          <cell r="F18875" t="str">
            <v xml:space="preserve">830133323      </v>
          </cell>
          <cell r="O18875">
            <v>18</v>
          </cell>
        </row>
        <row r="18876">
          <cell r="F18876" t="str">
            <v xml:space="preserve">901370493      </v>
          </cell>
          <cell r="O18876">
            <v>18</v>
          </cell>
        </row>
        <row r="18877">
          <cell r="F18877" t="str">
            <v xml:space="preserve">91360601       </v>
          </cell>
          <cell r="O18877">
            <v>9</v>
          </cell>
        </row>
        <row r="18878">
          <cell r="F18878" t="str">
            <v xml:space="preserve">91360601       </v>
          </cell>
          <cell r="O18878">
            <v>150</v>
          </cell>
        </row>
        <row r="18879">
          <cell r="F18879" t="str">
            <v xml:space="preserve">91360601       </v>
          </cell>
          <cell r="O18879">
            <v>1512</v>
          </cell>
        </row>
        <row r="18880">
          <cell r="F18880" t="str">
            <v xml:space="preserve">91360601       </v>
          </cell>
          <cell r="O18880">
            <v>675</v>
          </cell>
        </row>
        <row r="18881">
          <cell r="F18881" t="str">
            <v xml:space="preserve">18385749       </v>
          </cell>
          <cell r="O18881">
            <v>396</v>
          </cell>
        </row>
        <row r="18882">
          <cell r="F18882" t="str">
            <v xml:space="preserve">18385749       </v>
          </cell>
          <cell r="O18882">
            <v>630</v>
          </cell>
        </row>
        <row r="18883">
          <cell r="F18883" t="str">
            <v xml:space="preserve">79824837       </v>
          </cell>
          <cell r="O18883">
            <v>27</v>
          </cell>
        </row>
        <row r="18884">
          <cell r="F18884" t="str">
            <v xml:space="preserve">79824837       </v>
          </cell>
          <cell r="O18884">
            <v>2016</v>
          </cell>
        </row>
        <row r="18885">
          <cell r="F18885" t="str">
            <v xml:space="preserve">79824837       </v>
          </cell>
          <cell r="O18885">
            <v>225</v>
          </cell>
        </row>
        <row r="18886">
          <cell r="F18886" t="str">
            <v xml:space="preserve">79824837       </v>
          </cell>
          <cell r="O18886">
            <v>30</v>
          </cell>
        </row>
        <row r="18887">
          <cell r="F18887" t="str">
            <v xml:space="preserve">79824837       </v>
          </cell>
          <cell r="O18887">
            <v>2196</v>
          </cell>
        </row>
        <row r="18888">
          <cell r="F18888" t="str">
            <v xml:space="preserve">79824837       </v>
          </cell>
          <cell r="O18888">
            <v>468</v>
          </cell>
        </row>
        <row r="18889">
          <cell r="F18889" t="str">
            <v xml:space="preserve">79824837       </v>
          </cell>
          <cell r="O18889">
            <v>270</v>
          </cell>
        </row>
        <row r="18890">
          <cell r="F18890" t="str">
            <v xml:space="preserve">74858565       </v>
          </cell>
          <cell r="O18890">
            <v>1515</v>
          </cell>
        </row>
        <row r="18891">
          <cell r="F18891" t="str">
            <v xml:space="preserve">74858565       </v>
          </cell>
          <cell r="O18891">
            <v>585</v>
          </cell>
        </row>
        <row r="18892">
          <cell r="F18892" t="str">
            <v xml:space="preserve">74858565       </v>
          </cell>
          <cell r="O18892">
            <v>1440</v>
          </cell>
        </row>
        <row r="18893">
          <cell r="F18893" t="str">
            <v xml:space="preserve">74858565       </v>
          </cell>
          <cell r="O18893">
            <v>675</v>
          </cell>
        </row>
        <row r="18894">
          <cell r="F18894" t="str">
            <v xml:space="preserve">74858565       </v>
          </cell>
          <cell r="O18894">
            <v>360</v>
          </cell>
        </row>
        <row r="18895">
          <cell r="F18895" t="str">
            <v xml:space="preserve">6667772        </v>
          </cell>
          <cell r="O18895">
            <v>900</v>
          </cell>
        </row>
        <row r="18896">
          <cell r="F18896" t="str">
            <v xml:space="preserve">6667772        </v>
          </cell>
          <cell r="O18896">
            <v>90</v>
          </cell>
        </row>
        <row r="18897">
          <cell r="F18897" t="str">
            <v xml:space="preserve">6667772        </v>
          </cell>
          <cell r="O18897">
            <v>1035</v>
          </cell>
        </row>
        <row r="18898">
          <cell r="F18898" t="str">
            <v xml:space="preserve">71215358       </v>
          </cell>
          <cell r="O18898">
            <v>180</v>
          </cell>
        </row>
        <row r="18899">
          <cell r="F18899" t="str">
            <v xml:space="preserve">71215358       </v>
          </cell>
          <cell r="O18899">
            <v>135</v>
          </cell>
        </row>
        <row r="18900">
          <cell r="F18900" t="str">
            <v xml:space="preserve">91179385       </v>
          </cell>
          <cell r="O18900">
            <v>648</v>
          </cell>
        </row>
        <row r="18901">
          <cell r="F18901" t="str">
            <v xml:space="preserve">91179385       </v>
          </cell>
          <cell r="O18901">
            <v>315</v>
          </cell>
        </row>
        <row r="18902">
          <cell r="F18902" t="str">
            <v xml:space="preserve">91179385       </v>
          </cell>
          <cell r="O18902">
            <v>15</v>
          </cell>
        </row>
        <row r="18903">
          <cell r="F18903" t="str">
            <v xml:space="preserve">91179385       </v>
          </cell>
          <cell r="O18903">
            <v>9</v>
          </cell>
        </row>
        <row r="18904">
          <cell r="F18904" t="str">
            <v xml:space="preserve">91179385       </v>
          </cell>
          <cell r="O18904">
            <v>15</v>
          </cell>
        </row>
        <row r="18905">
          <cell r="F18905" t="str">
            <v xml:space="preserve">88275004       </v>
          </cell>
          <cell r="O18905">
            <v>1440</v>
          </cell>
        </row>
        <row r="18906">
          <cell r="F18906" t="str">
            <v xml:space="preserve">88275004       </v>
          </cell>
          <cell r="O18906">
            <v>225</v>
          </cell>
        </row>
        <row r="18907">
          <cell r="F18907" t="str">
            <v xml:space="preserve">88275004       </v>
          </cell>
          <cell r="O18907">
            <v>1200</v>
          </cell>
        </row>
        <row r="18908">
          <cell r="F18908" t="str">
            <v xml:space="preserve">88158577       </v>
          </cell>
          <cell r="O18908">
            <v>27</v>
          </cell>
        </row>
        <row r="18909">
          <cell r="F18909" t="str">
            <v xml:space="preserve">88158577       </v>
          </cell>
          <cell r="O18909">
            <v>750</v>
          </cell>
        </row>
        <row r="18910">
          <cell r="F18910" t="str">
            <v xml:space="preserve">88158577       </v>
          </cell>
          <cell r="O18910">
            <v>900</v>
          </cell>
        </row>
        <row r="18911">
          <cell r="F18911" t="str">
            <v xml:space="preserve">88158577       </v>
          </cell>
          <cell r="O18911">
            <v>225</v>
          </cell>
        </row>
        <row r="18912">
          <cell r="F18912" t="str">
            <v xml:space="preserve">79384689       </v>
          </cell>
          <cell r="O18912">
            <v>165</v>
          </cell>
        </row>
        <row r="18913">
          <cell r="F18913" t="str">
            <v xml:space="preserve">13458443       </v>
          </cell>
          <cell r="O18913">
            <v>75</v>
          </cell>
        </row>
        <row r="18914">
          <cell r="F18914" t="str">
            <v xml:space="preserve">13494934       </v>
          </cell>
          <cell r="O18914">
            <v>360</v>
          </cell>
        </row>
        <row r="18915">
          <cell r="F18915" t="str">
            <v xml:space="preserve">13494934       </v>
          </cell>
          <cell r="O18915">
            <v>180</v>
          </cell>
        </row>
        <row r="18916">
          <cell r="F18916" t="str">
            <v xml:space="preserve">13494934       </v>
          </cell>
          <cell r="O18916">
            <v>225</v>
          </cell>
        </row>
        <row r="18917">
          <cell r="F18917" t="str">
            <v xml:space="preserve">13494934       </v>
          </cell>
          <cell r="O18917">
            <v>90</v>
          </cell>
        </row>
        <row r="18918">
          <cell r="F18918" t="str">
            <v xml:space="preserve">13494934       </v>
          </cell>
          <cell r="O18918">
            <v>390</v>
          </cell>
        </row>
        <row r="18919">
          <cell r="F18919" t="str">
            <v xml:space="preserve">13494934       </v>
          </cell>
          <cell r="O18919">
            <v>126</v>
          </cell>
        </row>
        <row r="18920">
          <cell r="F18920" t="str">
            <v xml:space="preserve">13494934       </v>
          </cell>
          <cell r="O18920">
            <v>90</v>
          </cell>
        </row>
        <row r="18921">
          <cell r="F18921" t="str">
            <v xml:space="preserve">88188644       </v>
          </cell>
          <cell r="O18921">
            <v>405</v>
          </cell>
        </row>
        <row r="18922">
          <cell r="F18922" t="str">
            <v xml:space="preserve">88188644       </v>
          </cell>
          <cell r="O18922">
            <v>270</v>
          </cell>
        </row>
        <row r="18923">
          <cell r="F18923" t="str">
            <v xml:space="preserve">901449776      </v>
          </cell>
          <cell r="O18923">
            <v>45</v>
          </cell>
        </row>
        <row r="18924">
          <cell r="F18924" t="str">
            <v xml:space="preserve">1117502076     </v>
          </cell>
          <cell r="O18924">
            <v>15</v>
          </cell>
        </row>
        <row r="18925">
          <cell r="F18925" t="str">
            <v xml:space="preserve">1117502076     </v>
          </cell>
          <cell r="O18925">
            <v>234</v>
          </cell>
        </row>
        <row r="18926">
          <cell r="F18926" t="str">
            <v xml:space="preserve">1117502076     </v>
          </cell>
          <cell r="O18926">
            <v>198</v>
          </cell>
        </row>
        <row r="18927">
          <cell r="F18927" t="str">
            <v xml:space="preserve">1117502076     </v>
          </cell>
          <cell r="O18927">
            <v>45</v>
          </cell>
        </row>
        <row r="18928">
          <cell r="F18928" t="str">
            <v xml:space="preserve">91451576       </v>
          </cell>
          <cell r="O18928">
            <v>90</v>
          </cell>
        </row>
        <row r="18929">
          <cell r="F18929" t="str">
            <v xml:space="preserve">91451576       </v>
          </cell>
          <cell r="O18929">
            <v>126</v>
          </cell>
        </row>
        <row r="18930">
          <cell r="F18930" t="str">
            <v xml:space="preserve">5689927        </v>
          </cell>
          <cell r="O18930">
            <v>990</v>
          </cell>
        </row>
        <row r="18931">
          <cell r="F18931" t="str">
            <v xml:space="preserve">13862691       </v>
          </cell>
          <cell r="O18931">
            <v>1890</v>
          </cell>
        </row>
        <row r="18932">
          <cell r="F18932" t="str">
            <v xml:space="preserve">13862691       </v>
          </cell>
          <cell r="O18932">
            <v>315</v>
          </cell>
        </row>
        <row r="18933">
          <cell r="F18933" t="str">
            <v xml:space="preserve">13862691       </v>
          </cell>
          <cell r="O18933">
            <v>45</v>
          </cell>
        </row>
        <row r="18934">
          <cell r="F18934" t="str">
            <v xml:space="preserve">13862691       </v>
          </cell>
          <cell r="O18934">
            <v>450</v>
          </cell>
        </row>
        <row r="18935">
          <cell r="F18935" t="str">
            <v xml:space="preserve">91266362       </v>
          </cell>
          <cell r="O18935">
            <v>324</v>
          </cell>
        </row>
        <row r="18936">
          <cell r="F18936" t="str">
            <v xml:space="preserve">91266362       </v>
          </cell>
          <cell r="O18936">
            <v>90</v>
          </cell>
        </row>
        <row r="18937">
          <cell r="F18937" t="str">
            <v xml:space="preserve">13537217       </v>
          </cell>
          <cell r="O18937">
            <v>432</v>
          </cell>
        </row>
        <row r="18938">
          <cell r="F18938" t="str">
            <v xml:space="preserve">13537217       </v>
          </cell>
          <cell r="O18938">
            <v>180</v>
          </cell>
        </row>
        <row r="18939">
          <cell r="F18939" t="str">
            <v xml:space="preserve">91178985       </v>
          </cell>
          <cell r="O18939">
            <v>1170</v>
          </cell>
        </row>
        <row r="18940">
          <cell r="F18940" t="str">
            <v xml:space="preserve">91178985       </v>
          </cell>
          <cell r="O18940">
            <v>3600</v>
          </cell>
        </row>
        <row r="18941">
          <cell r="F18941" t="str">
            <v xml:space="preserve">91178985       </v>
          </cell>
          <cell r="O18941">
            <v>225</v>
          </cell>
        </row>
        <row r="18942">
          <cell r="F18942" t="str">
            <v xml:space="preserve">91222539       </v>
          </cell>
          <cell r="O18942">
            <v>15</v>
          </cell>
        </row>
        <row r="18943">
          <cell r="F18943" t="str">
            <v xml:space="preserve">91222539       </v>
          </cell>
          <cell r="O18943">
            <v>234</v>
          </cell>
        </row>
        <row r="18944">
          <cell r="F18944" t="str">
            <v xml:space="preserve">91222539       </v>
          </cell>
          <cell r="O18944">
            <v>1314</v>
          </cell>
        </row>
        <row r="18945">
          <cell r="F18945" t="str">
            <v xml:space="preserve">91222539       </v>
          </cell>
          <cell r="O18945">
            <v>450</v>
          </cell>
        </row>
        <row r="18946">
          <cell r="F18946" t="str">
            <v xml:space="preserve">13702886       </v>
          </cell>
          <cell r="O18946">
            <v>375</v>
          </cell>
        </row>
        <row r="18947">
          <cell r="F18947" t="str">
            <v xml:space="preserve">13702886       </v>
          </cell>
          <cell r="O18947">
            <v>270</v>
          </cell>
        </row>
        <row r="18948">
          <cell r="F18948" t="str">
            <v xml:space="preserve">13702886       </v>
          </cell>
          <cell r="O18948">
            <v>225</v>
          </cell>
        </row>
        <row r="18949">
          <cell r="F18949" t="str">
            <v xml:space="preserve">91067422       </v>
          </cell>
          <cell r="O18949">
            <v>30</v>
          </cell>
        </row>
        <row r="18950">
          <cell r="F18950" t="str">
            <v xml:space="preserve">91067422       </v>
          </cell>
          <cell r="O18950">
            <v>180</v>
          </cell>
        </row>
        <row r="18951">
          <cell r="F18951" t="str">
            <v xml:space="preserve">91067422       </v>
          </cell>
          <cell r="O18951">
            <v>54</v>
          </cell>
        </row>
        <row r="18952">
          <cell r="F18952" t="str">
            <v xml:space="preserve">91067422       </v>
          </cell>
          <cell r="O18952">
            <v>150</v>
          </cell>
        </row>
        <row r="18953">
          <cell r="F18953" t="str">
            <v xml:space="preserve">91067422       </v>
          </cell>
          <cell r="O18953">
            <v>45</v>
          </cell>
        </row>
        <row r="18954">
          <cell r="F18954" t="str">
            <v xml:space="preserve">91067422       </v>
          </cell>
          <cell r="O18954">
            <v>225</v>
          </cell>
        </row>
        <row r="18955">
          <cell r="F18955" t="str">
            <v xml:space="preserve">91067422       </v>
          </cell>
          <cell r="O18955">
            <v>150</v>
          </cell>
        </row>
        <row r="18956">
          <cell r="F18956" t="str">
            <v xml:space="preserve">91067422       </v>
          </cell>
          <cell r="O18956">
            <v>54</v>
          </cell>
        </row>
        <row r="18957">
          <cell r="F18957" t="str">
            <v xml:space="preserve">91067422       </v>
          </cell>
          <cell r="O18957">
            <v>285</v>
          </cell>
        </row>
        <row r="18958">
          <cell r="F18958" t="str">
            <v xml:space="preserve">91067422       </v>
          </cell>
          <cell r="O18958">
            <v>72</v>
          </cell>
        </row>
        <row r="18959">
          <cell r="F18959" t="str">
            <v xml:space="preserve">91067422       </v>
          </cell>
          <cell r="O18959">
            <v>18</v>
          </cell>
        </row>
        <row r="18960">
          <cell r="F18960" t="str">
            <v xml:space="preserve">91272730       </v>
          </cell>
          <cell r="O18960">
            <v>210</v>
          </cell>
        </row>
        <row r="18961">
          <cell r="F18961" t="str">
            <v xml:space="preserve">91272730       </v>
          </cell>
          <cell r="O18961">
            <v>126</v>
          </cell>
        </row>
        <row r="18962">
          <cell r="F18962" t="str">
            <v xml:space="preserve">91272730       </v>
          </cell>
          <cell r="O18962">
            <v>180</v>
          </cell>
        </row>
        <row r="18963">
          <cell r="F18963" t="str">
            <v xml:space="preserve">26229305       </v>
          </cell>
          <cell r="O18963">
            <v>1350</v>
          </cell>
        </row>
        <row r="18964">
          <cell r="F18964" t="str">
            <v xml:space="preserve">26229305       </v>
          </cell>
          <cell r="O18964">
            <v>180</v>
          </cell>
        </row>
        <row r="18965">
          <cell r="F18965" t="str">
            <v xml:space="preserve">26229305       </v>
          </cell>
          <cell r="O18965">
            <v>675</v>
          </cell>
        </row>
        <row r="18966">
          <cell r="F18966" t="str">
            <v xml:space="preserve">26229305       </v>
          </cell>
          <cell r="O18966">
            <v>750</v>
          </cell>
        </row>
        <row r="18967">
          <cell r="F18967" t="str">
            <v xml:space="preserve">26229305       </v>
          </cell>
          <cell r="O18967">
            <v>180</v>
          </cell>
        </row>
        <row r="18968">
          <cell r="F18968" t="str">
            <v xml:space="preserve">26229305       </v>
          </cell>
          <cell r="O18968">
            <v>135</v>
          </cell>
        </row>
        <row r="18969">
          <cell r="F18969" t="str">
            <v xml:space="preserve">901096204      </v>
          </cell>
          <cell r="O18969">
            <v>2052</v>
          </cell>
        </row>
        <row r="18970">
          <cell r="F18970" t="str">
            <v xml:space="preserve">901096204      </v>
          </cell>
          <cell r="O18970">
            <v>45</v>
          </cell>
        </row>
        <row r="18971">
          <cell r="F18971" t="str">
            <v xml:space="preserve">73134768       </v>
          </cell>
          <cell r="O18971">
            <v>375</v>
          </cell>
        </row>
        <row r="18972">
          <cell r="F18972" t="str">
            <v xml:space="preserve">73134768       </v>
          </cell>
          <cell r="O18972">
            <v>378</v>
          </cell>
        </row>
        <row r="18973">
          <cell r="F18973" t="str">
            <v xml:space="preserve">73134768       </v>
          </cell>
          <cell r="O18973">
            <v>45</v>
          </cell>
        </row>
        <row r="18974">
          <cell r="F18974" t="str">
            <v xml:space="preserve">85477397       </v>
          </cell>
          <cell r="O18974">
            <v>2100</v>
          </cell>
        </row>
        <row r="18975">
          <cell r="F18975" t="str">
            <v xml:space="preserve">85477397       </v>
          </cell>
          <cell r="O18975">
            <v>450</v>
          </cell>
        </row>
        <row r="18976">
          <cell r="F18976" t="str">
            <v xml:space="preserve">72137594       </v>
          </cell>
          <cell r="O18976">
            <v>270</v>
          </cell>
        </row>
        <row r="18977">
          <cell r="F18977" t="str">
            <v xml:space="preserve">72137594       </v>
          </cell>
          <cell r="O18977">
            <v>540</v>
          </cell>
        </row>
        <row r="18978">
          <cell r="F18978" t="str">
            <v xml:space="preserve">73238025       </v>
          </cell>
          <cell r="O18978">
            <v>5472</v>
          </cell>
        </row>
        <row r="18979">
          <cell r="F18979" t="str">
            <v xml:space="preserve">73238025       </v>
          </cell>
          <cell r="O18979">
            <v>2160</v>
          </cell>
        </row>
        <row r="18980">
          <cell r="F18980" t="str">
            <v xml:space="preserve">91288772       </v>
          </cell>
          <cell r="O18980">
            <v>825</v>
          </cell>
        </row>
        <row r="18981">
          <cell r="F18981" t="str">
            <v xml:space="preserve">91288772       </v>
          </cell>
          <cell r="O18981">
            <v>540</v>
          </cell>
        </row>
        <row r="18982">
          <cell r="F18982" t="str">
            <v xml:space="preserve">91288772       </v>
          </cell>
          <cell r="O18982">
            <v>270</v>
          </cell>
        </row>
        <row r="18983">
          <cell r="F18983" t="str">
            <v xml:space="preserve">77191750       </v>
          </cell>
          <cell r="O18983">
            <v>792</v>
          </cell>
        </row>
        <row r="18984">
          <cell r="F18984" t="str">
            <v xml:space="preserve">91213004       </v>
          </cell>
          <cell r="O18984">
            <v>1008</v>
          </cell>
        </row>
        <row r="18985">
          <cell r="F18985" t="str">
            <v xml:space="preserve">72196317       </v>
          </cell>
          <cell r="O18985">
            <v>270</v>
          </cell>
        </row>
        <row r="18986">
          <cell r="F18986" t="str">
            <v xml:space="preserve">72196317       </v>
          </cell>
          <cell r="O18986">
            <v>36</v>
          </cell>
        </row>
        <row r="18987">
          <cell r="F18987" t="str">
            <v xml:space="preserve">72196317       </v>
          </cell>
          <cell r="O18987">
            <v>45</v>
          </cell>
        </row>
        <row r="18988">
          <cell r="F18988" t="str">
            <v xml:space="preserve">72196317       </v>
          </cell>
          <cell r="O18988">
            <v>525</v>
          </cell>
        </row>
        <row r="18989">
          <cell r="F18989" t="str">
            <v xml:space="preserve">72196317       </v>
          </cell>
          <cell r="O18989">
            <v>180</v>
          </cell>
        </row>
        <row r="18990">
          <cell r="F18990" t="str">
            <v xml:space="preserve">72196317       </v>
          </cell>
          <cell r="O18990">
            <v>90</v>
          </cell>
        </row>
        <row r="18991">
          <cell r="F18991" t="str">
            <v xml:space="preserve">1047231108     </v>
          </cell>
          <cell r="O18991">
            <v>765</v>
          </cell>
        </row>
        <row r="18992">
          <cell r="F18992" t="str">
            <v xml:space="preserve">1047231108     </v>
          </cell>
          <cell r="O18992">
            <v>54</v>
          </cell>
        </row>
        <row r="18993">
          <cell r="F18993" t="str">
            <v xml:space="preserve">73079740       </v>
          </cell>
          <cell r="O18993">
            <v>558</v>
          </cell>
        </row>
        <row r="18994">
          <cell r="F18994" t="str">
            <v xml:space="preserve">73079740       </v>
          </cell>
          <cell r="O18994">
            <v>90</v>
          </cell>
        </row>
        <row r="18995">
          <cell r="F18995" t="str">
            <v xml:space="preserve">15047548       </v>
          </cell>
          <cell r="O18995">
            <v>30</v>
          </cell>
        </row>
        <row r="18996">
          <cell r="F18996" t="str">
            <v xml:space="preserve">15047548       </v>
          </cell>
          <cell r="O18996">
            <v>252</v>
          </cell>
        </row>
        <row r="18997">
          <cell r="F18997" t="str">
            <v xml:space="preserve">15047548       </v>
          </cell>
          <cell r="O18997">
            <v>15</v>
          </cell>
        </row>
        <row r="18998">
          <cell r="F18998" t="str">
            <v xml:space="preserve">15047548       </v>
          </cell>
          <cell r="O18998">
            <v>162</v>
          </cell>
        </row>
        <row r="18999">
          <cell r="F18999" t="str">
            <v xml:space="preserve">18531333       </v>
          </cell>
          <cell r="O18999">
            <v>2925</v>
          </cell>
        </row>
        <row r="19000">
          <cell r="F19000" t="str">
            <v xml:space="preserve">18531333       </v>
          </cell>
          <cell r="O19000">
            <v>225</v>
          </cell>
        </row>
        <row r="19001">
          <cell r="F19001" t="str">
            <v xml:space="preserve">18531333       </v>
          </cell>
          <cell r="O19001">
            <v>2880</v>
          </cell>
        </row>
        <row r="19002">
          <cell r="F19002" t="str">
            <v xml:space="preserve">79827688       </v>
          </cell>
          <cell r="O19002">
            <v>75</v>
          </cell>
        </row>
        <row r="19003">
          <cell r="F19003" t="str">
            <v xml:space="preserve">79827688       </v>
          </cell>
          <cell r="O19003">
            <v>252</v>
          </cell>
        </row>
        <row r="19004">
          <cell r="F19004" t="str">
            <v xml:space="preserve">79827688       </v>
          </cell>
          <cell r="O19004">
            <v>234</v>
          </cell>
        </row>
        <row r="19005">
          <cell r="F19005" t="str">
            <v xml:space="preserve">92520690       </v>
          </cell>
          <cell r="O19005">
            <v>165</v>
          </cell>
        </row>
        <row r="19006">
          <cell r="F19006" t="str">
            <v xml:space="preserve">92520690       </v>
          </cell>
          <cell r="O19006">
            <v>738</v>
          </cell>
        </row>
        <row r="19007">
          <cell r="F19007" t="str">
            <v xml:space="preserve">92520690       </v>
          </cell>
          <cell r="O19007">
            <v>45</v>
          </cell>
        </row>
        <row r="19008">
          <cell r="F19008" t="str">
            <v xml:space="preserve">70752579       </v>
          </cell>
          <cell r="O19008">
            <v>135</v>
          </cell>
        </row>
        <row r="19009">
          <cell r="F19009" t="str">
            <v xml:space="preserve">70752579       </v>
          </cell>
          <cell r="O19009">
            <v>270</v>
          </cell>
        </row>
        <row r="19010">
          <cell r="F19010" t="str">
            <v xml:space="preserve">70752579       </v>
          </cell>
          <cell r="O19010">
            <v>45</v>
          </cell>
        </row>
        <row r="19011">
          <cell r="F19011" t="str">
            <v xml:space="preserve">80266206       </v>
          </cell>
          <cell r="O19011">
            <v>63</v>
          </cell>
        </row>
        <row r="19012">
          <cell r="F19012" t="str">
            <v xml:space="preserve">80266206       </v>
          </cell>
          <cell r="O19012">
            <v>45</v>
          </cell>
        </row>
        <row r="19013">
          <cell r="F19013" t="str">
            <v xml:space="preserve">80266206       </v>
          </cell>
          <cell r="O19013">
            <v>378</v>
          </cell>
        </row>
        <row r="19014">
          <cell r="F19014" t="str">
            <v xml:space="preserve">79119755       </v>
          </cell>
          <cell r="O19014">
            <v>540</v>
          </cell>
        </row>
        <row r="19015">
          <cell r="F19015" t="str">
            <v xml:space="preserve">1111739602     </v>
          </cell>
          <cell r="O19015">
            <v>150</v>
          </cell>
        </row>
        <row r="19016">
          <cell r="F19016" t="str">
            <v xml:space="preserve">1111739602     </v>
          </cell>
          <cell r="O19016">
            <v>900</v>
          </cell>
        </row>
        <row r="19017">
          <cell r="F19017" t="str">
            <v xml:space="preserve">1111739602     </v>
          </cell>
          <cell r="O19017">
            <v>270</v>
          </cell>
        </row>
        <row r="19018">
          <cell r="F19018" t="str">
            <v xml:space="preserve">88168843       </v>
          </cell>
          <cell r="O19018">
            <v>9</v>
          </cell>
        </row>
        <row r="19019">
          <cell r="F19019" t="str">
            <v xml:space="preserve">88168843       </v>
          </cell>
          <cell r="O19019">
            <v>90</v>
          </cell>
        </row>
        <row r="19020">
          <cell r="F19020" t="str">
            <v xml:space="preserve">79266522       </v>
          </cell>
          <cell r="O19020">
            <v>90</v>
          </cell>
        </row>
        <row r="19021">
          <cell r="F19021" t="str">
            <v xml:space="preserve">79266522       </v>
          </cell>
          <cell r="O19021">
            <v>225</v>
          </cell>
        </row>
        <row r="19022">
          <cell r="F19022" t="str">
            <v xml:space="preserve">79221604       </v>
          </cell>
          <cell r="O19022">
            <v>45</v>
          </cell>
        </row>
        <row r="19023">
          <cell r="F19023" t="str">
            <v xml:space="preserve">79221604       </v>
          </cell>
          <cell r="O19023">
            <v>270</v>
          </cell>
        </row>
        <row r="19024">
          <cell r="F19024" t="str">
            <v xml:space="preserve">79221604       </v>
          </cell>
          <cell r="O19024">
            <v>180</v>
          </cell>
        </row>
        <row r="19025">
          <cell r="F19025" t="str">
            <v xml:space="preserve">79221604       </v>
          </cell>
          <cell r="O19025">
            <v>45</v>
          </cell>
        </row>
        <row r="19026">
          <cell r="F19026" t="str">
            <v xml:space="preserve">9867640        </v>
          </cell>
          <cell r="O19026">
            <v>180</v>
          </cell>
        </row>
        <row r="19027">
          <cell r="F19027" t="str">
            <v xml:space="preserve">9867640        </v>
          </cell>
          <cell r="O19027">
            <v>36</v>
          </cell>
        </row>
        <row r="19028">
          <cell r="F19028" t="str">
            <v xml:space="preserve">9867640        </v>
          </cell>
          <cell r="O19028">
            <v>45</v>
          </cell>
        </row>
        <row r="19029">
          <cell r="F19029" t="str">
            <v xml:space="preserve">10315862       </v>
          </cell>
          <cell r="O19029">
            <v>360</v>
          </cell>
        </row>
        <row r="19030">
          <cell r="F19030" t="str">
            <v xml:space="preserve">1103101503     </v>
          </cell>
          <cell r="O19030">
            <v>225</v>
          </cell>
        </row>
        <row r="19031">
          <cell r="F19031" t="str">
            <v xml:space="preserve">1103101503     </v>
          </cell>
          <cell r="O19031">
            <v>486</v>
          </cell>
        </row>
        <row r="19032">
          <cell r="F19032" t="str">
            <v xml:space="preserve">1103101503     </v>
          </cell>
          <cell r="O19032">
            <v>9</v>
          </cell>
        </row>
        <row r="19033">
          <cell r="F19033" t="str">
            <v xml:space="preserve">92260572       </v>
          </cell>
          <cell r="O19033">
            <v>9</v>
          </cell>
        </row>
        <row r="19034">
          <cell r="F19034" t="str">
            <v xml:space="preserve">92260572       </v>
          </cell>
          <cell r="O19034">
            <v>180</v>
          </cell>
        </row>
        <row r="19035">
          <cell r="F19035" t="str">
            <v xml:space="preserve">73166349       </v>
          </cell>
          <cell r="O19035">
            <v>150</v>
          </cell>
        </row>
        <row r="19036">
          <cell r="F19036" t="str">
            <v xml:space="preserve">73166349       </v>
          </cell>
          <cell r="O19036">
            <v>576</v>
          </cell>
        </row>
        <row r="19037">
          <cell r="F19037" t="str">
            <v xml:space="preserve">73507193       </v>
          </cell>
          <cell r="O19037">
            <v>420</v>
          </cell>
        </row>
        <row r="19038">
          <cell r="F19038" t="str">
            <v xml:space="preserve">73507193       </v>
          </cell>
          <cell r="O19038">
            <v>396</v>
          </cell>
        </row>
        <row r="19039">
          <cell r="F19039" t="str">
            <v xml:space="preserve">73507193       </v>
          </cell>
          <cell r="O19039">
            <v>90</v>
          </cell>
        </row>
        <row r="19040">
          <cell r="F19040" t="str">
            <v xml:space="preserve">91540489       </v>
          </cell>
          <cell r="O19040">
            <v>735</v>
          </cell>
        </row>
        <row r="19041">
          <cell r="F19041" t="str">
            <v xml:space="preserve">91540489       </v>
          </cell>
          <cell r="O19041">
            <v>54</v>
          </cell>
        </row>
        <row r="19042">
          <cell r="F19042" t="str">
            <v xml:space="preserve">91540489       </v>
          </cell>
          <cell r="O19042">
            <v>135</v>
          </cell>
        </row>
        <row r="19043">
          <cell r="F19043" t="str">
            <v xml:space="preserve">80730783       </v>
          </cell>
          <cell r="O19043">
            <v>180</v>
          </cell>
        </row>
        <row r="19044">
          <cell r="F19044" t="str">
            <v xml:space="preserve">80730783       </v>
          </cell>
          <cell r="O19044">
            <v>900</v>
          </cell>
        </row>
        <row r="19045">
          <cell r="F19045" t="str">
            <v xml:space="preserve">79734086       </v>
          </cell>
          <cell r="O19045">
            <v>180</v>
          </cell>
        </row>
        <row r="19046">
          <cell r="F19046" t="str">
            <v xml:space="preserve">79734086       </v>
          </cell>
          <cell r="O19046">
            <v>486</v>
          </cell>
        </row>
        <row r="19047">
          <cell r="F19047" t="str">
            <v xml:space="preserve">17783299       </v>
          </cell>
          <cell r="O19047">
            <v>1155</v>
          </cell>
        </row>
        <row r="19048">
          <cell r="F19048" t="str">
            <v xml:space="preserve">17783299       </v>
          </cell>
          <cell r="O19048">
            <v>675</v>
          </cell>
        </row>
        <row r="19049">
          <cell r="F19049" t="str">
            <v xml:space="preserve">17783299       </v>
          </cell>
          <cell r="O19049">
            <v>450</v>
          </cell>
        </row>
        <row r="19050">
          <cell r="F19050" t="str">
            <v xml:space="preserve">19389409       </v>
          </cell>
          <cell r="O19050">
            <v>15</v>
          </cell>
        </row>
        <row r="19051">
          <cell r="F19051" t="str">
            <v xml:space="preserve">19389409       </v>
          </cell>
          <cell r="O19051">
            <v>288</v>
          </cell>
        </row>
        <row r="19052">
          <cell r="F19052" t="str">
            <v xml:space="preserve">19389409       </v>
          </cell>
          <cell r="O19052">
            <v>135</v>
          </cell>
        </row>
        <row r="19053">
          <cell r="F19053" t="str">
            <v xml:space="preserve">11320273       </v>
          </cell>
          <cell r="O19053">
            <v>1728</v>
          </cell>
        </row>
        <row r="19054">
          <cell r="F19054" t="str">
            <v xml:space="preserve">11320273       </v>
          </cell>
          <cell r="O19054">
            <v>72</v>
          </cell>
        </row>
        <row r="19055">
          <cell r="F19055" t="str">
            <v xml:space="preserve">11320273       </v>
          </cell>
          <cell r="O19055">
            <v>810</v>
          </cell>
        </row>
        <row r="19056">
          <cell r="F19056" t="str">
            <v xml:space="preserve">18185538       </v>
          </cell>
          <cell r="O19056">
            <v>45</v>
          </cell>
        </row>
        <row r="19057">
          <cell r="F19057" t="str">
            <v xml:space="preserve">18185538       </v>
          </cell>
          <cell r="O19057">
            <v>414</v>
          </cell>
        </row>
        <row r="19058">
          <cell r="F19058" t="str">
            <v xml:space="preserve">18185538       </v>
          </cell>
          <cell r="O19058">
            <v>180</v>
          </cell>
        </row>
        <row r="19059">
          <cell r="F19059" t="str">
            <v xml:space="preserve">83226520       </v>
          </cell>
          <cell r="O19059">
            <v>225</v>
          </cell>
        </row>
        <row r="19060">
          <cell r="F19060" t="str">
            <v xml:space="preserve">83226520       </v>
          </cell>
          <cell r="O19060">
            <v>2340</v>
          </cell>
        </row>
        <row r="19061">
          <cell r="F19061" t="str">
            <v xml:space="preserve">83226520       </v>
          </cell>
          <cell r="O19061">
            <v>450</v>
          </cell>
        </row>
        <row r="19062">
          <cell r="F19062" t="str">
            <v xml:space="preserve">12266504       </v>
          </cell>
          <cell r="O19062">
            <v>90</v>
          </cell>
        </row>
        <row r="19063">
          <cell r="F19063" t="str">
            <v xml:space="preserve">12266504       </v>
          </cell>
          <cell r="O19063">
            <v>285</v>
          </cell>
        </row>
        <row r="19064">
          <cell r="F19064" t="str">
            <v xml:space="preserve">12266504       </v>
          </cell>
          <cell r="O19064">
            <v>285</v>
          </cell>
        </row>
        <row r="19065">
          <cell r="F19065" t="str">
            <v xml:space="preserve">12266504       </v>
          </cell>
          <cell r="O19065">
            <v>18</v>
          </cell>
        </row>
        <row r="19066">
          <cell r="F19066" t="str">
            <v xml:space="preserve">79847779       </v>
          </cell>
          <cell r="O19066">
            <v>1650</v>
          </cell>
        </row>
        <row r="19067">
          <cell r="F19067" t="str">
            <v xml:space="preserve">83042067       </v>
          </cell>
          <cell r="O19067">
            <v>270</v>
          </cell>
        </row>
        <row r="19068">
          <cell r="F19068" t="str">
            <v xml:space="preserve">83042067       </v>
          </cell>
          <cell r="O19068">
            <v>45</v>
          </cell>
        </row>
        <row r="19069">
          <cell r="F19069" t="str">
            <v xml:space="preserve">83042067       </v>
          </cell>
          <cell r="O19069">
            <v>30</v>
          </cell>
        </row>
        <row r="19070">
          <cell r="F19070" t="str">
            <v xml:space="preserve">83042067       </v>
          </cell>
          <cell r="O19070">
            <v>54</v>
          </cell>
        </row>
        <row r="19071">
          <cell r="F19071" t="str">
            <v xml:space="preserve">83042067       </v>
          </cell>
          <cell r="O19071">
            <v>225</v>
          </cell>
        </row>
        <row r="19072">
          <cell r="F19072" t="str">
            <v xml:space="preserve">83042067       </v>
          </cell>
          <cell r="O19072">
            <v>135</v>
          </cell>
        </row>
        <row r="19073">
          <cell r="F19073" t="str">
            <v xml:space="preserve">18144684       </v>
          </cell>
          <cell r="O19073">
            <v>780</v>
          </cell>
        </row>
        <row r="19074">
          <cell r="F19074" t="str">
            <v xml:space="preserve">18144684       </v>
          </cell>
          <cell r="O19074">
            <v>126</v>
          </cell>
        </row>
        <row r="19075">
          <cell r="F19075" t="str">
            <v xml:space="preserve">18144684       </v>
          </cell>
          <cell r="O19075">
            <v>180</v>
          </cell>
        </row>
        <row r="19076">
          <cell r="F19076" t="str">
            <v xml:space="preserve">18144684       </v>
          </cell>
          <cell r="O19076">
            <v>375</v>
          </cell>
        </row>
        <row r="19077">
          <cell r="F19077" t="str">
            <v xml:space="preserve">18144684       </v>
          </cell>
          <cell r="O19077">
            <v>54</v>
          </cell>
        </row>
        <row r="19078">
          <cell r="F19078" t="str">
            <v xml:space="preserve">16864143       </v>
          </cell>
          <cell r="O19078">
            <v>45</v>
          </cell>
        </row>
        <row r="19079">
          <cell r="F19079" t="str">
            <v xml:space="preserve">16864143       </v>
          </cell>
          <cell r="O19079">
            <v>345</v>
          </cell>
        </row>
        <row r="19080">
          <cell r="F19080" t="str">
            <v xml:space="preserve">16864143       </v>
          </cell>
          <cell r="O19080">
            <v>90</v>
          </cell>
        </row>
        <row r="19081">
          <cell r="F19081" t="str">
            <v xml:space="preserve">16864143       </v>
          </cell>
          <cell r="O19081">
            <v>162</v>
          </cell>
        </row>
        <row r="19082">
          <cell r="F19082" t="str">
            <v xml:space="preserve">1062292334     </v>
          </cell>
          <cell r="O19082">
            <v>210</v>
          </cell>
        </row>
        <row r="19083">
          <cell r="F19083" t="str">
            <v xml:space="preserve">1062292334     </v>
          </cell>
          <cell r="O19083">
            <v>198</v>
          </cell>
        </row>
        <row r="19084">
          <cell r="F19084" t="str">
            <v xml:space="preserve">1062292334     </v>
          </cell>
          <cell r="O19084">
            <v>135</v>
          </cell>
        </row>
        <row r="19085">
          <cell r="F19085" t="str">
            <v xml:space="preserve">15945210       </v>
          </cell>
          <cell r="O19085">
            <v>900</v>
          </cell>
        </row>
        <row r="19086">
          <cell r="F19086" t="str">
            <v xml:space="preserve">15945210       </v>
          </cell>
          <cell r="O19086">
            <v>45</v>
          </cell>
        </row>
        <row r="19087">
          <cell r="F19087" t="str">
            <v xml:space="preserve">15945210       </v>
          </cell>
          <cell r="O19087">
            <v>180</v>
          </cell>
        </row>
        <row r="19088">
          <cell r="F19088" t="str">
            <v xml:space="preserve">15945210       </v>
          </cell>
          <cell r="O19088">
            <v>45</v>
          </cell>
        </row>
        <row r="19089">
          <cell r="F19089" t="str">
            <v xml:space="preserve">11445090       </v>
          </cell>
          <cell r="O19089">
            <v>30</v>
          </cell>
        </row>
        <row r="19090">
          <cell r="F19090" t="str">
            <v xml:space="preserve">11445090       </v>
          </cell>
          <cell r="O19090">
            <v>171</v>
          </cell>
        </row>
        <row r="19091">
          <cell r="F19091" t="str">
            <v xml:space="preserve">11445090       </v>
          </cell>
          <cell r="O19091">
            <v>576</v>
          </cell>
        </row>
        <row r="19092">
          <cell r="F19092" t="str">
            <v xml:space="preserve">11445090       </v>
          </cell>
          <cell r="O19092">
            <v>135</v>
          </cell>
        </row>
        <row r="19093">
          <cell r="F19093" t="str">
            <v xml:space="preserve">11445090       </v>
          </cell>
          <cell r="O19093">
            <v>45</v>
          </cell>
        </row>
        <row r="19094">
          <cell r="F19094" t="str">
            <v xml:space="preserve">11445090       </v>
          </cell>
          <cell r="O19094">
            <v>63</v>
          </cell>
        </row>
        <row r="19095">
          <cell r="F19095" t="str">
            <v xml:space="preserve">11445090       </v>
          </cell>
          <cell r="O19095">
            <v>15</v>
          </cell>
        </row>
        <row r="19096">
          <cell r="F19096" t="str">
            <v xml:space="preserve">11445090       </v>
          </cell>
          <cell r="O19096">
            <v>108</v>
          </cell>
        </row>
        <row r="19097">
          <cell r="F19097" t="str">
            <v xml:space="preserve">11445090       </v>
          </cell>
          <cell r="O19097">
            <v>270</v>
          </cell>
        </row>
        <row r="19098">
          <cell r="F19098" t="str">
            <v xml:space="preserve">11445090       </v>
          </cell>
          <cell r="O19098">
            <v>27</v>
          </cell>
        </row>
        <row r="19099">
          <cell r="F19099" t="str">
            <v xml:space="preserve">11445090       </v>
          </cell>
          <cell r="O19099">
            <v>45</v>
          </cell>
        </row>
        <row r="19100">
          <cell r="F19100" t="str">
            <v xml:space="preserve">11445090       </v>
          </cell>
          <cell r="O19100">
            <v>684</v>
          </cell>
        </row>
        <row r="19101">
          <cell r="F19101" t="str">
            <v xml:space="preserve">11445090       </v>
          </cell>
          <cell r="O19101">
            <v>180</v>
          </cell>
        </row>
        <row r="19102">
          <cell r="F19102" t="str">
            <v xml:space="preserve">11445090       </v>
          </cell>
          <cell r="O19102">
            <v>45</v>
          </cell>
        </row>
        <row r="19103">
          <cell r="F19103" t="str">
            <v xml:space="preserve">11445090       </v>
          </cell>
          <cell r="O19103">
            <v>15</v>
          </cell>
        </row>
        <row r="19104">
          <cell r="F19104" t="str">
            <v xml:space="preserve">11445090       </v>
          </cell>
          <cell r="O19104">
            <v>1188</v>
          </cell>
        </row>
        <row r="19105">
          <cell r="F19105" t="str">
            <v xml:space="preserve">11445090       </v>
          </cell>
          <cell r="O19105">
            <v>270</v>
          </cell>
        </row>
        <row r="19106">
          <cell r="F19106" t="str">
            <v xml:space="preserve">11445090       </v>
          </cell>
          <cell r="O19106">
            <v>90</v>
          </cell>
        </row>
        <row r="19107">
          <cell r="F19107" t="str">
            <v xml:space="preserve">11445090       </v>
          </cell>
          <cell r="O19107">
            <v>105</v>
          </cell>
        </row>
        <row r="19108">
          <cell r="F19108" t="str">
            <v xml:space="preserve">11445090       </v>
          </cell>
          <cell r="O19108">
            <v>1116</v>
          </cell>
        </row>
        <row r="19109">
          <cell r="F19109" t="str">
            <v xml:space="preserve">11445090       </v>
          </cell>
          <cell r="O19109">
            <v>225</v>
          </cell>
        </row>
        <row r="19110">
          <cell r="F19110" t="str">
            <v xml:space="preserve">11445090       </v>
          </cell>
          <cell r="O19110">
            <v>75</v>
          </cell>
        </row>
        <row r="19111">
          <cell r="F19111" t="str">
            <v xml:space="preserve">11445090       </v>
          </cell>
          <cell r="O19111">
            <v>1080</v>
          </cell>
        </row>
        <row r="19112">
          <cell r="F19112" t="str">
            <v xml:space="preserve">11445090       </v>
          </cell>
          <cell r="O19112">
            <v>360</v>
          </cell>
        </row>
        <row r="19113">
          <cell r="F19113" t="str">
            <v xml:space="preserve">3158780        </v>
          </cell>
          <cell r="O19113">
            <v>135</v>
          </cell>
        </row>
        <row r="19114">
          <cell r="F19114" t="str">
            <v xml:space="preserve">1010164223     </v>
          </cell>
          <cell r="O19114">
            <v>414</v>
          </cell>
        </row>
        <row r="19115">
          <cell r="F19115" t="str">
            <v xml:space="preserve">1015995477     </v>
          </cell>
          <cell r="O19115">
            <v>36</v>
          </cell>
        </row>
        <row r="19116">
          <cell r="F19116" t="str">
            <v xml:space="preserve">3159567        </v>
          </cell>
          <cell r="O19116">
            <v>1512</v>
          </cell>
        </row>
        <row r="19117">
          <cell r="F19117" t="str">
            <v xml:space="preserve">3159567        </v>
          </cell>
          <cell r="O19117">
            <v>90</v>
          </cell>
        </row>
        <row r="19118">
          <cell r="F19118" t="str">
            <v xml:space="preserve">830133323      </v>
          </cell>
          <cell r="O19118">
            <v>18</v>
          </cell>
        </row>
        <row r="19119">
          <cell r="F19119" t="str">
            <v xml:space="preserve">830133323      </v>
          </cell>
          <cell r="O19119">
            <v>45</v>
          </cell>
        </row>
        <row r="19120">
          <cell r="F19120" t="str">
            <v xml:space="preserve">80351964       </v>
          </cell>
          <cell r="O19120">
            <v>108</v>
          </cell>
        </row>
        <row r="19121">
          <cell r="F19121" t="str">
            <v xml:space="preserve">80351964       </v>
          </cell>
          <cell r="O19121">
            <v>135</v>
          </cell>
        </row>
        <row r="19122">
          <cell r="F19122" t="str">
            <v xml:space="preserve">80351964       </v>
          </cell>
          <cell r="O19122">
            <v>180</v>
          </cell>
        </row>
        <row r="19123">
          <cell r="F19123" t="str">
            <v xml:space="preserve">23624338       </v>
          </cell>
          <cell r="O19123">
            <v>576</v>
          </cell>
        </row>
        <row r="19124">
          <cell r="F19124" t="str">
            <v xml:space="preserve">74282624       </v>
          </cell>
          <cell r="O19124">
            <v>270</v>
          </cell>
        </row>
        <row r="19125">
          <cell r="F19125" t="str">
            <v xml:space="preserve">80283261       </v>
          </cell>
          <cell r="O19125">
            <v>2160</v>
          </cell>
        </row>
        <row r="19126">
          <cell r="F19126" t="str">
            <v xml:space="preserve">80283261       </v>
          </cell>
          <cell r="O19126">
            <v>270</v>
          </cell>
        </row>
        <row r="19127">
          <cell r="F19127" t="str">
            <v xml:space="preserve">80283261       </v>
          </cell>
          <cell r="O19127">
            <v>918</v>
          </cell>
        </row>
        <row r="19128">
          <cell r="F19128" t="str">
            <v xml:space="preserve">80283261       </v>
          </cell>
          <cell r="O19128">
            <v>45</v>
          </cell>
        </row>
        <row r="19129">
          <cell r="F19129" t="str">
            <v xml:space="preserve">830133323      </v>
          </cell>
          <cell r="O19129">
            <v>72</v>
          </cell>
        </row>
        <row r="19130">
          <cell r="F19130" t="str">
            <v xml:space="preserve">3090329        </v>
          </cell>
          <cell r="O19130">
            <v>1710</v>
          </cell>
        </row>
        <row r="19131">
          <cell r="F19131" t="str">
            <v xml:space="preserve">79589699       </v>
          </cell>
          <cell r="O19131">
            <v>18</v>
          </cell>
        </row>
        <row r="19132">
          <cell r="F19132" t="str">
            <v xml:space="preserve">4090806        </v>
          </cell>
          <cell r="O19132">
            <v>2340</v>
          </cell>
        </row>
        <row r="19133">
          <cell r="F19133" t="str">
            <v xml:space="preserve">4090806        </v>
          </cell>
          <cell r="O19133">
            <v>180</v>
          </cell>
        </row>
        <row r="19134">
          <cell r="F19134" t="str">
            <v xml:space="preserve">4090806        </v>
          </cell>
          <cell r="O19134">
            <v>180</v>
          </cell>
        </row>
        <row r="19135">
          <cell r="F19135" t="str">
            <v xml:space="preserve">4090806        </v>
          </cell>
          <cell r="O19135">
            <v>90</v>
          </cell>
        </row>
        <row r="19136">
          <cell r="F19136" t="str">
            <v xml:space="preserve">4090806        </v>
          </cell>
          <cell r="O19136">
            <v>153</v>
          </cell>
        </row>
        <row r="19137">
          <cell r="F19137" t="str">
            <v xml:space="preserve">4090806        </v>
          </cell>
          <cell r="O19137">
            <v>75</v>
          </cell>
        </row>
        <row r="19138">
          <cell r="F19138" t="str">
            <v xml:space="preserve">4090806        </v>
          </cell>
          <cell r="O19138">
            <v>1098</v>
          </cell>
        </row>
        <row r="19139">
          <cell r="F19139" t="str">
            <v xml:space="preserve">4090806        </v>
          </cell>
          <cell r="O19139">
            <v>225</v>
          </cell>
        </row>
        <row r="19140">
          <cell r="F19140" t="str">
            <v xml:space="preserve">4090806        </v>
          </cell>
          <cell r="O19140">
            <v>1260</v>
          </cell>
        </row>
        <row r="19141">
          <cell r="F19141" t="str">
            <v xml:space="preserve">1049794120     </v>
          </cell>
          <cell r="O19141">
            <v>1206</v>
          </cell>
        </row>
        <row r="19142">
          <cell r="F19142" t="str">
            <v xml:space="preserve">1049794120     </v>
          </cell>
          <cell r="O19142">
            <v>270</v>
          </cell>
        </row>
        <row r="19143">
          <cell r="F19143" t="str">
            <v xml:space="preserve">1126452165     </v>
          </cell>
          <cell r="O19143">
            <v>1575</v>
          </cell>
        </row>
        <row r="19144">
          <cell r="F19144" t="str">
            <v xml:space="preserve">1126452165     </v>
          </cell>
          <cell r="O19144">
            <v>54</v>
          </cell>
        </row>
        <row r="19145">
          <cell r="F19145" t="str">
            <v xml:space="preserve">3171403        </v>
          </cell>
          <cell r="O19145">
            <v>15</v>
          </cell>
        </row>
        <row r="19146">
          <cell r="F19146" t="str">
            <v xml:space="preserve">3171403        </v>
          </cell>
          <cell r="O19146">
            <v>252</v>
          </cell>
        </row>
        <row r="19147">
          <cell r="F19147" t="str">
            <v xml:space="preserve">3171403        </v>
          </cell>
          <cell r="O19147">
            <v>90</v>
          </cell>
        </row>
        <row r="19148">
          <cell r="F19148" t="str">
            <v xml:space="preserve">83218584       </v>
          </cell>
          <cell r="O19148">
            <v>345</v>
          </cell>
        </row>
        <row r="19149">
          <cell r="F19149" t="str">
            <v xml:space="preserve">83218584       </v>
          </cell>
          <cell r="O19149">
            <v>126</v>
          </cell>
        </row>
        <row r="19150">
          <cell r="F19150" t="str">
            <v xml:space="preserve">83218584       </v>
          </cell>
          <cell r="O19150">
            <v>315</v>
          </cell>
        </row>
        <row r="19151">
          <cell r="F19151" t="str">
            <v xml:space="preserve">7305728        </v>
          </cell>
          <cell r="O19151">
            <v>9</v>
          </cell>
        </row>
        <row r="19152">
          <cell r="F19152" t="str">
            <v xml:space="preserve">7305728        </v>
          </cell>
          <cell r="O19152">
            <v>165</v>
          </cell>
        </row>
        <row r="19153">
          <cell r="F19153" t="str">
            <v xml:space="preserve">7305728        </v>
          </cell>
          <cell r="O19153">
            <v>306</v>
          </cell>
        </row>
        <row r="19154">
          <cell r="F19154" t="str">
            <v xml:space="preserve">7305728        </v>
          </cell>
          <cell r="O19154">
            <v>45</v>
          </cell>
        </row>
        <row r="19155">
          <cell r="F19155" t="str">
            <v xml:space="preserve">860351923      </v>
          </cell>
          <cell r="O19155">
            <v>45</v>
          </cell>
        </row>
        <row r="19156">
          <cell r="F19156" t="str">
            <v xml:space="preserve">1114887745     </v>
          </cell>
          <cell r="O19156">
            <v>900</v>
          </cell>
        </row>
        <row r="19157">
          <cell r="F19157" t="str">
            <v xml:space="preserve">82260033       </v>
          </cell>
          <cell r="O19157">
            <v>414</v>
          </cell>
        </row>
        <row r="19158">
          <cell r="F19158" t="str">
            <v xml:space="preserve">82260033       </v>
          </cell>
          <cell r="O19158">
            <v>2232</v>
          </cell>
        </row>
        <row r="19159">
          <cell r="F19159" t="str">
            <v xml:space="preserve">1097404034     </v>
          </cell>
          <cell r="O19159">
            <v>90</v>
          </cell>
        </row>
        <row r="19160">
          <cell r="F19160" t="str">
            <v xml:space="preserve">1097404034     </v>
          </cell>
          <cell r="O19160">
            <v>480</v>
          </cell>
        </row>
        <row r="19161">
          <cell r="F19161" t="str">
            <v xml:space="preserve">1097404034     </v>
          </cell>
          <cell r="O19161">
            <v>414</v>
          </cell>
        </row>
        <row r="19162">
          <cell r="F19162" t="str">
            <v xml:space="preserve">1097404034     </v>
          </cell>
          <cell r="O19162">
            <v>495</v>
          </cell>
        </row>
        <row r="19163">
          <cell r="F19163" t="str">
            <v xml:space="preserve">1097404034     </v>
          </cell>
          <cell r="O19163">
            <v>30</v>
          </cell>
        </row>
        <row r="19164">
          <cell r="F19164" t="str">
            <v xml:space="preserve">1097404034     </v>
          </cell>
          <cell r="O19164">
            <v>126</v>
          </cell>
        </row>
        <row r="19165">
          <cell r="F19165" t="str">
            <v xml:space="preserve">7545517        </v>
          </cell>
          <cell r="O19165">
            <v>120</v>
          </cell>
        </row>
        <row r="19166">
          <cell r="F19166" t="str">
            <v xml:space="preserve">7545517        </v>
          </cell>
          <cell r="O19166">
            <v>126</v>
          </cell>
        </row>
        <row r="19167">
          <cell r="F19167" t="str">
            <v xml:space="preserve">10185600       </v>
          </cell>
          <cell r="O19167">
            <v>15</v>
          </cell>
        </row>
        <row r="19168">
          <cell r="F19168" t="str">
            <v xml:space="preserve">10185600       </v>
          </cell>
          <cell r="O19168">
            <v>90</v>
          </cell>
        </row>
        <row r="19169">
          <cell r="F19169" t="str">
            <v xml:space="preserve">8101796        </v>
          </cell>
          <cell r="O19169">
            <v>300</v>
          </cell>
        </row>
        <row r="19170">
          <cell r="F19170" t="str">
            <v xml:space="preserve">8101796        </v>
          </cell>
          <cell r="O19170">
            <v>1800</v>
          </cell>
        </row>
        <row r="19171">
          <cell r="F19171" t="str">
            <v xml:space="preserve">8101796        </v>
          </cell>
          <cell r="O19171">
            <v>1800</v>
          </cell>
        </row>
        <row r="19172">
          <cell r="F19172" t="str">
            <v xml:space="preserve">8101796        </v>
          </cell>
          <cell r="O19172">
            <v>225</v>
          </cell>
        </row>
        <row r="19173">
          <cell r="F19173" t="str">
            <v xml:space="preserve">8101796        </v>
          </cell>
          <cell r="O19173">
            <v>1260</v>
          </cell>
        </row>
        <row r="19174">
          <cell r="F19174" t="str">
            <v xml:space="preserve">8101796        </v>
          </cell>
          <cell r="O19174">
            <v>90</v>
          </cell>
        </row>
        <row r="19175">
          <cell r="F19175" t="str">
            <v xml:space="preserve">211            </v>
          </cell>
          <cell r="O19175">
            <v>1332</v>
          </cell>
        </row>
        <row r="19176">
          <cell r="F19176" t="str">
            <v xml:space="preserve">71174894       </v>
          </cell>
          <cell r="O19176">
            <v>2535</v>
          </cell>
        </row>
        <row r="19177">
          <cell r="F19177" t="str">
            <v xml:space="preserve">71174894       </v>
          </cell>
          <cell r="O19177">
            <v>18</v>
          </cell>
        </row>
        <row r="19178">
          <cell r="F19178" t="str">
            <v xml:space="preserve">71174894       </v>
          </cell>
          <cell r="O19178">
            <v>360</v>
          </cell>
        </row>
        <row r="19179">
          <cell r="F19179" t="str">
            <v xml:space="preserve">1023722736     </v>
          </cell>
          <cell r="O19179">
            <v>900</v>
          </cell>
        </row>
        <row r="19180">
          <cell r="F19180" t="str">
            <v xml:space="preserve">1039696881     </v>
          </cell>
          <cell r="O19180">
            <v>9</v>
          </cell>
        </row>
        <row r="19181">
          <cell r="F19181" t="str">
            <v xml:space="preserve">1039696881     </v>
          </cell>
          <cell r="O19181">
            <v>1206</v>
          </cell>
        </row>
        <row r="19182">
          <cell r="F19182" t="str">
            <v xml:space="preserve">1092154547     </v>
          </cell>
          <cell r="O19182">
            <v>4.5</v>
          </cell>
        </row>
        <row r="19183">
          <cell r="F19183" t="str">
            <v xml:space="preserve">1092154547     </v>
          </cell>
          <cell r="O19183">
            <v>60</v>
          </cell>
        </row>
        <row r="19184">
          <cell r="F19184" t="str">
            <v xml:space="preserve">1092154547     </v>
          </cell>
          <cell r="O19184">
            <v>666</v>
          </cell>
        </row>
        <row r="19185">
          <cell r="F19185" t="str">
            <v xml:space="preserve">1104069879     </v>
          </cell>
          <cell r="O19185">
            <v>780</v>
          </cell>
        </row>
        <row r="19186">
          <cell r="F19186" t="str">
            <v xml:space="preserve">1104069879     </v>
          </cell>
          <cell r="O19186">
            <v>342</v>
          </cell>
        </row>
        <row r="19187">
          <cell r="F19187" t="str">
            <v xml:space="preserve">1104069879     </v>
          </cell>
          <cell r="O19187">
            <v>90</v>
          </cell>
        </row>
        <row r="19188">
          <cell r="F19188" t="str">
            <v xml:space="preserve">1104069879     </v>
          </cell>
          <cell r="O19188">
            <v>288</v>
          </cell>
        </row>
        <row r="19189">
          <cell r="F19189" t="str">
            <v xml:space="preserve">1104069879     </v>
          </cell>
          <cell r="O19189">
            <v>135</v>
          </cell>
        </row>
        <row r="19190">
          <cell r="F19190" t="str">
            <v xml:space="preserve">74325464       </v>
          </cell>
          <cell r="O19190">
            <v>180</v>
          </cell>
        </row>
        <row r="19191">
          <cell r="F19191" t="str">
            <v xml:space="preserve">901547550      </v>
          </cell>
          <cell r="O19191">
            <v>270</v>
          </cell>
        </row>
        <row r="19192">
          <cell r="F19192" t="str">
            <v xml:space="preserve">901547550      </v>
          </cell>
          <cell r="O19192">
            <v>18</v>
          </cell>
        </row>
        <row r="19193">
          <cell r="F19193" t="str">
            <v xml:space="preserve">93291251       </v>
          </cell>
          <cell r="O19193">
            <v>288</v>
          </cell>
        </row>
        <row r="19194">
          <cell r="F19194" t="str">
            <v xml:space="preserve">93291251       </v>
          </cell>
          <cell r="O19194">
            <v>270</v>
          </cell>
        </row>
        <row r="19195">
          <cell r="F19195" t="str">
            <v xml:space="preserve">93291251       </v>
          </cell>
          <cell r="O19195">
            <v>828</v>
          </cell>
        </row>
        <row r="19196">
          <cell r="F19196" t="str">
            <v xml:space="preserve">93291251       </v>
          </cell>
          <cell r="O19196">
            <v>405</v>
          </cell>
        </row>
        <row r="19197">
          <cell r="F19197" t="str">
            <v xml:space="preserve">6802563        </v>
          </cell>
          <cell r="O19197">
            <v>120</v>
          </cell>
        </row>
        <row r="19198">
          <cell r="F19198" t="str">
            <v xml:space="preserve">6802563        </v>
          </cell>
          <cell r="O19198">
            <v>35</v>
          </cell>
        </row>
        <row r="19199">
          <cell r="F19199" t="str">
            <v xml:space="preserve">6802563        </v>
          </cell>
          <cell r="O19199">
            <v>45</v>
          </cell>
        </row>
        <row r="19200">
          <cell r="F19200" t="str">
            <v xml:space="preserve">6802563        </v>
          </cell>
          <cell r="O19200">
            <v>330</v>
          </cell>
        </row>
        <row r="19201">
          <cell r="F19201" t="str">
            <v xml:space="preserve">1105671149     </v>
          </cell>
          <cell r="O19201">
            <v>216</v>
          </cell>
        </row>
        <row r="19202">
          <cell r="F19202" t="str">
            <v xml:space="preserve">1105671149     </v>
          </cell>
          <cell r="O19202">
            <v>75</v>
          </cell>
        </row>
        <row r="19203">
          <cell r="F19203" t="str">
            <v xml:space="preserve">1105671149     </v>
          </cell>
          <cell r="O19203">
            <v>1620</v>
          </cell>
        </row>
        <row r="19204">
          <cell r="F19204" t="str">
            <v xml:space="preserve">1105671149     </v>
          </cell>
          <cell r="O19204">
            <v>180</v>
          </cell>
        </row>
        <row r="19205">
          <cell r="F19205" t="str">
            <v xml:space="preserve">88273778       </v>
          </cell>
          <cell r="O19205">
            <v>330</v>
          </cell>
        </row>
        <row r="19206">
          <cell r="F19206" t="str">
            <v xml:space="preserve">88273778       </v>
          </cell>
          <cell r="O19206">
            <v>45</v>
          </cell>
        </row>
        <row r="19207">
          <cell r="F19207" t="str">
            <v xml:space="preserve">88273778       </v>
          </cell>
          <cell r="O19207">
            <v>15</v>
          </cell>
        </row>
        <row r="19208">
          <cell r="F19208" t="str">
            <v xml:space="preserve">74283129       </v>
          </cell>
          <cell r="O19208">
            <v>450</v>
          </cell>
        </row>
        <row r="19209">
          <cell r="F19209" t="str">
            <v xml:space="preserve">74283129       </v>
          </cell>
          <cell r="O19209">
            <v>360</v>
          </cell>
        </row>
        <row r="19210">
          <cell r="F19210" t="str">
            <v xml:space="preserve">7250220        </v>
          </cell>
          <cell r="O19210">
            <v>75</v>
          </cell>
        </row>
        <row r="19211">
          <cell r="F19211" t="str">
            <v xml:space="preserve">7250220        </v>
          </cell>
          <cell r="O19211">
            <v>144</v>
          </cell>
        </row>
        <row r="19212">
          <cell r="F19212" t="str">
            <v xml:space="preserve">7250220        </v>
          </cell>
          <cell r="O19212">
            <v>36</v>
          </cell>
        </row>
        <row r="19213">
          <cell r="F19213" t="str">
            <v xml:space="preserve">7250220        </v>
          </cell>
          <cell r="O19213">
            <v>45</v>
          </cell>
        </row>
        <row r="19214">
          <cell r="F19214" t="str">
            <v xml:space="preserve">7250220        </v>
          </cell>
          <cell r="O19214">
            <v>180</v>
          </cell>
        </row>
        <row r="19215">
          <cell r="F19215" t="str">
            <v xml:space="preserve">7250220        </v>
          </cell>
          <cell r="O19215">
            <v>45</v>
          </cell>
        </row>
        <row r="19216">
          <cell r="F19216" t="str">
            <v xml:space="preserve">13476066       </v>
          </cell>
          <cell r="O19216">
            <v>435</v>
          </cell>
        </row>
        <row r="19217">
          <cell r="F19217" t="str">
            <v xml:space="preserve">13476066       </v>
          </cell>
          <cell r="O19217">
            <v>18</v>
          </cell>
        </row>
        <row r="19218">
          <cell r="F19218" t="str">
            <v xml:space="preserve">13476066       </v>
          </cell>
          <cell r="O19218">
            <v>225</v>
          </cell>
        </row>
        <row r="19219">
          <cell r="F19219" t="str">
            <v xml:space="preserve">13476066       </v>
          </cell>
          <cell r="O19219">
            <v>90</v>
          </cell>
        </row>
        <row r="19220">
          <cell r="F19220" t="str">
            <v xml:space="preserve">13476066       </v>
          </cell>
          <cell r="O19220">
            <v>45</v>
          </cell>
        </row>
        <row r="19221">
          <cell r="F19221" t="str">
            <v xml:space="preserve">98763233       </v>
          </cell>
          <cell r="O19221">
            <v>22.5</v>
          </cell>
        </row>
        <row r="19222">
          <cell r="F19222" t="str">
            <v xml:space="preserve">98763233       </v>
          </cell>
          <cell r="O19222">
            <v>9</v>
          </cell>
        </row>
        <row r="19223">
          <cell r="F19223" t="str">
            <v xml:space="preserve">98763233       </v>
          </cell>
          <cell r="O19223">
            <v>30</v>
          </cell>
        </row>
        <row r="19224">
          <cell r="F19224" t="str">
            <v xml:space="preserve">98763233       </v>
          </cell>
          <cell r="O19224">
            <v>1134</v>
          </cell>
        </row>
        <row r="19225">
          <cell r="F19225" t="str">
            <v xml:space="preserve">98763233       </v>
          </cell>
          <cell r="O19225">
            <v>324</v>
          </cell>
        </row>
        <row r="19226">
          <cell r="F19226" t="str">
            <v xml:space="preserve">98763233       </v>
          </cell>
          <cell r="O19226">
            <v>45</v>
          </cell>
        </row>
        <row r="19227">
          <cell r="F19227" t="str">
            <v xml:space="preserve">10180926       </v>
          </cell>
          <cell r="O19227">
            <v>360</v>
          </cell>
        </row>
        <row r="19228">
          <cell r="F19228" t="str">
            <v xml:space="preserve">10180926       </v>
          </cell>
          <cell r="O19228">
            <v>45</v>
          </cell>
        </row>
        <row r="19229">
          <cell r="F19229" t="str">
            <v xml:space="preserve">98711342       </v>
          </cell>
          <cell r="O19229">
            <v>9</v>
          </cell>
        </row>
        <row r="19230">
          <cell r="F19230" t="str">
            <v xml:space="preserve">98711342       </v>
          </cell>
          <cell r="O19230">
            <v>306</v>
          </cell>
        </row>
        <row r="19231">
          <cell r="F19231" t="str">
            <v xml:space="preserve">98711342       </v>
          </cell>
          <cell r="O19231">
            <v>18</v>
          </cell>
        </row>
        <row r="19232">
          <cell r="F19232" t="str">
            <v xml:space="preserve">1036942800     </v>
          </cell>
          <cell r="O19232">
            <v>270</v>
          </cell>
        </row>
        <row r="19233">
          <cell r="F19233" t="str">
            <v xml:space="preserve">1036942800     </v>
          </cell>
          <cell r="O19233">
            <v>144</v>
          </cell>
        </row>
        <row r="19234">
          <cell r="F19234" t="str">
            <v xml:space="preserve">1036942800     </v>
          </cell>
          <cell r="O19234">
            <v>150</v>
          </cell>
        </row>
        <row r="19235">
          <cell r="F19235" t="str">
            <v xml:space="preserve">28686722       </v>
          </cell>
          <cell r="O19235">
            <v>1800</v>
          </cell>
        </row>
        <row r="19236">
          <cell r="F19236" t="str">
            <v xml:space="preserve">28686722       </v>
          </cell>
          <cell r="O19236">
            <v>360</v>
          </cell>
        </row>
        <row r="19237">
          <cell r="F19237" t="str">
            <v xml:space="preserve">28686722       </v>
          </cell>
          <cell r="O19237">
            <v>900</v>
          </cell>
        </row>
        <row r="19238">
          <cell r="F19238" t="str">
            <v xml:space="preserve">94420654       </v>
          </cell>
          <cell r="O19238">
            <v>306</v>
          </cell>
        </row>
        <row r="19239">
          <cell r="F19239" t="str">
            <v xml:space="preserve">1090397527     </v>
          </cell>
          <cell r="O19239">
            <v>525</v>
          </cell>
        </row>
        <row r="19240">
          <cell r="F19240" t="str">
            <v xml:space="preserve">1090397527     </v>
          </cell>
          <cell r="O19240">
            <v>36</v>
          </cell>
        </row>
        <row r="19241">
          <cell r="F19241" t="str">
            <v xml:space="preserve">1090397527     </v>
          </cell>
          <cell r="O19241">
            <v>360</v>
          </cell>
        </row>
        <row r="19242">
          <cell r="F19242" t="str">
            <v xml:space="preserve">1090397527     </v>
          </cell>
          <cell r="O19242">
            <v>285</v>
          </cell>
        </row>
        <row r="19243">
          <cell r="F19243" t="str">
            <v xml:space="preserve">1090397527     </v>
          </cell>
          <cell r="O19243">
            <v>1170</v>
          </cell>
        </row>
        <row r="19244">
          <cell r="F19244" t="str">
            <v xml:space="preserve">1090397527     </v>
          </cell>
          <cell r="O19244">
            <v>540</v>
          </cell>
        </row>
        <row r="19245">
          <cell r="F19245" t="str">
            <v xml:space="preserve">1090397527     </v>
          </cell>
          <cell r="O19245">
            <v>18</v>
          </cell>
        </row>
        <row r="19246">
          <cell r="F19246" t="str">
            <v xml:space="preserve">1090397527     </v>
          </cell>
          <cell r="O19246">
            <v>720</v>
          </cell>
        </row>
        <row r="19247">
          <cell r="F19247" t="str">
            <v xml:space="preserve">1100623000     </v>
          </cell>
          <cell r="O19247">
            <v>720</v>
          </cell>
        </row>
        <row r="19248">
          <cell r="F19248" t="str">
            <v xml:space="preserve">1100623000     </v>
          </cell>
          <cell r="O19248">
            <v>30</v>
          </cell>
        </row>
        <row r="19249">
          <cell r="F19249" t="str">
            <v xml:space="preserve">71142360       </v>
          </cell>
          <cell r="O19249">
            <v>90</v>
          </cell>
        </row>
        <row r="19250">
          <cell r="F19250" t="str">
            <v xml:space="preserve">71142360       </v>
          </cell>
          <cell r="O19250">
            <v>144</v>
          </cell>
        </row>
        <row r="19251">
          <cell r="F19251" t="str">
            <v xml:space="preserve">71142360       </v>
          </cell>
          <cell r="O19251">
            <v>90</v>
          </cell>
        </row>
        <row r="19252">
          <cell r="F19252" t="str">
            <v xml:space="preserve">71142360       </v>
          </cell>
          <cell r="O19252">
            <v>1080</v>
          </cell>
        </row>
        <row r="19253">
          <cell r="F19253" t="str">
            <v xml:space="preserve">71142360       </v>
          </cell>
          <cell r="O19253">
            <v>135</v>
          </cell>
        </row>
        <row r="19254">
          <cell r="F19254" t="str">
            <v xml:space="preserve">24341063       </v>
          </cell>
          <cell r="O19254">
            <v>90</v>
          </cell>
        </row>
        <row r="19255">
          <cell r="F19255" t="str">
            <v xml:space="preserve">24341063       </v>
          </cell>
          <cell r="O19255">
            <v>54</v>
          </cell>
        </row>
        <row r="19256">
          <cell r="F19256" t="str">
            <v xml:space="preserve">24341063       </v>
          </cell>
          <cell r="O19256">
            <v>1185</v>
          </cell>
        </row>
        <row r="19257">
          <cell r="F19257" t="str">
            <v xml:space="preserve">24341063       </v>
          </cell>
          <cell r="O19257">
            <v>18</v>
          </cell>
        </row>
        <row r="19258">
          <cell r="F19258" t="str">
            <v xml:space="preserve">901178932      </v>
          </cell>
          <cell r="O19258">
            <v>72</v>
          </cell>
        </row>
        <row r="19259">
          <cell r="F19259" t="str">
            <v xml:space="preserve">43656575       </v>
          </cell>
          <cell r="O19259">
            <v>1440</v>
          </cell>
        </row>
        <row r="19260">
          <cell r="F19260" t="str">
            <v xml:space="preserve">16836063       </v>
          </cell>
          <cell r="O19260">
            <v>9</v>
          </cell>
        </row>
        <row r="19261">
          <cell r="F19261" t="str">
            <v xml:space="preserve">16836063       </v>
          </cell>
          <cell r="O19261">
            <v>108</v>
          </cell>
        </row>
        <row r="19262">
          <cell r="F19262" t="str">
            <v xml:space="preserve">16836063       </v>
          </cell>
          <cell r="O19262">
            <v>45</v>
          </cell>
        </row>
        <row r="19263">
          <cell r="F19263" t="str">
            <v xml:space="preserve">91180797       </v>
          </cell>
          <cell r="O19263">
            <v>300</v>
          </cell>
        </row>
        <row r="19264">
          <cell r="F19264" t="str">
            <v xml:space="preserve">91180797       </v>
          </cell>
          <cell r="O19264">
            <v>450</v>
          </cell>
        </row>
        <row r="19265">
          <cell r="F19265" t="str">
            <v xml:space="preserve">91180797       </v>
          </cell>
          <cell r="O19265">
            <v>270</v>
          </cell>
        </row>
        <row r="19266">
          <cell r="F19266" t="str">
            <v xml:space="preserve">94262420       </v>
          </cell>
          <cell r="O19266">
            <v>180</v>
          </cell>
        </row>
        <row r="19267">
          <cell r="F19267" t="str">
            <v xml:space="preserve">860001697      </v>
          </cell>
          <cell r="O19267">
            <v>595.84</v>
          </cell>
        </row>
        <row r="19268">
          <cell r="F19268" t="str">
            <v xml:space="preserve">860001697      </v>
          </cell>
          <cell r="O19268">
            <v>186.4</v>
          </cell>
        </row>
        <row r="19269">
          <cell r="F19269" t="str">
            <v xml:space="preserve">1214745372     </v>
          </cell>
          <cell r="O19269">
            <v>216</v>
          </cell>
        </row>
        <row r="19270">
          <cell r="F19270" t="str">
            <v xml:space="preserve">1101758609     </v>
          </cell>
          <cell r="O19270">
            <v>9</v>
          </cell>
        </row>
        <row r="19271">
          <cell r="F19271" t="str">
            <v xml:space="preserve">1101758609     </v>
          </cell>
          <cell r="O19271">
            <v>210</v>
          </cell>
        </row>
        <row r="19272">
          <cell r="F19272" t="str">
            <v xml:space="preserve">1101758609     </v>
          </cell>
          <cell r="O19272">
            <v>468</v>
          </cell>
        </row>
        <row r="19273">
          <cell r="F19273" t="str">
            <v xml:space="preserve">1101758609     </v>
          </cell>
          <cell r="O19273">
            <v>45</v>
          </cell>
        </row>
        <row r="19274">
          <cell r="F19274" t="str">
            <v xml:space="preserve">860005265      </v>
          </cell>
          <cell r="O19274">
            <v>1080</v>
          </cell>
        </row>
        <row r="19275">
          <cell r="F19275" t="str">
            <v xml:space="preserve">860005265      </v>
          </cell>
          <cell r="O19275">
            <v>709.6</v>
          </cell>
        </row>
        <row r="19276">
          <cell r="F19276" t="str">
            <v xml:space="preserve">860047066      </v>
          </cell>
          <cell r="O19276">
            <v>60</v>
          </cell>
        </row>
        <row r="19277">
          <cell r="F19277" t="str">
            <v xml:space="preserve">210            </v>
          </cell>
          <cell r="O19277">
            <v>9</v>
          </cell>
        </row>
        <row r="19278">
          <cell r="F19278" t="str">
            <v xml:space="preserve">210            </v>
          </cell>
          <cell r="O19278">
            <v>1080</v>
          </cell>
        </row>
        <row r="19279">
          <cell r="F19279" t="str">
            <v xml:space="preserve">210            </v>
          </cell>
          <cell r="O19279">
            <v>405</v>
          </cell>
        </row>
        <row r="19280">
          <cell r="F19280" t="str">
            <v xml:space="preserve">210            </v>
          </cell>
          <cell r="O19280">
            <v>576</v>
          </cell>
        </row>
        <row r="19281">
          <cell r="F19281" t="str">
            <v xml:space="preserve">210            </v>
          </cell>
          <cell r="O19281">
            <v>315</v>
          </cell>
        </row>
        <row r="19282">
          <cell r="F19282" t="str">
            <v xml:space="preserve">14229053       </v>
          </cell>
          <cell r="O19282">
            <v>150</v>
          </cell>
        </row>
        <row r="19283">
          <cell r="F19283" t="str">
            <v xml:space="preserve">007            </v>
          </cell>
          <cell r="O19283">
            <v>360</v>
          </cell>
        </row>
        <row r="19284">
          <cell r="F19284" t="str">
            <v xml:space="preserve">800032071      </v>
          </cell>
          <cell r="O19284">
            <v>60</v>
          </cell>
        </row>
        <row r="19285">
          <cell r="F19285" t="str">
            <v xml:space="preserve">800032071      </v>
          </cell>
          <cell r="O19285">
            <v>120</v>
          </cell>
        </row>
        <row r="19286">
          <cell r="F19286" t="str">
            <v xml:space="preserve">800226901      </v>
          </cell>
          <cell r="O19286">
            <v>120</v>
          </cell>
        </row>
        <row r="19287">
          <cell r="F19287" t="str">
            <v xml:space="preserve">830503491      </v>
          </cell>
          <cell r="O19287">
            <v>60</v>
          </cell>
        </row>
        <row r="19288">
          <cell r="F19288" t="str">
            <v xml:space="preserve">860001697      </v>
          </cell>
          <cell r="O19288">
            <v>400.5</v>
          </cell>
        </row>
        <row r="19289">
          <cell r="F19289" t="str">
            <v xml:space="preserve">860072172      </v>
          </cell>
          <cell r="O19289">
            <v>40</v>
          </cell>
        </row>
        <row r="19290">
          <cell r="F19290" t="str">
            <v xml:space="preserve">860502509      </v>
          </cell>
          <cell r="O19290">
            <v>324.05</v>
          </cell>
        </row>
        <row r="19291">
          <cell r="F19291" t="str">
            <v xml:space="preserve">900239671      </v>
          </cell>
          <cell r="O19291">
            <v>54</v>
          </cell>
        </row>
        <row r="19292">
          <cell r="F19292" t="str">
            <v xml:space="preserve">901079460      </v>
          </cell>
          <cell r="O19292">
            <v>321.8</v>
          </cell>
        </row>
        <row r="19293">
          <cell r="F19293" t="str">
            <v xml:space="preserve">891300382      </v>
          </cell>
          <cell r="O19293">
            <v>162</v>
          </cell>
        </row>
        <row r="19294">
          <cell r="F19294" t="str">
            <v xml:space="preserve">101            </v>
          </cell>
          <cell r="O19294">
            <v>45</v>
          </cell>
        </row>
        <row r="19295">
          <cell r="F19295" t="str">
            <v xml:space="preserve">101            </v>
          </cell>
          <cell r="O19295">
            <v>54</v>
          </cell>
        </row>
        <row r="19296">
          <cell r="F19296" t="str">
            <v xml:space="preserve">32772122       </v>
          </cell>
          <cell r="O19296">
            <v>300</v>
          </cell>
        </row>
        <row r="19297">
          <cell r="F19297" t="str">
            <v xml:space="preserve">32772122       </v>
          </cell>
          <cell r="O19297">
            <v>36</v>
          </cell>
        </row>
        <row r="19298">
          <cell r="F19298" t="str">
            <v xml:space="preserve">32772122       </v>
          </cell>
          <cell r="O19298">
            <v>225</v>
          </cell>
        </row>
        <row r="19299">
          <cell r="F19299" t="str">
            <v xml:space="preserve">73186091       </v>
          </cell>
          <cell r="O19299">
            <v>30</v>
          </cell>
        </row>
        <row r="19300">
          <cell r="F19300" t="str">
            <v xml:space="preserve">73186091       </v>
          </cell>
          <cell r="O19300">
            <v>600</v>
          </cell>
        </row>
        <row r="19301">
          <cell r="F19301" t="str">
            <v xml:space="preserve">212            </v>
          </cell>
          <cell r="O19301">
            <v>795</v>
          </cell>
        </row>
        <row r="19302">
          <cell r="F19302" t="str">
            <v xml:space="preserve">212            </v>
          </cell>
          <cell r="O19302">
            <v>864</v>
          </cell>
        </row>
        <row r="19303">
          <cell r="F19303" t="str">
            <v xml:space="preserve">212            </v>
          </cell>
          <cell r="O19303">
            <v>45</v>
          </cell>
        </row>
        <row r="19304">
          <cell r="F19304" t="str">
            <v xml:space="preserve">890985417      </v>
          </cell>
          <cell r="O19304">
            <v>15</v>
          </cell>
        </row>
        <row r="19305">
          <cell r="F19305" t="str">
            <v xml:space="preserve">890985417      </v>
          </cell>
          <cell r="O19305">
            <v>45</v>
          </cell>
        </row>
        <row r="19306">
          <cell r="F19306" t="str">
            <v xml:space="preserve">830009573      </v>
          </cell>
          <cell r="O19306">
            <v>60</v>
          </cell>
        </row>
        <row r="19307">
          <cell r="F19307" t="str">
            <v xml:space="preserve">830010908      </v>
          </cell>
          <cell r="O19307">
            <v>40</v>
          </cell>
        </row>
        <row r="19308">
          <cell r="F19308" t="str">
            <v xml:space="preserve">860001697      </v>
          </cell>
          <cell r="O19308">
            <v>1115.2</v>
          </cell>
        </row>
        <row r="19309">
          <cell r="F19309" t="str">
            <v xml:space="preserve">830006735      </v>
          </cell>
          <cell r="O19309">
            <v>671.89</v>
          </cell>
        </row>
        <row r="19310">
          <cell r="F19310" t="str">
            <v xml:space="preserve">830118404      </v>
          </cell>
          <cell r="O19310">
            <v>18</v>
          </cell>
        </row>
        <row r="19311">
          <cell r="F19311" t="str">
            <v xml:space="preserve">860001697      </v>
          </cell>
          <cell r="O19311">
            <v>440.85</v>
          </cell>
        </row>
        <row r="19312">
          <cell r="F19312" t="str">
            <v xml:space="preserve">830016868      </v>
          </cell>
          <cell r="O19312">
            <v>3465</v>
          </cell>
        </row>
        <row r="19313">
          <cell r="F19313" t="str">
            <v xml:space="preserve">91346737       </v>
          </cell>
          <cell r="O19313">
            <v>1170</v>
          </cell>
        </row>
        <row r="19314">
          <cell r="F19314" t="str">
            <v xml:space="preserve">800090890      </v>
          </cell>
          <cell r="O19314">
            <v>38</v>
          </cell>
        </row>
        <row r="19315">
          <cell r="F19315" t="str">
            <v xml:space="preserve">800090890      </v>
          </cell>
          <cell r="O19315">
            <v>16</v>
          </cell>
        </row>
        <row r="19316">
          <cell r="F19316" t="str">
            <v xml:space="preserve">800090890      </v>
          </cell>
          <cell r="O19316">
            <v>19</v>
          </cell>
        </row>
        <row r="19317">
          <cell r="F19317" t="str">
            <v xml:space="preserve">811014849      </v>
          </cell>
          <cell r="O19317">
            <v>108</v>
          </cell>
        </row>
        <row r="19318">
          <cell r="F19318" t="str">
            <v xml:space="preserve">811014849      </v>
          </cell>
          <cell r="O19318">
            <v>180</v>
          </cell>
        </row>
        <row r="19319">
          <cell r="F19319" t="str">
            <v xml:space="preserve">890903939      </v>
          </cell>
          <cell r="O19319">
            <v>1168.5</v>
          </cell>
        </row>
        <row r="19320">
          <cell r="F19320" t="str">
            <v xml:space="preserve">890903939      </v>
          </cell>
          <cell r="O19320">
            <v>181.64</v>
          </cell>
        </row>
        <row r="19321">
          <cell r="F19321" t="str">
            <v xml:space="preserve">890903939      </v>
          </cell>
          <cell r="O19321">
            <v>167.7</v>
          </cell>
        </row>
        <row r="19322">
          <cell r="F19322" t="str">
            <v xml:space="preserve">211            </v>
          </cell>
          <cell r="O19322">
            <v>2754</v>
          </cell>
        </row>
        <row r="19323">
          <cell r="F19323" t="str">
            <v xml:space="preserve">211            </v>
          </cell>
          <cell r="O19323">
            <v>315</v>
          </cell>
        </row>
        <row r="19324">
          <cell r="F19324" t="str">
            <v xml:space="preserve">211            </v>
          </cell>
          <cell r="O19324">
            <v>54</v>
          </cell>
        </row>
        <row r="19325">
          <cell r="F19325" t="str">
            <v xml:space="preserve">211            </v>
          </cell>
          <cell r="O19325">
            <v>45</v>
          </cell>
        </row>
        <row r="19326">
          <cell r="F19326" t="str">
            <v xml:space="preserve">211            </v>
          </cell>
          <cell r="O19326">
            <v>15</v>
          </cell>
        </row>
        <row r="19327">
          <cell r="F19327" t="str">
            <v xml:space="preserve">211            </v>
          </cell>
          <cell r="O19327">
            <v>540</v>
          </cell>
        </row>
        <row r="19328">
          <cell r="F19328" t="str">
            <v xml:space="preserve">211            </v>
          </cell>
          <cell r="O19328">
            <v>180</v>
          </cell>
        </row>
        <row r="19329">
          <cell r="F19329" t="str">
            <v xml:space="preserve">830076368      </v>
          </cell>
          <cell r="O19329">
            <v>15</v>
          </cell>
        </row>
        <row r="19330">
          <cell r="F19330" t="str">
            <v xml:space="preserve">830095213      </v>
          </cell>
          <cell r="O19330">
            <v>324</v>
          </cell>
        </row>
        <row r="19331">
          <cell r="F19331" t="str">
            <v xml:space="preserve">860013771      </v>
          </cell>
          <cell r="O19331">
            <v>165</v>
          </cell>
        </row>
        <row r="19332">
          <cell r="F19332" t="str">
            <v xml:space="preserve">890903939      </v>
          </cell>
          <cell r="O19332">
            <v>360.11</v>
          </cell>
        </row>
        <row r="19333">
          <cell r="F19333" t="str">
            <v xml:space="preserve">899999049      </v>
          </cell>
          <cell r="O19333">
            <v>180</v>
          </cell>
        </row>
        <row r="19334">
          <cell r="F19334" t="str">
            <v xml:space="preserve">900305709      </v>
          </cell>
          <cell r="O19334">
            <v>15</v>
          </cell>
        </row>
        <row r="19335">
          <cell r="F19335" t="str">
            <v xml:space="preserve">900468599      </v>
          </cell>
          <cell r="O19335">
            <v>36</v>
          </cell>
        </row>
        <row r="19336">
          <cell r="F19336" t="str">
            <v xml:space="preserve">900820045      </v>
          </cell>
          <cell r="O19336">
            <v>45</v>
          </cell>
        </row>
        <row r="19337">
          <cell r="F19337" t="str">
            <v xml:space="preserve">900968793      </v>
          </cell>
          <cell r="O19337">
            <v>72</v>
          </cell>
        </row>
        <row r="19338">
          <cell r="F19338" t="str">
            <v xml:space="preserve">900968793      </v>
          </cell>
          <cell r="O19338">
            <v>36</v>
          </cell>
        </row>
        <row r="19339">
          <cell r="F19339" t="str">
            <v xml:space="preserve">901000237      </v>
          </cell>
          <cell r="O19339">
            <v>90</v>
          </cell>
        </row>
        <row r="19340">
          <cell r="F19340" t="str">
            <v xml:space="preserve">800229035      </v>
          </cell>
          <cell r="O19340">
            <v>90</v>
          </cell>
        </row>
        <row r="19341">
          <cell r="F19341" t="str">
            <v xml:space="preserve">800229035      </v>
          </cell>
          <cell r="O19341">
            <v>120</v>
          </cell>
        </row>
        <row r="19342">
          <cell r="F19342" t="str">
            <v xml:space="preserve">830060136      </v>
          </cell>
          <cell r="O19342">
            <v>60</v>
          </cell>
        </row>
        <row r="19343">
          <cell r="F19343" t="str">
            <v xml:space="preserve">901017528      </v>
          </cell>
          <cell r="O19343">
            <v>420</v>
          </cell>
        </row>
        <row r="19344">
          <cell r="F19344" t="str">
            <v xml:space="preserve">901325847      </v>
          </cell>
          <cell r="O19344">
            <v>105</v>
          </cell>
        </row>
        <row r="19345">
          <cell r="F19345" t="str">
            <v xml:space="preserve">10215830       </v>
          </cell>
          <cell r="O19345">
            <v>151.80000000000001</v>
          </cell>
        </row>
        <row r="19346">
          <cell r="F19346" t="str">
            <v xml:space="preserve">10270172       </v>
          </cell>
          <cell r="O19346">
            <v>97.2</v>
          </cell>
        </row>
        <row r="19347">
          <cell r="F19347" t="str">
            <v xml:space="preserve">1060589688     </v>
          </cell>
          <cell r="O19347">
            <v>66.2</v>
          </cell>
        </row>
        <row r="19348">
          <cell r="F19348" t="str">
            <v xml:space="preserve">24338050       </v>
          </cell>
          <cell r="O19348">
            <v>105</v>
          </cell>
        </row>
        <row r="19349">
          <cell r="F19349" t="str">
            <v xml:space="preserve">30281441       </v>
          </cell>
          <cell r="O19349">
            <v>52.3</v>
          </cell>
        </row>
        <row r="19350">
          <cell r="F19350" t="str">
            <v xml:space="preserve">800014246      </v>
          </cell>
          <cell r="O19350">
            <v>98</v>
          </cell>
        </row>
        <row r="19351">
          <cell r="F19351" t="str">
            <v xml:space="preserve">810001013      </v>
          </cell>
          <cell r="O19351">
            <v>300.3</v>
          </cell>
        </row>
        <row r="19352">
          <cell r="F19352" t="str">
            <v xml:space="preserve">900409707      </v>
          </cell>
          <cell r="O19352">
            <v>382.5</v>
          </cell>
        </row>
        <row r="19353">
          <cell r="F19353" t="str">
            <v xml:space="preserve">6103143        </v>
          </cell>
          <cell r="O19353">
            <v>147.80000000000001</v>
          </cell>
        </row>
        <row r="19354">
          <cell r="F19354" t="str">
            <v xml:space="preserve">800197463      </v>
          </cell>
          <cell r="O19354">
            <v>397.8</v>
          </cell>
        </row>
        <row r="19355">
          <cell r="F19355" t="str">
            <v xml:space="preserve">890320250      </v>
          </cell>
          <cell r="O19355">
            <v>1035.5999999999999</v>
          </cell>
        </row>
        <row r="19356">
          <cell r="F19356" t="str">
            <v xml:space="preserve">891380049      </v>
          </cell>
          <cell r="O19356">
            <v>895.6</v>
          </cell>
        </row>
        <row r="19357">
          <cell r="F19357" t="str">
            <v xml:space="preserve">900431496      </v>
          </cell>
          <cell r="O19357">
            <v>2939.9</v>
          </cell>
        </row>
        <row r="19358">
          <cell r="F19358" t="str">
            <v xml:space="preserve">900497719      </v>
          </cell>
          <cell r="O19358">
            <v>124</v>
          </cell>
        </row>
        <row r="19359">
          <cell r="F19359" t="str">
            <v xml:space="preserve">4147212        </v>
          </cell>
          <cell r="O19359">
            <v>198.4</v>
          </cell>
        </row>
        <row r="19360">
          <cell r="F19360" t="str">
            <v xml:space="preserve">53120676       </v>
          </cell>
          <cell r="O19360">
            <v>84.9</v>
          </cell>
        </row>
        <row r="19361">
          <cell r="F19361" t="str">
            <v xml:space="preserve">7120547        </v>
          </cell>
          <cell r="O19361">
            <v>65.400000000000006</v>
          </cell>
        </row>
        <row r="19362">
          <cell r="F19362" t="str">
            <v xml:space="preserve">7316739        </v>
          </cell>
          <cell r="O19362">
            <v>44.5</v>
          </cell>
        </row>
        <row r="19363">
          <cell r="F19363" t="str">
            <v xml:space="preserve">79981193       </v>
          </cell>
          <cell r="O19363">
            <v>79.599999999999994</v>
          </cell>
        </row>
        <row r="19364">
          <cell r="F19364" t="str">
            <v xml:space="preserve">820005385      </v>
          </cell>
          <cell r="O19364">
            <v>2071.1999999999998</v>
          </cell>
        </row>
        <row r="19365">
          <cell r="F19365" t="str">
            <v xml:space="preserve">860403972      </v>
          </cell>
          <cell r="O19365">
            <v>1132.5999999999999</v>
          </cell>
        </row>
        <row r="19366">
          <cell r="F19366" t="str">
            <v xml:space="preserve">860527701      </v>
          </cell>
          <cell r="O19366">
            <v>240.1</v>
          </cell>
        </row>
        <row r="19367">
          <cell r="F19367" t="str">
            <v xml:space="preserve">860527701      </v>
          </cell>
          <cell r="O19367">
            <v>650.70000000000005</v>
          </cell>
        </row>
        <row r="19368">
          <cell r="F19368" t="str">
            <v xml:space="preserve">860527701      </v>
          </cell>
          <cell r="O19368">
            <v>2800</v>
          </cell>
        </row>
        <row r="19369">
          <cell r="F19369" t="str">
            <v xml:space="preserve">900081723      </v>
          </cell>
          <cell r="O19369">
            <v>923</v>
          </cell>
        </row>
        <row r="19370">
          <cell r="F19370" t="str">
            <v xml:space="preserve">203            </v>
          </cell>
          <cell r="O19370">
            <v>9</v>
          </cell>
        </row>
        <row r="19371">
          <cell r="F19371" t="str">
            <v xml:space="preserve">203            </v>
          </cell>
          <cell r="O19371">
            <v>15</v>
          </cell>
        </row>
        <row r="19372">
          <cell r="F19372" t="str">
            <v xml:space="preserve">203            </v>
          </cell>
          <cell r="O19372">
            <v>18</v>
          </cell>
        </row>
        <row r="19373">
          <cell r="F19373" t="str">
            <v xml:space="preserve">21650387       </v>
          </cell>
          <cell r="O19373">
            <v>126</v>
          </cell>
        </row>
        <row r="19374">
          <cell r="F19374" t="str">
            <v xml:space="preserve">811037915      </v>
          </cell>
          <cell r="O19374">
            <v>144</v>
          </cell>
        </row>
        <row r="19375">
          <cell r="F19375" t="str">
            <v xml:space="preserve">890985417      </v>
          </cell>
          <cell r="O19375">
            <v>45</v>
          </cell>
        </row>
        <row r="19376">
          <cell r="F19376" t="str">
            <v xml:space="preserve">900084859      </v>
          </cell>
          <cell r="O19376">
            <v>90</v>
          </cell>
        </row>
        <row r="19377">
          <cell r="F19377" t="str">
            <v xml:space="preserve">900199056      </v>
          </cell>
          <cell r="O19377">
            <v>36</v>
          </cell>
        </row>
        <row r="19378">
          <cell r="F19378" t="str">
            <v xml:space="preserve">900199056      </v>
          </cell>
          <cell r="O19378">
            <v>180</v>
          </cell>
        </row>
        <row r="19379">
          <cell r="F19379" t="str">
            <v xml:space="preserve">900445736      </v>
          </cell>
          <cell r="O19379">
            <v>225</v>
          </cell>
        </row>
        <row r="19380">
          <cell r="F19380" t="str">
            <v xml:space="preserve">900880568      </v>
          </cell>
          <cell r="O19380">
            <v>54</v>
          </cell>
        </row>
        <row r="19381">
          <cell r="F19381" t="str">
            <v xml:space="preserve">98699317       </v>
          </cell>
          <cell r="O19381">
            <v>36</v>
          </cell>
        </row>
        <row r="19382">
          <cell r="F19382" t="str">
            <v xml:space="preserve">70052771       </v>
          </cell>
          <cell r="O19382">
            <v>75</v>
          </cell>
        </row>
        <row r="19383">
          <cell r="F19383" t="str">
            <v xml:space="preserve">70052771       </v>
          </cell>
          <cell r="O19383">
            <v>36</v>
          </cell>
        </row>
        <row r="19384">
          <cell r="F19384" t="str">
            <v xml:space="preserve">811014849      </v>
          </cell>
          <cell r="O19384">
            <v>108</v>
          </cell>
        </row>
        <row r="19385">
          <cell r="F19385" t="str">
            <v xml:space="preserve">811022351      </v>
          </cell>
          <cell r="O19385">
            <v>144</v>
          </cell>
        </row>
        <row r="19386">
          <cell r="F19386" t="str">
            <v xml:space="preserve">860013809      </v>
          </cell>
          <cell r="O19386">
            <v>162</v>
          </cell>
        </row>
        <row r="19387">
          <cell r="F19387" t="str">
            <v xml:space="preserve">890907406      </v>
          </cell>
          <cell r="O19387">
            <v>45</v>
          </cell>
        </row>
        <row r="19388">
          <cell r="F19388" t="str">
            <v xml:space="preserve">899999049      </v>
          </cell>
          <cell r="O19388">
            <v>36</v>
          </cell>
        </row>
        <row r="19389">
          <cell r="F19389" t="str">
            <v xml:space="preserve">901436775      </v>
          </cell>
          <cell r="O19389">
            <v>150</v>
          </cell>
        </row>
        <row r="19390">
          <cell r="F19390" t="str">
            <v xml:space="preserve">210            </v>
          </cell>
          <cell r="O19390">
            <v>1440</v>
          </cell>
        </row>
        <row r="19391">
          <cell r="F19391" t="str">
            <v xml:space="preserve">8057617        </v>
          </cell>
          <cell r="O19391">
            <v>1800</v>
          </cell>
        </row>
        <row r="19392">
          <cell r="F19392" t="str">
            <v xml:space="preserve">8057617        </v>
          </cell>
          <cell r="O19392">
            <v>45</v>
          </cell>
        </row>
        <row r="19393">
          <cell r="F19393" t="str">
            <v xml:space="preserve">101            </v>
          </cell>
          <cell r="O19393">
            <v>4.5</v>
          </cell>
        </row>
        <row r="19394">
          <cell r="F19394" t="str">
            <v xml:space="preserve">101            </v>
          </cell>
          <cell r="O19394">
            <v>18</v>
          </cell>
        </row>
        <row r="19395">
          <cell r="F19395" t="str">
            <v xml:space="preserve">101            </v>
          </cell>
          <cell r="O19395">
            <v>234</v>
          </cell>
        </row>
        <row r="19396">
          <cell r="F19396" t="str">
            <v xml:space="preserve">101            </v>
          </cell>
          <cell r="O19396">
            <v>36</v>
          </cell>
        </row>
        <row r="19397">
          <cell r="F19397" t="str">
            <v xml:space="preserve">101            </v>
          </cell>
          <cell r="O19397">
            <v>45</v>
          </cell>
        </row>
        <row r="19398">
          <cell r="F19398" t="str">
            <v xml:space="preserve">101            </v>
          </cell>
          <cell r="O19398">
            <v>4.5</v>
          </cell>
        </row>
        <row r="19399">
          <cell r="F19399" t="str">
            <v xml:space="preserve">101            </v>
          </cell>
          <cell r="O19399">
            <v>36</v>
          </cell>
        </row>
        <row r="19400">
          <cell r="F19400" t="str">
            <v xml:space="preserve">860020382      </v>
          </cell>
          <cell r="O19400">
            <v>87</v>
          </cell>
        </row>
        <row r="19401">
          <cell r="F19401" t="str">
            <v xml:space="preserve">213            </v>
          </cell>
          <cell r="O19401">
            <v>270</v>
          </cell>
        </row>
        <row r="19402">
          <cell r="F19402" t="str">
            <v xml:space="preserve">213            </v>
          </cell>
          <cell r="O19402">
            <v>54</v>
          </cell>
        </row>
        <row r="19403">
          <cell r="F19403" t="str">
            <v xml:space="preserve">860001697      </v>
          </cell>
          <cell r="O19403">
            <v>1088.7</v>
          </cell>
        </row>
        <row r="19404">
          <cell r="F19404" t="str">
            <v xml:space="preserve">210            </v>
          </cell>
          <cell r="O19404">
            <v>15</v>
          </cell>
        </row>
        <row r="19405">
          <cell r="F19405" t="str">
            <v xml:space="preserve">210            </v>
          </cell>
          <cell r="O19405">
            <v>270</v>
          </cell>
        </row>
        <row r="19406">
          <cell r="F19406" t="str">
            <v xml:space="preserve">210            </v>
          </cell>
          <cell r="O19406">
            <v>45</v>
          </cell>
        </row>
        <row r="19407">
          <cell r="F19407" t="str">
            <v xml:space="preserve">805026018      </v>
          </cell>
          <cell r="O19407">
            <v>18</v>
          </cell>
        </row>
        <row r="19408">
          <cell r="F19408" t="str">
            <v xml:space="preserve">830057186      </v>
          </cell>
          <cell r="O19408">
            <v>18</v>
          </cell>
        </row>
        <row r="19409">
          <cell r="F19409" t="str">
            <v xml:space="preserve">890301602      </v>
          </cell>
          <cell r="O19409">
            <v>396</v>
          </cell>
        </row>
        <row r="19410">
          <cell r="F19410" t="str">
            <v xml:space="preserve">890302609      </v>
          </cell>
          <cell r="O19410">
            <v>171</v>
          </cell>
        </row>
        <row r="19411">
          <cell r="F19411" t="str">
            <v xml:space="preserve">890304607      </v>
          </cell>
          <cell r="O19411">
            <v>90</v>
          </cell>
        </row>
        <row r="19412">
          <cell r="F19412" t="str">
            <v xml:space="preserve">890903939      </v>
          </cell>
          <cell r="O19412">
            <v>150</v>
          </cell>
        </row>
        <row r="19413">
          <cell r="F19413" t="str">
            <v xml:space="preserve">890903939      </v>
          </cell>
          <cell r="O19413">
            <v>263</v>
          </cell>
        </row>
        <row r="19414">
          <cell r="F19414" t="str">
            <v xml:space="preserve">900233101      </v>
          </cell>
          <cell r="O19414">
            <v>54</v>
          </cell>
        </row>
        <row r="19415">
          <cell r="F19415" t="str">
            <v xml:space="preserve">900517670      </v>
          </cell>
          <cell r="O19415">
            <v>18</v>
          </cell>
        </row>
        <row r="19416">
          <cell r="F19416" t="str">
            <v xml:space="preserve">901167377      </v>
          </cell>
          <cell r="O19416">
            <v>90</v>
          </cell>
        </row>
        <row r="19417">
          <cell r="F19417" t="str">
            <v xml:space="preserve">407            </v>
          </cell>
          <cell r="O19417">
            <v>0</v>
          </cell>
        </row>
        <row r="19418">
          <cell r="F19418" t="str">
            <v xml:space="preserve">901209182      </v>
          </cell>
          <cell r="O19418">
            <v>975</v>
          </cell>
        </row>
        <row r="19419">
          <cell r="F19419" t="str">
            <v xml:space="preserve">203            </v>
          </cell>
          <cell r="O19419">
            <v>9</v>
          </cell>
        </row>
        <row r="19420">
          <cell r="F19420" t="str">
            <v xml:space="preserve">900445736      </v>
          </cell>
          <cell r="O19420">
            <v>270</v>
          </cell>
        </row>
        <row r="19421">
          <cell r="F19421" t="str">
            <v xml:space="preserve">20454645       </v>
          </cell>
          <cell r="O19421">
            <v>71.8</v>
          </cell>
        </row>
        <row r="19422">
          <cell r="F19422" t="str">
            <v xml:space="preserve">830016868      </v>
          </cell>
          <cell r="O19422">
            <v>609.5</v>
          </cell>
        </row>
        <row r="19423">
          <cell r="F19423" t="str">
            <v xml:space="preserve">860002536      </v>
          </cell>
          <cell r="O19423">
            <v>1191.0999999999999</v>
          </cell>
        </row>
        <row r="19424">
          <cell r="F19424" t="str">
            <v xml:space="preserve">860002536      </v>
          </cell>
          <cell r="O19424">
            <v>485.9</v>
          </cell>
        </row>
        <row r="19425">
          <cell r="F19425" t="str">
            <v xml:space="preserve">901243944      </v>
          </cell>
          <cell r="O19425">
            <v>684.2</v>
          </cell>
        </row>
        <row r="19426">
          <cell r="F19426" t="str">
            <v xml:space="preserve">39538743       </v>
          </cell>
          <cell r="O19426">
            <v>40.700000000000003</v>
          </cell>
        </row>
        <row r="19427">
          <cell r="F19427" t="str">
            <v xml:space="preserve">65823154       </v>
          </cell>
          <cell r="O19427">
            <v>90</v>
          </cell>
        </row>
        <row r="19428">
          <cell r="F19428" t="str">
            <v xml:space="preserve">800130632      </v>
          </cell>
          <cell r="O19428">
            <v>500</v>
          </cell>
        </row>
        <row r="19429">
          <cell r="F19429" t="str">
            <v xml:space="preserve">800141632      </v>
          </cell>
          <cell r="O19429">
            <v>63.7</v>
          </cell>
        </row>
        <row r="19430">
          <cell r="F19430" t="str">
            <v xml:space="preserve">800141632      </v>
          </cell>
          <cell r="O19430">
            <v>94.6</v>
          </cell>
        </row>
        <row r="19431">
          <cell r="F19431" t="str">
            <v xml:space="preserve">800141632      </v>
          </cell>
          <cell r="O19431">
            <v>86.1</v>
          </cell>
        </row>
        <row r="19432">
          <cell r="F19432" t="str">
            <v xml:space="preserve">800167200      </v>
          </cell>
          <cell r="O19432">
            <v>1272.5999999999999</v>
          </cell>
        </row>
        <row r="19433">
          <cell r="F19433" t="str">
            <v xml:space="preserve">860058831      </v>
          </cell>
          <cell r="O19433">
            <v>1193.5</v>
          </cell>
        </row>
        <row r="19434">
          <cell r="F19434" t="str">
            <v xml:space="preserve">900938018      </v>
          </cell>
          <cell r="O19434">
            <v>150.19999999999999</v>
          </cell>
        </row>
        <row r="19435">
          <cell r="F19435" t="str">
            <v xml:space="preserve">901117319      </v>
          </cell>
          <cell r="O19435">
            <v>90.7</v>
          </cell>
        </row>
        <row r="19436">
          <cell r="F19436" t="str">
            <v xml:space="preserve">901508532      </v>
          </cell>
          <cell r="O19436">
            <v>234.2</v>
          </cell>
        </row>
        <row r="19437">
          <cell r="F19437" t="str">
            <v xml:space="preserve">52790620       </v>
          </cell>
          <cell r="O19437">
            <v>2394</v>
          </cell>
        </row>
        <row r="19438">
          <cell r="F19438" t="str">
            <v xml:space="preserve">52790620       </v>
          </cell>
          <cell r="O19438">
            <v>1728</v>
          </cell>
        </row>
        <row r="19439">
          <cell r="F19439" t="str">
            <v xml:space="preserve">890903475      </v>
          </cell>
          <cell r="O19439">
            <v>36</v>
          </cell>
        </row>
        <row r="19440">
          <cell r="F19440" t="str">
            <v xml:space="preserve">5581295        </v>
          </cell>
          <cell r="O19440">
            <v>180</v>
          </cell>
        </row>
        <row r="19441">
          <cell r="F19441" t="str">
            <v xml:space="preserve">5581295        </v>
          </cell>
          <cell r="O19441">
            <v>90</v>
          </cell>
        </row>
        <row r="19442">
          <cell r="F19442" t="str">
            <v xml:space="preserve">91451564       </v>
          </cell>
          <cell r="O19442">
            <v>315</v>
          </cell>
        </row>
        <row r="19443">
          <cell r="F19443" t="str">
            <v xml:space="preserve">91451564       </v>
          </cell>
          <cell r="O19443">
            <v>135</v>
          </cell>
        </row>
        <row r="19444">
          <cell r="F19444" t="str">
            <v xml:space="preserve">110            </v>
          </cell>
          <cell r="O19444">
            <v>630</v>
          </cell>
        </row>
        <row r="19445">
          <cell r="F19445" t="str">
            <v xml:space="preserve">106            </v>
          </cell>
          <cell r="O19445">
            <v>144</v>
          </cell>
        </row>
        <row r="19446">
          <cell r="F19446" t="str">
            <v xml:space="preserve">212            </v>
          </cell>
          <cell r="O19446">
            <v>9</v>
          </cell>
        </row>
        <row r="19447">
          <cell r="F19447" t="str">
            <v xml:space="preserve">212            </v>
          </cell>
          <cell r="O19447">
            <v>180</v>
          </cell>
        </row>
        <row r="19448">
          <cell r="F19448" t="str">
            <v xml:space="preserve">900084859      </v>
          </cell>
          <cell r="O19448">
            <v>15</v>
          </cell>
        </row>
        <row r="19449">
          <cell r="F19449" t="str">
            <v xml:space="preserve">900084859      </v>
          </cell>
          <cell r="O19449">
            <v>45</v>
          </cell>
        </row>
        <row r="19450">
          <cell r="F19450" t="str">
            <v xml:space="preserve">900084859      </v>
          </cell>
          <cell r="O19450">
            <v>45</v>
          </cell>
        </row>
        <row r="19451">
          <cell r="F19451" t="str">
            <v xml:space="preserve">808001297      </v>
          </cell>
          <cell r="O19451">
            <v>90</v>
          </cell>
        </row>
        <row r="19452">
          <cell r="F19452" t="str">
            <v xml:space="preserve">860065656      </v>
          </cell>
          <cell r="O19452">
            <v>4128</v>
          </cell>
        </row>
        <row r="19453">
          <cell r="F19453" t="str">
            <v xml:space="preserve">901493783      </v>
          </cell>
          <cell r="O19453">
            <v>870.1</v>
          </cell>
        </row>
        <row r="19454">
          <cell r="F19454" t="str">
            <v xml:space="preserve">212            </v>
          </cell>
          <cell r="O19454">
            <v>75</v>
          </cell>
        </row>
        <row r="19455">
          <cell r="F19455" t="str">
            <v xml:space="preserve">212            </v>
          </cell>
          <cell r="O19455">
            <v>90</v>
          </cell>
        </row>
        <row r="19456">
          <cell r="F19456" t="str">
            <v xml:space="preserve">811034562      </v>
          </cell>
          <cell r="O19456">
            <v>18</v>
          </cell>
        </row>
        <row r="19457">
          <cell r="F19457" t="str">
            <v xml:space="preserve">830042112      </v>
          </cell>
          <cell r="O19457">
            <v>135</v>
          </cell>
        </row>
        <row r="19458">
          <cell r="F19458" t="str">
            <v xml:space="preserve">212            </v>
          </cell>
          <cell r="O19458">
            <v>15</v>
          </cell>
        </row>
        <row r="19459">
          <cell r="F19459" t="str">
            <v xml:space="preserve">212            </v>
          </cell>
          <cell r="O19459">
            <v>45</v>
          </cell>
        </row>
        <row r="19460">
          <cell r="F19460" t="str">
            <v xml:space="preserve">811014849      </v>
          </cell>
          <cell r="O19460">
            <v>72</v>
          </cell>
        </row>
        <row r="19461">
          <cell r="F19461" t="str">
            <v xml:space="preserve">811014849      </v>
          </cell>
          <cell r="O19461">
            <v>36</v>
          </cell>
        </row>
        <row r="19462">
          <cell r="F19462" t="str">
            <v xml:space="preserve">830027386      </v>
          </cell>
          <cell r="O19462">
            <v>117</v>
          </cell>
        </row>
        <row r="19463">
          <cell r="F19463" t="str">
            <v xml:space="preserve">890900161      </v>
          </cell>
          <cell r="O19463">
            <v>15</v>
          </cell>
        </row>
        <row r="19464">
          <cell r="F19464" t="str">
            <v xml:space="preserve">890900161      </v>
          </cell>
          <cell r="O19464">
            <v>60</v>
          </cell>
        </row>
        <row r="19465">
          <cell r="F19465" t="str">
            <v xml:space="preserve">890903939      </v>
          </cell>
          <cell r="O19465">
            <v>203.1</v>
          </cell>
        </row>
        <row r="19466">
          <cell r="F19466" t="str">
            <v xml:space="preserve">890932892      </v>
          </cell>
          <cell r="O19466">
            <v>66</v>
          </cell>
        </row>
        <row r="19467">
          <cell r="F19467" t="str">
            <v xml:space="preserve">900157685      </v>
          </cell>
          <cell r="O19467">
            <v>45</v>
          </cell>
        </row>
        <row r="19468">
          <cell r="F19468" t="str">
            <v xml:space="preserve">900313945      </v>
          </cell>
          <cell r="O19468">
            <v>120</v>
          </cell>
        </row>
        <row r="19469">
          <cell r="F19469" t="str">
            <v xml:space="preserve">900391930      </v>
          </cell>
          <cell r="O19469">
            <v>60</v>
          </cell>
        </row>
        <row r="19470">
          <cell r="F19470" t="str">
            <v xml:space="preserve">900422989      </v>
          </cell>
          <cell r="O19470">
            <v>15</v>
          </cell>
        </row>
        <row r="19471">
          <cell r="F19471" t="str">
            <v xml:space="preserve">900603554      </v>
          </cell>
          <cell r="O19471">
            <v>54</v>
          </cell>
        </row>
        <row r="19472">
          <cell r="F19472" t="str">
            <v xml:space="preserve">900631756      </v>
          </cell>
          <cell r="O19472">
            <v>60</v>
          </cell>
        </row>
        <row r="19473">
          <cell r="F19473" t="str">
            <v xml:space="preserve">901172312      </v>
          </cell>
          <cell r="O19473">
            <v>15</v>
          </cell>
        </row>
        <row r="19474">
          <cell r="F19474" t="str">
            <v xml:space="preserve">805011264      </v>
          </cell>
          <cell r="O19474">
            <v>54</v>
          </cell>
        </row>
        <row r="19475">
          <cell r="F19475" t="str">
            <v xml:space="preserve">805011264      </v>
          </cell>
          <cell r="O19475">
            <v>18</v>
          </cell>
        </row>
        <row r="19476">
          <cell r="F19476" t="str">
            <v xml:space="preserve">805012977      </v>
          </cell>
          <cell r="O19476">
            <v>126</v>
          </cell>
        </row>
        <row r="19477">
          <cell r="F19477" t="str">
            <v xml:space="preserve">830052685      </v>
          </cell>
          <cell r="O19477">
            <v>54</v>
          </cell>
        </row>
        <row r="19478">
          <cell r="F19478" t="str">
            <v xml:space="preserve">860020382      </v>
          </cell>
          <cell r="O19478">
            <v>36</v>
          </cell>
        </row>
        <row r="19479">
          <cell r="F19479" t="str">
            <v xml:space="preserve">860020382      </v>
          </cell>
          <cell r="O19479">
            <v>36</v>
          </cell>
        </row>
        <row r="19480">
          <cell r="F19480" t="str">
            <v xml:space="preserve">890106278      </v>
          </cell>
          <cell r="O19480">
            <v>36</v>
          </cell>
        </row>
        <row r="19481">
          <cell r="F19481" t="str">
            <v xml:space="preserve">890307885      </v>
          </cell>
          <cell r="O19481">
            <v>144</v>
          </cell>
        </row>
        <row r="19482">
          <cell r="F19482" t="str">
            <v xml:space="preserve">890311251      </v>
          </cell>
          <cell r="O19482">
            <v>36</v>
          </cell>
        </row>
        <row r="19483">
          <cell r="F19483" t="str">
            <v xml:space="preserve">890322007      </v>
          </cell>
          <cell r="O19483">
            <v>270</v>
          </cell>
        </row>
        <row r="19484">
          <cell r="F19484" t="str">
            <v xml:space="preserve">890332889      </v>
          </cell>
          <cell r="O19484">
            <v>60</v>
          </cell>
        </row>
        <row r="19485">
          <cell r="F19485" t="str">
            <v xml:space="preserve">900204935      </v>
          </cell>
          <cell r="O19485">
            <v>54</v>
          </cell>
        </row>
        <row r="19486">
          <cell r="F19486" t="str">
            <v xml:space="preserve">900212469      </v>
          </cell>
          <cell r="O19486">
            <v>135</v>
          </cell>
        </row>
        <row r="19487">
          <cell r="F19487" t="str">
            <v xml:space="preserve">900454593      </v>
          </cell>
          <cell r="O19487">
            <v>54</v>
          </cell>
        </row>
        <row r="19488">
          <cell r="F19488" t="str">
            <v xml:space="preserve">900492170      </v>
          </cell>
          <cell r="O19488">
            <v>45</v>
          </cell>
        </row>
        <row r="19489">
          <cell r="F19489" t="str">
            <v xml:space="preserve">900818921      </v>
          </cell>
          <cell r="O19489">
            <v>406</v>
          </cell>
        </row>
        <row r="19490">
          <cell r="F19490" t="str">
            <v xml:space="preserve">900896300      </v>
          </cell>
          <cell r="O19490">
            <v>108</v>
          </cell>
        </row>
        <row r="19491">
          <cell r="F19491" t="str">
            <v xml:space="preserve">901026262      </v>
          </cell>
          <cell r="O19491">
            <v>18</v>
          </cell>
        </row>
        <row r="19492">
          <cell r="F19492" t="str">
            <v xml:space="preserve">212            </v>
          </cell>
          <cell r="O19492">
            <v>54</v>
          </cell>
        </row>
        <row r="19493">
          <cell r="F19493" t="str">
            <v xml:space="preserve">212            </v>
          </cell>
          <cell r="O19493">
            <v>150</v>
          </cell>
        </row>
        <row r="19494">
          <cell r="F19494" t="str">
            <v xml:space="preserve">212            </v>
          </cell>
          <cell r="O19494">
            <v>90</v>
          </cell>
        </row>
        <row r="19495">
          <cell r="F19495" t="str">
            <v xml:space="preserve">212            </v>
          </cell>
          <cell r="O19495">
            <v>45</v>
          </cell>
        </row>
        <row r="19496">
          <cell r="F19496" t="str">
            <v xml:space="preserve">1093800773     </v>
          </cell>
          <cell r="O19496">
            <v>61.3</v>
          </cell>
        </row>
        <row r="19497">
          <cell r="F19497" t="str">
            <v xml:space="preserve">13373455       </v>
          </cell>
          <cell r="O19497">
            <v>173.2</v>
          </cell>
        </row>
        <row r="19498">
          <cell r="F19498" t="str">
            <v xml:space="preserve">5546993        </v>
          </cell>
          <cell r="O19498">
            <v>151.9</v>
          </cell>
        </row>
        <row r="19499">
          <cell r="F19499" t="str">
            <v xml:space="preserve">5546993        </v>
          </cell>
          <cell r="O19499">
            <v>173.3</v>
          </cell>
        </row>
        <row r="19500">
          <cell r="F19500" t="str">
            <v xml:space="preserve">804013578      </v>
          </cell>
          <cell r="O19500">
            <v>5410.6</v>
          </cell>
        </row>
        <row r="19501">
          <cell r="F19501" t="str">
            <v xml:space="preserve">88269160       </v>
          </cell>
          <cell r="O19501">
            <v>72</v>
          </cell>
        </row>
        <row r="19502">
          <cell r="F19502" t="str">
            <v xml:space="preserve">890503314      </v>
          </cell>
          <cell r="O19502">
            <v>28700</v>
          </cell>
        </row>
        <row r="19503">
          <cell r="F19503" t="str">
            <v xml:space="preserve">900558257      </v>
          </cell>
          <cell r="O19503">
            <v>296.2</v>
          </cell>
        </row>
        <row r="19504">
          <cell r="F19504" t="str">
            <v xml:space="preserve">900740022      </v>
          </cell>
          <cell r="O19504">
            <v>100</v>
          </cell>
        </row>
        <row r="19505">
          <cell r="F19505" t="str">
            <v xml:space="preserve">900740022      </v>
          </cell>
          <cell r="O19505">
            <v>459.1</v>
          </cell>
        </row>
        <row r="19506">
          <cell r="F19506" t="str">
            <v xml:space="preserve">901196259      </v>
          </cell>
          <cell r="O19506">
            <v>595.1</v>
          </cell>
        </row>
        <row r="19507">
          <cell r="F19507" t="str">
            <v xml:space="preserve">901377572      </v>
          </cell>
          <cell r="O19507">
            <v>135.9</v>
          </cell>
        </row>
        <row r="19508">
          <cell r="F19508" t="str">
            <v xml:space="preserve">830512556      </v>
          </cell>
          <cell r="O19508">
            <v>195.1</v>
          </cell>
        </row>
        <row r="19509">
          <cell r="F19509" t="str">
            <v xml:space="preserve">890316211      </v>
          </cell>
          <cell r="O19509">
            <v>1300.7</v>
          </cell>
        </row>
        <row r="19510">
          <cell r="F19510" t="str">
            <v xml:space="preserve">900030756      </v>
          </cell>
          <cell r="O19510">
            <v>2643.1</v>
          </cell>
        </row>
        <row r="19511">
          <cell r="F19511" t="str">
            <v xml:space="preserve">900133796      </v>
          </cell>
          <cell r="O19511">
            <v>130.19999999999999</v>
          </cell>
        </row>
        <row r="19512">
          <cell r="F19512" t="str">
            <v xml:space="preserve">94457135       </v>
          </cell>
          <cell r="O19512">
            <v>117.9</v>
          </cell>
        </row>
        <row r="19513">
          <cell r="F19513" t="str">
            <v xml:space="preserve">804013578      </v>
          </cell>
          <cell r="O19513">
            <v>5881.3</v>
          </cell>
        </row>
        <row r="19514">
          <cell r="F19514" t="str">
            <v xml:space="preserve">830010738      </v>
          </cell>
          <cell r="O19514">
            <v>129.6</v>
          </cell>
        </row>
        <row r="19515">
          <cell r="F19515" t="str">
            <v xml:space="preserve">900280406      </v>
          </cell>
          <cell r="O19515">
            <v>84</v>
          </cell>
        </row>
        <row r="19516">
          <cell r="F19516" t="str">
            <v xml:space="preserve">900280406      </v>
          </cell>
          <cell r="O19516">
            <v>86.4</v>
          </cell>
        </row>
        <row r="19517">
          <cell r="F19517" t="str">
            <v xml:space="preserve">900548891      </v>
          </cell>
          <cell r="O19517">
            <v>1335</v>
          </cell>
        </row>
        <row r="19518">
          <cell r="F19518" t="str">
            <v xml:space="preserve">900652958      </v>
          </cell>
          <cell r="O19518">
            <v>171.8</v>
          </cell>
        </row>
        <row r="19519">
          <cell r="F19519" t="str">
            <v xml:space="preserve">901107328      </v>
          </cell>
          <cell r="O19519">
            <v>50.6</v>
          </cell>
        </row>
        <row r="19520">
          <cell r="F19520" t="str">
            <v xml:space="preserve">901142147      </v>
          </cell>
          <cell r="O19520">
            <v>346</v>
          </cell>
        </row>
        <row r="19521">
          <cell r="F19521" t="str">
            <v xml:space="preserve">830107012      </v>
          </cell>
          <cell r="O19521">
            <v>108</v>
          </cell>
        </row>
        <row r="19522">
          <cell r="F19522" t="str">
            <v xml:space="preserve">890903939      </v>
          </cell>
          <cell r="O19522">
            <v>252</v>
          </cell>
        </row>
        <row r="19523">
          <cell r="F19523" t="str">
            <v xml:space="preserve">830036921      </v>
          </cell>
          <cell r="O19523">
            <v>439.1</v>
          </cell>
        </row>
        <row r="19524">
          <cell r="F19524" t="str">
            <v xml:space="preserve">830125779      </v>
          </cell>
          <cell r="O19524">
            <v>2900.1</v>
          </cell>
        </row>
        <row r="19525">
          <cell r="F19525" t="str">
            <v xml:space="preserve">860000794      </v>
          </cell>
          <cell r="O19525">
            <v>502.3</v>
          </cell>
        </row>
        <row r="19526">
          <cell r="F19526" t="str">
            <v xml:space="preserve">860048867      </v>
          </cell>
          <cell r="O19526">
            <v>764.5</v>
          </cell>
        </row>
        <row r="19527">
          <cell r="F19527" t="str">
            <v xml:space="preserve">39813103       </v>
          </cell>
          <cell r="O19527">
            <v>158.4</v>
          </cell>
        </row>
        <row r="19528">
          <cell r="F19528" t="str">
            <v xml:space="preserve">52790620       </v>
          </cell>
          <cell r="O19528">
            <v>285</v>
          </cell>
        </row>
        <row r="19529">
          <cell r="F19529" t="str">
            <v xml:space="preserve">52790620       </v>
          </cell>
          <cell r="O19529">
            <v>720</v>
          </cell>
        </row>
        <row r="19530">
          <cell r="F19530" t="str">
            <v xml:space="preserve">52790620       </v>
          </cell>
          <cell r="O19530">
            <v>405</v>
          </cell>
        </row>
        <row r="19531">
          <cell r="F19531" t="str">
            <v xml:space="preserve">41730437       </v>
          </cell>
          <cell r="O19531">
            <v>0</v>
          </cell>
        </row>
        <row r="19532">
          <cell r="F19532" t="str">
            <v xml:space="preserve">800134497      </v>
          </cell>
          <cell r="O19532">
            <v>1000.7</v>
          </cell>
        </row>
        <row r="19533">
          <cell r="F19533" t="str">
            <v xml:space="preserve">800134497      </v>
          </cell>
          <cell r="O19533">
            <v>530</v>
          </cell>
        </row>
        <row r="19534">
          <cell r="F19534" t="str">
            <v xml:space="preserve">800134497      </v>
          </cell>
          <cell r="O19534">
            <v>1390.2</v>
          </cell>
        </row>
        <row r="19535">
          <cell r="F19535" t="str">
            <v xml:space="preserve">22011939       </v>
          </cell>
          <cell r="O19535">
            <v>60</v>
          </cell>
        </row>
        <row r="19536">
          <cell r="F19536" t="str">
            <v xml:space="preserve">22011939       </v>
          </cell>
          <cell r="O19536">
            <v>216</v>
          </cell>
        </row>
        <row r="19537">
          <cell r="F19537" t="str">
            <v xml:space="preserve">22011939       </v>
          </cell>
          <cell r="O19537">
            <v>225</v>
          </cell>
        </row>
        <row r="19538">
          <cell r="F19538" t="str">
            <v xml:space="preserve">003            </v>
          </cell>
          <cell r="O19538">
            <v>1240.2</v>
          </cell>
        </row>
        <row r="19539">
          <cell r="F19539" t="str">
            <v xml:space="preserve">900504060      </v>
          </cell>
          <cell r="O19539">
            <v>25610</v>
          </cell>
        </row>
        <row r="19540">
          <cell r="F19540" t="str">
            <v xml:space="preserve">860001697      </v>
          </cell>
          <cell r="O19540">
            <v>278.58</v>
          </cell>
        </row>
        <row r="19541">
          <cell r="F19541" t="str">
            <v xml:space="preserve">860001697      </v>
          </cell>
          <cell r="O19541">
            <v>123.98</v>
          </cell>
        </row>
        <row r="19542">
          <cell r="F19542" t="str">
            <v xml:space="preserve">860001697      </v>
          </cell>
          <cell r="O19542">
            <v>188</v>
          </cell>
        </row>
        <row r="19543">
          <cell r="F19543" t="str">
            <v xml:space="preserve">830099238      </v>
          </cell>
          <cell r="O19543">
            <v>41820</v>
          </cell>
        </row>
        <row r="19544">
          <cell r="F19544" t="str">
            <v xml:space="preserve">832003882      </v>
          </cell>
          <cell r="O19544">
            <v>14901</v>
          </cell>
        </row>
        <row r="19545">
          <cell r="F19545" t="str">
            <v xml:space="preserve">003            </v>
          </cell>
          <cell r="O19545">
            <v>1786.96</v>
          </cell>
        </row>
        <row r="19546">
          <cell r="F19546" t="str">
            <v xml:space="preserve">900067125      </v>
          </cell>
          <cell r="O19546">
            <v>7642</v>
          </cell>
        </row>
        <row r="19547">
          <cell r="F19547" t="str">
            <v xml:space="preserve">900067125      </v>
          </cell>
          <cell r="O19547">
            <v>16139</v>
          </cell>
        </row>
        <row r="19548">
          <cell r="F19548" t="str">
            <v xml:space="preserve">003            </v>
          </cell>
          <cell r="O19548">
            <v>359.8</v>
          </cell>
        </row>
        <row r="19549">
          <cell r="F19549" t="str">
            <v xml:space="preserve">900789921      </v>
          </cell>
          <cell r="O19549">
            <v>6756</v>
          </cell>
        </row>
        <row r="19550">
          <cell r="F19550" t="str">
            <v xml:space="preserve">003            </v>
          </cell>
          <cell r="O19550">
            <v>15534.61</v>
          </cell>
        </row>
        <row r="19551">
          <cell r="F19551" t="str">
            <v xml:space="preserve">003            </v>
          </cell>
          <cell r="O19551">
            <v>2997.17</v>
          </cell>
        </row>
        <row r="19552">
          <cell r="F19552" t="str">
            <v xml:space="preserve">003            </v>
          </cell>
          <cell r="O19552">
            <v>1318.63</v>
          </cell>
        </row>
        <row r="19553">
          <cell r="F19553" t="str">
            <v xml:space="preserve">804002825      </v>
          </cell>
          <cell r="O19553">
            <v>10541</v>
          </cell>
        </row>
        <row r="19554">
          <cell r="F19554" t="str">
            <v xml:space="preserve">804002825      </v>
          </cell>
          <cell r="O19554">
            <v>6890</v>
          </cell>
        </row>
        <row r="19555">
          <cell r="F19555" t="str">
            <v xml:space="preserve">900563448      </v>
          </cell>
          <cell r="O19555">
            <v>6120</v>
          </cell>
        </row>
        <row r="19556">
          <cell r="F19556" t="str">
            <v xml:space="preserve">901175206      </v>
          </cell>
          <cell r="O19556">
            <v>2180.1</v>
          </cell>
        </row>
        <row r="19557">
          <cell r="F19557" t="str">
            <v xml:space="preserve">41737020       </v>
          </cell>
          <cell r="O19557">
            <v>61.11</v>
          </cell>
        </row>
        <row r="19558">
          <cell r="F19558" t="str">
            <v xml:space="preserve">79288238       </v>
          </cell>
          <cell r="O19558">
            <v>100.14</v>
          </cell>
        </row>
        <row r="19559">
          <cell r="F19559" t="str">
            <v xml:space="preserve">79686344       </v>
          </cell>
          <cell r="O19559">
            <v>33.43</v>
          </cell>
        </row>
        <row r="19560">
          <cell r="F19560" t="str">
            <v xml:space="preserve">830015208      </v>
          </cell>
          <cell r="O19560">
            <v>30.54</v>
          </cell>
        </row>
        <row r="19561">
          <cell r="F19561" t="str">
            <v xml:space="preserve">830018288      </v>
          </cell>
          <cell r="O19561">
            <v>91.78</v>
          </cell>
        </row>
        <row r="19562">
          <cell r="F19562" t="str">
            <v xml:space="preserve">860069497      </v>
          </cell>
          <cell r="O19562">
            <v>398.66</v>
          </cell>
        </row>
        <row r="19563">
          <cell r="F19563" t="str">
            <v xml:space="preserve">860518994      </v>
          </cell>
          <cell r="O19563">
            <v>21.92</v>
          </cell>
        </row>
        <row r="19564">
          <cell r="F19564" t="str">
            <v xml:space="preserve">900213632      </v>
          </cell>
          <cell r="O19564">
            <v>406.89</v>
          </cell>
        </row>
        <row r="19565">
          <cell r="F19565" t="str">
            <v xml:space="preserve">830106563      </v>
          </cell>
          <cell r="O19565">
            <v>752.2</v>
          </cell>
        </row>
        <row r="19566">
          <cell r="F19566" t="str">
            <v xml:space="preserve">860513290      </v>
          </cell>
          <cell r="O19566">
            <v>409.5</v>
          </cell>
        </row>
        <row r="19567">
          <cell r="F19567" t="str">
            <v xml:space="preserve">900497538      </v>
          </cell>
          <cell r="O19567">
            <v>2500.9</v>
          </cell>
        </row>
        <row r="19568">
          <cell r="F19568" t="str">
            <v xml:space="preserve">901123983      </v>
          </cell>
          <cell r="O19568">
            <v>1196.7</v>
          </cell>
        </row>
        <row r="19569">
          <cell r="F19569" t="str">
            <v xml:space="preserve">901409625      </v>
          </cell>
          <cell r="O19569">
            <v>996.1</v>
          </cell>
        </row>
        <row r="19570">
          <cell r="F19570" t="str">
            <v xml:space="preserve">41730437       </v>
          </cell>
          <cell r="O19570">
            <v>0</v>
          </cell>
        </row>
        <row r="19571">
          <cell r="F19571" t="str">
            <v xml:space="preserve">51747205       </v>
          </cell>
          <cell r="O19571">
            <v>218</v>
          </cell>
        </row>
        <row r="19572">
          <cell r="F19572" t="str">
            <v xml:space="preserve">811047008      </v>
          </cell>
          <cell r="O19572">
            <v>381</v>
          </cell>
        </row>
        <row r="19573">
          <cell r="F19573" t="str">
            <v xml:space="preserve">860032450      </v>
          </cell>
          <cell r="O19573">
            <v>711</v>
          </cell>
        </row>
        <row r="19574">
          <cell r="F19574" t="str">
            <v xml:space="preserve">860052989      </v>
          </cell>
          <cell r="O19574">
            <v>148.4</v>
          </cell>
        </row>
        <row r="19575">
          <cell r="F19575" t="str">
            <v xml:space="preserve">800220087      </v>
          </cell>
          <cell r="O19575">
            <v>2400.1</v>
          </cell>
        </row>
        <row r="19576">
          <cell r="F19576" t="str">
            <v xml:space="preserve">811014849      </v>
          </cell>
          <cell r="O19576">
            <v>608.9</v>
          </cell>
        </row>
        <row r="19577">
          <cell r="F19577" t="str">
            <v xml:space="preserve">830009573      </v>
          </cell>
          <cell r="O19577">
            <v>649.20000000000005</v>
          </cell>
        </row>
        <row r="19578">
          <cell r="F19578" t="str">
            <v xml:space="preserve">830026277      </v>
          </cell>
          <cell r="O19578">
            <v>703.9</v>
          </cell>
        </row>
        <row r="19579">
          <cell r="F19579" t="str">
            <v xml:space="preserve">860513290      </v>
          </cell>
          <cell r="O19579">
            <v>286.39999999999998</v>
          </cell>
        </row>
        <row r="19580">
          <cell r="F19580" t="str">
            <v xml:space="preserve">900343005      </v>
          </cell>
          <cell r="O19580">
            <v>1211.4000000000001</v>
          </cell>
        </row>
        <row r="19581">
          <cell r="F19581" t="str">
            <v xml:space="preserve">900343005      </v>
          </cell>
          <cell r="O19581">
            <v>678</v>
          </cell>
        </row>
        <row r="19582">
          <cell r="F19582" t="str">
            <v xml:space="preserve">900992422      </v>
          </cell>
          <cell r="O19582">
            <v>6707.8</v>
          </cell>
        </row>
        <row r="19583">
          <cell r="F19583" t="str">
            <v xml:space="preserve">900716800      </v>
          </cell>
          <cell r="O19583">
            <v>138612.59</v>
          </cell>
        </row>
        <row r="19584">
          <cell r="F19584" t="str">
            <v xml:space="preserve">805005148      </v>
          </cell>
          <cell r="O19584">
            <v>5400</v>
          </cell>
        </row>
        <row r="19585">
          <cell r="F19585" t="str">
            <v xml:space="preserve">805005148      </v>
          </cell>
          <cell r="O19585">
            <v>360</v>
          </cell>
        </row>
        <row r="19586">
          <cell r="F19586" t="str">
            <v xml:space="preserve">805005148      </v>
          </cell>
          <cell r="O19586">
            <v>5364</v>
          </cell>
        </row>
        <row r="19587">
          <cell r="F19587" t="str">
            <v xml:space="preserve">805005148      </v>
          </cell>
          <cell r="O19587">
            <v>540</v>
          </cell>
        </row>
        <row r="19588">
          <cell r="F19588" t="str">
            <v xml:space="preserve">805005148      </v>
          </cell>
          <cell r="O19588">
            <v>4.5</v>
          </cell>
        </row>
        <row r="19589">
          <cell r="F19589" t="str">
            <v xml:space="preserve">805005148      </v>
          </cell>
          <cell r="O19589">
            <v>72</v>
          </cell>
        </row>
        <row r="19590">
          <cell r="F19590" t="str">
            <v xml:space="preserve">805005148      </v>
          </cell>
          <cell r="O19590">
            <v>495</v>
          </cell>
        </row>
        <row r="19591">
          <cell r="F19591" t="str">
            <v xml:space="preserve">805005148      </v>
          </cell>
          <cell r="O19591">
            <v>972</v>
          </cell>
        </row>
        <row r="19592">
          <cell r="F19592" t="str">
            <v xml:space="preserve">805005148      </v>
          </cell>
          <cell r="O19592">
            <v>450</v>
          </cell>
        </row>
        <row r="19593">
          <cell r="F19593" t="str">
            <v xml:space="preserve">805005148      </v>
          </cell>
          <cell r="O19593">
            <v>30</v>
          </cell>
        </row>
        <row r="19594">
          <cell r="F19594" t="str">
            <v xml:space="preserve">805005148      </v>
          </cell>
          <cell r="O19594">
            <v>54</v>
          </cell>
        </row>
        <row r="19595">
          <cell r="F19595" t="str">
            <v xml:space="preserve">805005148      </v>
          </cell>
          <cell r="O19595">
            <v>9</v>
          </cell>
        </row>
        <row r="19596">
          <cell r="F19596" t="str">
            <v xml:space="preserve">805005148      </v>
          </cell>
          <cell r="O19596">
            <v>18</v>
          </cell>
        </row>
        <row r="19597">
          <cell r="F19597" t="str">
            <v xml:space="preserve">805005148      </v>
          </cell>
          <cell r="O19597">
            <v>1440</v>
          </cell>
        </row>
        <row r="19598">
          <cell r="F19598" t="str">
            <v xml:space="preserve">805005148      </v>
          </cell>
          <cell r="O19598">
            <v>270</v>
          </cell>
        </row>
        <row r="19599">
          <cell r="F19599" t="str">
            <v xml:space="preserve">805005148      </v>
          </cell>
          <cell r="O19599">
            <v>45</v>
          </cell>
        </row>
        <row r="19600">
          <cell r="F19600" t="str">
            <v xml:space="preserve">805005148      </v>
          </cell>
          <cell r="O19600">
            <v>105</v>
          </cell>
        </row>
        <row r="19601">
          <cell r="F19601" t="str">
            <v xml:space="preserve">805005148      </v>
          </cell>
          <cell r="O19601">
            <v>1422</v>
          </cell>
        </row>
        <row r="19602">
          <cell r="F19602" t="str">
            <v xml:space="preserve">805005148      </v>
          </cell>
          <cell r="O19602">
            <v>630</v>
          </cell>
        </row>
        <row r="19603">
          <cell r="F19603" t="str">
            <v xml:space="preserve">805005148      </v>
          </cell>
          <cell r="O19603">
            <v>36</v>
          </cell>
        </row>
        <row r="19604">
          <cell r="F19604" t="str">
            <v xml:space="preserve">1130605276     </v>
          </cell>
          <cell r="O19604">
            <v>4.5</v>
          </cell>
        </row>
        <row r="19605">
          <cell r="F19605" t="str">
            <v xml:space="preserve">1130605276     </v>
          </cell>
          <cell r="O19605">
            <v>9</v>
          </cell>
        </row>
        <row r="19606">
          <cell r="F19606" t="str">
            <v xml:space="preserve">1130605276     </v>
          </cell>
          <cell r="O19606">
            <v>90</v>
          </cell>
        </row>
        <row r="19607">
          <cell r="F19607" t="str">
            <v xml:space="preserve">1130605276     </v>
          </cell>
          <cell r="O19607">
            <v>1044</v>
          </cell>
        </row>
        <row r="19608">
          <cell r="F19608" t="str">
            <v xml:space="preserve">1130605276     </v>
          </cell>
          <cell r="O19608">
            <v>180</v>
          </cell>
        </row>
        <row r="19609">
          <cell r="F19609" t="str">
            <v xml:space="preserve">94050412       </v>
          </cell>
          <cell r="O19609">
            <v>216</v>
          </cell>
        </row>
        <row r="19610">
          <cell r="F19610" t="str">
            <v xml:space="preserve">815003963      </v>
          </cell>
          <cell r="O19610">
            <v>18</v>
          </cell>
        </row>
        <row r="19611">
          <cell r="F19611" t="str">
            <v xml:space="preserve">815003963      </v>
          </cell>
          <cell r="O19611">
            <v>-18</v>
          </cell>
        </row>
        <row r="19612">
          <cell r="F19612" t="str">
            <v xml:space="preserve">815004891      </v>
          </cell>
          <cell r="O19612">
            <v>36</v>
          </cell>
        </row>
        <row r="19613">
          <cell r="F19613" t="str">
            <v xml:space="preserve">88275315       </v>
          </cell>
          <cell r="O19613">
            <v>1386</v>
          </cell>
        </row>
        <row r="19614">
          <cell r="F19614" t="str">
            <v xml:space="preserve">890315430      </v>
          </cell>
          <cell r="O19614">
            <v>1350</v>
          </cell>
        </row>
        <row r="19615">
          <cell r="F19615" t="str">
            <v xml:space="preserve">94464104       </v>
          </cell>
          <cell r="O19615">
            <v>450</v>
          </cell>
        </row>
        <row r="19616">
          <cell r="F19616" t="str">
            <v xml:space="preserve">94464104       </v>
          </cell>
          <cell r="O19616">
            <v>4.5</v>
          </cell>
        </row>
        <row r="19617">
          <cell r="F19617" t="str">
            <v xml:space="preserve">94464104       </v>
          </cell>
          <cell r="O19617">
            <v>9</v>
          </cell>
        </row>
        <row r="19618">
          <cell r="F19618" t="str">
            <v xml:space="preserve">94464104       </v>
          </cell>
          <cell r="O19618">
            <v>1224</v>
          </cell>
        </row>
        <row r="19619">
          <cell r="F19619" t="str">
            <v xml:space="preserve">94464104       </v>
          </cell>
          <cell r="O19619">
            <v>45</v>
          </cell>
        </row>
        <row r="19620">
          <cell r="F19620" t="str">
            <v xml:space="preserve">94464104       </v>
          </cell>
          <cell r="O19620">
            <v>720</v>
          </cell>
        </row>
        <row r="19621">
          <cell r="F19621" t="str">
            <v xml:space="preserve">94464104       </v>
          </cell>
          <cell r="O19621">
            <v>315</v>
          </cell>
        </row>
        <row r="19622">
          <cell r="F19622" t="str">
            <v xml:space="preserve">94464104       </v>
          </cell>
          <cell r="O19622">
            <v>9</v>
          </cell>
        </row>
        <row r="19623">
          <cell r="F19623" t="str">
            <v xml:space="preserve">94464104       </v>
          </cell>
          <cell r="O19623">
            <v>330</v>
          </cell>
        </row>
        <row r="19624">
          <cell r="F19624" t="str">
            <v xml:space="preserve">94464104       </v>
          </cell>
          <cell r="O19624">
            <v>486</v>
          </cell>
        </row>
        <row r="19625">
          <cell r="F19625" t="str">
            <v xml:space="preserve">16458005       </v>
          </cell>
          <cell r="O19625">
            <v>36</v>
          </cell>
        </row>
        <row r="19626">
          <cell r="F19626" t="str">
            <v xml:space="preserve">94419930       </v>
          </cell>
          <cell r="O19626">
            <v>468</v>
          </cell>
        </row>
        <row r="19627">
          <cell r="F19627" t="str">
            <v xml:space="preserve">94419930       </v>
          </cell>
          <cell r="O19627">
            <v>360</v>
          </cell>
        </row>
        <row r="19628">
          <cell r="F19628" t="str">
            <v xml:space="preserve">94420019       </v>
          </cell>
          <cell r="O19628">
            <v>1170</v>
          </cell>
        </row>
        <row r="19629">
          <cell r="F19629" t="str">
            <v xml:space="preserve">94420019       </v>
          </cell>
          <cell r="O19629">
            <v>180</v>
          </cell>
        </row>
        <row r="19630">
          <cell r="F19630" t="str">
            <v xml:space="preserve">94420019       </v>
          </cell>
          <cell r="O19630">
            <v>9</v>
          </cell>
        </row>
        <row r="19631">
          <cell r="F19631" t="str">
            <v xml:space="preserve">94420019       </v>
          </cell>
          <cell r="O19631">
            <v>270</v>
          </cell>
        </row>
        <row r="19632">
          <cell r="F19632" t="str">
            <v xml:space="preserve">94420019       </v>
          </cell>
          <cell r="O19632">
            <v>45</v>
          </cell>
        </row>
        <row r="19633">
          <cell r="F19633" t="str">
            <v xml:space="preserve">16669313       </v>
          </cell>
          <cell r="O19633">
            <v>9</v>
          </cell>
        </row>
        <row r="19634">
          <cell r="F19634" t="str">
            <v xml:space="preserve">16669313       </v>
          </cell>
          <cell r="O19634">
            <v>1260</v>
          </cell>
        </row>
        <row r="19635">
          <cell r="F19635" t="str">
            <v xml:space="preserve">900034686      </v>
          </cell>
          <cell r="O19635">
            <v>54</v>
          </cell>
        </row>
        <row r="19636">
          <cell r="F19636" t="str">
            <v xml:space="preserve">900034686      </v>
          </cell>
          <cell r="O19636">
            <v>180</v>
          </cell>
        </row>
        <row r="19637">
          <cell r="F19637" t="str">
            <v xml:space="preserve">900034686      </v>
          </cell>
          <cell r="O19637">
            <v>18</v>
          </cell>
        </row>
        <row r="19638">
          <cell r="F19638" t="str">
            <v xml:space="preserve">900034686      </v>
          </cell>
          <cell r="O19638">
            <v>135</v>
          </cell>
        </row>
        <row r="19639">
          <cell r="F19639" t="str">
            <v xml:space="preserve">16460421       </v>
          </cell>
          <cell r="O19639">
            <v>9</v>
          </cell>
        </row>
        <row r="19640">
          <cell r="F19640" t="str">
            <v xml:space="preserve">16460421       </v>
          </cell>
          <cell r="O19640">
            <v>36</v>
          </cell>
        </row>
        <row r="19641">
          <cell r="F19641" t="str">
            <v xml:space="preserve">16460421       </v>
          </cell>
          <cell r="O19641">
            <v>45</v>
          </cell>
        </row>
        <row r="19642">
          <cell r="F19642" t="str">
            <v xml:space="preserve">16460421       </v>
          </cell>
          <cell r="O19642">
            <v>954</v>
          </cell>
        </row>
        <row r="19643">
          <cell r="F19643" t="str">
            <v xml:space="preserve">16460421       </v>
          </cell>
          <cell r="O19643">
            <v>45</v>
          </cell>
        </row>
        <row r="19644">
          <cell r="F19644" t="str">
            <v xml:space="preserve">15961063       </v>
          </cell>
          <cell r="O19644">
            <v>600</v>
          </cell>
        </row>
        <row r="19645">
          <cell r="F19645" t="str">
            <v xml:space="preserve">15961063       </v>
          </cell>
          <cell r="O19645">
            <v>90</v>
          </cell>
        </row>
        <row r="19646">
          <cell r="F19646" t="str">
            <v xml:space="preserve">15961063       </v>
          </cell>
          <cell r="O19646">
            <v>36</v>
          </cell>
        </row>
        <row r="19647">
          <cell r="F19647" t="str">
            <v xml:space="preserve">75099432       </v>
          </cell>
          <cell r="O19647">
            <v>432</v>
          </cell>
        </row>
        <row r="19648">
          <cell r="F19648" t="str">
            <v xml:space="preserve">75099432       </v>
          </cell>
          <cell r="O19648">
            <v>72</v>
          </cell>
        </row>
        <row r="19649">
          <cell r="F19649" t="str">
            <v xml:space="preserve">75099432       </v>
          </cell>
          <cell r="O19649">
            <v>810</v>
          </cell>
        </row>
        <row r="19650">
          <cell r="F19650" t="str">
            <v xml:space="preserve">75099432       </v>
          </cell>
          <cell r="O19650">
            <v>120</v>
          </cell>
        </row>
        <row r="19651">
          <cell r="F19651" t="str">
            <v xml:space="preserve">75099432       </v>
          </cell>
          <cell r="O19651">
            <v>54</v>
          </cell>
        </row>
        <row r="19652">
          <cell r="F19652" t="str">
            <v xml:space="preserve">75099432       </v>
          </cell>
          <cell r="O19652">
            <v>90</v>
          </cell>
        </row>
        <row r="19653">
          <cell r="F19653" t="str">
            <v xml:space="preserve">16052848       </v>
          </cell>
          <cell r="O19653">
            <v>1155</v>
          </cell>
        </row>
        <row r="19654">
          <cell r="F19654" t="str">
            <v xml:space="preserve">16052848       </v>
          </cell>
          <cell r="O19654">
            <v>270</v>
          </cell>
        </row>
        <row r="19655">
          <cell r="F19655" t="str">
            <v xml:space="preserve">16052848       </v>
          </cell>
          <cell r="O19655">
            <v>450</v>
          </cell>
        </row>
        <row r="19656">
          <cell r="F19656" t="str">
            <v xml:space="preserve">9696643        </v>
          </cell>
          <cell r="O19656">
            <v>960</v>
          </cell>
        </row>
        <row r="19657">
          <cell r="F19657" t="str">
            <v xml:space="preserve">9696643        </v>
          </cell>
          <cell r="O19657">
            <v>54</v>
          </cell>
        </row>
        <row r="19658">
          <cell r="F19658" t="str">
            <v xml:space="preserve">9696643        </v>
          </cell>
          <cell r="O19658">
            <v>2100</v>
          </cell>
        </row>
        <row r="19659">
          <cell r="F19659" t="str">
            <v xml:space="preserve">9696643        </v>
          </cell>
          <cell r="O19659">
            <v>756</v>
          </cell>
        </row>
        <row r="19660">
          <cell r="F19660" t="str">
            <v xml:space="preserve">9696643        </v>
          </cell>
          <cell r="O19660">
            <v>540</v>
          </cell>
        </row>
        <row r="19661">
          <cell r="F19661" t="str">
            <v xml:space="preserve">10237057       </v>
          </cell>
          <cell r="O19661">
            <v>450</v>
          </cell>
        </row>
        <row r="19662">
          <cell r="F19662" t="str">
            <v xml:space="preserve">10237057       </v>
          </cell>
          <cell r="O19662">
            <v>120</v>
          </cell>
        </row>
        <row r="19663">
          <cell r="F19663" t="str">
            <v xml:space="preserve">10237057       </v>
          </cell>
          <cell r="O19663">
            <v>306</v>
          </cell>
        </row>
        <row r="19664">
          <cell r="F19664" t="str">
            <v xml:space="preserve">10237057       </v>
          </cell>
          <cell r="O19664">
            <v>45</v>
          </cell>
        </row>
        <row r="19665">
          <cell r="F19665" t="str">
            <v xml:space="preserve">10237057       </v>
          </cell>
          <cell r="O19665">
            <v>225</v>
          </cell>
        </row>
        <row r="19666">
          <cell r="F19666" t="str">
            <v xml:space="preserve">10237057       </v>
          </cell>
          <cell r="O19666">
            <v>45</v>
          </cell>
        </row>
        <row r="19667">
          <cell r="F19667" t="str">
            <v xml:space="preserve">10237057       </v>
          </cell>
          <cell r="O19667">
            <v>90</v>
          </cell>
        </row>
        <row r="19668">
          <cell r="F19668" t="str">
            <v xml:space="preserve">6157942        </v>
          </cell>
          <cell r="O19668">
            <v>660</v>
          </cell>
        </row>
        <row r="19669">
          <cell r="F19669" t="str">
            <v xml:space="preserve">6157942        </v>
          </cell>
          <cell r="O19669">
            <v>90</v>
          </cell>
        </row>
        <row r="19670">
          <cell r="F19670" t="str">
            <v xml:space="preserve">71734502       </v>
          </cell>
          <cell r="O19670">
            <v>45</v>
          </cell>
        </row>
        <row r="19671">
          <cell r="F19671" t="str">
            <v xml:space="preserve">14471042       </v>
          </cell>
          <cell r="O19671">
            <v>150</v>
          </cell>
        </row>
        <row r="19672">
          <cell r="F19672" t="str">
            <v xml:space="preserve">14471042       </v>
          </cell>
          <cell r="O19672">
            <v>90</v>
          </cell>
        </row>
        <row r="19673">
          <cell r="F19673" t="str">
            <v xml:space="preserve">16479359       </v>
          </cell>
          <cell r="O19673">
            <v>180</v>
          </cell>
        </row>
        <row r="19674">
          <cell r="F19674" t="str">
            <v xml:space="preserve">16479359       </v>
          </cell>
          <cell r="O19674">
            <v>120</v>
          </cell>
        </row>
        <row r="19675">
          <cell r="F19675" t="str">
            <v xml:space="preserve">16479359       </v>
          </cell>
          <cell r="O19675">
            <v>90</v>
          </cell>
        </row>
        <row r="19676">
          <cell r="F19676" t="str">
            <v xml:space="preserve">16214926       </v>
          </cell>
          <cell r="O19676">
            <v>60</v>
          </cell>
        </row>
        <row r="19677">
          <cell r="F19677" t="str">
            <v xml:space="preserve">16214926       </v>
          </cell>
          <cell r="O19677">
            <v>90</v>
          </cell>
        </row>
        <row r="19678">
          <cell r="F19678" t="str">
            <v xml:space="preserve">29233836       </v>
          </cell>
          <cell r="O19678">
            <v>4.5</v>
          </cell>
        </row>
        <row r="19679">
          <cell r="F19679" t="str">
            <v xml:space="preserve">29233836       </v>
          </cell>
          <cell r="O19679">
            <v>300</v>
          </cell>
        </row>
        <row r="19680">
          <cell r="F19680" t="str">
            <v xml:space="preserve">10007888       </v>
          </cell>
          <cell r="O19680">
            <v>180</v>
          </cell>
        </row>
        <row r="19681">
          <cell r="F19681" t="str">
            <v xml:space="preserve">10007888       </v>
          </cell>
          <cell r="O19681">
            <v>36</v>
          </cell>
        </row>
        <row r="19682">
          <cell r="F19682" t="str">
            <v xml:space="preserve">1088256267     </v>
          </cell>
          <cell r="O19682">
            <v>180</v>
          </cell>
        </row>
        <row r="19683">
          <cell r="F19683" t="str">
            <v xml:space="preserve">1088256267     </v>
          </cell>
          <cell r="O19683">
            <v>180</v>
          </cell>
        </row>
        <row r="19684">
          <cell r="F19684" t="str">
            <v xml:space="preserve">1088256267     </v>
          </cell>
          <cell r="O19684">
            <v>72</v>
          </cell>
        </row>
        <row r="19685">
          <cell r="F19685" t="str">
            <v xml:space="preserve">66676270       </v>
          </cell>
          <cell r="O19685">
            <v>9</v>
          </cell>
        </row>
        <row r="19686">
          <cell r="F19686" t="str">
            <v xml:space="preserve">66676270       </v>
          </cell>
          <cell r="O19686">
            <v>180</v>
          </cell>
        </row>
        <row r="19687">
          <cell r="F19687" t="str">
            <v xml:space="preserve">66676270       </v>
          </cell>
          <cell r="O19687">
            <v>75</v>
          </cell>
        </row>
        <row r="19688">
          <cell r="F19688" t="str">
            <v xml:space="preserve">66676270       </v>
          </cell>
          <cell r="O19688">
            <v>90</v>
          </cell>
        </row>
        <row r="19689">
          <cell r="F19689" t="str">
            <v xml:space="preserve">94228120       </v>
          </cell>
          <cell r="O19689">
            <v>99</v>
          </cell>
        </row>
        <row r="19690">
          <cell r="F19690" t="str">
            <v xml:space="preserve">94228120       </v>
          </cell>
          <cell r="O19690">
            <v>75</v>
          </cell>
        </row>
        <row r="19691">
          <cell r="F19691" t="str">
            <v xml:space="preserve">94228120       </v>
          </cell>
          <cell r="O19691">
            <v>288</v>
          </cell>
        </row>
        <row r="19692">
          <cell r="F19692" t="str">
            <v xml:space="preserve">94228120       </v>
          </cell>
          <cell r="O19692">
            <v>9</v>
          </cell>
        </row>
        <row r="19693">
          <cell r="F19693" t="str">
            <v xml:space="preserve">94228120       </v>
          </cell>
          <cell r="O19693">
            <v>135</v>
          </cell>
        </row>
        <row r="19694">
          <cell r="F19694" t="str">
            <v xml:space="preserve">18531114       </v>
          </cell>
          <cell r="O19694">
            <v>1500</v>
          </cell>
        </row>
        <row r="19695">
          <cell r="F19695" t="str">
            <v xml:space="preserve">18531114       </v>
          </cell>
          <cell r="O19695">
            <v>540</v>
          </cell>
        </row>
        <row r="19696">
          <cell r="F19696" t="str">
            <v xml:space="preserve">18531114       </v>
          </cell>
          <cell r="O19696">
            <v>90</v>
          </cell>
        </row>
        <row r="19697">
          <cell r="F19697" t="str">
            <v xml:space="preserve">66679645       </v>
          </cell>
          <cell r="O19697">
            <v>45</v>
          </cell>
        </row>
        <row r="19698">
          <cell r="F19698" t="str">
            <v xml:space="preserve">66679645       </v>
          </cell>
          <cell r="O19698">
            <v>108</v>
          </cell>
        </row>
        <row r="19699">
          <cell r="F19699" t="str">
            <v xml:space="preserve">16225682       </v>
          </cell>
          <cell r="O19699">
            <v>1620</v>
          </cell>
        </row>
        <row r="19700">
          <cell r="F19700" t="str">
            <v xml:space="preserve">16225682       </v>
          </cell>
          <cell r="O19700">
            <v>216</v>
          </cell>
        </row>
        <row r="19701">
          <cell r="F19701" t="str">
            <v xml:space="preserve">10144092       </v>
          </cell>
          <cell r="O19701">
            <v>150</v>
          </cell>
        </row>
        <row r="19702">
          <cell r="F19702" t="str">
            <v xml:space="preserve">10144092       </v>
          </cell>
          <cell r="O19702">
            <v>54</v>
          </cell>
        </row>
        <row r="19703">
          <cell r="F19703" t="str">
            <v xml:space="preserve">10144092       </v>
          </cell>
          <cell r="O19703">
            <v>495</v>
          </cell>
        </row>
        <row r="19704">
          <cell r="F19704" t="str">
            <v xml:space="preserve">10144092       </v>
          </cell>
          <cell r="O19704">
            <v>522</v>
          </cell>
        </row>
        <row r="19705">
          <cell r="F19705" t="str">
            <v xml:space="preserve">16225675       </v>
          </cell>
          <cell r="O19705">
            <v>225</v>
          </cell>
        </row>
        <row r="19706">
          <cell r="F19706" t="str">
            <v xml:space="preserve">16225675       </v>
          </cell>
          <cell r="O19706">
            <v>126</v>
          </cell>
        </row>
        <row r="19707">
          <cell r="F19707" t="str">
            <v xml:space="preserve">16225675       </v>
          </cell>
          <cell r="O19707">
            <v>90</v>
          </cell>
        </row>
        <row r="19708">
          <cell r="F19708" t="str">
            <v xml:space="preserve">10303909       </v>
          </cell>
          <cell r="O19708">
            <v>45</v>
          </cell>
        </row>
        <row r="19709">
          <cell r="F19709" t="str">
            <v xml:space="preserve">901303668      </v>
          </cell>
          <cell r="O19709">
            <v>180</v>
          </cell>
        </row>
        <row r="19710">
          <cell r="F19710" t="str">
            <v xml:space="preserve">94373864       </v>
          </cell>
          <cell r="O19710">
            <v>900</v>
          </cell>
        </row>
        <row r="19711">
          <cell r="F19711" t="str">
            <v xml:space="preserve">76336108       </v>
          </cell>
          <cell r="O19711">
            <v>45</v>
          </cell>
        </row>
        <row r="19712">
          <cell r="F19712" t="str">
            <v xml:space="preserve">76336108       </v>
          </cell>
          <cell r="O19712">
            <v>414</v>
          </cell>
        </row>
        <row r="19713">
          <cell r="F19713" t="str">
            <v xml:space="preserve">76336108       </v>
          </cell>
          <cell r="O19713">
            <v>45</v>
          </cell>
        </row>
        <row r="19714">
          <cell r="F19714" t="str">
            <v xml:space="preserve">76323227       </v>
          </cell>
          <cell r="O19714">
            <v>1800</v>
          </cell>
        </row>
        <row r="19715">
          <cell r="F19715" t="str">
            <v xml:space="preserve">76323227       </v>
          </cell>
          <cell r="O19715">
            <v>1530</v>
          </cell>
        </row>
        <row r="19716">
          <cell r="F19716" t="str">
            <v xml:space="preserve">10532222       </v>
          </cell>
          <cell r="O19716">
            <v>15</v>
          </cell>
        </row>
        <row r="19717">
          <cell r="F19717" t="str">
            <v xml:space="preserve">10532222       </v>
          </cell>
          <cell r="O19717">
            <v>432</v>
          </cell>
        </row>
        <row r="19718">
          <cell r="F19718" t="str">
            <v xml:space="preserve">10532222       </v>
          </cell>
          <cell r="O19718">
            <v>45</v>
          </cell>
        </row>
        <row r="19719">
          <cell r="F19719" t="str">
            <v xml:space="preserve">12168724       </v>
          </cell>
          <cell r="O19719">
            <v>720</v>
          </cell>
        </row>
        <row r="19720">
          <cell r="F19720" t="str">
            <v xml:space="preserve">10755493       </v>
          </cell>
          <cell r="O19720">
            <v>1800</v>
          </cell>
        </row>
        <row r="19721">
          <cell r="F19721" t="str">
            <v xml:space="preserve">10292388       </v>
          </cell>
          <cell r="O19721">
            <v>576</v>
          </cell>
        </row>
        <row r="19722">
          <cell r="F19722" t="str">
            <v xml:space="preserve">10292388       </v>
          </cell>
          <cell r="O19722">
            <v>900</v>
          </cell>
        </row>
        <row r="19723">
          <cell r="F19723" t="str">
            <v xml:space="preserve">10292388       </v>
          </cell>
          <cell r="O19723">
            <v>90</v>
          </cell>
        </row>
        <row r="19724">
          <cell r="F19724" t="str">
            <v xml:space="preserve">76331539       </v>
          </cell>
          <cell r="O19724">
            <v>15</v>
          </cell>
        </row>
        <row r="19725">
          <cell r="F19725" t="str">
            <v xml:space="preserve">76331539       </v>
          </cell>
          <cell r="O19725">
            <v>1224</v>
          </cell>
        </row>
        <row r="19726">
          <cell r="F19726" t="str">
            <v xml:space="preserve">76331539       </v>
          </cell>
          <cell r="O19726">
            <v>90</v>
          </cell>
        </row>
        <row r="19727">
          <cell r="F19727" t="str">
            <v xml:space="preserve">9900047        </v>
          </cell>
          <cell r="O19727">
            <v>60</v>
          </cell>
        </row>
        <row r="19728">
          <cell r="F19728" t="str">
            <v xml:space="preserve">9900047        </v>
          </cell>
          <cell r="O19728">
            <v>36</v>
          </cell>
        </row>
        <row r="19729">
          <cell r="F19729" t="str">
            <v xml:space="preserve">4613715        </v>
          </cell>
          <cell r="O19729">
            <v>36</v>
          </cell>
        </row>
        <row r="19730">
          <cell r="F19730" t="str">
            <v xml:space="preserve">4613715        </v>
          </cell>
          <cell r="O19730">
            <v>360</v>
          </cell>
        </row>
        <row r="19731">
          <cell r="F19731" t="str">
            <v xml:space="preserve">4613715        </v>
          </cell>
          <cell r="O19731">
            <v>90</v>
          </cell>
        </row>
        <row r="19732">
          <cell r="F19732" t="str">
            <v xml:space="preserve">4613715        </v>
          </cell>
          <cell r="O19732">
            <v>288</v>
          </cell>
        </row>
        <row r="19733">
          <cell r="F19733" t="str">
            <v xml:space="preserve">9805400        </v>
          </cell>
          <cell r="O19733">
            <v>30</v>
          </cell>
        </row>
        <row r="19734">
          <cell r="F19734" t="str">
            <v xml:space="preserve">9805400        </v>
          </cell>
          <cell r="O19734">
            <v>162</v>
          </cell>
        </row>
        <row r="19735">
          <cell r="F19735" t="str">
            <v xml:space="preserve">6110295        </v>
          </cell>
          <cell r="O19735">
            <v>300</v>
          </cell>
        </row>
        <row r="19736">
          <cell r="F19736" t="str">
            <v xml:space="preserve">6110295        </v>
          </cell>
          <cell r="O19736">
            <v>216</v>
          </cell>
        </row>
        <row r="19737">
          <cell r="F19737" t="str">
            <v xml:space="preserve">6110295        </v>
          </cell>
          <cell r="O19737">
            <v>90</v>
          </cell>
        </row>
        <row r="19738">
          <cell r="F19738" t="str">
            <v xml:space="preserve">805005148      </v>
          </cell>
          <cell r="O19738">
            <v>4.5</v>
          </cell>
        </row>
        <row r="19739">
          <cell r="F19739" t="str">
            <v xml:space="preserve">805005148      </v>
          </cell>
          <cell r="O19739">
            <v>75</v>
          </cell>
        </row>
        <row r="19740">
          <cell r="F19740" t="str">
            <v xml:space="preserve">805005148      </v>
          </cell>
          <cell r="O19740">
            <v>90</v>
          </cell>
        </row>
        <row r="19741">
          <cell r="F19741" t="str">
            <v xml:space="preserve">805005148      </v>
          </cell>
          <cell r="O19741">
            <v>108</v>
          </cell>
        </row>
        <row r="19742">
          <cell r="F19742" t="str">
            <v xml:space="preserve">805005148      </v>
          </cell>
          <cell r="O19742">
            <v>774</v>
          </cell>
        </row>
        <row r="19743">
          <cell r="F19743" t="str">
            <v xml:space="preserve">805005148      </v>
          </cell>
          <cell r="O19743">
            <v>1746</v>
          </cell>
        </row>
        <row r="19744">
          <cell r="F19744" t="str">
            <v xml:space="preserve">805005148      </v>
          </cell>
          <cell r="O19744">
            <v>270</v>
          </cell>
        </row>
        <row r="19745">
          <cell r="F19745" t="str">
            <v xml:space="preserve">805005148      </v>
          </cell>
          <cell r="O19745">
            <v>1080</v>
          </cell>
        </row>
        <row r="19746">
          <cell r="F19746" t="str">
            <v xml:space="preserve">805005148      </v>
          </cell>
          <cell r="O19746">
            <v>90</v>
          </cell>
        </row>
        <row r="19747">
          <cell r="F19747" t="str">
            <v xml:space="preserve">10488839       </v>
          </cell>
          <cell r="O19747">
            <v>828</v>
          </cell>
        </row>
        <row r="19748">
          <cell r="F19748" t="str">
            <v xml:space="preserve">10488839       </v>
          </cell>
          <cell r="O19748">
            <v>4.5</v>
          </cell>
        </row>
        <row r="19749">
          <cell r="F19749" t="str">
            <v xml:space="preserve">10488839       </v>
          </cell>
          <cell r="O19749">
            <v>900</v>
          </cell>
        </row>
        <row r="19750">
          <cell r="F19750" t="str">
            <v xml:space="preserve">10488839       </v>
          </cell>
          <cell r="O19750">
            <v>45</v>
          </cell>
        </row>
        <row r="19751">
          <cell r="F19751" t="str">
            <v xml:space="preserve">10488839       </v>
          </cell>
          <cell r="O19751">
            <v>900</v>
          </cell>
        </row>
        <row r="19752">
          <cell r="F19752" t="str">
            <v xml:space="preserve">10488839       </v>
          </cell>
          <cell r="O19752">
            <v>846</v>
          </cell>
        </row>
        <row r="19753">
          <cell r="F19753" t="str">
            <v xml:space="preserve">900034686      </v>
          </cell>
          <cell r="O19753">
            <v>75</v>
          </cell>
        </row>
        <row r="19754">
          <cell r="F19754" t="str">
            <v xml:space="preserve">900034686      </v>
          </cell>
          <cell r="O19754">
            <v>45</v>
          </cell>
        </row>
        <row r="19755">
          <cell r="F19755" t="str">
            <v xml:space="preserve">10484782       </v>
          </cell>
          <cell r="O19755">
            <v>2736</v>
          </cell>
        </row>
        <row r="19756">
          <cell r="F19756" t="str">
            <v xml:space="preserve">16849293       </v>
          </cell>
          <cell r="O19756">
            <v>252</v>
          </cell>
        </row>
        <row r="19757">
          <cell r="F19757" t="str">
            <v xml:space="preserve">16849293       </v>
          </cell>
          <cell r="O19757">
            <v>90</v>
          </cell>
        </row>
        <row r="19758">
          <cell r="F19758" t="str">
            <v xml:space="preserve">16849293       </v>
          </cell>
          <cell r="O19758">
            <v>54</v>
          </cell>
        </row>
        <row r="19759">
          <cell r="F19759" t="str">
            <v xml:space="preserve">16849293       </v>
          </cell>
          <cell r="O19759">
            <v>234</v>
          </cell>
        </row>
        <row r="19760">
          <cell r="F19760" t="str">
            <v xml:space="preserve">10555516       </v>
          </cell>
          <cell r="O19760">
            <v>45</v>
          </cell>
        </row>
        <row r="19761">
          <cell r="F19761" t="str">
            <v xml:space="preserve">10555516       </v>
          </cell>
          <cell r="O19761">
            <v>180</v>
          </cell>
        </row>
        <row r="19762">
          <cell r="F19762" t="str">
            <v xml:space="preserve">10555516       </v>
          </cell>
          <cell r="O19762">
            <v>90</v>
          </cell>
        </row>
        <row r="19763">
          <cell r="F19763" t="str">
            <v xml:space="preserve">900444531      </v>
          </cell>
          <cell r="O19763">
            <v>144</v>
          </cell>
        </row>
        <row r="19764">
          <cell r="F19764" t="str">
            <v xml:space="preserve">14229215       </v>
          </cell>
          <cell r="O19764">
            <v>900</v>
          </cell>
        </row>
        <row r="19765">
          <cell r="F19765" t="str">
            <v xml:space="preserve">14229215       </v>
          </cell>
          <cell r="O19765">
            <v>135</v>
          </cell>
        </row>
        <row r="19766">
          <cell r="F19766" t="str">
            <v xml:space="preserve">14229215       </v>
          </cell>
          <cell r="O19766">
            <v>540</v>
          </cell>
        </row>
        <row r="19767">
          <cell r="F19767" t="str">
            <v xml:space="preserve">79736632       </v>
          </cell>
          <cell r="O19767">
            <v>54</v>
          </cell>
        </row>
        <row r="19768">
          <cell r="F19768" t="str">
            <v xml:space="preserve">79736632       </v>
          </cell>
          <cell r="O19768">
            <v>495</v>
          </cell>
        </row>
        <row r="19769">
          <cell r="F19769" t="str">
            <v xml:space="preserve">13701412       </v>
          </cell>
          <cell r="O19769">
            <v>180</v>
          </cell>
        </row>
        <row r="19770">
          <cell r="F19770" t="str">
            <v xml:space="preserve">13701412       </v>
          </cell>
          <cell r="O19770">
            <v>45</v>
          </cell>
        </row>
        <row r="19771">
          <cell r="F19771" t="str">
            <v xml:space="preserve">79448203       </v>
          </cell>
          <cell r="O19771">
            <v>1260</v>
          </cell>
        </row>
        <row r="19772">
          <cell r="F19772" t="str">
            <v xml:space="preserve">79448203       </v>
          </cell>
          <cell r="O19772">
            <v>360</v>
          </cell>
        </row>
        <row r="19773">
          <cell r="F19773" t="str">
            <v xml:space="preserve">79448203       </v>
          </cell>
          <cell r="O19773">
            <v>90</v>
          </cell>
        </row>
        <row r="19774">
          <cell r="F19774" t="str">
            <v xml:space="preserve">79263601       </v>
          </cell>
          <cell r="O19774">
            <v>630</v>
          </cell>
        </row>
        <row r="19775">
          <cell r="F19775" t="str">
            <v xml:space="preserve">79263601       </v>
          </cell>
          <cell r="O19775">
            <v>135</v>
          </cell>
        </row>
        <row r="19776">
          <cell r="F19776" t="str">
            <v xml:space="preserve">79263601       </v>
          </cell>
          <cell r="O19776">
            <v>1800</v>
          </cell>
        </row>
        <row r="19777">
          <cell r="F19777" t="str">
            <v xml:space="preserve">26050336       </v>
          </cell>
          <cell r="O19777">
            <v>45</v>
          </cell>
        </row>
        <row r="19778">
          <cell r="F19778" t="str">
            <v xml:space="preserve">26050336       </v>
          </cell>
          <cell r="O19778">
            <v>72</v>
          </cell>
        </row>
        <row r="19779">
          <cell r="F19779" t="str">
            <v xml:space="preserve">26050336       </v>
          </cell>
          <cell r="O19779">
            <v>15</v>
          </cell>
        </row>
        <row r="19780">
          <cell r="F19780" t="str">
            <v xml:space="preserve">26050336       </v>
          </cell>
          <cell r="O19780">
            <v>90</v>
          </cell>
        </row>
        <row r="19781">
          <cell r="F19781" t="str">
            <v xml:space="preserve">26050336       </v>
          </cell>
          <cell r="O19781">
            <v>225</v>
          </cell>
        </row>
        <row r="19782">
          <cell r="F19782" t="str">
            <v xml:space="preserve">901139743      </v>
          </cell>
          <cell r="O19782">
            <v>90</v>
          </cell>
        </row>
        <row r="19783">
          <cell r="F19783" t="str">
            <v xml:space="preserve">901139743      </v>
          </cell>
          <cell r="O19783">
            <v>0</v>
          </cell>
        </row>
        <row r="19784">
          <cell r="F19784" t="str">
            <v xml:space="preserve">7163709        </v>
          </cell>
          <cell r="O19784">
            <v>150</v>
          </cell>
        </row>
        <row r="19785">
          <cell r="F19785" t="str">
            <v xml:space="preserve">7163709        </v>
          </cell>
          <cell r="O19785">
            <v>720</v>
          </cell>
        </row>
        <row r="19786">
          <cell r="F19786" t="str">
            <v xml:space="preserve">7163709        </v>
          </cell>
          <cell r="O19786">
            <v>270</v>
          </cell>
        </row>
        <row r="19787">
          <cell r="F19787" t="str">
            <v xml:space="preserve">7163709        </v>
          </cell>
          <cell r="O19787">
            <v>360</v>
          </cell>
        </row>
        <row r="19788">
          <cell r="F19788" t="str">
            <v xml:space="preserve">7163709        </v>
          </cell>
          <cell r="O19788">
            <v>180</v>
          </cell>
        </row>
        <row r="19789">
          <cell r="F19789" t="str">
            <v xml:space="preserve">7163709        </v>
          </cell>
          <cell r="O19789">
            <v>150</v>
          </cell>
        </row>
        <row r="19790">
          <cell r="F19790" t="str">
            <v xml:space="preserve">7163709        </v>
          </cell>
          <cell r="O19790">
            <v>720</v>
          </cell>
        </row>
        <row r="19791">
          <cell r="F19791" t="str">
            <v xml:space="preserve">80397293       </v>
          </cell>
          <cell r="O19791">
            <v>180</v>
          </cell>
        </row>
        <row r="19792">
          <cell r="F19792" t="str">
            <v xml:space="preserve">80397293       </v>
          </cell>
          <cell r="O19792">
            <v>150</v>
          </cell>
        </row>
        <row r="19793">
          <cell r="F19793" t="str">
            <v xml:space="preserve">80397293       </v>
          </cell>
          <cell r="O19793">
            <v>225</v>
          </cell>
        </row>
        <row r="19794">
          <cell r="F19794" t="str">
            <v xml:space="preserve">80397293       </v>
          </cell>
          <cell r="O19794">
            <v>270</v>
          </cell>
        </row>
        <row r="19795">
          <cell r="F19795" t="str">
            <v xml:space="preserve">80397293       </v>
          </cell>
          <cell r="O19795">
            <v>135</v>
          </cell>
        </row>
        <row r="19796">
          <cell r="F19796" t="str">
            <v xml:space="preserve">93152963       </v>
          </cell>
          <cell r="O19796">
            <v>252</v>
          </cell>
        </row>
        <row r="19797">
          <cell r="F19797" t="str">
            <v xml:space="preserve">93152963       </v>
          </cell>
          <cell r="O19797">
            <v>180</v>
          </cell>
        </row>
        <row r="19798">
          <cell r="F19798" t="str">
            <v xml:space="preserve">93152963       </v>
          </cell>
          <cell r="O19798">
            <v>1950</v>
          </cell>
        </row>
        <row r="19799">
          <cell r="F19799" t="str">
            <v xml:space="preserve">93152963       </v>
          </cell>
          <cell r="O19799">
            <v>1440</v>
          </cell>
        </row>
        <row r="19800">
          <cell r="F19800" t="str">
            <v xml:space="preserve">93152963       </v>
          </cell>
          <cell r="O19800">
            <v>540</v>
          </cell>
        </row>
        <row r="19801">
          <cell r="F19801" t="str">
            <v xml:space="preserve">93152963       </v>
          </cell>
          <cell r="O19801">
            <v>1050</v>
          </cell>
        </row>
        <row r="19802">
          <cell r="F19802" t="str">
            <v xml:space="preserve">93152963       </v>
          </cell>
          <cell r="O19802">
            <v>900</v>
          </cell>
        </row>
        <row r="19803">
          <cell r="F19803" t="str">
            <v xml:space="preserve">93152963       </v>
          </cell>
          <cell r="O19803">
            <v>450</v>
          </cell>
        </row>
        <row r="19804">
          <cell r="F19804" t="str">
            <v xml:space="preserve">93152963       </v>
          </cell>
          <cell r="O19804">
            <v>75</v>
          </cell>
        </row>
        <row r="19805">
          <cell r="F19805" t="str">
            <v xml:space="preserve">93152963       </v>
          </cell>
          <cell r="O19805">
            <v>108</v>
          </cell>
        </row>
        <row r="19806">
          <cell r="F19806" t="str">
            <v xml:space="preserve">830016868      </v>
          </cell>
          <cell r="O19806">
            <v>45</v>
          </cell>
        </row>
        <row r="19807">
          <cell r="F19807" t="str">
            <v xml:space="preserve">91360601       </v>
          </cell>
          <cell r="O19807">
            <v>30</v>
          </cell>
        </row>
        <row r="19808">
          <cell r="F19808" t="str">
            <v xml:space="preserve">91360601       </v>
          </cell>
          <cell r="O19808">
            <v>1314</v>
          </cell>
        </row>
        <row r="19809">
          <cell r="F19809" t="str">
            <v xml:space="preserve">91360601       </v>
          </cell>
          <cell r="O19809">
            <v>1125</v>
          </cell>
        </row>
        <row r="19810">
          <cell r="F19810" t="str">
            <v xml:space="preserve">82394480       </v>
          </cell>
          <cell r="O19810">
            <v>30</v>
          </cell>
        </row>
        <row r="19811">
          <cell r="F19811" t="str">
            <v xml:space="preserve">82394480       </v>
          </cell>
          <cell r="O19811">
            <v>324</v>
          </cell>
        </row>
        <row r="19812">
          <cell r="F19812" t="str">
            <v xml:space="preserve">82394480       </v>
          </cell>
          <cell r="O19812">
            <v>270</v>
          </cell>
        </row>
        <row r="19813">
          <cell r="F19813" t="str">
            <v xml:space="preserve">79824837       </v>
          </cell>
          <cell r="O19813">
            <v>360</v>
          </cell>
        </row>
        <row r="19814">
          <cell r="F19814" t="str">
            <v xml:space="preserve">79824837       </v>
          </cell>
          <cell r="O19814">
            <v>225</v>
          </cell>
        </row>
        <row r="19815">
          <cell r="F19815" t="str">
            <v xml:space="preserve">79824837       </v>
          </cell>
          <cell r="O19815">
            <v>2502</v>
          </cell>
        </row>
        <row r="19816">
          <cell r="F19816" t="str">
            <v xml:space="preserve">79824837       </v>
          </cell>
          <cell r="O19816">
            <v>450</v>
          </cell>
        </row>
        <row r="19817">
          <cell r="F19817" t="str">
            <v xml:space="preserve">79824837       </v>
          </cell>
          <cell r="O19817">
            <v>675</v>
          </cell>
        </row>
        <row r="19818">
          <cell r="F19818" t="str">
            <v xml:space="preserve">79824837       </v>
          </cell>
          <cell r="O19818">
            <v>1035</v>
          </cell>
        </row>
        <row r="19819">
          <cell r="F19819" t="str">
            <v xml:space="preserve">811037915      </v>
          </cell>
          <cell r="O19819">
            <v>18</v>
          </cell>
        </row>
        <row r="19820">
          <cell r="F19820" t="str">
            <v xml:space="preserve">1074130475     </v>
          </cell>
          <cell r="O19820">
            <v>846</v>
          </cell>
        </row>
        <row r="19821">
          <cell r="F19821" t="str">
            <v xml:space="preserve">1074130475     </v>
          </cell>
          <cell r="O19821">
            <v>450</v>
          </cell>
        </row>
        <row r="19822">
          <cell r="F19822" t="str">
            <v xml:space="preserve">1074130475     </v>
          </cell>
          <cell r="O19822">
            <v>54</v>
          </cell>
        </row>
        <row r="19823">
          <cell r="F19823" t="str">
            <v xml:space="preserve">3273085        </v>
          </cell>
          <cell r="O19823">
            <v>1260</v>
          </cell>
        </row>
        <row r="19824">
          <cell r="F19824" t="str">
            <v xml:space="preserve">3273085        </v>
          </cell>
          <cell r="O19824">
            <v>450</v>
          </cell>
        </row>
        <row r="19825">
          <cell r="F19825" t="str">
            <v xml:space="preserve">900459366      </v>
          </cell>
          <cell r="O19825">
            <v>15</v>
          </cell>
        </row>
        <row r="19826">
          <cell r="F19826" t="str">
            <v xml:space="preserve">900459366      </v>
          </cell>
          <cell r="O19826">
            <v>342</v>
          </cell>
        </row>
        <row r="19827">
          <cell r="F19827" t="str">
            <v xml:space="preserve">900459366      </v>
          </cell>
          <cell r="O19827">
            <v>4.5</v>
          </cell>
        </row>
        <row r="19828">
          <cell r="F19828" t="str">
            <v xml:space="preserve">900459366      </v>
          </cell>
          <cell r="O19828">
            <v>27</v>
          </cell>
        </row>
        <row r="19829">
          <cell r="F19829" t="str">
            <v xml:space="preserve">900459366      </v>
          </cell>
          <cell r="O19829">
            <v>30</v>
          </cell>
        </row>
        <row r="19830">
          <cell r="F19830" t="str">
            <v xml:space="preserve">900459366      </v>
          </cell>
          <cell r="O19830">
            <v>1278</v>
          </cell>
        </row>
        <row r="19831">
          <cell r="F19831" t="str">
            <v xml:space="preserve">900459366      </v>
          </cell>
          <cell r="O19831">
            <v>360</v>
          </cell>
        </row>
        <row r="19832">
          <cell r="F19832" t="str">
            <v xml:space="preserve">22087503       </v>
          </cell>
          <cell r="O19832">
            <v>36</v>
          </cell>
        </row>
        <row r="19833">
          <cell r="F19833" t="str">
            <v xml:space="preserve">22087503       </v>
          </cell>
          <cell r="O19833">
            <v>495</v>
          </cell>
        </row>
        <row r="19834">
          <cell r="F19834" t="str">
            <v xml:space="preserve">71747063       </v>
          </cell>
          <cell r="O19834">
            <v>315</v>
          </cell>
        </row>
        <row r="19835">
          <cell r="F19835" t="str">
            <v xml:space="preserve">71747063       </v>
          </cell>
          <cell r="O19835">
            <v>4.5</v>
          </cell>
        </row>
        <row r="19836">
          <cell r="F19836" t="str">
            <v xml:space="preserve">71747063       </v>
          </cell>
          <cell r="O19836">
            <v>18</v>
          </cell>
        </row>
        <row r="19837">
          <cell r="F19837" t="str">
            <v xml:space="preserve">71747063       </v>
          </cell>
          <cell r="O19837">
            <v>15</v>
          </cell>
        </row>
        <row r="19838">
          <cell r="F19838" t="str">
            <v xml:space="preserve">71747063       </v>
          </cell>
          <cell r="O19838">
            <v>1440</v>
          </cell>
        </row>
        <row r="19839">
          <cell r="F19839" t="str">
            <v xml:space="preserve">71747063       </v>
          </cell>
          <cell r="O19839">
            <v>225</v>
          </cell>
        </row>
        <row r="19840">
          <cell r="F19840" t="str">
            <v xml:space="preserve">71747063       </v>
          </cell>
          <cell r="O19840">
            <v>324</v>
          </cell>
        </row>
        <row r="19841">
          <cell r="F19841" t="str">
            <v xml:space="preserve">71747063       </v>
          </cell>
          <cell r="O19841">
            <v>504</v>
          </cell>
        </row>
        <row r="19842">
          <cell r="F19842" t="str">
            <v xml:space="preserve">71312536       </v>
          </cell>
          <cell r="O19842">
            <v>18</v>
          </cell>
        </row>
        <row r="19843">
          <cell r="F19843" t="str">
            <v xml:space="preserve">71312536       </v>
          </cell>
          <cell r="O19843">
            <v>15</v>
          </cell>
        </row>
        <row r="19844">
          <cell r="F19844" t="str">
            <v xml:space="preserve">71312536       </v>
          </cell>
          <cell r="O19844">
            <v>810</v>
          </cell>
        </row>
        <row r="19845">
          <cell r="F19845" t="str">
            <v xml:space="preserve">71312536       </v>
          </cell>
          <cell r="O19845">
            <v>135</v>
          </cell>
        </row>
        <row r="19846">
          <cell r="F19846" t="str">
            <v xml:space="preserve">71312536       </v>
          </cell>
          <cell r="O19846">
            <v>360</v>
          </cell>
        </row>
        <row r="19847">
          <cell r="F19847" t="str">
            <v xml:space="preserve">71215358       </v>
          </cell>
          <cell r="O19847">
            <v>63</v>
          </cell>
        </row>
        <row r="19848">
          <cell r="F19848" t="str">
            <v xml:space="preserve">71215358       </v>
          </cell>
          <cell r="O19848">
            <v>135</v>
          </cell>
        </row>
        <row r="19849">
          <cell r="F19849" t="str">
            <v xml:space="preserve">71215358       </v>
          </cell>
          <cell r="O19849">
            <v>324</v>
          </cell>
        </row>
        <row r="19850">
          <cell r="F19850" t="str">
            <v xml:space="preserve">71215358       </v>
          </cell>
          <cell r="O19850">
            <v>270</v>
          </cell>
        </row>
        <row r="19851">
          <cell r="F19851" t="str">
            <v xml:space="preserve">71215358       </v>
          </cell>
          <cell r="O19851">
            <v>9</v>
          </cell>
        </row>
        <row r="19852">
          <cell r="F19852" t="str">
            <v xml:space="preserve">71215358       </v>
          </cell>
          <cell r="O19852">
            <v>30</v>
          </cell>
        </row>
        <row r="19853">
          <cell r="F19853" t="str">
            <v xml:space="preserve">71215358       </v>
          </cell>
          <cell r="O19853">
            <v>270</v>
          </cell>
        </row>
        <row r="19854">
          <cell r="F19854" t="str">
            <v xml:space="preserve">71215358       </v>
          </cell>
          <cell r="O19854">
            <v>270</v>
          </cell>
        </row>
        <row r="19855">
          <cell r="F19855" t="str">
            <v xml:space="preserve">71215358       </v>
          </cell>
          <cell r="O19855">
            <v>360</v>
          </cell>
        </row>
        <row r="19856">
          <cell r="F19856" t="str">
            <v xml:space="preserve">71215358       </v>
          </cell>
          <cell r="O19856">
            <v>360</v>
          </cell>
        </row>
        <row r="19857">
          <cell r="F19857" t="str">
            <v xml:space="preserve">71053866       </v>
          </cell>
          <cell r="O19857">
            <v>300</v>
          </cell>
        </row>
        <row r="19858">
          <cell r="F19858" t="str">
            <v xml:space="preserve">71053866       </v>
          </cell>
          <cell r="O19858">
            <v>1800</v>
          </cell>
        </row>
        <row r="19859">
          <cell r="F19859" t="str">
            <v xml:space="preserve">71053866       </v>
          </cell>
          <cell r="O19859">
            <v>150</v>
          </cell>
        </row>
        <row r="19860">
          <cell r="F19860" t="str">
            <v xml:space="preserve">71053866       </v>
          </cell>
          <cell r="O19860">
            <v>1746</v>
          </cell>
        </row>
        <row r="19861">
          <cell r="F19861" t="str">
            <v xml:space="preserve">91179385       </v>
          </cell>
          <cell r="O19861">
            <v>15</v>
          </cell>
        </row>
        <row r="19862">
          <cell r="F19862" t="str">
            <v xml:space="preserve">91179385       </v>
          </cell>
          <cell r="O19862">
            <v>738</v>
          </cell>
        </row>
        <row r="19863">
          <cell r="F19863" t="str">
            <v xml:space="preserve">91179385       </v>
          </cell>
          <cell r="O19863">
            <v>360</v>
          </cell>
        </row>
        <row r="19864">
          <cell r="F19864" t="str">
            <v xml:space="preserve">91179385       </v>
          </cell>
          <cell r="O19864">
            <v>15</v>
          </cell>
        </row>
        <row r="19865">
          <cell r="F19865" t="str">
            <v xml:space="preserve">91179385       </v>
          </cell>
          <cell r="O19865">
            <v>216</v>
          </cell>
        </row>
        <row r="19866">
          <cell r="F19866" t="str">
            <v xml:space="preserve">91179385       </v>
          </cell>
          <cell r="O19866">
            <v>180</v>
          </cell>
        </row>
        <row r="19867">
          <cell r="F19867" t="str">
            <v xml:space="preserve">88275004       </v>
          </cell>
          <cell r="O19867">
            <v>1950</v>
          </cell>
        </row>
        <row r="19868">
          <cell r="F19868" t="str">
            <v xml:space="preserve">88157654       </v>
          </cell>
          <cell r="O19868">
            <v>600</v>
          </cell>
        </row>
        <row r="19869">
          <cell r="F19869" t="str">
            <v xml:space="preserve">88157654       </v>
          </cell>
          <cell r="O19869">
            <v>360</v>
          </cell>
        </row>
        <row r="19870">
          <cell r="F19870" t="str">
            <v xml:space="preserve">88158577       </v>
          </cell>
          <cell r="O19870">
            <v>600</v>
          </cell>
        </row>
        <row r="19871">
          <cell r="F19871" t="str">
            <v xml:space="preserve">88158577       </v>
          </cell>
          <cell r="O19871">
            <v>900</v>
          </cell>
        </row>
        <row r="19872">
          <cell r="F19872" t="str">
            <v xml:space="preserve">88158577       </v>
          </cell>
          <cell r="O19872">
            <v>540</v>
          </cell>
        </row>
        <row r="19873">
          <cell r="F19873" t="str">
            <v xml:space="preserve">79384689       </v>
          </cell>
          <cell r="O19873">
            <v>120</v>
          </cell>
        </row>
        <row r="19874">
          <cell r="F19874" t="str">
            <v xml:space="preserve">88288258       </v>
          </cell>
          <cell r="O19874">
            <v>60</v>
          </cell>
        </row>
        <row r="19875">
          <cell r="F19875" t="str">
            <v xml:space="preserve">13494934       </v>
          </cell>
          <cell r="O19875">
            <v>90</v>
          </cell>
        </row>
        <row r="19876">
          <cell r="F19876" t="str">
            <v xml:space="preserve">13494934       </v>
          </cell>
          <cell r="O19876">
            <v>36</v>
          </cell>
        </row>
        <row r="19877">
          <cell r="F19877" t="str">
            <v xml:space="preserve">13494934       </v>
          </cell>
          <cell r="O19877">
            <v>45</v>
          </cell>
        </row>
        <row r="19878">
          <cell r="F19878" t="str">
            <v xml:space="preserve">13494934       </v>
          </cell>
          <cell r="O19878">
            <v>240</v>
          </cell>
        </row>
        <row r="19879">
          <cell r="F19879" t="str">
            <v xml:space="preserve">13494934       </v>
          </cell>
          <cell r="O19879">
            <v>216</v>
          </cell>
        </row>
        <row r="19880">
          <cell r="F19880" t="str">
            <v xml:space="preserve">13494934       </v>
          </cell>
          <cell r="O19880">
            <v>270</v>
          </cell>
        </row>
        <row r="19881">
          <cell r="F19881" t="str">
            <v xml:space="preserve">13494934       </v>
          </cell>
          <cell r="O19881">
            <v>195</v>
          </cell>
        </row>
        <row r="19882">
          <cell r="F19882" t="str">
            <v xml:space="preserve">88188644       </v>
          </cell>
          <cell r="O19882">
            <v>435</v>
          </cell>
        </row>
        <row r="19883">
          <cell r="F19883" t="str">
            <v xml:space="preserve">88188644       </v>
          </cell>
          <cell r="O19883">
            <v>1080</v>
          </cell>
        </row>
        <row r="19884">
          <cell r="F19884" t="str">
            <v xml:space="preserve">1117502076     </v>
          </cell>
          <cell r="O19884">
            <v>216</v>
          </cell>
        </row>
        <row r="19885">
          <cell r="F19885" t="str">
            <v xml:space="preserve">1117502076     </v>
          </cell>
          <cell r="O19885">
            <v>72</v>
          </cell>
        </row>
        <row r="19886">
          <cell r="F19886" t="str">
            <v xml:space="preserve">1117502076     </v>
          </cell>
          <cell r="O19886">
            <v>45</v>
          </cell>
        </row>
        <row r="19887">
          <cell r="F19887" t="str">
            <v xml:space="preserve">1117502076     </v>
          </cell>
          <cell r="O19887">
            <v>45</v>
          </cell>
        </row>
        <row r="19888">
          <cell r="F19888" t="str">
            <v xml:space="preserve">91451576       </v>
          </cell>
          <cell r="O19888">
            <v>135</v>
          </cell>
        </row>
        <row r="19889">
          <cell r="F19889" t="str">
            <v xml:space="preserve">91451576       </v>
          </cell>
          <cell r="O19889">
            <v>180</v>
          </cell>
        </row>
        <row r="19890">
          <cell r="F19890" t="str">
            <v xml:space="preserve">91266362       </v>
          </cell>
          <cell r="O19890">
            <v>378</v>
          </cell>
        </row>
        <row r="19891">
          <cell r="F19891" t="str">
            <v xml:space="preserve">91266362       </v>
          </cell>
          <cell r="O19891">
            <v>90</v>
          </cell>
        </row>
        <row r="19892">
          <cell r="F19892" t="str">
            <v xml:space="preserve">91179643       </v>
          </cell>
          <cell r="O19892">
            <v>45</v>
          </cell>
        </row>
        <row r="19893">
          <cell r="F19893" t="str">
            <v xml:space="preserve">91179643       </v>
          </cell>
          <cell r="O19893">
            <v>54</v>
          </cell>
        </row>
        <row r="19894">
          <cell r="F19894" t="str">
            <v xml:space="preserve">91178985       </v>
          </cell>
          <cell r="O19894">
            <v>1530</v>
          </cell>
        </row>
        <row r="19895">
          <cell r="F19895" t="str">
            <v xml:space="preserve">91178985       </v>
          </cell>
          <cell r="O19895">
            <v>1800</v>
          </cell>
        </row>
        <row r="19896">
          <cell r="F19896" t="str">
            <v xml:space="preserve">91136131       </v>
          </cell>
          <cell r="O19896">
            <v>2175</v>
          </cell>
        </row>
        <row r="19897">
          <cell r="F19897" t="str">
            <v xml:space="preserve">91136131       </v>
          </cell>
          <cell r="O19897">
            <v>540</v>
          </cell>
        </row>
        <row r="19898">
          <cell r="F19898" t="str">
            <v xml:space="preserve">91136131       </v>
          </cell>
          <cell r="O19898">
            <v>360</v>
          </cell>
        </row>
        <row r="19899">
          <cell r="F19899" t="str">
            <v xml:space="preserve">890503966      </v>
          </cell>
          <cell r="O19899">
            <v>3795</v>
          </cell>
        </row>
        <row r="19900">
          <cell r="F19900" t="str">
            <v xml:space="preserve">890503966      </v>
          </cell>
          <cell r="O19900">
            <v>360</v>
          </cell>
        </row>
        <row r="19901">
          <cell r="F19901" t="str">
            <v xml:space="preserve">890503966      </v>
          </cell>
          <cell r="O19901">
            <v>945</v>
          </cell>
        </row>
        <row r="19902">
          <cell r="F19902" t="str">
            <v xml:space="preserve">890503966      </v>
          </cell>
          <cell r="O19902">
            <v>3780</v>
          </cell>
        </row>
        <row r="19903">
          <cell r="F19903" t="str">
            <v xml:space="preserve">890503966      </v>
          </cell>
          <cell r="O19903">
            <v>360</v>
          </cell>
        </row>
        <row r="19904">
          <cell r="F19904" t="str">
            <v xml:space="preserve">890503966      </v>
          </cell>
          <cell r="O19904">
            <v>945</v>
          </cell>
        </row>
        <row r="19905">
          <cell r="F19905" t="str">
            <v xml:space="preserve">890503966      </v>
          </cell>
          <cell r="O19905">
            <v>3975</v>
          </cell>
        </row>
        <row r="19906">
          <cell r="F19906" t="str">
            <v xml:space="preserve">890503966      </v>
          </cell>
          <cell r="O19906">
            <v>180</v>
          </cell>
        </row>
        <row r="19907">
          <cell r="F19907" t="str">
            <v xml:space="preserve">890503966      </v>
          </cell>
          <cell r="O19907">
            <v>945</v>
          </cell>
        </row>
        <row r="19908">
          <cell r="F19908" t="str">
            <v xml:space="preserve">91222539       </v>
          </cell>
          <cell r="O19908">
            <v>330</v>
          </cell>
        </row>
        <row r="19909">
          <cell r="F19909" t="str">
            <v xml:space="preserve">91222539       </v>
          </cell>
          <cell r="O19909">
            <v>18</v>
          </cell>
        </row>
        <row r="19910">
          <cell r="F19910" t="str">
            <v xml:space="preserve">91222539       </v>
          </cell>
          <cell r="O19910">
            <v>45</v>
          </cell>
        </row>
        <row r="19911">
          <cell r="F19911" t="str">
            <v xml:space="preserve">91222539       </v>
          </cell>
          <cell r="O19911">
            <v>972</v>
          </cell>
        </row>
        <row r="19912">
          <cell r="F19912" t="str">
            <v xml:space="preserve">91222539       </v>
          </cell>
          <cell r="O19912">
            <v>450</v>
          </cell>
        </row>
        <row r="19913">
          <cell r="F19913" t="str">
            <v xml:space="preserve">91222539       </v>
          </cell>
          <cell r="O19913">
            <v>90</v>
          </cell>
        </row>
        <row r="19914">
          <cell r="F19914" t="str">
            <v xml:space="preserve">91222539       </v>
          </cell>
          <cell r="O19914">
            <v>108</v>
          </cell>
        </row>
        <row r="19915">
          <cell r="F19915" t="str">
            <v xml:space="preserve">13702886       </v>
          </cell>
          <cell r="O19915">
            <v>375</v>
          </cell>
        </row>
        <row r="19916">
          <cell r="F19916" t="str">
            <v xml:space="preserve">13702886       </v>
          </cell>
          <cell r="O19916">
            <v>54</v>
          </cell>
        </row>
        <row r="19917">
          <cell r="F19917" t="str">
            <v xml:space="preserve">13702886       </v>
          </cell>
          <cell r="O19917">
            <v>135</v>
          </cell>
        </row>
        <row r="19918">
          <cell r="F19918" t="str">
            <v xml:space="preserve">13702886       </v>
          </cell>
          <cell r="O19918">
            <v>975</v>
          </cell>
        </row>
        <row r="19919">
          <cell r="F19919" t="str">
            <v xml:space="preserve">13702886       </v>
          </cell>
          <cell r="O19919">
            <v>540</v>
          </cell>
        </row>
        <row r="19920">
          <cell r="F19920" t="str">
            <v xml:space="preserve">13702886       </v>
          </cell>
          <cell r="O19920">
            <v>495</v>
          </cell>
        </row>
        <row r="19921">
          <cell r="F19921" t="str">
            <v xml:space="preserve">13702886       </v>
          </cell>
          <cell r="O19921">
            <v>450</v>
          </cell>
        </row>
        <row r="19922">
          <cell r="F19922" t="str">
            <v xml:space="preserve">13702886       </v>
          </cell>
          <cell r="O19922">
            <v>180</v>
          </cell>
        </row>
        <row r="19923">
          <cell r="F19923" t="str">
            <v xml:space="preserve">13702886       </v>
          </cell>
          <cell r="O19923">
            <v>360</v>
          </cell>
        </row>
        <row r="19924">
          <cell r="F19924" t="str">
            <v xml:space="preserve">13702886       </v>
          </cell>
          <cell r="O19924">
            <v>360</v>
          </cell>
        </row>
        <row r="19925">
          <cell r="F19925" t="str">
            <v xml:space="preserve">91067422       </v>
          </cell>
          <cell r="O19925">
            <v>72</v>
          </cell>
        </row>
        <row r="19926">
          <cell r="F19926" t="str">
            <v xml:space="preserve">91067422       </v>
          </cell>
          <cell r="O19926">
            <v>360</v>
          </cell>
        </row>
        <row r="19927">
          <cell r="F19927" t="str">
            <v xml:space="preserve">91067422       </v>
          </cell>
          <cell r="O19927">
            <v>180</v>
          </cell>
        </row>
        <row r="19928">
          <cell r="F19928" t="str">
            <v xml:space="preserve">91067422       </v>
          </cell>
          <cell r="O19928">
            <v>225</v>
          </cell>
        </row>
        <row r="19929">
          <cell r="F19929" t="str">
            <v xml:space="preserve">91067422       </v>
          </cell>
          <cell r="O19929">
            <v>300</v>
          </cell>
        </row>
        <row r="19930">
          <cell r="F19930" t="str">
            <v xml:space="preserve">91067422       </v>
          </cell>
          <cell r="O19930">
            <v>36</v>
          </cell>
        </row>
        <row r="19931">
          <cell r="F19931" t="str">
            <v xml:space="preserve">91272730       </v>
          </cell>
          <cell r="O19931">
            <v>270</v>
          </cell>
        </row>
        <row r="19932">
          <cell r="F19932" t="str">
            <v xml:space="preserve">91272730       </v>
          </cell>
          <cell r="O19932">
            <v>126</v>
          </cell>
        </row>
        <row r="19933">
          <cell r="F19933" t="str">
            <v xml:space="preserve">91272730       </v>
          </cell>
          <cell r="O19933">
            <v>135</v>
          </cell>
        </row>
        <row r="19934">
          <cell r="F19934" t="str">
            <v xml:space="preserve">91272730       </v>
          </cell>
          <cell r="O19934">
            <v>135</v>
          </cell>
        </row>
        <row r="19935">
          <cell r="F19935" t="str">
            <v xml:space="preserve">13701254       </v>
          </cell>
          <cell r="O19935">
            <v>108</v>
          </cell>
        </row>
        <row r="19936">
          <cell r="F19936" t="str">
            <v xml:space="preserve">13701254       </v>
          </cell>
          <cell r="O19936">
            <v>225</v>
          </cell>
        </row>
        <row r="19937">
          <cell r="F19937" t="str">
            <v xml:space="preserve">13701254       </v>
          </cell>
          <cell r="O19937">
            <v>510</v>
          </cell>
        </row>
        <row r="19938">
          <cell r="F19938" t="str">
            <v xml:space="preserve">92543124       </v>
          </cell>
          <cell r="O19938">
            <v>1395</v>
          </cell>
        </row>
        <row r="19939">
          <cell r="F19939" t="str">
            <v xml:space="preserve">92543124       </v>
          </cell>
          <cell r="O19939">
            <v>165</v>
          </cell>
        </row>
        <row r="19940">
          <cell r="F19940" t="str">
            <v xml:space="preserve">92543124       </v>
          </cell>
          <cell r="O19940">
            <v>1200</v>
          </cell>
        </row>
        <row r="19941">
          <cell r="F19941" t="str">
            <v xml:space="preserve">26229305       </v>
          </cell>
          <cell r="O19941">
            <v>975</v>
          </cell>
        </row>
        <row r="19942">
          <cell r="F19942" t="str">
            <v xml:space="preserve">26229305       </v>
          </cell>
          <cell r="O19942">
            <v>180</v>
          </cell>
        </row>
        <row r="19943">
          <cell r="F19943" t="str">
            <v xml:space="preserve">78112896       </v>
          </cell>
          <cell r="O19943">
            <v>1440</v>
          </cell>
        </row>
        <row r="19944">
          <cell r="F19944" t="str">
            <v xml:space="preserve">78112896       </v>
          </cell>
          <cell r="O19944">
            <v>45</v>
          </cell>
        </row>
        <row r="19945">
          <cell r="F19945" t="str">
            <v xml:space="preserve">78112896       </v>
          </cell>
          <cell r="O19945">
            <v>18</v>
          </cell>
        </row>
        <row r="19946">
          <cell r="F19946" t="str">
            <v xml:space="preserve">78033625       </v>
          </cell>
          <cell r="O19946">
            <v>150</v>
          </cell>
        </row>
        <row r="19947">
          <cell r="F19947" t="str">
            <v xml:space="preserve">78033625       </v>
          </cell>
          <cell r="O19947">
            <v>1512</v>
          </cell>
        </row>
        <row r="19948">
          <cell r="F19948" t="str">
            <v xml:space="preserve">78033625       </v>
          </cell>
          <cell r="O19948">
            <v>1746</v>
          </cell>
        </row>
        <row r="19949">
          <cell r="F19949" t="str">
            <v xml:space="preserve">78033625       </v>
          </cell>
          <cell r="O19949">
            <v>45</v>
          </cell>
        </row>
        <row r="19950">
          <cell r="F19950" t="str">
            <v xml:space="preserve">901096204      </v>
          </cell>
          <cell r="O19950">
            <v>1080</v>
          </cell>
        </row>
        <row r="19951">
          <cell r="F19951" t="str">
            <v xml:space="preserve">73134768       </v>
          </cell>
          <cell r="O19951">
            <v>330</v>
          </cell>
        </row>
        <row r="19952">
          <cell r="F19952" t="str">
            <v xml:space="preserve">73134768       </v>
          </cell>
          <cell r="O19952">
            <v>432</v>
          </cell>
        </row>
        <row r="19953">
          <cell r="F19953" t="str">
            <v xml:space="preserve">85477397       </v>
          </cell>
          <cell r="O19953">
            <v>1200</v>
          </cell>
        </row>
        <row r="19954">
          <cell r="F19954" t="str">
            <v xml:space="preserve">85477397       </v>
          </cell>
          <cell r="O19954">
            <v>90</v>
          </cell>
        </row>
        <row r="19955">
          <cell r="F19955" t="str">
            <v xml:space="preserve">85477397       </v>
          </cell>
          <cell r="O19955">
            <v>450</v>
          </cell>
        </row>
        <row r="19956">
          <cell r="F19956" t="str">
            <v xml:space="preserve">85477397       </v>
          </cell>
          <cell r="O19956">
            <v>900</v>
          </cell>
        </row>
        <row r="19957">
          <cell r="F19957" t="str">
            <v xml:space="preserve">17842923       </v>
          </cell>
          <cell r="O19957">
            <v>3540</v>
          </cell>
        </row>
        <row r="19958">
          <cell r="F19958" t="str">
            <v xml:space="preserve">17842923       </v>
          </cell>
          <cell r="O19958">
            <v>1125</v>
          </cell>
        </row>
        <row r="19959">
          <cell r="F19959" t="str">
            <v xml:space="preserve">17842923       </v>
          </cell>
          <cell r="O19959">
            <v>450</v>
          </cell>
        </row>
        <row r="19960">
          <cell r="F19960" t="str">
            <v xml:space="preserve">18916872       </v>
          </cell>
          <cell r="O19960">
            <v>2280</v>
          </cell>
        </row>
        <row r="19961">
          <cell r="F19961" t="str">
            <v xml:space="preserve">18916872       </v>
          </cell>
          <cell r="O19961">
            <v>90</v>
          </cell>
        </row>
        <row r="19962">
          <cell r="F19962" t="str">
            <v xml:space="preserve">18916872       </v>
          </cell>
          <cell r="O19962">
            <v>135</v>
          </cell>
        </row>
        <row r="19963">
          <cell r="F19963" t="str">
            <v xml:space="preserve">91288772       </v>
          </cell>
          <cell r="O19963">
            <v>90</v>
          </cell>
        </row>
        <row r="19964">
          <cell r="F19964" t="str">
            <v xml:space="preserve">91288772       </v>
          </cell>
          <cell r="O19964">
            <v>1710</v>
          </cell>
        </row>
        <row r="19965">
          <cell r="F19965" t="str">
            <v xml:space="preserve">91288772       </v>
          </cell>
          <cell r="O19965">
            <v>900</v>
          </cell>
        </row>
        <row r="19966">
          <cell r="F19966" t="str">
            <v xml:space="preserve">77191750       </v>
          </cell>
          <cell r="O19966">
            <v>1764</v>
          </cell>
        </row>
        <row r="19967">
          <cell r="F19967" t="str">
            <v xml:space="preserve">91177584       </v>
          </cell>
          <cell r="O19967">
            <v>900</v>
          </cell>
        </row>
        <row r="19968">
          <cell r="F19968" t="str">
            <v xml:space="preserve">91177584       </v>
          </cell>
          <cell r="O19968">
            <v>1008</v>
          </cell>
        </row>
        <row r="19969">
          <cell r="F19969" t="str">
            <v xml:space="preserve">91177584       </v>
          </cell>
          <cell r="O19969">
            <v>900</v>
          </cell>
        </row>
        <row r="19970">
          <cell r="F19970" t="str">
            <v xml:space="preserve">91177584       </v>
          </cell>
          <cell r="O19970">
            <v>360</v>
          </cell>
        </row>
        <row r="19971">
          <cell r="F19971" t="str">
            <v xml:space="preserve">91177584       </v>
          </cell>
          <cell r="O19971">
            <v>2670</v>
          </cell>
        </row>
        <row r="19972">
          <cell r="F19972" t="str">
            <v xml:space="preserve">9262987        </v>
          </cell>
          <cell r="O19972">
            <v>126</v>
          </cell>
        </row>
        <row r="19973">
          <cell r="F19973" t="str">
            <v xml:space="preserve">72196317       </v>
          </cell>
          <cell r="O19973">
            <v>210</v>
          </cell>
        </row>
        <row r="19974">
          <cell r="F19974" t="str">
            <v xml:space="preserve">72196317       </v>
          </cell>
          <cell r="O19974">
            <v>54</v>
          </cell>
        </row>
        <row r="19975">
          <cell r="F19975" t="str">
            <v xml:space="preserve">72196317       </v>
          </cell>
          <cell r="O19975">
            <v>600</v>
          </cell>
        </row>
        <row r="19976">
          <cell r="F19976" t="str">
            <v xml:space="preserve">72196317       </v>
          </cell>
          <cell r="O19976">
            <v>72</v>
          </cell>
        </row>
        <row r="19977">
          <cell r="F19977" t="str">
            <v xml:space="preserve">72196317       </v>
          </cell>
          <cell r="O19977">
            <v>225</v>
          </cell>
        </row>
        <row r="19978">
          <cell r="F19978" t="str">
            <v xml:space="preserve">72196317       </v>
          </cell>
          <cell r="O19978">
            <v>432</v>
          </cell>
        </row>
        <row r="19979">
          <cell r="F19979" t="str">
            <v xml:space="preserve">72196317       </v>
          </cell>
          <cell r="O19979">
            <v>45</v>
          </cell>
        </row>
        <row r="19980">
          <cell r="F19980" t="str">
            <v xml:space="preserve">1047231108     </v>
          </cell>
          <cell r="O19980">
            <v>36</v>
          </cell>
        </row>
        <row r="19981">
          <cell r="F19981" t="str">
            <v xml:space="preserve">1047231108     </v>
          </cell>
          <cell r="O19981">
            <v>465</v>
          </cell>
        </row>
        <row r="19982">
          <cell r="F19982" t="str">
            <v xml:space="preserve">1047231108     </v>
          </cell>
          <cell r="O19982">
            <v>45</v>
          </cell>
        </row>
        <row r="19983">
          <cell r="F19983" t="str">
            <v xml:space="preserve">1047231108     </v>
          </cell>
          <cell r="O19983">
            <v>450</v>
          </cell>
        </row>
        <row r="19984">
          <cell r="F19984" t="str">
            <v xml:space="preserve">1047231108     </v>
          </cell>
          <cell r="O19984">
            <v>45</v>
          </cell>
        </row>
        <row r="19985">
          <cell r="F19985" t="str">
            <v xml:space="preserve">1047349327     </v>
          </cell>
          <cell r="O19985">
            <v>225</v>
          </cell>
        </row>
        <row r="19986">
          <cell r="F19986" t="str">
            <v xml:space="preserve">73079740       </v>
          </cell>
          <cell r="O19986">
            <v>30</v>
          </cell>
        </row>
        <row r="19987">
          <cell r="F19987" t="str">
            <v xml:space="preserve">73079740       </v>
          </cell>
          <cell r="O19987">
            <v>576</v>
          </cell>
        </row>
        <row r="19988">
          <cell r="F19988" t="str">
            <v xml:space="preserve">73079740       </v>
          </cell>
          <cell r="O19988">
            <v>30</v>
          </cell>
        </row>
        <row r="19989">
          <cell r="F19989" t="str">
            <v xml:space="preserve">73079740       </v>
          </cell>
          <cell r="O19989">
            <v>576</v>
          </cell>
        </row>
        <row r="19990">
          <cell r="F19990" t="str">
            <v xml:space="preserve">73079740       </v>
          </cell>
          <cell r="O19990">
            <v>45</v>
          </cell>
        </row>
        <row r="19991">
          <cell r="F19991" t="str">
            <v xml:space="preserve">15047548       </v>
          </cell>
          <cell r="O19991">
            <v>45</v>
          </cell>
        </row>
        <row r="19992">
          <cell r="F19992" t="str">
            <v xml:space="preserve">15047548       </v>
          </cell>
          <cell r="O19992">
            <v>144</v>
          </cell>
        </row>
        <row r="19993">
          <cell r="F19993" t="str">
            <v xml:space="preserve">18531333       </v>
          </cell>
          <cell r="O19993">
            <v>144</v>
          </cell>
        </row>
        <row r="19994">
          <cell r="F19994" t="str">
            <v xml:space="preserve">18531333       </v>
          </cell>
          <cell r="O19994">
            <v>4.5</v>
          </cell>
        </row>
        <row r="19995">
          <cell r="F19995" t="str">
            <v xml:space="preserve">18531333       </v>
          </cell>
          <cell r="O19995">
            <v>450</v>
          </cell>
        </row>
        <row r="19996">
          <cell r="F19996" t="str">
            <v xml:space="preserve">18531333       </v>
          </cell>
          <cell r="O19996">
            <v>90</v>
          </cell>
        </row>
        <row r="19997">
          <cell r="F19997" t="str">
            <v xml:space="preserve">1120352593     </v>
          </cell>
          <cell r="O19997">
            <v>30</v>
          </cell>
        </row>
        <row r="19998">
          <cell r="F19998" t="str">
            <v xml:space="preserve">1120352593     </v>
          </cell>
          <cell r="O19998">
            <v>2826</v>
          </cell>
        </row>
        <row r="19999">
          <cell r="F19999" t="str">
            <v xml:space="preserve">1120352593     </v>
          </cell>
          <cell r="O19999">
            <v>360</v>
          </cell>
        </row>
        <row r="20000">
          <cell r="F20000" t="str">
            <v xml:space="preserve">860001697      </v>
          </cell>
          <cell r="O20000">
            <v>202.58</v>
          </cell>
        </row>
        <row r="20001">
          <cell r="F20001" t="str">
            <v xml:space="preserve">860001697      </v>
          </cell>
          <cell r="O20001">
            <v>151.1</v>
          </cell>
        </row>
        <row r="20002">
          <cell r="F20002" t="str">
            <v xml:space="preserve">860001697      </v>
          </cell>
          <cell r="O20002">
            <v>169.04</v>
          </cell>
        </row>
        <row r="20003">
          <cell r="F20003" t="str">
            <v xml:space="preserve">71172414       </v>
          </cell>
          <cell r="O20003">
            <v>4.5</v>
          </cell>
        </row>
        <row r="20004">
          <cell r="F20004" t="str">
            <v xml:space="preserve">71172414       </v>
          </cell>
          <cell r="O20004">
            <v>1035</v>
          </cell>
        </row>
        <row r="20005">
          <cell r="F20005" t="str">
            <v xml:space="preserve">71172414       </v>
          </cell>
          <cell r="O20005">
            <v>306</v>
          </cell>
        </row>
        <row r="20006">
          <cell r="F20006" t="str">
            <v xml:space="preserve">71172414       </v>
          </cell>
          <cell r="O20006">
            <v>1140</v>
          </cell>
        </row>
        <row r="20007">
          <cell r="F20007" t="str">
            <v xml:space="preserve">71172414       </v>
          </cell>
          <cell r="O20007">
            <v>288</v>
          </cell>
        </row>
        <row r="20008">
          <cell r="F20008" t="str">
            <v xml:space="preserve">71172414       </v>
          </cell>
          <cell r="O20008">
            <v>135</v>
          </cell>
        </row>
        <row r="20009">
          <cell r="F20009" t="str">
            <v xml:space="preserve">11255578       </v>
          </cell>
          <cell r="O20009">
            <v>9</v>
          </cell>
        </row>
        <row r="20010">
          <cell r="F20010" t="str">
            <v xml:space="preserve">11255578       </v>
          </cell>
          <cell r="O20010">
            <v>15</v>
          </cell>
        </row>
        <row r="20011">
          <cell r="F20011" t="str">
            <v xml:space="preserve">11255578       </v>
          </cell>
          <cell r="O20011">
            <v>180</v>
          </cell>
        </row>
        <row r="20012">
          <cell r="F20012" t="str">
            <v xml:space="preserve">11255578       </v>
          </cell>
          <cell r="O20012">
            <v>90</v>
          </cell>
        </row>
        <row r="20013">
          <cell r="F20013" t="str">
            <v xml:space="preserve">79827688       </v>
          </cell>
          <cell r="O20013">
            <v>345</v>
          </cell>
        </row>
        <row r="20014">
          <cell r="F20014" t="str">
            <v xml:space="preserve">79827688       </v>
          </cell>
          <cell r="O20014">
            <v>252</v>
          </cell>
        </row>
        <row r="20015">
          <cell r="F20015" t="str">
            <v xml:space="preserve">79827688       </v>
          </cell>
          <cell r="O20015">
            <v>135</v>
          </cell>
        </row>
        <row r="20016">
          <cell r="F20016" t="str">
            <v xml:space="preserve">79827688       </v>
          </cell>
          <cell r="O20016">
            <v>30</v>
          </cell>
        </row>
        <row r="20017">
          <cell r="F20017" t="str">
            <v xml:space="preserve">79827688       </v>
          </cell>
          <cell r="O20017">
            <v>288</v>
          </cell>
        </row>
        <row r="20018">
          <cell r="F20018" t="str">
            <v xml:space="preserve">79827688       </v>
          </cell>
          <cell r="O20018">
            <v>45</v>
          </cell>
        </row>
        <row r="20019">
          <cell r="F20019" t="str">
            <v xml:space="preserve">74280490       </v>
          </cell>
          <cell r="O20019">
            <v>9</v>
          </cell>
        </row>
        <row r="20020">
          <cell r="F20020" t="str">
            <v xml:space="preserve">74280490       </v>
          </cell>
          <cell r="O20020">
            <v>30</v>
          </cell>
        </row>
        <row r="20021">
          <cell r="F20021" t="str">
            <v xml:space="preserve">74280490       </v>
          </cell>
          <cell r="O20021">
            <v>900</v>
          </cell>
        </row>
        <row r="20022">
          <cell r="F20022" t="str">
            <v xml:space="preserve">74280490       </v>
          </cell>
          <cell r="O20022">
            <v>675</v>
          </cell>
        </row>
        <row r="20023">
          <cell r="F20023" t="str">
            <v xml:space="preserve">70752579       </v>
          </cell>
          <cell r="O20023">
            <v>180</v>
          </cell>
        </row>
        <row r="20024">
          <cell r="F20024" t="str">
            <v xml:space="preserve">70752579       </v>
          </cell>
          <cell r="O20024">
            <v>360</v>
          </cell>
        </row>
        <row r="20025">
          <cell r="F20025" t="str">
            <v xml:space="preserve">70752579       </v>
          </cell>
          <cell r="O20025">
            <v>576</v>
          </cell>
        </row>
        <row r="20026">
          <cell r="F20026" t="str">
            <v xml:space="preserve">70752579       </v>
          </cell>
          <cell r="O20026">
            <v>4.5</v>
          </cell>
        </row>
        <row r="20027">
          <cell r="F20027" t="str">
            <v xml:space="preserve">70752579       </v>
          </cell>
          <cell r="O20027">
            <v>120</v>
          </cell>
        </row>
        <row r="20028">
          <cell r="F20028" t="str">
            <v xml:space="preserve">70752579       </v>
          </cell>
          <cell r="O20028">
            <v>180</v>
          </cell>
        </row>
        <row r="20029">
          <cell r="F20029" t="str">
            <v xml:space="preserve">70752579       </v>
          </cell>
          <cell r="O20029">
            <v>360</v>
          </cell>
        </row>
        <row r="20030">
          <cell r="F20030" t="str">
            <v xml:space="preserve">900732129      </v>
          </cell>
          <cell r="O20030">
            <v>2025</v>
          </cell>
        </row>
        <row r="20031">
          <cell r="F20031" t="str">
            <v xml:space="preserve">80266206       </v>
          </cell>
          <cell r="O20031">
            <v>126</v>
          </cell>
        </row>
        <row r="20032">
          <cell r="F20032" t="str">
            <v xml:space="preserve">80266206       </v>
          </cell>
          <cell r="O20032">
            <v>288</v>
          </cell>
        </row>
        <row r="20033">
          <cell r="F20033" t="str">
            <v xml:space="preserve">80266206       </v>
          </cell>
          <cell r="O20033">
            <v>135</v>
          </cell>
        </row>
        <row r="20034">
          <cell r="F20034" t="str">
            <v xml:space="preserve">1111739602     </v>
          </cell>
          <cell r="O20034">
            <v>495</v>
          </cell>
        </row>
        <row r="20035">
          <cell r="F20035" t="str">
            <v xml:space="preserve">1111739602     </v>
          </cell>
          <cell r="O20035">
            <v>270</v>
          </cell>
        </row>
        <row r="20036">
          <cell r="F20036" t="str">
            <v xml:space="preserve">1111739602     </v>
          </cell>
          <cell r="O20036">
            <v>90</v>
          </cell>
        </row>
        <row r="20037">
          <cell r="F20037" t="str">
            <v xml:space="preserve">1101204909     </v>
          </cell>
          <cell r="O20037">
            <v>315</v>
          </cell>
        </row>
        <row r="20038">
          <cell r="F20038" t="str">
            <v xml:space="preserve">1101204909     </v>
          </cell>
          <cell r="O20038">
            <v>90</v>
          </cell>
        </row>
        <row r="20039">
          <cell r="F20039" t="str">
            <v xml:space="preserve">1101204909     </v>
          </cell>
          <cell r="O20039">
            <v>30</v>
          </cell>
        </row>
        <row r="20040">
          <cell r="F20040" t="str">
            <v xml:space="preserve">1101204909     </v>
          </cell>
          <cell r="O20040">
            <v>360</v>
          </cell>
        </row>
        <row r="20041">
          <cell r="F20041" t="str">
            <v xml:space="preserve">1101204909     </v>
          </cell>
          <cell r="O20041">
            <v>468</v>
          </cell>
        </row>
        <row r="20042">
          <cell r="F20042" t="str">
            <v xml:space="preserve">88168843       </v>
          </cell>
          <cell r="O20042">
            <v>9</v>
          </cell>
        </row>
        <row r="20043">
          <cell r="F20043" t="str">
            <v xml:space="preserve">88168843       </v>
          </cell>
          <cell r="O20043">
            <v>162</v>
          </cell>
        </row>
        <row r="20044">
          <cell r="F20044" t="str">
            <v xml:space="preserve">88168843       </v>
          </cell>
          <cell r="O20044">
            <v>90</v>
          </cell>
        </row>
        <row r="20045">
          <cell r="F20045" t="str">
            <v xml:space="preserve">88168843       </v>
          </cell>
          <cell r="O20045">
            <v>54</v>
          </cell>
        </row>
        <row r="20046">
          <cell r="F20046" t="str">
            <v xml:space="preserve">88168843       </v>
          </cell>
          <cell r="O20046">
            <v>9</v>
          </cell>
        </row>
        <row r="20047">
          <cell r="F20047" t="str">
            <v xml:space="preserve">88168843       </v>
          </cell>
          <cell r="O20047">
            <v>180</v>
          </cell>
        </row>
        <row r="20048">
          <cell r="F20048" t="str">
            <v xml:space="preserve">88168843       </v>
          </cell>
          <cell r="O20048">
            <v>45</v>
          </cell>
        </row>
        <row r="20049">
          <cell r="F20049" t="str">
            <v xml:space="preserve">88168843       </v>
          </cell>
          <cell r="O20049">
            <v>108</v>
          </cell>
        </row>
        <row r="20050">
          <cell r="F20050" t="str">
            <v xml:space="preserve">79266522       </v>
          </cell>
          <cell r="O20050">
            <v>630</v>
          </cell>
        </row>
        <row r="20051">
          <cell r="F20051" t="str">
            <v xml:space="preserve">79266522       </v>
          </cell>
          <cell r="O20051">
            <v>540</v>
          </cell>
        </row>
        <row r="20052">
          <cell r="F20052" t="str">
            <v xml:space="preserve">79266522       </v>
          </cell>
          <cell r="O20052">
            <v>45</v>
          </cell>
        </row>
        <row r="20053">
          <cell r="F20053" t="str">
            <v xml:space="preserve">79221604       </v>
          </cell>
          <cell r="O20053">
            <v>18</v>
          </cell>
        </row>
        <row r="20054">
          <cell r="F20054" t="str">
            <v xml:space="preserve">79221604       </v>
          </cell>
          <cell r="O20054">
            <v>30</v>
          </cell>
        </row>
        <row r="20055">
          <cell r="F20055" t="str">
            <v xml:space="preserve">79221604       </v>
          </cell>
          <cell r="O20055">
            <v>360</v>
          </cell>
        </row>
        <row r="20056">
          <cell r="F20056" t="str">
            <v xml:space="preserve">79221604       </v>
          </cell>
          <cell r="O20056">
            <v>135</v>
          </cell>
        </row>
        <row r="20057">
          <cell r="F20057" t="str">
            <v xml:space="preserve">79221604       </v>
          </cell>
          <cell r="O20057">
            <v>900</v>
          </cell>
        </row>
        <row r="20058">
          <cell r="F20058" t="str">
            <v xml:space="preserve">79221604       </v>
          </cell>
          <cell r="O20058">
            <v>18</v>
          </cell>
        </row>
        <row r="20059">
          <cell r="F20059" t="str">
            <v xml:space="preserve">79221604       </v>
          </cell>
          <cell r="O20059">
            <v>30</v>
          </cell>
        </row>
        <row r="20060">
          <cell r="F20060" t="str">
            <v xml:space="preserve">79221604       </v>
          </cell>
          <cell r="O20060">
            <v>180</v>
          </cell>
        </row>
        <row r="20061">
          <cell r="F20061" t="str">
            <v xml:space="preserve">79221604       </v>
          </cell>
          <cell r="O20061">
            <v>135</v>
          </cell>
        </row>
        <row r="20062">
          <cell r="F20062" t="str">
            <v xml:space="preserve">79221604       </v>
          </cell>
          <cell r="O20062">
            <v>54</v>
          </cell>
        </row>
        <row r="20063">
          <cell r="F20063" t="str">
            <v xml:space="preserve">79221604       </v>
          </cell>
          <cell r="O20063">
            <v>72</v>
          </cell>
        </row>
        <row r="20064">
          <cell r="F20064" t="str">
            <v xml:space="preserve">79221604       </v>
          </cell>
          <cell r="O20064">
            <v>180</v>
          </cell>
        </row>
        <row r="20065">
          <cell r="F20065" t="str">
            <v xml:space="preserve">79221604       </v>
          </cell>
          <cell r="O20065">
            <v>36</v>
          </cell>
        </row>
        <row r="20066">
          <cell r="F20066" t="str">
            <v xml:space="preserve">79221604       </v>
          </cell>
          <cell r="O20066">
            <v>270</v>
          </cell>
        </row>
        <row r="20067">
          <cell r="F20067" t="str">
            <v xml:space="preserve">79221604       </v>
          </cell>
          <cell r="O20067">
            <v>45</v>
          </cell>
        </row>
        <row r="20068">
          <cell r="F20068" t="str">
            <v xml:space="preserve">79221604       </v>
          </cell>
          <cell r="O20068">
            <v>15</v>
          </cell>
        </row>
        <row r="20069">
          <cell r="F20069" t="str">
            <v xml:space="preserve">79221604       </v>
          </cell>
          <cell r="O20069">
            <v>9</v>
          </cell>
        </row>
        <row r="20070">
          <cell r="F20070" t="str">
            <v xml:space="preserve">79221604       </v>
          </cell>
          <cell r="O20070">
            <v>144</v>
          </cell>
        </row>
        <row r="20071">
          <cell r="F20071" t="str">
            <v xml:space="preserve">79221604       </v>
          </cell>
          <cell r="O20071">
            <v>15</v>
          </cell>
        </row>
        <row r="20072">
          <cell r="F20072" t="str">
            <v xml:space="preserve">79221604       </v>
          </cell>
          <cell r="O20072">
            <v>45</v>
          </cell>
        </row>
        <row r="20073">
          <cell r="F20073" t="str">
            <v xml:space="preserve">79221604       </v>
          </cell>
          <cell r="O20073">
            <v>1080</v>
          </cell>
        </row>
        <row r="20074">
          <cell r="F20074" t="str">
            <v xml:space="preserve">79221604       </v>
          </cell>
          <cell r="O20074">
            <v>180</v>
          </cell>
        </row>
        <row r="20075">
          <cell r="F20075" t="str">
            <v xml:space="preserve">79221604       </v>
          </cell>
          <cell r="O20075">
            <v>360</v>
          </cell>
        </row>
        <row r="20076">
          <cell r="F20076" t="str">
            <v xml:space="preserve">79221604       </v>
          </cell>
          <cell r="O20076">
            <v>450</v>
          </cell>
        </row>
        <row r="20077">
          <cell r="F20077" t="str">
            <v xml:space="preserve">79221604       </v>
          </cell>
          <cell r="O20077">
            <v>576</v>
          </cell>
        </row>
        <row r="20078">
          <cell r="F20078" t="str">
            <v xml:space="preserve">9867640        </v>
          </cell>
          <cell r="O20078">
            <v>225</v>
          </cell>
        </row>
        <row r="20079">
          <cell r="F20079" t="str">
            <v xml:space="preserve">9867640        </v>
          </cell>
          <cell r="O20079">
            <v>18</v>
          </cell>
        </row>
        <row r="20080">
          <cell r="F20080" t="str">
            <v xml:space="preserve">10315862       </v>
          </cell>
          <cell r="O20080">
            <v>15</v>
          </cell>
        </row>
        <row r="20081">
          <cell r="F20081" t="str">
            <v xml:space="preserve">10315862       </v>
          </cell>
          <cell r="O20081">
            <v>252</v>
          </cell>
        </row>
        <row r="20082">
          <cell r="F20082" t="str">
            <v xml:space="preserve">10315862       </v>
          </cell>
          <cell r="O20082">
            <v>135</v>
          </cell>
        </row>
        <row r="20083">
          <cell r="F20083" t="str">
            <v xml:space="preserve">1103101503     </v>
          </cell>
          <cell r="O20083">
            <v>4.5</v>
          </cell>
        </row>
        <row r="20084">
          <cell r="F20084" t="str">
            <v xml:space="preserve">1103101503     </v>
          </cell>
          <cell r="O20084">
            <v>9</v>
          </cell>
        </row>
        <row r="20085">
          <cell r="F20085" t="str">
            <v xml:space="preserve">1103101503     </v>
          </cell>
          <cell r="O20085">
            <v>105</v>
          </cell>
        </row>
        <row r="20086">
          <cell r="F20086" t="str">
            <v xml:space="preserve">1103101503     </v>
          </cell>
          <cell r="O20086">
            <v>720</v>
          </cell>
        </row>
        <row r="20087">
          <cell r="F20087" t="str">
            <v xml:space="preserve">1103101503     </v>
          </cell>
          <cell r="O20087">
            <v>270</v>
          </cell>
        </row>
        <row r="20088">
          <cell r="F20088" t="str">
            <v xml:space="preserve">1103101503     </v>
          </cell>
          <cell r="O20088">
            <v>105</v>
          </cell>
        </row>
        <row r="20089">
          <cell r="F20089" t="str">
            <v xml:space="preserve">1103101503     </v>
          </cell>
          <cell r="O20089">
            <v>342</v>
          </cell>
        </row>
        <row r="20090">
          <cell r="F20090" t="str">
            <v xml:space="preserve">92260572       </v>
          </cell>
          <cell r="O20090">
            <v>342</v>
          </cell>
        </row>
        <row r="20091">
          <cell r="F20091" t="str">
            <v xml:space="preserve">80021718       </v>
          </cell>
          <cell r="O20091">
            <v>1512</v>
          </cell>
        </row>
        <row r="20092">
          <cell r="F20092" t="str">
            <v xml:space="preserve">80021718       </v>
          </cell>
          <cell r="O20092">
            <v>900</v>
          </cell>
        </row>
        <row r="20093">
          <cell r="F20093" t="str">
            <v xml:space="preserve">91540489       </v>
          </cell>
          <cell r="O20093">
            <v>135</v>
          </cell>
        </row>
        <row r="20094">
          <cell r="F20094" t="str">
            <v xml:space="preserve">91540489       </v>
          </cell>
          <cell r="O20094">
            <v>1080</v>
          </cell>
        </row>
        <row r="20095">
          <cell r="F20095" t="str">
            <v xml:space="preserve">94429458       </v>
          </cell>
          <cell r="O20095">
            <v>1455</v>
          </cell>
        </row>
        <row r="20096">
          <cell r="F20096" t="str">
            <v xml:space="preserve">94429458       </v>
          </cell>
          <cell r="O20096">
            <v>405</v>
          </cell>
        </row>
        <row r="20097">
          <cell r="F20097" t="str">
            <v xml:space="preserve">94429458       </v>
          </cell>
          <cell r="O20097">
            <v>765</v>
          </cell>
        </row>
        <row r="20098">
          <cell r="F20098" t="str">
            <v xml:space="preserve">94429458       </v>
          </cell>
          <cell r="O20098">
            <v>2400</v>
          </cell>
        </row>
        <row r="20099">
          <cell r="F20099" t="str">
            <v xml:space="preserve">94429458       </v>
          </cell>
          <cell r="O20099">
            <v>2745</v>
          </cell>
        </row>
        <row r="20100">
          <cell r="F20100" t="str">
            <v xml:space="preserve">74170036       </v>
          </cell>
          <cell r="O20100">
            <v>144</v>
          </cell>
        </row>
        <row r="20101">
          <cell r="F20101" t="str">
            <v xml:space="preserve">74170036       </v>
          </cell>
          <cell r="O20101">
            <v>315</v>
          </cell>
        </row>
        <row r="20102">
          <cell r="F20102" t="str">
            <v xml:space="preserve">7305518        </v>
          </cell>
          <cell r="O20102">
            <v>2070</v>
          </cell>
        </row>
        <row r="20103">
          <cell r="F20103" t="str">
            <v xml:space="preserve">7305518        </v>
          </cell>
          <cell r="O20103">
            <v>675</v>
          </cell>
        </row>
        <row r="20104">
          <cell r="F20104" t="str">
            <v xml:space="preserve">7305518        </v>
          </cell>
          <cell r="O20104">
            <v>36</v>
          </cell>
        </row>
        <row r="20105">
          <cell r="F20105" t="str">
            <v xml:space="preserve">7305518        </v>
          </cell>
          <cell r="O20105">
            <v>2070</v>
          </cell>
        </row>
        <row r="20106">
          <cell r="F20106" t="str">
            <v xml:space="preserve">7305518        </v>
          </cell>
          <cell r="O20106">
            <v>540</v>
          </cell>
        </row>
        <row r="20107">
          <cell r="F20107" t="str">
            <v xml:space="preserve">7223456        </v>
          </cell>
          <cell r="O20107">
            <v>1170</v>
          </cell>
        </row>
        <row r="20108">
          <cell r="F20108" t="str">
            <v xml:space="preserve">7223456        </v>
          </cell>
          <cell r="O20108">
            <v>450</v>
          </cell>
        </row>
        <row r="20109">
          <cell r="F20109" t="str">
            <v xml:space="preserve">13616258       </v>
          </cell>
          <cell r="O20109">
            <v>1050</v>
          </cell>
        </row>
        <row r="20110">
          <cell r="F20110" t="str">
            <v xml:space="preserve">13616258       </v>
          </cell>
          <cell r="O20110">
            <v>2160</v>
          </cell>
        </row>
        <row r="20111">
          <cell r="F20111" t="str">
            <v xml:space="preserve">13616258       </v>
          </cell>
          <cell r="O20111">
            <v>810</v>
          </cell>
        </row>
        <row r="20112">
          <cell r="F20112" t="str">
            <v xml:space="preserve">7305425        </v>
          </cell>
          <cell r="O20112">
            <v>30</v>
          </cell>
        </row>
        <row r="20113">
          <cell r="F20113" t="str">
            <v xml:space="preserve">7305425        </v>
          </cell>
          <cell r="O20113">
            <v>630</v>
          </cell>
        </row>
        <row r="20114">
          <cell r="F20114" t="str">
            <v xml:space="preserve">7305425        </v>
          </cell>
          <cell r="O20114">
            <v>225</v>
          </cell>
        </row>
        <row r="20115">
          <cell r="F20115" t="str">
            <v xml:space="preserve">7305425        </v>
          </cell>
          <cell r="O20115">
            <v>720</v>
          </cell>
        </row>
        <row r="20116">
          <cell r="F20116" t="str">
            <v xml:space="preserve">7301411        </v>
          </cell>
          <cell r="O20116">
            <v>576</v>
          </cell>
        </row>
        <row r="20117">
          <cell r="F20117" t="str">
            <v xml:space="preserve">7301411        </v>
          </cell>
          <cell r="O20117">
            <v>45</v>
          </cell>
        </row>
        <row r="20118">
          <cell r="F20118" t="str">
            <v xml:space="preserve">7301411        </v>
          </cell>
          <cell r="O20118">
            <v>2124</v>
          </cell>
        </row>
        <row r="20119">
          <cell r="F20119" t="str">
            <v xml:space="preserve">7301411        </v>
          </cell>
          <cell r="O20119">
            <v>432</v>
          </cell>
        </row>
        <row r="20120">
          <cell r="F20120" t="str">
            <v xml:space="preserve">7301411        </v>
          </cell>
          <cell r="O20120">
            <v>522</v>
          </cell>
        </row>
        <row r="20121">
          <cell r="F20121" t="str">
            <v xml:space="preserve">7301411        </v>
          </cell>
          <cell r="O20121">
            <v>315</v>
          </cell>
        </row>
        <row r="20122">
          <cell r="F20122" t="str">
            <v xml:space="preserve">4252280        </v>
          </cell>
          <cell r="O20122">
            <v>180</v>
          </cell>
        </row>
        <row r="20123">
          <cell r="F20123" t="str">
            <v xml:space="preserve">80730783       </v>
          </cell>
          <cell r="O20123">
            <v>135</v>
          </cell>
        </row>
        <row r="20124">
          <cell r="F20124" t="str">
            <v xml:space="preserve">80730783       </v>
          </cell>
          <cell r="O20124">
            <v>792</v>
          </cell>
        </row>
        <row r="20125">
          <cell r="F20125" t="str">
            <v xml:space="preserve">80730783       </v>
          </cell>
          <cell r="O20125">
            <v>45</v>
          </cell>
        </row>
        <row r="20126">
          <cell r="F20126" t="str">
            <v xml:space="preserve">79734086       </v>
          </cell>
          <cell r="O20126">
            <v>45</v>
          </cell>
        </row>
        <row r="20127">
          <cell r="F20127" t="str">
            <v xml:space="preserve">79734086       </v>
          </cell>
          <cell r="O20127">
            <v>30</v>
          </cell>
        </row>
        <row r="20128">
          <cell r="F20128" t="str">
            <v xml:space="preserve">79734086       </v>
          </cell>
          <cell r="O20128">
            <v>594</v>
          </cell>
        </row>
        <row r="20129">
          <cell r="F20129" t="str">
            <v xml:space="preserve">79734086       </v>
          </cell>
          <cell r="O20129">
            <v>225</v>
          </cell>
        </row>
        <row r="20130">
          <cell r="F20130" t="str">
            <v xml:space="preserve">79734086       </v>
          </cell>
          <cell r="O20130">
            <v>360</v>
          </cell>
        </row>
        <row r="20131">
          <cell r="F20131" t="str">
            <v xml:space="preserve">79734086       </v>
          </cell>
          <cell r="O20131">
            <v>126</v>
          </cell>
        </row>
        <row r="20132">
          <cell r="F20132" t="str">
            <v xml:space="preserve">17783299       </v>
          </cell>
          <cell r="O20132">
            <v>3450</v>
          </cell>
        </row>
        <row r="20133">
          <cell r="F20133" t="str">
            <v xml:space="preserve">17783299       </v>
          </cell>
          <cell r="O20133">
            <v>1725</v>
          </cell>
        </row>
        <row r="20134">
          <cell r="F20134" t="str">
            <v xml:space="preserve">17783299       </v>
          </cell>
          <cell r="O20134">
            <v>1575</v>
          </cell>
        </row>
        <row r="20135">
          <cell r="F20135" t="str">
            <v xml:space="preserve">17783299       </v>
          </cell>
          <cell r="O20135">
            <v>1125</v>
          </cell>
        </row>
        <row r="20136">
          <cell r="F20136" t="str">
            <v xml:space="preserve">17783299       </v>
          </cell>
          <cell r="O20136">
            <v>1710</v>
          </cell>
        </row>
        <row r="20137">
          <cell r="F20137" t="str">
            <v xml:space="preserve">17783299       </v>
          </cell>
          <cell r="O20137">
            <v>750</v>
          </cell>
        </row>
        <row r="20138">
          <cell r="F20138" t="str">
            <v xml:space="preserve">4968703        </v>
          </cell>
          <cell r="O20138">
            <v>1050</v>
          </cell>
        </row>
        <row r="20139">
          <cell r="F20139" t="str">
            <v xml:space="preserve">17655129       </v>
          </cell>
          <cell r="O20139">
            <v>45</v>
          </cell>
        </row>
        <row r="20140">
          <cell r="F20140" t="str">
            <v xml:space="preserve">17655129       </v>
          </cell>
          <cell r="O20140">
            <v>35</v>
          </cell>
        </row>
        <row r="20141">
          <cell r="F20141" t="str">
            <v xml:space="preserve">17655129       </v>
          </cell>
          <cell r="O20141">
            <v>135</v>
          </cell>
        </row>
        <row r="20142">
          <cell r="F20142" t="str">
            <v xml:space="preserve">17655129       </v>
          </cell>
          <cell r="O20142">
            <v>45</v>
          </cell>
        </row>
        <row r="20143">
          <cell r="F20143" t="str">
            <v xml:space="preserve">17655129       </v>
          </cell>
          <cell r="O20143">
            <v>45</v>
          </cell>
        </row>
        <row r="20144">
          <cell r="F20144" t="str">
            <v xml:space="preserve">17655129       </v>
          </cell>
          <cell r="O20144">
            <v>300</v>
          </cell>
        </row>
        <row r="20145">
          <cell r="F20145" t="str">
            <v xml:space="preserve">17655129       </v>
          </cell>
          <cell r="O20145">
            <v>90</v>
          </cell>
        </row>
        <row r="20146">
          <cell r="F20146" t="str">
            <v xml:space="preserve">17655129       </v>
          </cell>
          <cell r="O20146">
            <v>35</v>
          </cell>
        </row>
        <row r="20147">
          <cell r="F20147" t="str">
            <v xml:space="preserve">1083686504     </v>
          </cell>
          <cell r="O20147">
            <v>225</v>
          </cell>
        </row>
        <row r="20148">
          <cell r="F20148" t="str">
            <v xml:space="preserve">1083686504     </v>
          </cell>
          <cell r="O20148">
            <v>45</v>
          </cell>
        </row>
        <row r="20149">
          <cell r="F20149" t="str">
            <v xml:space="preserve">1083686504     </v>
          </cell>
          <cell r="O20149">
            <v>45</v>
          </cell>
        </row>
        <row r="20150">
          <cell r="F20150" t="str">
            <v xml:space="preserve">12256895       </v>
          </cell>
          <cell r="O20150">
            <v>225</v>
          </cell>
        </row>
        <row r="20151">
          <cell r="F20151" t="str">
            <v xml:space="preserve">12256895       </v>
          </cell>
          <cell r="O20151">
            <v>1800</v>
          </cell>
        </row>
        <row r="20152">
          <cell r="F20152" t="str">
            <v xml:space="preserve">12256895       </v>
          </cell>
          <cell r="O20152">
            <v>600</v>
          </cell>
        </row>
        <row r="20153">
          <cell r="F20153" t="str">
            <v xml:space="preserve">12256895       </v>
          </cell>
          <cell r="O20153">
            <v>180</v>
          </cell>
        </row>
        <row r="20154">
          <cell r="F20154" t="str">
            <v xml:space="preserve">16191524       </v>
          </cell>
          <cell r="O20154">
            <v>300</v>
          </cell>
        </row>
        <row r="20155">
          <cell r="F20155" t="str">
            <v xml:space="preserve">16191524       </v>
          </cell>
          <cell r="O20155">
            <v>45</v>
          </cell>
        </row>
        <row r="20156">
          <cell r="F20156" t="str">
            <v xml:space="preserve">3024873        </v>
          </cell>
          <cell r="O20156">
            <v>360</v>
          </cell>
        </row>
        <row r="20157">
          <cell r="F20157" t="str">
            <v xml:space="preserve">35250577       </v>
          </cell>
          <cell r="O20157">
            <v>360</v>
          </cell>
        </row>
        <row r="20158">
          <cell r="F20158" t="str">
            <v xml:space="preserve">35250577       </v>
          </cell>
          <cell r="O20158">
            <v>45</v>
          </cell>
        </row>
        <row r="20159">
          <cell r="F20159" t="str">
            <v xml:space="preserve">35250577       </v>
          </cell>
          <cell r="O20159">
            <v>45</v>
          </cell>
        </row>
        <row r="20160">
          <cell r="F20160" t="str">
            <v xml:space="preserve">19389409       </v>
          </cell>
          <cell r="O20160">
            <v>792</v>
          </cell>
        </row>
        <row r="20161">
          <cell r="F20161" t="str">
            <v xml:space="preserve">93131041       </v>
          </cell>
          <cell r="O20161">
            <v>900</v>
          </cell>
        </row>
        <row r="20162">
          <cell r="F20162" t="str">
            <v xml:space="preserve">11320273       </v>
          </cell>
          <cell r="O20162">
            <v>150</v>
          </cell>
        </row>
        <row r="20163">
          <cell r="F20163" t="str">
            <v xml:space="preserve">11320273       </v>
          </cell>
          <cell r="O20163">
            <v>1260</v>
          </cell>
        </row>
        <row r="20164">
          <cell r="F20164" t="str">
            <v xml:space="preserve">11320273       </v>
          </cell>
          <cell r="O20164">
            <v>540</v>
          </cell>
        </row>
        <row r="20165">
          <cell r="F20165" t="str">
            <v xml:space="preserve">5348905        </v>
          </cell>
          <cell r="O20165">
            <v>1380</v>
          </cell>
        </row>
        <row r="20166">
          <cell r="F20166" t="str">
            <v xml:space="preserve">5348905        </v>
          </cell>
          <cell r="O20166">
            <v>450</v>
          </cell>
        </row>
        <row r="20167">
          <cell r="F20167" t="str">
            <v xml:space="preserve">18185538       </v>
          </cell>
          <cell r="O20167">
            <v>750</v>
          </cell>
        </row>
        <row r="20168">
          <cell r="F20168" t="str">
            <v xml:space="preserve">18185538       </v>
          </cell>
          <cell r="O20168">
            <v>198</v>
          </cell>
        </row>
        <row r="20169">
          <cell r="F20169" t="str">
            <v xml:space="preserve">18185538       </v>
          </cell>
          <cell r="O20169">
            <v>180</v>
          </cell>
        </row>
        <row r="20170">
          <cell r="F20170" t="str">
            <v xml:space="preserve">12180486       </v>
          </cell>
          <cell r="O20170">
            <v>900</v>
          </cell>
        </row>
        <row r="20171">
          <cell r="F20171" t="str">
            <v xml:space="preserve">12180486       </v>
          </cell>
          <cell r="O20171">
            <v>405</v>
          </cell>
        </row>
        <row r="20172">
          <cell r="F20172" t="str">
            <v xml:space="preserve">12180486       </v>
          </cell>
          <cell r="O20172">
            <v>540</v>
          </cell>
        </row>
        <row r="20173">
          <cell r="F20173" t="str">
            <v xml:space="preserve">12180486       </v>
          </cell>
          <cell r="O20173">
            <v>495</v>
          </cell>
        </row>
        <row r="20174">
          <cell r="F20174" t="str">
            <v xml:space="preserve">12266504       </v>
          </cell>
          <cell r="O20174">
            <v>45</v>
          </cell>
        </row>
        <row r="20175">
          <cell r="F20175" t="str">
            <v xml:space="preserve">12266504       </v>
          </cell>
          <cell r="O20175">
            <v>315</v>
          </cell>
        </row>
        <row r="20176">
          <cell r="F20176" t="str">
            <v xml:space="preserve">12266504       </v>
          </cell>
          <cell r="O20176">
            <v>36</v>
          </cell>
        </row>
        <row r="20177">
          <cell r="F20177" t="str">
            <v xml:space="preserve">12266504       </v>
          </cell>
          <cell r="O20177">
            <v>225</v>
          </cell>
        </row>
        <row r="20178">
          <cell r="F20178" t="str">
            <v xml:space="preserve">12266504       </v>
          </cell>
          <cell r="O20178">
            <v>195</v>
          </cell>
        </row>
        <row r="20179">
          <cell r="F20179" t="str">
            <v xml:space="preserve">12266504       </v>
          </cell>
          <cell r="O20179">
            <v>36</v>
          </cell>
        </row>
        <row r="20180">
          <cell r="F20180" t="str">
            <v xml:space="preserve">79847779       </v>
          </cell>
          <cell r="O20180">
            <v>480</v>
          </cell>
        </row>
        <row r="20181">
          <cell r="F20181" t="str">
            <v xml:space="preserve">79847779       </v>
          </cell>
          <cell r="O20181">
            <v>675</v>
          </cell>
        </row>
        <row r="20182">
          <cell r="F20182" t="str">
            <v xml:space="preserve">79847779       </v>
          </cell>
          <cell r="O20182">
            <v>1500</v>
          </cell>
        </row>
        <row r="20183">
          <cell r="F20183" t="str">
            <v xml:space="preserve">12231586       </v>
          </cell>
          <cell r="O20183">
            <v>210</v>
          </cell>
        </row>
        <row r="20184">
          <cell r="F20184" t="str">
            <v xml:space="preserve">12231586       </v>
          </cell>
          <cell r="O20184">
            <v>36</v>
          </cell>
        </row>
        <row r="20185">
          <cell r="F20185" t="str">
            <v xml:space="preserve">12231586       </v>
          </cell>
          <cell r="O20185">
            <v>180</v>
          </cell>
        </row>
        <row r="20186">
          <cell r="F20186" t="str">
            <v xml:space="preserve">83042067       </v>
          </cell>
          <cell r="O20186">
            <v>120</v>
          </cell>
        </row>
        <row r="20187">
          <cell r="F20187" t="str">
            <v xml:space="preserve">83042067       </v>
          </cell>
          <cell r="O20187">
            <v>108</v>
          </cell>
        </row>
        <row r="20188">
          <cell r="F20188" t="str">
            <v xml:space="preserve">83042067       </v>
          </cell>
          <cell r="O20188">
            <v>405</v>
          </cell>
        </row>
        <row r="20189">
          <cell r="F20189" t="str">
            <v xml:space="preserve">18104078       </v>
          </cell>
          <cell r="O20189">
            <v>960</v>
          </cell>
        </row>
        <row r="20190">
          <cell r="F20190" t="str">
            <v xml:space="preserve">18104078       </v>
          </cell>
          <cell r="O20190">
            <v>390</v>
          </cell>
        </row>
        <row r="20191">
          <cell r="F20191" t="str">
            <v xml:space="preserve">18104078       </v>
          </cell>
          <cell r="O20191">
            <v>108</v>
          </cell>
        </row>
        <row r="20192">
          <cell r="F20192" t="str">
            <v xml:space="preserve">18104078       </v>
          </cell>
          <cell r="O20192">
            <v>360</v>
          </cell>
        </row>
        <row r="20193">
          <cell r="F20193" t="str">
            <v xml:space="preserve">18144684       </v>
          </cell>
          <cell r="O20193">
            <v>195</v>
          </cell>
        </row>
        <row r="20194">
          <cell r="F20194" t="str">
            <v xml:space="preserve">18144684       </v>
          </cell>
          <cell r="O20194">
            <v>54</v>
          </cell>
        </row>
        <row r="20195">
          <cell r="F20195" t="str">
            <v xml:space="preserve">16864143       </v>
          </cell>
          <cell r="O20195">
            <v>90</v>
          </cell>
        </row>
        <row r="20196">
          <cell r="F20196" t="str">
            <v xml:space="preserve">16864143       </v>
          </cell>
          <cell r="O20196">
            <v>2265</v>
          </cell>
        </row>
        <row r="20197">
          <cell r="F20197" t="str">
            <v xml:space="preserve">16864143       </v>
          </cell>
          <cell r="O20197">
            <v>396</v>
          </cell>
        </row>
        <row r="20198">
          <cell r="F20198" t="str">
            <v xml:space="preserve">16864143       </v>
          </cell>
          <cell r="O20198">
            <v>45</v>
          </cell>
        </row>
        <row r="20199">
          <cell r="F20199" t="str">
            <v xml:space="preserve">1062292334     </v>
          </cell>
          <cell r="O20199">
            <v>135</v>
          </cell>
        </row>
        <row r="20200">
          <cell r="F20200" t="str">
            <v xml:space="preserve">1062292334     </v>
          </cell>
          <cell r="O20200">
            <v>360</v>
          </cell>
        </row>
        <row r="20201">
          <cell r="F20201" t="str">
            <v xml:space="preserve">1062292334     </v>
          </cell>
          <cell r="O20201">
            <v>468</v>
          </cell>
        </row>
        <row r="20202">
          <cell r="F20202" t="str">
            <v xml:space="preserve">79004412       </v>
          </cell>
          <cell r="O20202">
            <v>450</v>
          </cell>
        </row>
        <row r="20203">
          <cell r="F20203" t="str">
            <v xml:space="preserve">79004412       </v>
          </cell>
          <cell r="O20203">
            <v>30</v>
          </cell>
        </row>
        <row r="20204">
          <cell r="F20204" t="str">
            <v xml:space="preserve">79004412       </v>
          </cell>
          <cell r="O20204">
            <v>270</v>
          </cell>
        </row>
        <row r="20205">
          <cell r="F20205" t="str">
            <v xml:space="preserve">79004412       </v>
          </cell>
          <cell r="O20205">
            <v>360</v>
          </cell>
        </row>
        <row r="20206">
          <cell r="F20206" t="str">
            <v xml:space="preserve">79004412       </v>
          </cell>
          <cell r="O20206">
            <v>60</v>
          </cell>
        </row>
        <row r="20207">
          <cell r="F20207" t="str">
            <v xml:space="preserve">79004412       </v>
          </cell>
          <cell r="O20207">
            <v>468</v>
          </cell>
        </row>
        <row r="20208">
          <cell r="F20208" t="str">
            <v xml:space="preserve">79004412       </v>
          </cell>
          <cell r="O20208">
            <v>90</v>
          </cell>
        </row>
        <row r="20209">
          <cell r="F20209" t="str">
            <v xml:space="preserve">79004412       </v>
          </cell>
          <cell r="O20209">
            <v>90</v>
          </cell>
        </row>
        <row r="20210">
          <cell r="F20210" t="str">
            <v xml:space="preserve">79004412       </v>
          </cell>
          <cell r="O20210">
            <v>360</v>
          </cell>
        </row>
        <row r="20211">
          <cell r="F20211" t="str">
            <v xml:space="preserve">79004412       </v>
          </cell>
          <cell r="O20211">
            <v>270</v>
          </cell>
        </row>
        <row r="20212">
          <cell r="F20212" t="str">
            <v xml:space="preserve">15945210       </v>
          </cell>
          <cell r="O20212">
            <v>540</v>
          </cell>
        </row>
        <row r="20213">
          <cell r="F20213" t="str">
            <v xml:space="preserve">15945210       </v>
          </cell>
          <cell r="O20213">
            <v>540</v>
          </cell>
        </row>
        <row r="20214">
          <cell r="F20214" t="str">
            <v xml:space="preserve">15945210       </v>
          </cell>
          <cell r="O20214">
            <v>360</v>
          </cell>
        </row>
        <row r="20215">
          <cell r="F20215" t="str">
            <v xml:space="preserve">93287188       </v>
          </cell>
          <cell r="O20215">
            <v>756</v>
          </cell>
        </row>
        <row r="20216">
          <cell r="F20216" t="str">
            <v xml:space="preserve">93287188       </v>
          </cell>
          <cell r="O20216">
            <v>90</v>
          </cell>
        </row>
        <row r="20217">
          <cell r="F20217" t="str">
            <v xml:space="preserve">93287188       </v>
          </cell>
          <cell r="O20217">
            <v>15</v>
          </cell>
        </row>
        <row r="20218">
          <cell r="F20218" t="str">
            <v xml:space="preserve">93287188       </v>
          </cell>
          <cell r="O20218">
            <v>540</v>
          </cell>
        </row>
        <row r="20219">
          <cell r="F20219" t="str">
            <v xml:space="preserve">11445090       </v>
          </cell>
          <cell r="O20219">
            <v>45</v>
          </cell>
        </row>
        <row r="20220">
          <cell r="F20220" t="str">
            <v xml:space="preserve">11445090       </v>
          </cell>
          <cell r="O20220">
            <v>990</v>
          </cell>
        </row>
        <row r="20221">
          <cell r="F20221" t="str">
            <v xml:space="preserve">11445090       </v>
          </cell>
          <cell r="O20221">
            <v>270</v>
          </cell>
        </row>
        <row r="20222">
          <cell r="F20222" t="str">
            <v xml:space="preserve">11445090       </v>
          </cell>
          <cell r="O20222">
            <v>54</v>
          </cell>
        </row>
        <row r="20223">
          <cell r="F20223" t="str">
            <v xml:space="preserve">11445090       </v>
          </cell>
          <cell r="O20223">
            <v>81</v>
          </cell>
        </row>
        <row r="20224">
          <cell r="F20224" t="str">
            <v xml:space="preserve">11445090       </v>
          </cell>
          <cell r="O20224">
            <v>882</v>
          </cell>
        </row>
        <row r="20225">
          <cell r="F20225" t="str">
            <v xml:space="preserve">11445090       </v>
          </cell>
          <cell r="O20225">
            <v>225</v>
          </cell>
        </row>
        <row r="20226">
          <cell r="F20226" t="str">
            <v xml:space="preserve">11445090       </v>
          </cell>
          <cell r="O20226">
            <v>150</v>
          </cell>
        </row>
        <row r="20227">
          <cell r="F20227" t="str">
            <v xml:space="preserve">11445090       </v>
          </cell>
          <cell r="O20227">
            <v>774</v>
          </cell>
        </row>
        <row r="20228">
          <cell r="F20228" t="str">
            <v xml:space="preserve">11445090       </v>
          </cell>
          <cell r="O20228">
            <v>270</v>
          </cell>
        </row>
        <row r="20229">
          <cell r="F20229" t="str">
            <v xml:space="preserve">11445090       </v>
          </cell>
          <cell r="O20229">
            <v>81</v>
          </cell>
        </row>
        <row r="20230">
          <cell r="F20230" t="str">
            <v xml:space="preserve">11445090       </v>
          </cell>
          <cell r="O20230">
            <v>45</v>
          </cell>
        </row>
        <row r="20231">
          <cell r="F20231" t="str">
            <v xml:space="preserve">11445090       </v>
          </cell>
          <cell r="O20231">
            <v>612</v>
          </cell>
        </row>
        <row r="20232">
          <cell r="F20232" t="str">
            <v xml:space="preserve">11445090       </v>
          </cell>
          <cell r="O20232">
            <v>225</v>
          </cell>
        </row>
        <row r="20233">
          <cell r="F20233" t="str">
            <v xml:space="preserve">11445090       </v>
          </cell>
          <cell r="O20233">
            <v>1800</v>
          </cell>
        </row>
        <row r="20234">
          <cell r="F20234" t="str">
            <v xml:space="preserve">860008940      </v>
          </cell>
          <cell r="O20234">
            <v>120</v>
          </cell>
        </row>
        <row r="20235">
          <cell r="F20235" t="str">
            <v xml:space="preserve">375997         </v>
          </cell>
          <cell r="O20235">
            <v>3312</v>
          </cell>
        </row>
        <row r="20236">
          <cell r="F20236" t="str">
            <v xml:space="preserve">375997         </v>
          </cell>
          <cell r="O20236">
            <v>9</v>
          </cell>
        </row>
        <row r="20237">
          <cell r="F20237" t="str">
            <v xml:space="preserve">375997         </v>
          </cell>
          <cell r="O20237">
            <v>414</v>
          </cell>
        </row>
        <row r="20238">
          <cell r="F20238" t="str">
            <v xml:space="preserve">375997         </v>
          </cell>
          <cell r="O20238">
            <v>18</v>
          </cell>
        </row>
        <row r="20239">
          <cell r="F20239" t="str">
            <v xml:space="preserve">375997         </v>
          </cell>
          <cell r="O20239">
            <v>30</v>
          </cell>
        </row>
        <row r="20240">
          <cell r="F20240" t="str">
            <v xml:space="preserve">375997         </v>
          </cell>
          <cell r="O20240">
            <v>414</v>
          </cell>
        </row>
        <row r="20241">
          <cell r="F20241" t="str">
            <v xml:space="preserve">1068972221     </v>
          </cell>
          <cell r="O20241">
            <v>288</v>
          </cell>
        </row>
        <row r="20242">
          <cell r="F20242" t="str">
            <v xml:space="preserve">1068972221     </v>
          </cell>
          <cell r="O20242">
            <v>45</v>
          </cell>
        </row>
        <row r="20243">
          <cell r="F20243" t="str">
            <v xml:space="preserve">1068972221     </v>
          </cell>
          <cell r="O20243">
            <v>612</v>
          </cell>
        </row>
        <row r="20244">
          <cell r="F20244" t="str">
            <v xml:space="preserve">1068972221     </v>
          </cell>
          <cell r="O20244">
            <v>90</v>
          </cell>
        </row>
        <row r="20245">
          <cell r="F20245" t="str">
            <v xml:space="preserve">1068972221     </v>
          </cell>
          <cell r="O20245">
            <v>558</v>
          </cell>
        </row>
        <row r="20246">
          <cell r="F20246" t="str">
            <v xml:space="preserve">1068972221     </v>
          </cell>
          <cell r="O20246">
            <v>45</v>
          </cell>
        </row>
        <row r="20247">
          <cell r="F20247" t="str">
            <v xml:space="preserve">1068972221     </v>
          </cell>
          <cell r="O20247">
            <v>198</v>
          </cell>
        </row>
        <row r="20248">
          <cell r="F20248" t="str">
            <v xml:space="preserve">1068972221     </v>
          </cell>
          <cell r="O20248">
            <v>756</v>
          </cell>
        </row>
        <row r="20249">
          <cell r="F20249" t="str">
            <v xml:space="preserve">1068972221     </v>
          </cell>
          <cell r="O20249">
            <v>135</v>
          </cell>
        </row>
        <row r="20250">
          <cell r="F20250" t="str">
            <v xml:space="preserve">1068972221     </v>
          </cell>
          <cell r="O20250">
            <v>396</v>
          </cell>
        </row>
        <row r="20251">
          <cell r="F20251" t="str">
            <v xml:space="preserve">1068972221     </v>
          </cell>
          <cell r="O20251">
            <v>45</v>
          </cell>
        </row>
        <row r="20252">
          <cell r="F20252" t="str">
            <v xml:space="preserve">1068972221     </v>
          </cell>
          <cell r="O20252">
            <v>216</v>
          </cell>
        </row>
        <row r="20253">
          <cell r="F20253" t="str">
            <v xml:space="preserve">1068972221     </v>
          </cell>
          <cell r="O20253">
            <v>90</v>
          </cell>
        </row>
        <row r="20254">
          <cell r="F20254" t="str">
            <v xml:space="preserve">1068972221     </v>
          </cell>
          <cell r="O20254">
            <v>486</v>
          </cell>
        </row>
        <row r="20255">
          <cell r="F20255" t="str">
            <v xml:space="preserve">1068972221     </v>
          </cell>
          <cell r="O20255">
            <v>45</v>
          </cell>
        </row>
        <row r="20256">
          <cell r="F20256" t="str">
            <v xml:space="preserve">1068972221     </v>
          </cell>
          <cell r="O20256">
            <v>270</v>
          </cell>
        </row>
        <row r="20257">
          <cell r="F20257" t="str">
            <v xml:space="preserve">1068972221     </v>
          </cell>
          <cell r="O20257">
            <v>405</v>
          </cell>
        </row>
        <row r="20258">
          <cell r="F20258" t="str">
            <v xml:space="preserve">1068972221     </v>
          </cell>
          <cell r="O20258">
            <v>234</v>
          </cell>
        </row>
        <row r="20259">
          <cell r="F20259" t="str">
            <v xml:space="preserve">1068972221     </v>
          </cell>
          <cell r="O20259">
            <v>270</v>
          </cell>
        </row>
        <row r="20260">
          <cell r="F20260" t="str">
            <v xml:space="preserve">860065656      </v>
          </cell>
          <cell r="O20260">
            <v>180</v>
          </cell>
        </row>
        <row r="20261">
          <cell r="F20261" t="str">
            <v xml:space="preserve">860065656      </v>
          </cell>
          <cell r="O20261">
            <v>720</v>
          </cell>
        </row>
        <row r="20262">
          <cell r="F20262" t="str">
            <v xml:space="preserve">3158780        </v>
          </cell>
          <cell r="O20262">
            <v>414</v>
          </cell>
        </row>
        <row r="20263">
          <cell r="F20263" t="str">
            <v xml:space="preserve">3158780        </v>
          </cell>
          <cell r="O20263">
            <v>3222</v>
          </cell>
        </row>
        <row r="20264">
          <cell r="F20264" t="str">
            <v xml:space="preserve">3158780        </v>
          </cell>
          <cell r="O20264">
            <v>558</v>
          </cell>
        </row>
        <row r="20265">
          <cell r="F20265" t="str">
            <v xml:space="preserve">3158780        </v>
          </cell>
          <cell r="O20265">
            <v>846</v>
          </cell>
        </row>
        <row r="20266">
          <cell r="F20266" t="str">
            <v xml:space="preserve">3158780        </v>
          </cell>
          <cell r="O20266">
            <v>180</v>
          </cell>
        </row>
        <row r="20267">
          <cell r="F20267" t="str">
            <v xml:space="preserve">830133323      </v>
          </cell>
          <cell r="O20267">
            <v>90</v>
          </cell>
        </row>
        <row r="20268">
          <cell r="F20268" t="str">
            <v xml:space="preserve">1010164223     </v>
          </cell>
          <cell r="O20268">
            <v>1170</v>
          </cell>
        </row>
        <row r="20269">
          <cell r="F20269" t="str">
            <v xml:space="preserve">1015995477     </v>
          </cell>
          <cell r="O20269">
            <v>15</v>
          </cell>
        </row>
        <row r="20270">
          <cell r="F20270" t="str">
            <v xml:space="preserve">1015995477     </v>
          </cell>
          <cell r="O20270">
            <v>81</v>
          </cell>
        </row>
        <row r="20271">
          <cell r="F20271" t="str">
            <v xml:space="preserve">900247070      </v>
          </cell>
          <cell r="O20271">
            <v>15</v>
          </cell>
        </row>
        <row r="20272">
          <cell r="F20272" t="str">
            <v xml:space="preserve">3159567        </v>
          </cell>
          <cell r="O20272">
            <v>15</v>
          </cell>
        </row>
        <row r="20273">
          <cell r="F20273" t="str">
            <v xml:space="preserve">3159567        </v>
          </cell>
          <cell r="O20273">
            <v>225</v>
          </cell>
        </row>
        <row r="20274">
          <cell r="F20274" t="str">
            <v xml:space="preserve">3159567        </v>
          </cell>
          <cell r="O20274">
            <v>1206</v>
          </cell>
        </row>
        <row r="20275">
          <cell r="F20275" t="str">
            <v xml:space="preserve">80277771       </v>
          </cell>
          <cell r="O20275">
            <v>300</v>
          </cell>
        </row>
        <row r="20276">
          <cell r="F20276" t="str">
            <v xml:space="preserve">80277771       </v>
          </cell>
          <cell r="O20276">
            <v>450</v>
          </cell>
        </row>
        <row r="20277">
          <cell r="F20277" t="str">
            <v xml:space="preserve">80277771       </v>
          </cell>
          <cell r="O20277">
            <v>780</v>
          </cell>
        </row>
        <row r="20278">
          <cell r="F20278" t="str">
            <v xml:space="preserve">80277771       </v>
          </cell>
          <cell r="O20278">
            <v>1800</v>
          </cell>
        </row>
        <row r="20279">
          <cell r="F20279" t="str">
            <v xml:space="preserve">80277771       </v>
          </cell>
          <cell r="O20279">
            <v>2250</v>
          </cell>
        </row>
        <row r="20280">
          <cell r="F20280" t="str">
            <v xml:space="preserve">860065656      </v>
          </cell>
          <cell r="O20280">
            <v>540</v>
          </cell>
        </row>
        <row r="20281">
          <cell r="F20281" t="str">
            <v xml:space="preserve">80351964       </v>
          </cell>
          <cell r="O20281">
            <v>90</v>
          </cell>
        </row>
        <row r="20282">
          <cell r="F20282" t="str">
            <v xml:space="preserve">80351964       </v>
          </cell>
          <cell r="O20282">
            <v>15</v>
          </cell>
        </row>
        <row r="20283">
          <cell r="F20283" t="str">
            <v xml:space="preserve">80351964       </v>
          </cell>
          <cell r="O20283">
            <v>198</v>
          </cell>
        </row>
        <row r="20284">
          <cell r="F20284" t="str">
            <v xml:space="preserve">80351964       </v>
          </cell>
          <cell r="O20284">
            <v>90</v>
          </cell>
        </row>
        <row r="20285">
          <cell r="F20285" t="str">
            <v xml:space="preserve">80351964       </v>
          </cell>
          <cell r="O20285">
            <v>117</v>
          </cell>
        </row>
        <row r="20286">
          <cell r="F20286" t="str">
            <v xml:space="preserve">80351964       </v>
          </cell>
          <cell r="O20286">
            <v>90</v>
          </cell>
        </row>
        <row r="20287">
          <cell r="F20287" t="str">
            <v xml:space="preserve">80351964       </v>
          </cell>
          <cell r="O20287">
            <v>15</v>
          </cell>
        </row>
        <row r="20288">
          <cell r="F20288" t="str">
            <v xml:space="preserve">3155595        </v>
          </cell>
          <cell r="O20288">
            <v>720</v>
          </cell>
        </row>
        <row r="20289">
          <cell r="F20289" t="str">
            <v xml:space="preserve">3155595        </v>
          </cell>
          <cell r="O20289">
            <v>225</v>
          </cell>
        </row>
        <row r="20290">
          <cell r="F20290" t="str">
            <v xml:space="preserve">3155595        </v>
          </cell>
          <cell r="O20290">
            <v>90</v>
          </cell>
        </row>
        <row r="20291">
          <cell r="F20291" t="str">
            <v xml:space="preserve">830133323      </v>
          </cell>
          <cell r="O20291">
            <v>162</v>
          </cell>
        </row>
        <row r="20292">
          <cell r="F20292" t="str">
            <v xml:space="preserve">830133323      </v>
          </cell>
          <cell r="O20292">
            <v>135</v>
          </cell>
        </row>
        <row r="20293">
          <cell r="F20293" t="str">
            <v xml:space="preserve">23624338       </v>
          </cell>
          <cell r="O20293">
            <v>1170</v>
          </cell>
        </row>
        <row r="20294">
          <cell r="F20294" t="str">
            <v xml:space="preserve">23624338       </v>
          </cell>
          <cell r="O20294">
            <v>540</v>
          </cell>
        </row>
        <row r="20295">
          <cell r="F20295" t="str">
            <v xml:space="preserve">74282624       </v>
          </cell>
          <cell r="O20295">
            <v>90</v>
          </cell>
        </row>
        <row r="20296">
          <cell r="F20296" t="str">
            <v xml:space="preserve">3085945        </v>
          </cell>
          <cell r="O20296">
            <v>150</v>
          </cell>
        </row>
        <row r="20297">
          <cell r="F20297" t="str">
            <v xml:space="preserve">3085945        </v>
          </cell>
          <cell r="O20297">
            <v>1350</v>
          </cell>
        </row>
        <row r="20298">
          <cell r="F20298" t="str">
            <v xml:space="preserve">3085945        </v>
          </cell>
          <cell r="O20298">
            <v>225</v>
          </cell>
        </row>
        <row r="20299">
          <cell r="F20299" t="str">
            <v xml:space="preserve">830133323      </v>
          </cell>
          <cell r="O20299">
            <v>90</v>
          </cell>
        </row>
        <row r="20300">
          <cell r="F20300" t="str">
            <v xml:space="preserve">80283261       </v>
          </cell>
          <cell r="O20300">
            <v>27</v>
          </cell>
        </row>
        <row r="20301">
          <cell r="F20301" t="str">
            <v xml:space="preserve">80283261       </v>
          </cell>
          <cell r="O20301">
            <v>864</v>
          </cell>
        </row>
        <row r="20302">
          <cell r="F20302" t="str">
            <v xml:space="preserve">80283261       </v>
          </cell>
          <cell r="O20302">
            <v>450</v>
          </cell>
        </row>
        <row r="20303">
          <cell r="F20303" t="str">
            <v xml:space="preserve">3090329        </v>
          </cell>
          <cell r="O20303">
            <v>450</v>
          </cell>
        </row>
        <row r="20304">
          <cell r="F20304" t="str">
            <v xml:space="preserve">3090329        </v>
          </cell>
          <cell r="O20304">
            <v>180</v>
          </cell>
        </row>
        <row r="20305">
          <cell r="F20305" t="str">
            <v xml:space="preserve">1072422938     </v>
          </cell>
          <cell r="O20305">
            <v>45</v>
          </cell>
        </row>
        <row r="20306">
          <cell r="F20306" t="str">
            <v xml:space="preserve">1072422938     </v>
          </cell>
          <cell r="O20306">
            <v>1206</v>
          </cell>
        </row>
        <row r="20307">
          <cell r="F20307" t="str">
            <v xml:space="preserve">1072422938     </v>
          </cell>
          <cell r="O20307">
            <v>360</v>
          </cell>
        </row>
        <row r="20308">
          <cell r="F20308" t="str">
            <v xml:space="preserve">80276442       </v>
          </cell>
          <cell r="O20308">
            <v>1368</v>
          </cell>
        </row>
        <row r="20309">
          <cell r="F20309" t="str">
            <v xml:space="preserve">80276442       </v>
          </cell>
          <cell r="O20309">
            <v>360</v>
          </cell>
        </row>
        <row r="20310">
          <cell r="F20310" t="str">
            <v xml:space="preserve">80276442       </v>
          </cell>
          <cell r="O20310">
            <v>2700</v>
          </cell>
        </row>
        <row r="20311">
          <cell r="F20311" t="str">
            <v xml:space="preserve">4090572        </v>
          </cell>
          <cell r="O20311">
            <v>360</v>
          </cell>
        </row>
        <row r="20312">
          <cell r="F20312" t="str">
            <v xml:space="preserve">4090572        </v>
          </cell>
          <cell r="O20312">
            <v>45</v>
          </cell>
        </row>
        <row r="20313">
          <cell r="F20313" t="str">
            <v xml:space="preserve">4090572        </v>
          </cell>
          <cell r="O20313">
            <v>15</v>
          </cell>
        </row>
        <row r="20314">
          <cell r="F20314" t="str">
            <v xml:space="preserve">4090572        </v>
          </cell>
          <cell r="O20314">
            <v>306</v>
          </cell>
        </row>
        <row r="20315">
          <cell r="F20315" t="str">
            <v xml:space="preserve">4090572        </v>
          </cell>
          <cell r="O20315">
            <v>90</v>
          </cell>
        </row>
        <row r="20316">
          <cell r="F20316" t="str">
            <v xml:space="preserve">79210220       </v>
          </cell>
          <cell r="O20316">
            <v>27</v>
          </cell>
        </row>
        <row r="20317">
          <cell r="F20317" t="str">
            <v xml:space="preserve">79210220       </v>
          </cell>
          <cell r="O20317">
            <v>30</v>
          </cell>
        </row>
        <row r="20318">
          <cell r="F20318" t="str">
            <v xml:space="preserve">79210220       </v>
          </cell>
          <cell r="O20318">
            <v>180</v>
          </cell>
        </row>
        <row r="20319">
          <cell r="F20319" t="str">
            <v xml:space="preserve">79210220       </v>
          </cell>
          <cell r="O20319">
            <v>90</v>
          </cell>
        </row>
        <row r="20320">
          <cell r="F20320" t="str">
            <v xml:space="preserve">79589699       </v>
          </cell>
          <cell r="O20320">
            <v>72</v>
          </cell>
        </row>
        <row r="20321">
          <cell r="F20321" t="str">
            <v xml:space="preserve">79589699       </v>
          </cell>
          <cell r="O20321">
            <v>135</v>
          </cell>
        </row>
        <row r="20322">
          <cell r="F20322" t="str">
            <v xml:space="preserve">79589699       </v>
          </cell>
          <cell r="O20322">
            <v>2304</v>
          </cell>
        </row>
        <row r="20323">
          <cell r="F20323" t="str">
            <v xml:space="preserve">79589699       </v>
          </cell>
          <cell r="O20323">
            <v>450</v>
          </cell>
        </row>
        <row r="20324">
          <cell r="F20324" t="str">
            <v xml:space="preserve">80024551       </v>
          </cell>
          <cell r="O20324">
            <v>90</v>
          </cell>
        </row>
        <row r="20325">
          <cell r="F20325" t="str">
            <v xml:space="preserve">80024551       </v>
          </cell>
          <cell r="O20325">
            <v>684</v>
          </cell>
        </row>
        <row r="20326">
          <cell r="F20326" t="str">
            <v xml:space="preserve">80024551       </v>
          </cell>
          <cell r="O20326">
            <v>270</v>
          </cell>
        </row>
        <row r="20327">
          <cell r="F20327" t="str">
            <v xml:space="preserve">830133323      </v>
          </cell>
          <cell r="O20327">
            <v>135</v>
          </cell>
        </row>
        <row r="20328">
          <cell r="F20328" t="str">
            <v xml:space="preserve">860519235      </v>
          </cell>
          <cell r="O20328">
            <v>90</v>
          </cell>
        </row>
        <row r="20329">
          <cell r="F20329" t="str">
            <v xml:space="preserve">4198272        </v>
          </cell>
          <cell r="O20329">
            <v>720</v>
          </cell>
        </row>
        <row r="20330">
          <cell r="F20330" t="str">
            <v xml:space="preserve">4198272        </v>
          </cell>
          <cell r="O20330">
            <v>135</v>
          </cell>
        </row>
        <row r="20331">
          <cell r="F20331" t="str">
            <v xml:space="preserve">4198272        </v>
          </cell>
          <cell r="O20331">
            <v>90</v>
          </cell>
        </row>
        <row r="20332">
          <cell r="F20332" t="str">
            <v xml:space="preserve">4198272        </v>
          </cell>
          <cell r="O20332">
            <v>684</v>
          </cell>
        </row>
        <row r="20333">
          <cell r="F20333" t="str">
            <v xml:space="preserve">4198272        </v>
          </cell>
          <cell r="O20333">
            <v>45</v>
          </cell>
        </row>
        <row r="20334">
          <cell r="F20334" t="str">
            <v xml:space="preserve">4090806        </v>
          </cell>
          <cell r="O20334">
            <v>54</v>
          </cell>
        </row>
        <row r="20335">
          <cell r="F20335" t="str">
            <v xml:space="preserve">4090806        </v>
          </cell>
          <cell r="O20335">
            <v>144</v>
          </cell>
        </row>
        <row r="20336">
          <cell r="F20336" t="str">
            <v xml:space="preserve">4090806        </v>
          </cell>
          <cell r="O20336">
            <v>90</v>
          </cell>
        </row>
        <row r="20337">
          <cell r="F20337" t="str">
            <v xml:space="preserve">4090806        </v>
          </cell>
          <cell r="O20337">
            <v>1170</v>
          </cell>
        </row>
        <row r="20338">
          <cell r="F20338" t="str">
            <v xml:space="preserve">4090806        </v>
          </cell>
          <cell r="O20338">
            <v>360</v>
          </cell>
        </row>
        <row r="20339">
          <cell r="F20339" t="str">
            <v xml:space="preserve">4090806        </v>
          </cell>
          <cell r="O20339">
            <v>270</v>
          </cell>
        </row>
        <row r="20340">
          <cell r="F20340" t="str">
            <v xml:space="preserve">1049794120     </v>
          </cell>
          <cell r="O20340">
            <v>540</v>
          </cell>
        </row>
        <row r="20341">
          <cell r="F20341" t="str">
            <v xml:space="preserve">1049794120     </v>
          </cell>
          <cell r="O20341">
            <v>90</v>
          </cell>
        </row>
        <row r="20342">
          <cell r="F20342" t="str">
            <v xml:space="preserve">1049794120     </v>
          </cell>
          <cell r="O20342">
            <v>270</v>
          </cell>
        </row>
        <row r="20343">
          <cell r="F20343" t="str">
            <v xml:space="preserve">1049794120     </v>
          </cell>
          <cell r="O20343">
            <v>135</v>
          </cell>
        </row>
        <row r="20344">
          <cell r="F20344" t="str">
            <v xml:space="preserve">80004213       </v>
          </cell>
          <cell r="O20344">
            <v>180</v>
          </cell>
        </row>
        <row r="20345">
          <cell r="F20345" t="str">
            <v xml:space="preserve">80004213       </v>
          </cell>
          <cell r="O20345">
            <v>720</v>
          </cell>
        </row>
        <row r="20346">
          <cell r="F20346" t="str">
            <v xml:space="preserve">80004213       </v>
          </cell>
          <cell r="O20346">
            <v>315</v>
          </cell>
        </row>
        <row r="20347">
          <cell r="F20347" t="str">
            <v xml:space="preserve">98330118       </v>
          </cell>
          <cell r="O20347">
            <v>150</v>
          </cell>
        </row>
        <row r="20348">
          <cell r="F20348" t="str">
            <v xml:space="preserve">1126452165     </v>
          </cell>
          <cell r="O20348">
            <v>300</v>
          </cell>
        </row>
        <row r="20349">
          <cell r="F20349" t="str">
            <v xml:space="preserve">1126452165     </v>
          </cell>
          <cell r="O20349">
            <v>36</v>
          </cell>
        </row>
        <row r="20350">
          <cell r="F20350" t="str">
            <v xml:space="preserve">1126452165     </v>
          </cell>
          <cell r="O20350">
            <v>450</v>
          </cell>
        </row>
        <row r="20351">
          <cell r="F20351" t="str">
            <v xml:space="preserve">79339314       </v>
          </cell>
          <cell r="O20351">
            <v>135</v>
          </cell>
        </row>
        <row r="20352">
          <cell r="F20352" t="str">
            <v xml:space="preserve">79339314       </v>
          </cell>
          <cell r="O20352">
            <v>72</v>
          </cell>
        </row>
        <row r="20353">
          <cell r="F20353" t="str">
            <v xml:space="preserve">79339314       </v>
          </cell>
          <cell r="O20353">
            <v>90</v>
          </cell>
        </row>
        <row r="20354">
          <cell r="F20354" t="str">
            <v xml:space="preserve">11379585       </v>
          </cell>
          <cell r="O20354">
            <v>720</v>
          </cell>
        </row>
        <row r="20355">
          <cell r="F20355" t="str">
            <v xml:space="preserve">11379585       </v>
          </cell>
          <cell r="O20355">
            <v>675</v>
          </cell>
        </row>
        <row r="20356">
          <cell r="F20356" t="str">
            <v xml:space="preserve">11379585       </v>
          </cell>
          <cell r="O20356">
            <v>15</v>
          </cell>
        </row>
        <row r="20357">
          <cell r="F20357" t="str">
            <v xml:space="preserve">11379585       </v>
          </cell>
          <cell r="O20357">
            <v>738</v>
          </cell>
        </row>
        <row r="20358">
          <cell r="F20358" t="str">
            <v xml:space="preserve">11379585       </v>
          </cell>
          <cell r="O20358">
            <v>540</v>
          </cell>
        </row>
        <row r="20359">
          <cell r="F20359" t="str">
            <v xml:space="preserve">3171403        </v>
          </cell>
          <cell r="O20359">
            <v>15</v>
          </cell>
        </row>
        <row r="20360">
          <cell r="F20360" t="str">
            <v xml:space="preserve">3171403        </v>
          </cell>
          <cell r="O20360">
            <v>360</v>
          </cell>
        </row>
        <row r="20361">
          <cell r="F20361" t="str">
            <v xml:space="preserve">3171403        </v>
          </cell>
          <cell r="O20361">
            <v>180</v>
          </cell>
        </row>
        <row r="20362">
          <cell r="F20362" t="str">
            <v xml:space="preserve">83218584       </v>
          </cell>
          <cell r="O20362">
            <v>630</v>
          </cell>
        </row>
        <row r="20363">
          <cell r="F20363" t="str">
            <v xml:space="preserve">83218584       </v>
          </cell>
          <cell r="O20363">
            <v>162</v>
          </cell>
        </row>
        <row r="20364">
          <cell r="F20364" t="str">
            <v xml:space="preserve">83218584       </v>
          </cell>
          <cell r="O20364">
            <v>165</v>
          </cell>
        </row>
        <row r="20365">
          <cell r="F20365" t="str">
            <v xml:space="preserve">83218584       </v>
          </cell>
          <cell r="O20365">
            <v>225</v>
          </cell>
        </row>
        <row r="20366">
          <cell r="F20366" t="str">
            <v xml:space="preserve">7305728        </v>
          </cell>
          <cell r="O20366">
            <v>345</v>
          </cell>
        </row>
        <row r="20367">
          <cell r="F20367" t="str">
            <v xml:space="preserve">7305728        </v>
          </cell>
          <cell r="O20367">
            <v>396</v>
          </cell>
        </row>
        <row r="20368">
          <cell r="F20368" t="str">
            <v xml:space="preserve">7305728        </v>
          </cell>
          <cell r="O20368">
            <v>18</v>
          </cell>
        </row>
        <row r="20369">
          <cell r="F20369" t="str">
            <v xml:space="preserve">51856228       </v>
          </cell>
          <cell r="O20369">
            <v>117</v>
          </cell>
        </row>
        <row r="20370">
          <cell r="F20370" t="str">
            <v xml:space="preserve">51856228       </v>
          </cell>
          <cell r="O20370">
            <v>30</v>
          </cell>
        </row>
        <row r="20371">
          <cell r="F20371" t="str">
            <v xml:space="preserve">51856228       </v>
          </cell>
          <cell r="O20371">
            <v>918</v>
          </cell>
        </row>
        <row r="20372">
          <cell r="F20372" t="str">
            <v xml:space="preserve">51856228       </v>
          </cell>
          <cell r="O20372">
            <v>180</v>
          </cell>
        </row>
        <row r="20373">
          <cell r="F20373" t="str">
            <v xml:space="preserve">94392704       </v>
          </cell>
          <cell r="O20373">
            <v>2250</v>
          </cell>
        </row>
        <row r="20374">
          <cell r="F20374" t="str">
            <v xml:space="preserve">94392704       </v>
          </cell>
          <cell r="O20374">
            <v>1035</v>
          </cell>
        </row>
        <row r="20375">
          <cell r="F20375" t="str">
            <v xml:space="preserve">94392704       </v>
          </cell>
          <cell r="O20375">
            <v>45</v>
          </cell>
        </row>
        <row r="20376">
          <cell r="F20376" t="str">
            <v xml:space="preserve">63316163       </v>
          </cell>
          <cell r="O20376">
            <v>675</v>
          </cell>
        </row>
        <row r="20377">
          <cell r="F20377" t="str">
            <v xml:space="preserve">63316163       </v>
          </cell>
          <cell r="O20377">
            <v>1620</v>
          </cell>
        </row>
        <row r="20378">
          <cell r="F20378" t="str">
            <v xml:space="preserve">1114887745     </v>
          </cell>
          <cell r="O20378">
            <v>612</v>
          </cell>
        </row>
        <row r="20379">
          <cell r="F20379" t="str">
            <v xml:space="preserve">1112626290     </v>
          </cell>
          <cell r="O20379">
            <v>90</v>
          </cell>
        </row>
        <row r="20380">
          <cell r="F20380" t="str">
            <v xml:space="preserve">1112626290     </v>
          </cell>
          <cell r="O20380">
            <v>60</v>
          </cell>
        </row>
        <row r="20381">
          <cell r="F20381" t="str">
            <v xml:space="preserve">1097404034     </v>
          </cell>
          <cell r="O20381">
            <v>165</v>
          </cell>
        </row>
        <row r="20382">
          <cell r="F20382" t="str">
            <v xml:space="preserve">1097404034     </v>
          </cell>
          <cell r="O20382">
            <v>504</v>
          </cell>
        </row>
        <row r="20383">
          <cell r="F20383" t="str">
            <v xml:space="preserve">1097404034     </v>
          </cell>
          <cell r="O20383">
            <v>270</v>
          </cell>
        </row>
        <row r="20384">
          <cell r="F20384" t="str">
            <v xml:space="preserve">1097404034     </v>
          </cell>
          <cell r="O20384">
            <v>9</v>
          </cell>
        </row>
        <row r="20385">
          <cell r="F20385" t="str">
            <v xml:space="preserve">1097404034     </v>
          </cell>
          <cell r="O20385">
            <v>2520</v>
          </cell>
        </row>
        <row r="20386">
          <cell r="F20386" t="str">
            <v xml:space="preserve">1097404034     </v>
          </cell>
          <cell r="O20386">
            <v>234</v>
          </cell>
        </row>
        <row r="20387">
          <cell r="F20387" t="str">
            <v xml:space="preserve">860000996      </v>
          </cell>
          <cell r="O20387">
            <v>18</v>
          </cell>
        </row>
        <row r="20388">
          <cell r="F20388" t="str">
            <v xml:space="preserve">860000996      </v>
          </cell>
          <cell r="O20388">
            <v>18</v>
          </cell>
        </row>
        <row r="20389">
          <cell r="F20389" t="str">
            <v xml:space="preserve">10185600       </v>
          </cell>
          <cell r="O20389">
            <v>120</v>
          </cell>
        </row>
        <row r="20390">
          <cell r="F20390" t="str">
            <v xml:space="preserve">10185600       </v>
          </cell>
          <cell r="O20390">
            <v>180</v>
          </cell>
        </row>
        <row r="20391">
          <cell r="F20391" t="str">
            <v xml:space="preserve">10185600       </v>
          </cell>
          <cell r="O20391">
            <v>225</v>
          </cell>
        </row>
        <row r="20392">
          <cell r="F20392" t="str">
            <v xml:space="preserve">10185600       </v>
          </cell>
          <cell r="O20392">
            <v>720</v>
          </cell>
        </row>
        <row r="20393">
          <cell r="F20393" t="str">
            <v xml:space="preserve">10185600       </v>
          </cell>
          <cell r="O20393">
            <v>1044</v>
          </cell>
        </row>
        <row r="20394">
          <cell r="F20394" t="str">
            <v xml:space="preserve">901331542      </v>
          </cell>
          <cell r="O20394">
            <v>315</v>
          </cell>
        </row>
        <row r="20395">
          <cell r="F20395" t="str">
            <v xml:space="preserve">94071517       </v>
          </cell>
          <cell r="O20395">
            <v>330</v>
          </cell>
        </row>
        <row r="20396">
          <cell r="F20396" t="str">
            <v xml:space="preserve">94071517       </v>
          </cell>
          <cell r="O20396">
            <v>54</v>
          </cell>
        </row>
        <row r="20397">
          <cell r="F20397" t="str">
            <v xml:space="preserve">94071517       </v>
          </cell>
          <cell r="O20397">
            <v>225</v>
          </cell>
        </row>
        <row r="20398">
          <cell r="F20398" t="str">
            <v xml:space="preserve">94071517       </v>
          </cell>
          <cell r="O20398">
            <v>90</v>
          </cell>
        </row>
        <row r="20399">
          <cell r="F20399" t="str">
            <v xml:space="preserve">94071517       </v>
          </cell>
          <cell r="O20399">
            <v>90</v>
          </cell>
        </row>
        <row r="20400">
          <cell r="F20400" t="str">
            <v xml:space="preserve">94071517       </v>
          </cell>
          <cell r="O20400">
            <v>420</v>
          </cell>
        </row>
        <row r="20401">
          <cell r="F20401" t="str">
            <v xml:space="preserve">8435389        </v>
          </cell>
          <cell r="O20401">
            <v>525</v>
          </cell>
        </row>
        <row r="20402">
          <cell r="F20402" t="str">
            <v xml:space="preserve">8435389        </v>
          </cell>
          <cell r="O20402">
            <v>648</v>
          </cell>
        </row>
        <row r="20403">
          <cell r="F20403" t="str">
            <v xml:space="preserve">8435389        </v>
          </cell>
          <cell r="O20403">
            <v>90</v>
          </cell>
        </row>
        <row r="20404">
          <cell r="F20404" t="str">
            <v xml:space="preserve">8435389        </v>
          </cell>
          <cell r="O20404">
            <v>198</v>
          </cell>
        </row>
        <row r="20405">
          <cell r="F20405" t="str">
            <v xml:space="preserve">8435389        </v>
          </cell>
          <cell r="O20405">
            <v>1728</v>
          </cell>
        </row>
        <row r="20406">
          <cell r="F20406" t="str">
            <v xml:space="preserve">8458310        </v>
          </cell>
          <cell r="O20406">
            <v>15</v>
          </cell>
        </row>
        <row r="20407">
          <cell r="F20407" t="str">
            <v xml:space="preserve">8458310        </v>
          </cell>
          <cell r="O20407">
            <v>342</v>
          </cell>
        </row>
        <row r="20408">
          <cell r="F20408" t="str">
            <v xml:space="preserve">8458310        </v>
          </cell>
          <cell r="O20408">
            <v>270</v>
          </cell>
        </row>
        <row r="20409">
          <cell r="F20409" t="str">
            <v xml:space="preserve">8101796        </v>
          </cell>
          <cell r="O20409">
            <v>1836</v>
          </cell>
        </row>
        <row r="20410">
          <cell r="F20410" t="str">
            <v xml:space="preserve">8101796        </v>
          </cell>
          <cell r="O20410">
            <v>135</v>
          </cell>
        </row>
        <row r="20411">
          <cell r="F20411" t="str">
            <v xml:space="preserve">8101796        </v>
          </cell>
          <cell r="O20411">
            <v>135</v>
          </cell>
        </row>
        <row r="20412">
          <cell r="F20412" t="str">
            <v xml:space="preserve">8101796        </v>
          </cell>
          <cell r="O20412">
            <v>480</v>
          </cell>
        </row>
        <row r="20413">
          <cell r="F20413" t="str">
            <v xml:space="preserve">8101796        </v>
          </cell>
          <cell r="O20413">
            <v>2124</v>
          </cell>
        </row>
        <row r="20414">
          <cell r="F20414" t="str">
            <v xml:space="preserve">71174894       </v>
          </cell>
          <cell r="O20414">
            <v>2400</v>
          </cell>
        </row>
        <row r="20415">
          <cell r="F20415" t="str">
            <v xml:space="preserve">71174894       </v>
          </cell>
          <cell r="O20415">
            <v>144</v>
          </cell>
        </row>
        <row r="20416">
          <cell r="F20416" t="str">
            <v xml:space="preserve">71174894       </v>
          </cell>
          <cell r="O20416">
            <v>360</v>
          </cell>
        </row>
        <row r="20417">
          <cell r="F20417" t="str">
            <v xml:space="preserve">71174894       </v>
          </cell>
          <cell r="O20417">
            <v>30</v>
          </cell>
        </row>
        <row r="20418">
          <cell r="F20418" t="str">
            <v xml:space="preserve">71174894       </v>
          </cell>
          <cell r="O20418">
            <v>90</v>
          </cell>
        </row>
        <row r="20419">
          <cell r="F20419" t="str">
            <v xml:space="preserve">71174894       </v>
          </cell>
          <cell r="O20419">
            <v>540</v>
          </cell>
        </row>
        <row r="20420">
          <cell r="F20420" t="str">
            <v xml:space="preserve">71174894       </v>
          </cell>
          <cell r="O20420">
            <v>1935</v>
          </cell>
        </row>
        <row r="20421">
          <cell r="F20421" t="str">
            <v xml:space="preserve">71174894       </v>
          </cell>
          <cell r="O20421">
            <v>360</v>
          </cell>
        </row>
        <row r="20422">
          <cell r="F20422" t="str">
            <v xml:space="preserve">1101440685     </v>
          </cell>
          <cell r="O20422">
            <v>270</v>
          </cell>
        </row>
        <row r="20423">
          <cell r="F20423" t="str">
            <v xml:space="preserve">1101440685     </v>
          </cell>
          <cell r="O20423">
            <v>756</v>
          </cell>
        </row>
        <row r="20424">
          <cell r="F20424" t="str">
            <v xml:space="preserve">901269856      </v>
          </cell>
          <cell r="O20424">
            <v>450</v>
          </cell>
        </row>
        <row r="20425">
          <cell r="F20425" t="str">
            <v xml:space="preserve">1023722736     </v>
          </cell>
          <cell r="O20425">
            <v>540</v>
          </cell>
        </row>
        <row r="20426">
          <cell r="F20426" t="str">
            <v xml:space="preserve">1023722736     </v>
          </cell>
          <cell r="O20426">
            <v>180</v>
          </cell>
        </row>
        <row r="20427">
          <cell r="F20427" t="str">
            <v xml:space="preserve">1039696881     </v>
          </cell>
          <cell r="O20427">
            <v>1440</v>
          </cell>
        </row>
        <row r="20428">
          <cell r="F20428" t="str">
            <v xml:space="preserve">1039696881     </v>
          </cell>
          <cell r="O20428">
            <v>936</v>
          </cell>
        </row>
        <row r="20429">
          <cell r="F20429" t="str">
            <v xml:space="preserve">1039696881     </v>
          </cell>
          <cell r="O20429">
            <v>864</v>
          </cell>
        </row>
        <row r="20430">
          <cell r="F20430" t="str">
            <v xml:space="preserve">1039696881     </v>
          </cell>
          <cell r="O20430">
            <v>4.5</v>
          </cell>
        </row>
        <row r="20431">
          <cell r="F20431" t="str">
            <v xml:space="preserve">1039696881     </v>
          </cell>
          <cell r="O20431">
            <v>1566</v>
          </cell>
        </row>
        <row r="20432">
          <cell r="F20432" t="str">
            <v xml:space="preserve">1039696881     </v>
          </cell>
          <cell r="O20432">
            <v>1458</v>
          </cell>
        </row>
        <row r="20433">
          <cell r="F20433" t="str">
            <v xml:space="preserve">1039696881     </v>
          </cell>
          <cell r="O20433">
            <v>45</v>
          </cell>
        </row>
        <row r="20434">
          <cell r="F20434" t="str">
            <v xml:space="preserve">16186973       </v>
          </cell>
          <cell r="O20434">
            <v>720</v>
          </cell>
        </row>
        <row r="20435">
          <cell r="F20435" t="str">
            <v xml:space="preserve">16186973       </v>
          </cell>
          <cell r="O20435">
            <v>720</v>
          </cell>
        </row>
        <row r="20436">
          <cell r="F20436" t="str">
            <v xml:space="preserve">16186973       </v>
          </cell>
          <cell r="O20436">
            <v>360</v>
          </cell>
        </row>
        <row r="20437">
          <cell r="F20437" t="str">
            <v xml:space="preserve">16186973       </v>
          </cell>
          <cell r="O20437">
            <v>27</v>
          </cell>
        </row>
        <row r="20438">
          <cell r="F20438" t="str">
            <v xml:space="preserve">16186973       </v>
          </cell>
          <cell r="O20438">
            <v>30</v>
          </cell>
        </row>
        <row r="20439">
          <cell r="F20439" t="str">
            <v xml:space="preserve">16553709       </v>
          </cell>
          <cell r="O20439">
            <v>180</v>
          </cell>
        </row>
        <row r="20440">
          <cell r="F20440" t="str">
            <v xml:space="preserve">16553709       </v>
          </cell>
          <cell r="O20440">
            <v>150</v>
          </cell>
        </row>
        <row r="20441">
          <cell r="F20441" t="str">
            <v xml:space="preserve">16553709       </v>
          </cell>
          <cell r="O20441">
            <v>180</v>
          </cell>
        </row>
        <row r="20442">
          <cell r="F20442" t="str">
            <v xml:space="preserve">16553709       </v>
          </cell>
          <cell r="O20442">
            <v>90</v>
          </cell>
        </row>
        <row r="20443">
          <cell r="F20443" t="str">
            <v xml:space="preserve">1070329625     </v>
          </cell>
          <cell r="O20443">
            <v>90</v>
          </cell>
        </row>
        <row r="20444">
          <cell r="F20444" t="str">
            <v xml:space="preserve">1070329625     </v>
          </cell>
          <cell r="O20444">
            <v>900</v>
          </cell>
        </row>
        <row r="20445">
          <cell r="F20445" t="str">
            <v xml:space="preserve">1070329625     </v>
          </cell>
          <cell r="O20445">
            <v>450</v>
          </cell>
        </row>
        <row r="20446">
          <cell r="F20446" t="str">
            <v xml:space="preserve">1070329625     </v>
          </cell>
          <cell r="O20446">
            <v>180</v>
          </cell>
        </row>
        <row r="20447">
          <cell r="F20447" t="str">
            <v xml:space="preserve">1070329625     </v>
          </cell>
          <cell r="O20447">
            <v>315</v>
          </cell>
        </row>
        <row r="20448">
          <cell r="F20448" t="str">
            <v xml:space="preserve">1070329625     </v>
          </cell>
          <cell r="O20448">
            <v>1620</v>
          </cell>
        </row>
        <row r="20449">
          <cell r="F20449" t="str">
            <v xml:space="preserve">1070329625     </v>
          </cell>
          <cell r="O20449">
            <v>135</v>
          </cell>
        </row>
        <row r="20450">
          <cell r="F20450" t="str">
            <v xml:space="preserve">1092154547     </v>
          </cell>
          <cell r="O20450">
            <v>9</v>
          </cell>
        </row>
        <row r="20451">
          <cell r="F20451" t="str">
            <v xml:space="preserve">1092154547     </v>
          </cell>
          <cell r="O20451">
            <v>120</v>
          </cell>
        </row>
        <row r="20452">
          <cell r="F20452" t="str">
            <v xml:space="preserve">1092154547     </v>
          </cell>
          <cell r="O20452">
            <v>684</v>
          </cell>
        </row>
        <row r="20453">
          <cell r="F20453" t="str">
            <v xml:space="preserve">1092154547     </v>
          </cell>
          <cell r="O20453">
            <v>135</v>
          </cell>
        </row>
        <row r="20454">
          <cell r="F20454" t="str">
            <v xml:space="preserve">1092154547     </v>
          </cell>
          <cell r="O20454">
            <v>1332</v>
          </cell>
        </row>
        <row r="20455">
          <cell r="F20455" t="str">
            <v xml:space="preserve">15342410       </v>
          </cell>
          <cell r="O20455">
            <v>180</v>
          </cell>
        </row>
        <row r="20456">
          <cell r="F20456" t="str">
            <v xml:space="preserve">15342410       </v>
          </cell>
          <cell r="O20456">
            <v>750</v>
          </cell>
        </row>
        <row r="20457">
          <cell r="F20457" t="str">
            <v xml:space="preserve">91352291       </v>
          </cell>
          <cell r="O20457">
            <v>4.5</v>
          </cell>
        </row>
        <row r="20458">
          <cell r="F20458" t="str">
            <v xml:space="preserve">91352291       </v>
          </cell>
          <cell r="O20458">
            <v>75</v>
          </cell>
        </row>
        <row r="20459">
          <cell r="F20459" t="str">
            <v xml:space="preserve">91352291       </v>
          </cell>
          <cell r="O20459">
            <v>135</v>
          </cell>
        </row>
        <row r="20460">
          <cell r="F20460" t="str">
            <v xml:space="preserve">91352291       </v>
          </cell>
          <cell r="O20460">
            <v>162</v>
          </cell>
        </row>
        <row r="20461">
          <cell r="F20461" t="str">
            <v xml:space="preserve">91352291       </v>
          </cell>
          <cell r="O20461">
            <v>15</v>
          </cell>
        </row>
        <row r="20462">
          <cell r="F20462" t="str">
            <v xml:space="preserve">91352291       </v>
          </cell>
          <cell r="O20462">
            <v>45</v>
          </cell>
        </row>
        <row r="20463">
          <cell r="F20463" t="str">
            <v xml:space="preserve">91352291       </v>
          </cell>
          <cell r="O20463">
            <v>45</v>
          </cell>
        </row>
        <row r="20464">
          <cell r="F20464" t="str">
            <v xml:space="preserve">91352291       </v>
          </cell>
          <cell r="O20464">
            <v>105</v>
          </cell>
        </row>
        <row r="20465">
          <cell r="F20465" t="str">
            <v xml:space="preserve">91352291       </v>
          </cell>
          <cell r="O20465">
            <v>306</v>
          </cell>
        </row>
        <row r="20466">
          <cell r="F20466" t="str">
            <v xml:space="preserve">91352291       </v>
          </cell>
          <cell r="O20466">
            <v>45</v>
          </cell>
        </row>
        <row r="20467">
          <cell r="F20467" t="str">
            <v xml:space="preserve">91352291       </v>
          </cell>
          <cell r="O20467">
            <v>18</v>
          </cell>
        </row>
        <row r="20468">
          <cell r="F20468" t="str">
            <v xml:space="preserve">91352291       </v>
          </cell>
          <cell r="O20468">
            <v>15</v>
          </cell>
        </row>
        <row r="20469">
          <cell r="F20469" t="str">
            <v xml:space="preserve">91352291       </v>
          </cell>
          <cell r="O20469">
            <v>36</v>
          </cell>
        </row>
        <row r="20470">
          <cell r="F20470" t="str">
            <v xml:space="preserve">91352291       </v>
          </cell>
          <cell r="O20470">
            <v>15</v>
          </cell>
        </row>
        <row r="20471">
          <cell r="F20471" t="str">
            <v xml:space="preserve">91352291       </v>
          </cell>
          <cell r="O20471">
            <v>270</v>
          </cell>
        </row>
        <row r="20472">
          <cell r="F20472" t="str">
            <v xml:space="preserve">15381508       </v>
          </cell>
          <cell r="O20472">
            <v>315</v>
          </cell>
        </row>
        <row r="20473">
          <cell r="F20473" t="str">
            <v xml:space="preserve">15381508       </v>
          </cell>
          <cell r="O20473">
            <v>414</v>
          </cell>
        </row>
        <row r="20474">
          <cell r="F20474" t="str">
            <v xml:space="preserve">15381508       </v>
          </cell>
          <cell r="O20474">
            <v>180</v>
          </cell>
        </row>
        <row r="20475">
          <cell r="F20475" t="str">
            <v xml:space="preserve">10178861       </v>
          </cell>
          <cell r="O20475">
            <v>1044</v>
          </cell>
        </row>
        <row r="20476">
          <cell r="F20476" t="str">
            <v xml:space="preserve">10178861       </v>
          </cell>
          <cell r="O20476">
            <v>135</v>
          </cell>
        </row>
        <row r="20477">
          <cell r="F20477" t="str">
            <v xml:space="preserve">1105671149     </v>
          </cell>
          <cell r="O20477">
            <v>54</v>
          </cell>
        </row>
        <row r="20478">
          <cell r="F20478" t="str">
            <v xml:space="preserve">1105671149     </v>
          </cell>
          <cell r="O20478">
            <v>540</v>
          </cell>
        </row>
        <row r="20479">
          <cell r="F20479" t="str">
            <v xml:space="preserve">1105671149     </v>
          </cell>
          <cell r="O20479">
            <v>405</v>
          </cell>
        </row>
        <row r="20480">
          <cell r="F20480" t="str">
            <v xml:space="preserve">1105671149     </v>
          </cell>
          <cell r="O20480">
            <v>135</v>
          </cell>
        </row>
        <row r="20481">
          <cell r="F20481" t="str">
            <v xml:space="preserve">1105671149     </v>
          </cell>
          <cell r="O20481">
            <v>270</v>
          </cell>
        </row>
        <row r="20482">
          <cell r="F20482" t="str">
            <v xml:space="preserve">1105671149     </v>
          </cell>
          <cell r="O20482">
            <v>210</v>
          </cell>
        </row>
        <row r="20483">
          <cell r="F20483" t="str">
            <v xml:space="preserve">1105671149     </v>
          </cell>
          <cell r="O20483">
            <v>792</v>
          </cell>
        </row>
        <row r="20484">
          <cell r="F20484" t="str">
            <v xml:space="preserve">1105671149     </v>
          </cell>
          <cell r="O20484">
            <v>180</v>
          </cell>
        </row>
        <row r="20485">
          <cell r="F20485" t="str">
            <v xml:space="preserve">1105671149     </v>
          </cell>
          <cell r="O20485">
            <v>870</v>
          </cell>
        </row>
        <row r="20486">
          <cell r="F20486" t="str">
            <v xml:space="preserve">1105671149     </v>
          </cell>
          <cell r="O20486">
            <v>1098</v>
          </cell>
        </row>
        <row r="20487">
          <cell r="F20487" t="str">
            <v xml:space="preserve">1105671149     </v>
          </cell>
          <cell r="O20487">
            <v>1062</v>
          </cell>
        </row>
        <row r="20488">
          <cell r="F20488" t="str">
            <v xml:space="preserve">88273778       </v>
          </cell>
          <cell r="O20488">
            <v>840</v>
          </cell>
        </row>
        <row r="20489">
          <cell r="F20489" t="str">
            <v xml:space="preserve">88273778       </v>
          </cell>
          <cell r="O20489">
            <v>18</v>
          </cell>
        </row>
        <row r="20490">
          <cell r="F20490" t="str">
            <v xml:space="preserve">10174892       </v>
          </cell>
          <cell r="O20490">
            <v>720</v>
          </cell>
        </row>
        <row r="20491">
          <cell r="F20491" t="str">
            <v xml:space="preserve">10174892       </v>
          </cell>
          <cell r="O20491">
            <v>720</v>
          </cell>
        </row>
        <row r="20492">
          <cell r="F20492" t="str">
            <v xml:space="preserve">10174892       </v>
          </cell>
          <cell r="O20492">
            <v>540</v>
          </cell>
        </row>
        <row r="20493">
          <cell r="F20493" t="str">
            <v xml:space="preserve">10174892       </v>
          </cell>
          <cell r="O20493">
            <v>360</v>
          </cell>
        </row>
        <row r="20494">
          <cell r="F20494" t="str">
            <v xml:space="preserve">10174892       </v>
          </cell>
          <cell r="O20494">
            <v>225</v>
          </cell>
        </row>
        <row r="20495">
          <cell r="F20495" t="str">
            <v xml:space="preserve">10174892       </v>
          </cell>
          <cell r="O20495">
            <v>432</v>
          </cell>
        </row>
        <row r="20496">
          <cell r="F20496" t="str">
            <v xml:space="preserve">10174892       </v>
          </cell>
          <cell r="O20496">
            <v>135</v>
          </cell>
        </row>
        <row r="20497">
          <cell r="F20497" t="str">
            <v xml:space="preserve">10174892       </v>
          </cell>
          <cell r="O20497">
            <v>1080</v>
          </cell>
        </row>
        <row r="20498">
          <cell r="F20498" t="str">
            <v xml:space="preserve">10174892       </v>
          </cell>
          <cell r="O20498">
            <v>135</v>
          </cell>
        </row>
        <row r="20499">
          <cell r="F20499" t="str">
            <v xml:space="preserve">74283129       </v>
          </cell>
          <cell r="O20499">
            <v>486</v>
          </cell>
        </row>
        <row r="20500">
          <cell r="F20500" t="str">
            <v xml:space="preserve">74283129       </v>
          </cell>
          <cell r="O20500">
            <v>315</v>
          </cell>
        </row>
        <row r="20501">
          <cell r="F20501" t="str">
            <v xml:space="preserve">7250220        </v>
          </cell>
          <cell r="O20501">
            <v>60</v>
          </cell>
        </row>
        <row r="20502">
          <cell r="F20502" t="str">
            <v xml:space="preserve">7250220        </v>
          </cell>
          <cell r="O20502">
            <v>180</v>
          </cell>
        </row>
        <row r="20503">
          <cell r="F20503" t="str">
            <v xml:space="preserve">7250220        </v>
          </cell>
          <cell r="O20503">
            <v>180</v>
          </cell>
        </row>
        <row r="20504">
          <cell r="F20504" t="str">
            <v xml:space="preserve">7250220        </v>
          </cell>
          <cell r="O20504">
            <v>180</v>
          </cell>
        </row>
        <row r="20505">
          <cell r="F20505" t="str">
            <v xml:space="preserve">7250220        </v>
          </cell>
          <cell r="O20505">
            <v>45</v>
          </cell>
        </row>
        <row r="20506">
          <cell r="F20506" t="str">
            <v xml:space="preserve">13476066       </v>
          </cell>
          <cell r="O20506">
            <v>225</v>
          </cell>
        </row>
        <row r="20507">
          <cell r="F20507" t="str">
            <v xml:space="preserve">13476066       </v>
          </cell>
          <cell r="O20507">
            <v>315</v>
          </cell>
        </row>
        <row r="20508">
          <cell r="F20508" t="str">
            <v xml:space="preserve">98763233       </v>
          </cell>
          <cell r="O20508">
            <v>4.5</v>
          </cell>
        </row>
        <row r="20509">
          <cell r="F20509" t="str">
            <v xml:space="preserve">98763233       </v>
          </cell>
          <cell r="O20509">
            <v>15</v>
          </cell>
        </row>
        <row r="20510">
          <cell r="F20510" t="str">
            <v xml:space="preserve">98763233       </v>
          </cell>
          <cell r="O20510">
            <v>1602</v>
          </cell>
        </row>
        <row r="20511">
          <cell r="F20511" t="str">
            <v xml:space="preserve">98763233       </v>
          </cell>
          <cell r="O20511">
            <v>45</v>
          </cell>
        </row>
        <row r="20512">
          <cell r="F20512" t="str">
            <v xml:space="preserve">98763233       </v>
          </cell>
          <cell r="O20512">
            <v>30</v>
          </cell>
        </row>
        <row r="20513">
          <cell r="F20513" t="str">
            <v xml:space="preserve">98763233       </v>
          </cell>
          <cell r="O20513">
            <v>738</v>
          </cell>
        </row>
        <row r="20514">
          <cell r="F20514" t="str">
            <v xml:space="preserve">98763233       </v>
          </cell>
          <cell r="O20514">
            <v>234</v>
          </cell>
        </row>
        <row r="20515">
          <cell r="F20515" t="str">
            <v xml:space="preserve">98763233       </v>
          </cell>
          <cell r="O20515">
            <v>1026</v>
          </cell>
        </row>
        <row r="20516">
          <cell r="F20516" t="str">
            <v xml:space="preserve">98763233       </v>
          </cell>
          <cell r="O20516">
            <v>1170</v>
          </cell>
        </row>
        <row r="20517">
          <cell r="F20517" t="str">
            <v xml:space="preserve">98763233       </v>
          </cell>
          <cell r="O20517">
            <v>4.5</v>
          </cell>
        </row>
        <row r="20518">
          <cell r="F20518" t="str">
            <v xml:space="preserve">98763233       </v>
          </cell>
          <cell r="O20518">
            <v>15</v>
          </cell>
        </row>
        <row r="20519">
          <cell r="F20519" t="str">
            <v xml:space="preserve">98763233       </v>
          </cell>
          <cell r="O20519">
            <v>1242</v>
          </cell>
        </row>
        <row r="20520">
          <cell r="F20520" t="str">
            <v xml:space="preserve">10180926       </v>
          </cell>
          <cell r="O20520">
            <v>210</v>
          </cell>
        </row>
        <row r="20521">
          <cell r="F20521" t="str">
            <v xml:space="preserve">10180926       </v>
          </cell>
          <cell r="O20521">
            <v>450</v>
          </cell>
        </row>
        <row r="20522">
          <cell r="F20522" t="str">
            <v xml:space="preserve">10180926       </v>
          </cell>
          <cell r="O20522">
            <v>90</v>
          </cell>
        </row>
        <row r="20523">
          <cell r="F20523" t="str">
            <v xml:space="preserve">94265425       </v>
          </cell>
          <cell r="O20523">
            <v>1080</v>
          </cell>
        </row>
        <row r="20524">
          <cell r="F20524" t="str">
            <v xml:space="preserve">94265425       </v>
          </cell>
          <cell r="O20524">
            <v>360</v>
          </cell>
        </row>
        <row r="20525">
          <cell r="F20525" t="str">
            <v xml:space="preserve">94265425       </v>
          </cell>
          <cell r="O20525">
            <v>1314</v>
          </cell>
        </row>
        <row r="20526">
          <cell r="F20526" t="str">
            <v xml:space="preserve">94265425       </v>
          </cell>
          <cell r="O20526">
            <v>405</v>
          </cell>
        </row>
        <row r="20527">
          <cell r="F20527" t="str">
            <v xml:space="preserve">98711342       </v>
          </cell>
          <cell r="O20527">
            <v>4.5</v>
          </cell>
        </row>
        <row r="20528">
          <cell r="F20528" t="str">
            <v xml:space="preserve">98711342       </v>
          </cell>
          <cell r="O20528">
            <v>18</v>
          </cell>
        </row>
        <row r="20529">
          <cell r="F20529" t="str">
            <v xml:space="preserve">98711342       </v>
          </cell>
          <cell r="O20529">
            <v>378</v>
          </cell>
        </row>
        <row r="20530">
          <cell r="F20530" t="str">
            <v xml:space="preserve">98711342       </v>
          </cell>
          <cell r="O20530">
            <v>432</v>
          </cell>
        </row>
        <row r="20531">
          <cell r="F20531" t="str">
            <v xml:space="preserve">37726719       </v>
          </cell>
          <cell r="O20531">
            <v>360</v>
          </cell>
        </row>
        <row r="20532">
          <cell r="F20532" t="str">
            <v xml:space="preserve">37726719       </v>
          </cell>
          <cell r="O20532">
            <v>600</v>
          </cell>
        </row>
        <row r="20533">
          <cell r="F20533" t="str">
            <v xml:space="preserve">37726719       </v>
          </cell>
          <cell r="O20533">
            <v>1080</v>
          </cell>
        </row>
        <row r="20534">
          <cell r="F20534" t="str">
            <v xml:space="preserve">901113951      </v>
          </cell>
          <cell r="O20534">
            <v>135</v>
          </cell>
        </row>
        <row r="20535">
          <cell r="F20535" t="str">
            <v xml:space="preserve">901301637      </v>
          </cell>
          <cell r="O20535">
            <v>1305</v>
          </cell>
        </row>
        <row r="20536">
          <cell r="F20536" t="str">
            <v xml:space="preserve">901301637      </v>
          </cell>
          <cell r="O20536">
            <v>6462</v>
          </cell>
        </row>
        <row r="20537">
          <cell r="F20537" t="str">
            <v xml:space="preserve">901301637      </v>
          </cell>
          <cell r="O20537">
            <v>1050</v>
          </cell>
        </row>
        <row r="20538">
          <cell r="F20538" t="str">
            <v xml:space="preserve">901301637      </v>
          </cell>
          <cell r="O20538">
            <v>5598</v>
          </cell>
        </row>
        <row r="20539">
          <cell r="F20539" t="str">
            <v xml:space="preserve">901301637      </v>
          </cell>
          <cell r="O20539">
            <v>990</v>
          </cell>
        </row>
        <row r="20540">
          <cell r="F20540" t="str">
            <v xml:space="preserve">1036942800     </v>
          </cell>
          <cell r="O20540">
            <v>90</v>
          </cell>
        </row>
        <row r="20541">
          <cell r="F20541" t="str">
            <v xml:space="preserve">1036942800     </v>
          </cell>
          <cell r="O20541">
            <v>225</v>
          </cell>
        </row>
        <row r="20542">
          <cell r="F20542" t="str">
            <v xml:space="preserve">1036942800     </v>
          </cell>
          <cell r="O20542">
            <v>180</v>
          </cell>
        </row>
        <row r="20543">
          <cell r="F20543" t="str">
            <v xml:space="preserve">28686722       </v>
          </cell>
          <cell r="O20543">
            <v>135</v>
          </cell>
        </row>
        <row r="20544">
          <cell r="F20544" t="str">
            <v xml:space="preserve">28686722       </v>
          </cell>
          <cell r="O20544">
            <v>126</v>
          </cell>
        </row>
        <row r="20545">
          <cell r="F20545" t="str">
            <v xml:space="preserve">28686722       </v>
          </cell>
          <cell r="O20545">
            <v>900</v>
          </cell>
        </row>
        <row r="20546">
          <cell r="F20546" t="str">
            <v xml:space="preserve">28686722       </v>
          </cell>
          <cell r="O20546">
            <v>1815</v>
          </cell>
        </row>
        <row r="20547">
          <cell r="F20547" t="str">
            <v xml:space="preserve">28686722       </v>
          </cell>
          <cell r="O20547">
            <v>234</v>
          </cell>
        </row>
        <row r="20548">
          <cell r="F20548" t="str">
            <v xml:space="preserve">94420654       </v>
          </cell>
          <cell r="O20548">
            <v>252</v>
          </cell>
        </row>
        <row r="20549">
          <cell r="F20549" t="str">
            <v xml:space="preserve">1090397527     </v>
          </cell>
          <cell r="O20549">
            <v>405</v>
          </cell>
        </row>
        <row r="20550">
          <cell r="F20550" t="str">
            <v xml:space="preserve">1090397527     </v>
          </cell>
          <cell r="O20550">
            <v>270</v>
          </cell>
        </row>
        <row r="20551">
          <cell r="F20551" t="str">
            <v xml:space="preserve">1090397527     </v>
          </cell>
          <cell r="O20551">
            <v>180</v>
          </cell>
        </row>
        <row r="20552">
          <cell r="F20552" t="str">
            <v xml:space="preserve">1090397527     </v>
          </cell>
          <cell r="O20552">
            <v>450</v>
          </cell>
        </row>
        <row r="20553">
          <cell r="F20553" t="str">
            <v xml:space="preserve">1090397527     </v>
          </cell>
          <cell r="O20553">
            <v>675</v>
          </cell>
        </row>
        <row r="20554">
          <cell r="F20554" t="str">
            <v xml:space="preserve">1090397527     </v>
          </cell>
          <cell r="O20554">
            <v>180</v>
          </cell>
        </row>
        <row r="20555">
          <cell r="F20555" t="str">
            <v xml:space="preserve">1090397527     </v>
          </cell>
          <cell r="O20555">
            <v>585</v>
          </cell>
        </row>
        <row r="20556">
          <cell r="F20556" t="str">
            <v xml:space="preserve">1090397527     </v>
          </cell>
          <cell r="O20556">
            <v>285</v>
          </cell>
        </row>
        <row r="20557">
          <cell r="F20557" t="str">
            <v xml:space="preserve">1090397527     </v>
          </cell>
          <cell r="O20557">
            <v>540</v>
          </cell>
        </row>
        <row r="20558">
          <cell r="F20558" t="str">
            <v xml:space="preserve">1090397527     </v>
          </cell>
          <cell r="O20558">
            <v>510</v>
          </cell>
        </row>
        <row r="20559">
          <cell r="F20559" t="str">
            <v xml:space="preserve">1090397527     </v>
          </cell>
          <cell r="O20559">
            <v>54</v>
          </cell>
        </row>
        <row r="20560">
          <cell r="F20560" t="str">
            <v xml:space="preserve">1090397527     </v>
          </cell>
          <cell r="O20560">
            <v>270</v>
          </cell>
        </row>
        <row r="20561">
          <cell r="F20561" t="str">
            <v xml:space="preserve">1090397527     </v>
          </cell>
          <cell r="O20561">
            <v>1050</v>
          </cell>
        </row>
        <row r="20562">
          <cell r="F20562" t="str">
            <v xml:space="preserve">1090397527     </v>
          </cell>
          <cell r="O20562">
            <v>90</v>
          </cell>
        </row>
        <row r="20563">
          <cell r="F20563" t="str">
            <v xml:space="preserve">1090397527     </v>
          </cell>
          <cell r="O20563">
            <v>645</v>
          </cell>
        </row>
        <row r="20564">
          <cell r="F20564" t="str">
            <v xml:space="preserve">1090397527     </v>
          </cell>
          <cell r="O20564">
            <v>594</v>
          </cell>
        </row>
        <row r="20565">
          <cell r="F20565" t="str">
            <v xml:space="preserve">1090397527     </v>
          </cell>
          <cell r="O20565">
            <v>450</v>
          </cell>
        </row>
        <row r="20566">
          <cell r="F20566" t="str">
            <v xml:space="preserve">1090397527     </v>
          </cell>
          <cell r="O20566">
            <v>90</v>
          </cell>
        </row>
        <row r="20567">
          <cell r="F20567" t="str">
            <v xml:space="preserve">1090397527     </v>
          </cell>
          <cell r="O20567">
            <v>360</v>
          </cell>
        </row>
        <row r="20568">
          <cell r="F20568" t="str">
            <v xml:space="preserve">1100623000     </v>
          </cell>
          <cell r="O20568">
            <v>30</v>
          </cell>
        </row>
        <row r="20569">
          <cell r="F20569" t="str">
            <v xml:space="preserve">1100623000     </v>
          </cell>
          <cell r="O20569">
            <v>720</v>
          </cell>
        </row>
        <row r="20570">
          <cell r="F20570" t="str">
            <v xml:space="preserve">1053331458     </v>
          </cell>
          <cell r="O20570">
            <v>666</v>
          </cell>
        </row>
        <row r="20571">
          <cell r="F20571" t="str">
            <v xml:space="preserve">1053331458     </v>
          </cell>
          <cell r="O20571">
            <v>180</v>
          </cell>
        </row>
        <row r="20572">
          <cell r="F20572" t="str">
            <v xml:space="preserve">1053331458     </v>
          </cell>
          <cell r="O20572">
            <v>300</v>
          </cell>
        </row>
        <row r="20573">
          <cell r="F20573" t="str">
            <v xml:space="preserve">73126502       </v>
          </cell>
          <cell r="O20573">
            <v>105</v>
          </cell>
        </row>
        <row r="20574">
          <cell r="F20574" t="str">
            <v xml:space="preserve">73126502       </v>
          </cell>
          <cell r="O20574">
            <v>90</v>
          </cell>
        </row>
        <row r="20575">
          <cell r="F20575" t="str">
            <v xml:space="preserve">83221998       </v>
          </cell>
          <cell r="O20575">
            <v>240</v>
          </cell>
        </row>
        <row r="20576">
          <cell r="F20576" t="str">
            <v xml:space="preserve">83221998       </v>
          </cell>
          <cell r="O20576">
            <v>324</v>
          </cell>
        </row>
        <row r="20577">
          <cell r="F20577" t="str">
            <v xml:space="preserve">83221998       </v>
          </cell>
          <cell r="O20577">
            <v>90</v>
          </cell>
        </row>
        <row r="20578">
          <cell r="F20578" t="str">
            <v xml:space="preserve">70303177       </v>
          </cell>
          <cell r="O20578">
            <v>3000</v>
          </cell>
        </row>
        <row r="20579">
          <cell r="F20579" t="str">
            <v xml:space="preserve">70303177       </v>
          </cell>
          <cell r="O20579">
            <v>2340</v>
          </cell>
        </row>
        <row r="20580">
          <cell r="F20580" t="str">
            <v xml:space="preserve">70303177       </v>
          </cell>
          <cell r="O20580">
            <v>450</v>
          </cell>
        </row>
        <row r="20581">
          <cell r="F20581" t="str">
            <v xml:space="preserve">70303177       </v>
          </cell>
          <cell r="O20581">
            <v>1200</v>
          </cell>
        </row>
        <row r="20582">
          <cell r="F20582" t="str">
            <v xml:space="preserve">70303177       </v>
          </cell>
          <cell r="O20582">
            <v>540</v>
          </cell>
        </row>
        <row r="20583">
          <cell r="F20583" t="str">
            <v xml:space="preserve">70303177       </v>
          </cell>
          <cell r="O20583">
            <v>600</v>
          </cell>
        </row>
        <row r="20584">
          <cell r="F20584" t="str">
            <v xml:space="preserve">70303177       </v>
          </cell>
          <cell r="O20584">
            <v>576</v>
          </cell>
        </row>
        <row r="20585">
          <cell r="F20585" t="str">
            <v xml:space="preserve">70303177       </v>
          </cell>
          <cell r="O20585">
            <v>135</v>
          </cell>
        </row>
        <row r="20586">
          <cell r="F20586" t="str">
            <v xml:space="preserve">24341063       </v>
          </cell>
          <cell r="O20586">
            <v>9</v>
          </cell>
        </row>
        <row r="20587">
          <cell r="F20587" t="str">
            <v xml:space="preserve">24341063       </v>
          </cell>
          <cell r="O20587">
            <v>765</v>
          </cell>
        </row>
        <row r="20588">
          <cell r="F20588" t="str">
            <v xml:space="preserve">24341063       </v>
          </cell>
          <cell r="O20588">
            <v>54</v>
          </cell>
        </row>
        <row r="20589">
          <cell r="F20589" t="str">
            <v xml:space="preserve">24341063       </v>
          </cell>
          <cell r="O20589">
            <v>90</v>
          </cell>
        </row>
        <row r="20590">
          <cell r="F20590" t="str">
            <v xml:space="preserve">901178932      </v>
          </cell>
          <cell r="O20590">
            <v>108</v>
          </cell>
        </row>
        <row r="20591">
          <cell r="F20591" t="str">
            <v xml:space="preserve">43656575       </v>
          </cell>
          <cell r="O20591">
            <v>450</v>
          </cell>
        </row>
        <row r="20592">
          <cell r="F20592" t="str">
            <v xml:space="preserve">43656575       </v>
          </cell>
          <cell r="O20592">
            <v>720</v>
          </cell>
        </row>
        <row r="20593">
          <cell r="F20593" t="str">
            <v xml:space="preserve">43656575       </v>
          </cell>
          <cell r="O20593">
            <v>15</v>
          </cell>
        </row>
        <row r="20594">
          <cell r="F20594" t="str">
            <v xml:space="preserve">43656575       </v>
          </cell>
          <cell r="O20594">
            <v>675</v>
          </cell>
        </row>
        <row r="20595">
          <cell r="F20595" t="str">
            <v xml:space="preserve">43656575       </v>
          </cell>
          <cell r="O20595">
            <v>9</v>
          </cell>
        </row>
        <row r="20596">
          <cell r="F20596" t="str">
            <v xml:space="preserve">91180797       </v>
          </cell>
          <cell r="O20596">
            <v>180</v>
          </cell>
        </row>
        <row r="20597">
          <cell r="F20597" t="str">
            <v xml:space="preserve">91180797       </v>
          </cell>
          <cell r="O20597">
            <v>45</v>
          </cell>
        </row>
        <row r="20598">
          <cell r="F20598" t="str">
            <v xml:space="preserve">17421056       </v>
          </cell>
          <cell r="O20598">
            <v>60</v>
          </cell>
        </row>
        <row r="20599">
          <cell r="F20599" t="str">
            <v xml:space="preserve">73559455       </v>
          </cell>
          <cell r="O20599">
            <v>120</v>
          </cell>
        </row>
        <row r="20600">
          <cell r="F20600" t="str">
            <v xml:space="preserve">73559455       </v>
          </cell>
          <cell r="O20600">
            <v>144</v>
          </cell>
        </row>
        <row r="20601">
          <cell r="F20601" t="str">
            <v xml:space="preserve">73559455       </v>
          </cell>
          <cell r="O20601">
            <v>45</v>
          </cell>
        </row>
        <row r="20602">
          <cell r="F20602" t="str">
            <v xml:space="preserve">73559455       </v>
          </cell>
          <cell r="O20602">
            <v>15</v>
          </cell>
        </row>
        <row r="20603">
          <cell r="F20603" t="str">
            <v xml:space="preserve">94262420       </v>
          </cell>
          <cell r="O20603">
            <v>225</v>
          </cell>
        </row>
        <row r="20604">
          <cell r="F20604" t="str">
            <v xml:space="preserve">94262420       </v>
          </cell>
          <cell r="O20604">
            <v>240</v>
          </cell>
        </row>
        <row r="20605">
          <cell r="F20605" t="str">
            <v xml:space="preserve">94262420       </v>
          </cell>
          <cell r="O20605">
            <v>180</v>
          </cell>
        </row>
        <row r="20606">
          <cell r="F20606" t="str">
            <v xml:space="preserve">94262420       </v>
          </cell>
          <cell r="O20606">
            <v>108</v>
          </cell>
        </row>
        <row r="20607">
          <cell r="F20607" t="str">
            <v xml:space="preserve">94262420       </v>
          </cell>
          <cell r="O20607">
            <v>396</v>
          </cell>
        </row>
        <row r="20608">
          <cell r="F20608" t="str">
            <v xml:space="preserve">94262420       </v>
          </cell>
          <cell r="O20608">
            <v>81</v>
          </cell>
        </row>
        <row r="20609">
          <cell r="F20609" t="str">
            <v xml:space="preserve">1214745372     </v>
          </cell>
          <cell r="O20609">
            <v>198</v>
          </cell>
        </row>
        <row r="20610">
          <cell r="F20610" t="str">
            <v xml:space="preserve">1214745372     </v>
          </cell>
          <cell r="O20610">
            <v>36</v>
          </cell>
        </row>
        <row r="20611">
          <cell r="F20611" t="str">
            <v xml:space="preserve">1214745372     </v>
          </cell>
          <cell r="O20611">
            <v>30</v>
          </cell>
        </row>
        <row r="20612">
          <cell r="F20612" t="str">
            <v xml:space="preserve">1214745372     </v>
          </cell>
          <cell r="O20612">
            <v>540</v>
          </cell>
        </row>
        <row r="20613">
          <cell r="F20613" t="str">
            <v xml:space="preserve">93419128       </v>
          </cell>
          <cell r="O20613">
            <v>9</v>
          </cell>
        </row>
        <row r="20614">
          <cell r="F20614" t="str">
            <v xml:space="preserve">93419128       </v>
          </cell>
          <cell r="O20614">
            <v>45</v>
          </cell>
        </row>
        <row r="20615">
          <cell r="F20615" t="str">
            <v xml:space="preserve">93419128       </v>
          </cell>
          <cell r="O20615">
            <v>630</v>
          </cell>
        </row>
        <row r="20616">
          <cell r="F20616" t="str">
            <v xml:space="preserve">93419128       </v>
          </cell>
          <cell r="O20616">
            <v>90</v>
          </cell>
        </row>
        <row r="20617">
          <cell r="F20617" t="str">
            <v xml:space="preserve">93419128       </v>
          </cell>
          <cell r="O20617">
            <v>630</v>
          </cell>
        </row>
        <row r="20618">
          <cell r="F20618" t="str">
            <v xml:space="preserve">860002523      </v>
          </cell>
          <cell r="O20618">
            <v>140</v>
          </cell>
        </row>
        <row r="20619">
          <cell r="F20619" t="str">
            <v xml:space="preserve">860005265      </v>
          </cell>
          <cell r="O20619">
            <v>1009</v>
          </cell>
        </row>
        <row r="20620">
          <cell r="F20620" t="str">
            <v xml:space="preserve">860005265      </v>
          </cell>
          <cell r="O20620">
            <v>619.70000000000005</v>
          </cell>
        </row>
        <row r="20621">
          <cell r="F20621" t="str">
            <v xml:space="preserve">860001697      </v>
          </cell>
          <cell r="O20621">
            <v>176.6</v>
          </cell>
        </row>
        <row r="20622">
          <cell r="F20622" t="str">
            <v xml:space="preserve">203            </v>
          </cell>
          <cell r="O20622">
            <v>72</v>
          </cell>
        </row>
        <row r="20623">
          <cell r="F20623" t="str">
            <v xml:space="preserve">203            </v>
          </cell>
          <cell r="O20623">
            <v>135</v>
          </cell>
        </row>
        <row r="20624">
          <cell r="F20624" t="str">
            <v xml:space="preserve">811020078      </v>
          </cell>
          <cell r="O20624">
            <v>18</v>
          </cell>
        </row>
        <row r="20625">
          <cell r="F20625" t="str">
            <v xml:space="preserve">830513291      </v>
          </cell>
          <cell r="O20625">
            <v>90</v>
          </cell>
        </row>
        <row r="20626">
          <cell r="F20626" t="str">
            <v xml:space="preserve">900084859      </v>
          </cell>
          <cell r="O20626">
            <v>45</v>
          </cell>
        </row>
        <row r="20627">
          <cell r="F20627" t="str">
            <v xml:space="preserve">901485271      </v>
          </cell>
          <cell r="O20627">
            <v>135</v>
          </cell>
        </row>
        <row r="20628">
          <cell r="F20628" t="str">
            <v xml:space="preserve">800052377      </v>
          </cell>
          <cell r="O20628">
            <v>72</v>
          </cell>
        </row>
        <row r="20629">
          <cell r="F20629" t="str">
            <v xml:space="preserve">800052377      </v>
          </cell>
          <cell r="O20629">
            <v>72</v>
          </cell>
        </row>
        <row r="20630">
          <cell r="F20630" t="str">
            <v xml:space="preserve">800150267      </v>
          </cell>
          <cell r="O20630">
            <v>18</v>
          </cell>
        </row>
        <row r="20631">
          <cell r="F20631" t="str">
            <v xml:space="preserve">800197463      </v>
          </cell>
          <cell r="O20631">
            <v>72</v>
          </cell>
        </row>
        <row r="20632">
          <cell r="F20632" t="str">
            <v xml:space="preserve">805018495      </v>
          </cell>
          <cell r="O20632">
            <v>126</v>
          </cell>
        </row>
        <row r="20633">
          <cell r="F20633" t="str">
            <v xml:space="preserve">815002042      </v>
          </cell>
          <cell r="O20633">
            <v>144</v>
          </cell>
        </row>
        <row r="20634">
          <cell r="F20634" t="str">
            <v xml:space="preserve">821000169      </v>
          </cell>
          <cell r="O20634">
            <v>86</v>
          </cell>
        </row>
        <row r="20635">
          <cell r="F20635" t="str">
            <v xml:space="preserve">821000169      </v>
          </cell>
          <cell r="O20635">
            <v>96</v>
          </cell>
        </row>
        <row r="20636">
          <cell r="F20636" t="str">
            <v xml:space="preserve">890903939      </v>
          </cell>
          <cell r="O20636">
            <v>95</v>
          </cell>
        </row>
        <row r="20637">
          <cell r="F20637" t="str">
            <v xml:space="preserve">890903939      </v>
          </cell>
          <cell r="O20637">
            <v>94</v>
          </cell>
        </row>
        <row r="20638">
          <cell r="F20638" t="str">
            <v xml:space="preserve">891301549      </v>
          </cell>
          <cell r="O20638">
            <v>90</v>
          </cell>
        </row>
        <row r="20639">
          <cell r="F20639" t="str">
            <v xml:space="preserve">900772446      </v>
          </cell>
          <cell r="O20639">
            <v>54</v>
          </cell>
        </row>
        <row r="20640">
          <cell r="F20640" t="str">
            <v xml:space="preserve">901547329      </v>
          </cell>
          <cell r="O20640">
            <v>720</v>
          </cell>
        </row>
        <row r="20641">
          <cell r="F20641" t="str">
            <v xml:space="preserve">800067861      </v>
          </cell>
          <cell r="O20641">
            <v>131.4</v>
          </cell>
        </row>
        <row r="20642">
          <cell r="F20642" t="str">
            <v xml:space="preserve">811020038      </v>
          </cell>
          <cell r="O20642">
            <v>96</v>
          </cell>
        </row>
        <row r="20643">
          <cell r="F20643" t="str">
            <v xml:space="preserve">860001697      </v>
          </cell>
          <cell r="O20643">
            <v>465.35</v>
          </cell>
        </row>
        <row r="20644">
          <cell r="F20644" t="str">
            <v xml:space="preserve">860001697      </v>
          </cell>
          <cell r="O20644">
            <v>451.55</v>
          </cell>
        </row>
        <row r="20645">
          <cell r="F20645" t="str">
            <v xml:space="preserve">860001697      </v>
          </cell>
          <cell r="O20645">
            <v>215.68</v>
          </cell>
        </row>
        <row r="20646">
          <cell r="F20646" t="str">
            <v xml:space="preserve">101            </v>
          </cell>
          <cell r="O20646">
            <v>108</v>
          </cell>
        </row>
        <row r="20647">
          <cell r="F20647" t="str">
            <v xml:space="preserve">101            </v>
          </cell>
          <cell r="O20647">
            <v>54</v>
          </cell>
        </row>
        <row r="20648">
          <cell r="F20648" t="str">
            <v xml:space="preserve">101            </v>
          </cell>
          <cell r="O20648">
            <v>45</v>
          </cell>
        </row>
        <row r="20649">
          <cell r="F20649" t="str">
            <v xml:space="preserve">101            </v>
          </cell>
          <cell r="O20649">
            <v>9</v>
          </cell>
        </row>
        <row r="20650">
          <cell r="F20650" t="str">
            <v xml:space="preserve">101            </v>
          </cell>
          <cell r="O20650">
            <v>15</v>
          </cell>
        </row>
        <row r="20651">
          <cell r="F20651" t="str">
            <v xml:space="preserve">101            </v>
          </cell>
          <cell r="O20651">
            <v>18</v>
          </cell>
        </row>
        <row r="20652">
          <cell r="F20652" t="str">
            <v xml:space="preserve">101            </v>
          </cell>
          <cell r="O20652">
            <v>15</v>
          </cell>
        </row>
        <row r="20653">
          <cell r="F20653" t="str">
            <v xml:space="preserve">101            </v>
          </cell>
          <cell r="O20653">
            <v>54</v>
          </cell>
        </row>
        <row r="20654">
          <cell r="F20654" t="str">
            <v xml:space="preserve">900342435      </v>
          </cell>
          <cell r="O20654">
            <v>4.5</v>
          </cell>
        </row>
        <row r="20655">
          <cell r="F20655" t="str">
            <v xml:space="preserve">102            </v>
          </cell>
          <cell r="O20655">
            <v>60</v>
          </cell>
        </row>
        <row r="20656">
          <cell r="F20656" t="str">
            <v xml:space="preserve">102            </v>
          </cell>
          <cell r="O20656">
            <v>36</v>
          </cell>
        </row>
        <row r="20657">
          <cell r="F20657" t="str">
            <v xml:space="preserve">102            </v>
          </cell>
          <cell r="O20657">
            <v>180</v>
          </cell>
        </row>
        <row r="20658">
          <cell r="F20658" t="str">
            <v xml:space="preserve">102            </v>
          </cell>
          <cell r="O20658">
            <v>45</v>
          </cell>
        </row>
        <row r="20659">
          <cell r="F20659" t="str">
            <v xml:space="preserve">30305213       </v>
          </cell>
          <cell r="O20659">
            <v>36</v>
          </cell>
        </row>
        <row r="20660">
          <cell r="F20660" t="str">
            <v xml:space="preserve">800044807      </v>
          </cell>
          <cell r="O20660">
            <v>90</v>
          </cell>
        </row>
        <row r="20661">
          <cell r="F20661" t="str">
            <v xml:space="preserve">800090890      </v>
          </cell>
          <cell r="O20661">
            <v>72</v>
          </cell>
        </row>
        <row r="20662">
          <cell r="F20662" t="str">
            <v xml:space="preserve">800185306      </v>
          </cell>
          <cell r="O20662">
            <v>36</v>
          </cell>
        </row>
        <row r="20663">
          <cell r="F20663" t="str">
            <v xml:space="preserve">811014849      </v>
          </cell>
          <cell r="O20663">
            <v>54</v>
          </cell>
        </row>
        <row r="20664">
          <cell r="F20664" t="str">
            <v xml:space="preserve">890800450      </v>
          </cell>
          <cell r="O20664">
            <v>36</v>
          </cell>
        </row>
        <row r="20665">
          <cell r="F20665" t="str">
            <v xml:space="preserve">890903939      </v>
          </cell>
          <cell r="O20665">
            <v>126</v>
          </cell>
        </row>
        <row r="20666">
          <cell r="F20666" t="str">
            <v xml:space="preserve">900204935      </v>
          </cell>
          <cell r="O20666">
            <v>54</v>
          </cell>
        </row>
        <row r="20667">
          <cell r="F20667" t="str">
            <v xml:space="preserve">901554026      </v>
          </cell>
          <cell r="O20667">
            <v>36</v>
          </cell>
        </row>
        <row r="20668">
          <cell r="F20668" t="str">
            <v xml:space="preserve">901555731      </v>
          </cell>
          <cell r="O20668">
            <v>45</v>
          </cell>
        </row>
        <row r="20669">
          <cell r="F20669" t="str">
            <v xml:space="preserve">901555731      </v>
          </cell>
          <cell r="O20669">
            <v>45</v>
          </cell>
        </row>
        <row r="20670">
          <cell r="F20670" t="str">
            <v xml:space="preserve">73186091       </v>
          </cell>
          <cell r="O20670">
            <v>390</v>
          </cell>
        </row>
        <row r="20671">
          <cell r="F20671" t="str">
            <v xml:space="preserve">212            </v>
          </cell>
          <cell r="O20671">
            <v>600</v>
          </cell>
        </row>
        <row r="20672">
          <cell r="F20672" t="str">
            <v xml:space="preserve">212            </v>
          </cell>
          <cell r="O20672">
            <v>360</v>
          </cell>
        </row>
        <row r="20673">
          <cell r="F20673" t="str">
            <v xml:space="preserve">830036921      </v>
          </cell>
          <cell r="O20673">
            <v>308.35000000000002</v>
          </cell>
        </row>
        <row r="20674">
          <cell r="F20674" t="str">
            <v xml:space="preserve">860001697      </v>
          </cell>
          <cell r="O20674">
            <v>1130.5999999999999</v>
          </cell>
        </row>
        <row r="20675">
          <cell r="F20675" t="str">
            <v xml:space="preserve">860048371      </v>
          </cell>
          <cell r="O20675">
            <v>40</v>
          </cell>
        </row>
        <row r="20676">
          <cell r="F20676" t="str">
            <v xml:space="preserve">800230447      </v>
          </cell>
          <cell r="O20676">
            <v>80</v>
          </cell>
        </row>
        <row r="20677">
          <cell r="F20677" t="str">
            <v xml:space="preserve">811047008      </v>
          </cell>
          <cell r="O20677">
            <v>36</v>
          </cell>
        </row>
        <row r="20678">
          <cell r="F20678" t="str">
            <v xml:space="preserve">830094679      </v>
          </cell>
          <cell r="O20678">
            <v>160</v>
          </cell>
        </row>
        <row r="20679">
          <cell r="F20679" t="str">
            <v xml:space="preserve">860001300      </v>
          </cell>
          <cell r="O20679">
            <v>54</v>
          </cell>
        </row>
        <row r="20680">
          <cell r="F20680" t="str">
            <v xml:space="preserve">860002455      </v>
          </cell>
          <cell r="O20680">
            <v>18</v>
          </cell>
        </row>
        <row r="20681">
          <cell r="F20681" t="str">
            <v xml:space="preserve">860031786      </v>
          </cell>
          <cell r="O20681">
            <v>72</v>
          </cell>
        </row>
        <row r="20682">
          <cell r="F20682" t="str">
            <v xml:space="preserve">860054073      </v>
          </cell>
          <cell r="O20682">
            <v>126</v>
          </cell>
        </row>
        <row r="20683">
          <cell r="F20683" t="str">
            <v xml:space="preserve">890903475      </v>
          </cell>
          <cell r="O20683">
            <v>80</v>
          </cell>
        </row>
        <row r="20684">
          <cell r="F20684" t="str">
            <v xml:space="preserve">899999049      </v>
          </cell>
          <cell r="O20684">
            <v>180</v>
          </cell>
        </row>
        <row r="20685">
          <cell r="F20685" t="str">
            <v xml:space="preserve">900049818      </v>
          </cell>
          <cell r="O20685">
            <v>48</v>
          </cell>
        </row>
        <row r="20686">
          <cell r="F20686" t="str">
            <v xml:space="preserve">900163286      </v>
          </cell>
          <cell r="O20686">
            <v>36</v>
          </cell>
        </row>
        <row r="20687">
          <cell r="F20687" t="str">
            <v xml:space="preserve">900603554      </v>
          </cell>
          <cell r="O20687">
            <v>216</v>
          </cell>
        </row>
        <row r="20688">
          <cell r="F20688" t="str">
            <v xml:space="preserve">811014849      </v>
          </cell>
          <cell r="O20688">
            <v>167.6</v>
          </cell>
        </row>
        <row r="20689">
          <cell r="F20689" t="str">
            <v xml:space="preserve">811027317      </v>
          </cell>
          <cell r="O20689">
            <v>18</v>
          </cell>
        </row>
        <row r="20690">
          <cell r="F20690" t="str">
            <v xml:space="preserve">890201881      </v>
          </cell>
          <cell r="O20690">
            <v>2880</v>
          </cell>
        </row>
        <row r="20691">
          <cell r="F20691" t="str">
            <v xml:space="preserve">899999049      </v>
          </cell>
          <cell r="O20691">
            <v>126</v>
          </cell>
        </row>
        <row r="20692">
          <cell r="F20692" t="str">
            <v xml:space="preserve">407            </v>
          </cell>
          <cell r="O20692">
            <v>0</v>
          </cell>
        </row>
        <row r="20693">
          <cell r="F20693" t="str">
            <v xml:space="preserve">407            </v>
          </cell>
          <cell r="O20693">
            <v>0</v>
          </cell>
        </row>
        <row r="20694">
          <cell r="F20694" t="str">
            <v xml:space="preserve">830095563      </v>
          </cell>
          <cell r="O20694">
            <v>396</v>
          </cell>
        </row>
        <row r="20695">
          <cell r="F20695" t="str">
            <v xml:space="preserve">830095563      </v>
          </cell>
          <cell r="O20695">
            <v>105</v>
          </cell>
        </row>
        <row r="20696">
          <cell r="F20696" t="str">
            <v xml:space="preserve">800090890      </v>
          </cell>
          <cell r="O20696">
            <v>57</v>
          </cell>
        </row>
        <row r="20697">
          <cell r="F20697" t="str">
            <v xml:space="preserve">800090890      </v>
          </cell>
          <cell r="O20697">
            <v>51</v>
          </cell>
        </row>
        <row r="20698">
          <cell r="F20698" t="str">
            <v xml:space="preserve">811014849      </v>
          </cell>
          <cell r="O20698">
            <v>72</v>
          </cell>
        </row>
        <row r="20699">
          <cell r="F20699" t="str">
            <v xml:space="preserve">811014849      </v>
          </cell>
          <cell r="O20699">
            <v>180</v>
          </cell>
        </row>
        <row r="20700">
          <cell r="F20700" t="str">
            <v xml:space="preserve">890903939      </v>
          </cell>
          <cell r="O20700">
            <v>202.45</v>
          </cell>
        </row>
        <row r="20701">
          <cell r="F20701" t="str">
            <v xml:space="preserve">890903939      </v>
          </cell>
          <cell r="O20701">
            <v>1003.37</v>
          </cell>
        </row>
        <row r="20702">
          <cell r="F20702" t="str">
            <v xml:space="preserve">890903939      </v>
          </cell>
          <cell r="O20702">
            <v>237.56</v>
          </cell>
        </row>
        <row r="20703">
          <cell r="F20703" t="str">
            <v xml:space="preserve">211            </v>
          </cell>
          <cell r="O20703">
            <v>270</v>
          </cell>
        </row>
        <row r="20704">
          <cell r="F20704" t="str">
            <v xml:space="preserve">211            </v>
          </cell>
          <cell r="O20704">
            <v>288</v>
          </cell>
        </row>
        <row r="20705">
          <cell r="F20705" t="str">
            <v xml:space="preserve">211            </v>
          </cell>
          <cell r="O20705">
            <v>594</v>
          </cell>
        </row>
        <row r="20706">
          <cell r="F20706" t="str">
            <v xml:space="preserve">211            </v>
          </cell>
          <cell r="O20706">
            <v>45</v>
          </cell>
        </row>
        <row r="20707">
          <cell r="F20707" t="str">
            <v xml:space="preserve">211            </v>
          </cell>
          <cell r="O20707">
            <v>1044</v>
          </cell>
        </row>
        <row r="20708">
          <cell r="F20708" t="str">
            <v xml:space="preserve">211            </v>
          </cell>
          <cell r="O20708">
            <v>45</v>
          </cell>
        </row>
        <row r="20709">
          <cell r="F20709" t="str">
            <v xml:space="preserve">800141645      </v>
          </cell>
          <cell r="O20709">
            <v>450</v>
          </cell>
        </row>
        <row r="20710">
          <cell r="F20710" t="str">
            <v xml:space="preserve">800220041      </v>
          </cell>
          <cell r="O20710">
            <v>75</v>
          </cell>
        </row>
        <row r="20711">
          <cell r="F20711" t="str">
            <v xml:space="preserve">806004274      </v>
          </cell>
          <cell r="O20711">
            <v>180</v>
          </cell>
        </row>
        <row r="20712">
          <cell r="F20712" t="str">
            <v xml:space="preserve">811032699      </v>
          </cell>
          <cell r="O20712">
            <v>72</v>
          </cell>
        </row>
        <row r="20713">
          <cell r="F20713" t="str">
            <v xml:space="preserve">830095213      </v>
          </cell>
          <cell r="O20713">
            <v>324</v>
          </cell>
        </row>
        <row r="20714">
          <cell r="F20714" t="str">
            <v xml:space="preserve">890903939      </v>
          </cell>
          <cell r="O20714">
            <v>379.08</v>
          </cell>
        </row>
        <row r="20715">
          <cell r="F20715" t="str">
            <v xml:space="preserve">900302144      </v>
          </cell>
          <cell r="O20715">
            <v>36</v>
          </cell>
        </row>
        <row r="20716">
          <cell r="F20716" t="str">
            <v xml:space="preserve">900543199      </v>
          </cell>
          <cell r="O20716">
            <v>60</v>
          </cell>
        </row>
        <row r="20717">
          <cell r="F20717" t="str">
            <v xml:space="preserve">900749094      </v>
          </cell>
          <cell r="O20717">
            <v>90</v>
          </cell>
        </row>
        <row r="20718">
          <cell r="F20718" t="str">
            <v xml:space="preserve">800229035      </v>
          </cell>
          <cell r="O20718">
            <v>60</v>
          </cell>
        </row>
        <row r="20719">
          <cell r="F20719" t="str">
            <v xml:space="preserve">800229035      </v>
          </cell>
          <cell r="O20719">
            <v>150</v>
          </cell>
        </row>
        <row r="20720">
          <cell r="F20720" t="str">
            <v xml:space="preserve">811016729      </v>
          </cell>
          <cell r="O20720">
            <v>36</v>
          </cell>
        </row>
        <row r="20721">
          <cell r="F20721" t="str">
            <v xml:space="preserve">830015914      </v>
          </cell>
          <cell r="O20721">
            <v>144</v>
          </cell>
        </row>
        <row r="20722">
          <cell r="F20722" t="str">
            <v xml:space="preserve">860020382      </v>
          </cell>
          <cell r="O20722">
            <v>60</v>
          </cell>
        </row>
        <row r="20723">
          <cell r="F20723" t="str">
            <v xml:space="preserve">890322007      </v>
          </cell>
          <cell r="O20723">
            <v>30</v>
          </cell>
        </row>
        <row r="20724">
          <cell r="F20724" t="str">
            <v xml:space="preserve">890903939      </v>
          </cell>
          <cell r="O20724">
            <v>307.64999999999998</v>
          </cell>
        </row>
        <row r="20725">
          <cell r="F20725" t="str">
            <v xml:space="preserve">900049818      </v>
          </cell>
          <cell r="O20725">
            <v>30</v>
          </cell>
        </row>
        <row r="20726">
          <cell r="F20726" t="str">
            <v xml:space="preserve">900603554      </v>
          </cell>
          <cell r="O20726">
            <v>126</v>
          </cell>
        </row>
        <row r="20727">
          <cell r="F20727" t="str">
            <v xml:space="preserve">901046830      </v>
          </cell>
          <cell r="O20727">
            <v>495</v>
          </cell>
        </row>
        <row r="20728">
          <cell r="F20728" t="str">
            <v xml:space="preserve">10227058       </v>
          </cell>
          <cell r="O20728">
            <v>109.4</v>
          </cell>
        </row>
        <row r="20729">
          <cell r="F20729" t="str">
            <v xml:space="preserve">16222743       </v>
          </cell>
          <cell r="O20729">
            <v>108.1</v>
          </cell>
        </row>
        <row r="20730">
          <cell r="F20730" t="str">
            <v xml:space="preserve">30305213       </v>
          </cell>
          <cell r="O20730">
            <v>34.1</v>
          </cell>
        </row>
        <row r="20731">
          <cell r="F20731" t="str">
            <v xml:space="preserve">30310943       </v>
          </cell>
          <cell r="O20731">
            <v>81.2</v>
          </cell>
        </row>
        <row r="20732">
          <cell r="F20732" t="str">
            <v xml:space="preserve">53070701       </v>
          </cell>
          <cell r="O20732">
            <v>105.9</v>
          </cell>
        </row>
        <row r="20733">
          <cell r="F20733" t="str">
            <v xml:space="preserve">700022216      </v>
          </cell>
          <cell r="O20733">
            <v>386.7</v>
          </cell>
        </row>
        <row r="20734">
          <cell r="F20734" t="str">
            <v xml:space="preserve">79845495       </v>
          </cell>
          <cell r="O20734">
            <v>100.1</v>
          </cell>
        </row>
        <row r="20735">
          <cell r="F20735" t="str">
            <v xml:space="preserve">810006204      </v>
          </cell>
          <cell r="O20735">
            <v>101.7</v>
          </cell>
        </row>
        <row r="20736">
          <cell r="F20736" t="str">
            <v xml:space="preserve">890932124      </v>
          </cell>
          <cell r="O20736">
            <v>61.9</v>
          </cell>
        </row>
        <row r="20737">
          <cell r="F20737" t="str">
            <v xml:space="preserve">890932124      </v>
          </cell>
          <cell r="O20737">
            <v>2533</v>
          </cell>
        </row>
        <row r="20738">
          <cell r="F20738" t="str">
            <v xml:space="preserve">900231970      </v>
          </cell>
          <cell r="O20738">
            <v>243</v>
          </cell>
        </row>
        <row r="20739">
          <cell r="F20739" t="str">
            <v xml:space="preserve">900950731      </v>
          </cell>
          <cell r="O20739">
            <v>0</v>
          </cell>
        </row>
        <row r="20740">
          <cell r="F20740" t="str">
            <v xml:space="preserve">9865767        </v>
          </cell>
          <cell r="O20740">
            <v>38.799999999999997</v>
          </cell>
        </row>
        <row r="20741">
          <cell r="F20741" t="str">
            <v xml:space="preserve">19195378       </v>
          </cell>
          <cell r="O20741">
            <v>122</v>
          </cell>
        </row>
        <row r="20742">
          <cell r="F20742" t="str">
            <v xml:space="preserve">890300431      </v>
          </cell>
          <cell r="O20742">
            <v>1119.7</v>
          </cell>
        </row>
        <row r="20743">
          <cell r="F20743" t="str">
            <v xml:space="preserve">890300534      </v>
          </cell>
          <cell r="O20743">
            <v>205.3</v>
          </cell>
        </row>
        <row r="20744">
          <cell r="F20744" t="str">
            <v xml:space="preserve">890308786      </v>
          </cell>
          <cell r="O20744">
            <v>929.8</v>
          </cell>
        </row>
        <row r="20745">
          <cell r="F20745" t="str">
            <v xml:space="preserve">890328031      </v>
          </cell>
          <cell r="O20745">
            <v>601.29999999999995</v>
          </cell>
        </row>
        <row r="20746">
          <cell r="F20746" t="str">
            <v xml:space="preserve">890904713      </v>
          </cell>
          <cell r="O20746">
            <v>58.9</v>
          </cell>
        </row>
        <row r="20747">
          <cell r="F20747" t="str">
            <v xml:space="preserve">19132851       </v>
          </cell>
          <cell r="O20747">
            <v>500.1</v>
          </cell>
        </row>
        <row r="20748">
          <cell r="F20748" t="str">
            <v xml:space="preserve">19132851       </v>
          </cell>
          <cell r="O20748">
            <v>446.1</v>
          </cell>
        </row>
        <row r="20749">
          <cell r="F20749" t="str">
            <v xml:space="preserve">19132851       </v>
          </cell>
          <cell r="O20749">
            <v>582.29999999999995</v>
          </cell>
        </row>
        <row r="20750">
          <cell r="F20750" t="str">
            <v xml:space="preserve">30206395       </v>
          </cell>
          <cell r="O20750">
            <v>573.6</v>
          </cell>
        </row>
        <row r="20751">
          <cell r="F20751" t="str">
            <v xml:space="preserve">33700402       </v>
          </cell>
          <cell r="O20751">
            <v>234.3</v>
          </cell>
        </row>
        <row r="20752">
          <cell r="F20752" t="str">
            <v xml:space="preserve">800231596      </v>
          </cell>
          <cell r="O20752">
            <v>958</v>
          </cell>
        </row>
        <row r="20753">
          <cell r="F20753" t="str">
            <v xml:space="preserve">830010738      </v>
          </cell>
          <cell r="O20753">
            <v>130.4</v>
          </cell>
        </row>
        <row r="20754">
          <cell r="F20754" t="str">
            <v xml:space="preserve">830010738      </v>
          </cell>
          <cell r="O20754">
            <v>41.7</v>
          </cell>
        </row>
        <row r="20755">
          <cell r="F20755" t="str">
            <v xml:space="preserve">1038409699     </v>
          </cell>
          <cell r="O20755">
            <v>121.3</v>
          </cell>
        </row>
        <row r="20756">
          <cell r="F20756" t="str">
            <v xml:space="preserve">1075232460     </v>
          </cell>
          <cell r="O20756">
            <v>35.9</v>
          </cell>
        </row>
        <row r="20757">
          <cell r="F20757" t="str">
            <v xml:space="preserve">1075270672     </v>
          </cell>
          <cell r="O20757">
            <v>147.9</v>
          </cell>
        </row>
        <row r="20758">
          <cell r="F20758" t="str">
            <v xml:space="preserve">1077847030     </v>
          </cell>
          <cell r="O20758">
            <v>52.9</v>
          </cell>
        </row>
        <row r="20759">
          <cell r="F20759" t="str">
            <v xml:space="preserve">1078246535     </v>
          </cell>
          <cell r="O20759">
            <v>52.5</v>
          </cell>
        </row>
        <row r="20760">
          <cell r="F20760" t="str">
            <v xml:space="preserve">1080362316     </v>
          </cell>
          <cell r="O20760">
            <v>67</v>
          </cell>
        </row>
        <row r="20761">
          <cell r="F20761" t="str">
            <v xml:space="preserve">1083912237     </v>
          </cell>
          <cell r="O20761">
            <v>799</v>
          </cell>
        </row>
        <row r="20762">
          <cell r="F20762" t="str">
            <v xml:space="preserve">1083921993     </v>
          </cell>
          <cell r="O20762">
            <v>119.7</v>
          </cell>
        </row>
        <row r="20763">
          <cell r="F20763" t="str">
            <v xml:space="preserve">12102897       </v>
          </cell>
          <cell r="O20763">
            <v>37.299999999999997</v>
          </cell>
        </row>
        <row r="20764">
          <cell r="F20764" t="str">
            <v xml:space="preserve">12138755       </v>
          </cell>
          <cell r="O20764">
            <v>106.7</v>
          </cell>
        </row>
        <row r="20765">
          <cell r="F20765" t="str">
            <v xml:space="preserve">12206439       </v>
          </cell>
          <cell r="O20765">
            <v>62.7</v>
          </cell>
        </row>
        <row r="20766">
          <cell r="F20766" t="str">
            <v xml:space="preserve">26430314       </v>
          </cell>
          <cell r="O20766">
            <v>79.5</v>
          </cell>
        </row>
        <row r="20767">
          <cell r="F20767" t="str">
            <v xml:space="preserve">26550220       </v>
          </cell>
          <cell r="O20767">
            <v>37.4</v>
          </cell>
        </row>
        <row r="20768">
          <cell r="F20768" t="str">
            <v xml:space="preserve">30521799       </v>
          </cell>
          <cell r="O20768">
            <v>59.5</v>
          </cell>
        </row>
        <row r="20769">
          <cell r="F20769" t="str">
            <v xml:space="preserve">36152861       </v>
          </cell>
          <cell r="O20769">
            <v>172.7</v>
          </cell>
        </row>
        <row r="20770">
          <cell r="F20770" t="str">
            <v xml:space="preserve">36156828       </v>
          </cell>
          <cell r="O20770">
            <v>199.4</v>
          </cell>
        </row>
        <row r="20771">
          <cell r="F20771" t="str">
            <v xml:space="preserve">36156828       </v>
          </cell>
          <cell r="O20771">
            <v>369.6</v>
          </cell>
        </row>
        <row r="20772">
          <cell r="F20772" t="str">
            <v xml:space="preserve">36284407       </v>
          </cell>
          <cell r="O20772">
            <v>61.3</v>
          </cell>
        </row>
        <row r="20773">
          <cell r="F20773" t="str">
            <v xml:space="preserve">36304110       </v>
          </cell>
          <cell r="O20773">
            <v>69.599999999999994</v>
          </cell>
        </row>
        <row r="20774">
          <cell r="F20774" t="str">
            <v xml:space="preserve">36313794       </v>
          </cell>
          <cell r="O20774">
            <v>74.7</v>
          </cell>
        </row>
        <row r="20775">
          <cell r="F20775" t="str">
            <v xml:space="preserve">4888325        </v>
          </cell>
          <cell r="O20775">
            <v>33.4</v>
          </cell>
        </row>
        <row r="20776">
          <cell r="F20776" t="str">
            <v xml:space="preserve">4888325        </v>
          </cell>
          <cell r="O20776">
            <v>33.4</v>
          </cell>
        </row>
        <row r="20777">
          <cell r="F20777" t="str">
            <v xml:space="preserve">52326877       </v>
          </cell>
          <cell r="O20777">
            <v>45.7</v>
          </cell>
        </row>
        <row r="20778">
          <cell r="F20778" t="str">
            <v xml:space="preserve">52662607       </v>
          </cell>
          <cell r="O20778">
            <v>21.7</v>
          </cell>
        </row>
        <row r="20779">
          <cell r="F20779" t="str">
            <v xml:space="preserve">55057791       </v>
          </cell>
          <cell r="O20779">
            <v>74.2</v>
          </cell>
        </row>
        <row r="20780">
          <cell r="F20780" t="str">
            <v xml:space="preserve">55112429       </v>
          </cell>
          <cell r="O20780">
            <v>42.4</v>
          </cell>
        </row>
        <row r="20781">
          <cell r="F20781" t="str">
            <v xml:space="preserve">55207082		     </v>
          </cell>
          <cell r="O20781">
            <v>91.1</v>
          </cell>
        </row>
        <row r="20782">
          <cell r="F20782" t="str">
            <v xml:space="preserve">55207082		     </v>
          </cell>
          <cell r="O20782">
            <v>62.9</v>
          </cell>
        </row>
        <row r="20783">
          <cell r="F20783" t="str">
            <v xml:space="preserve">65771520       </v>
          </cell>
          <cell r="O20783">
            <v>132.6</v>
          </cell>
        </row>
        <row r="20784">
          <cell r="F20784" t="str">
            <v xml:space="preserve">700111478      </v>
          </cell>
          <cell r="O20784">
            <v>201</v>
          </cell>
        </row>
        <row r="20785">
          <cell r="F20785" t="str">
            <v xml:space="preserve">7709256        </v>
          </cell>
          <cell r="O20785">
            <v>67.400000000000006</v>
          </cell>
        </row>
        <row r="20786">
          <cell r="F20786" t="str">
            <v xml:space="preserve">811020688      </v>
          </cell>
          <cell r="O20786">
            <v>317.60000000000002</v>
          </cell>
        </row>
        <row r="20787">
          <cell r="F20787" t="str">
            <v xml:space="preserve">83057870       </v>
          </cell>
          <cell r="O20787">
            <v>73.599999999999994</v>
          </cell>
        </row>
        <row r="20788">
          <cell r="F20788" t="str">
            <v xml:space="preserve">83181233       </v>
          </cell>
          <cell r="O20788">
            <v>222.2</v>
          </cell>
        </row>
        <row r="20789">
          <cell r="F20789" t="str">
            <v xml:space="preserve">83229489       </v>
          </cell>
          <cell r="O20789">
            <v>70.400000000000006</v>
          </cell>
        </row>
        <row r="20790">
          <cell r="F20790" t="str">
            <v xml:space="preserve">83231907       </v>
          </cell>
          <cell r="O20790">
            <v>66.5</v>
          </cell>
        </row>
        <row r="20791">
          <cell r="F20791" t="str">
            <v xml:space="preserve">83231907       </v>
          </cell>
          <cell r="O20791">
            <v>55.5</v>
          </cell>
        </row>
        <row r="20792">
          <cell r="F20792" t="str">
            <v xml:space="preserve">860065656      </v>
          </cell>
          <cell r="O20792">
            <v>6683.2</v>
          </cell>
        </row>
        <row r="20793">
          <cell r="F20793" t="str">
            <v xml:space="preserve">890930545      </v>
          </cell>
          <cell r="O20793">
            <v>20270</v>
          </cell>
        </row>
        <row r="20794">
          <cell r="F20794" t="str">
            <v xml:space="preserve">900197494      </v>
          </cell>
          <cell r="O20794">
            <v>348.5</v>
          </cell>
        </row>
        <row r="20795">
          <cell r="F20795" t="str">
            <v xml:space="preserve">900383516      </v>
          </cell>
          <cell r="O20795">
            <v>245</v>
          </cell>
        </row>
        <row r="20796">
          <cell r="F20796" t="str">
            <v xml:space="preserve">900383516      </v>
          </cell>
          <cell r="O20796">
            <v>646.5</v>
          </cell>
        </row>
        <row r="20797">
          <cell r="F20797" t="str">
            <v xml:space="preserve">900383516      </v>
          </cell>
          <cell r="O20797">
            <v>113.4</v>
          </cell>
        </row>
        <row r="20798">
          <cell r="F20798" t="str">
            <v xml:space="preserve">900383516      </v>
          </cell>
          <cell r="O20798">
            <v>154.69999999999999</v>
          </cell>
        </row>
        <row r="20799">
          <cell r="F20799" t="str">
            <v xml:space="preserve">901108580      </v>
          </cell>
          <cell r="O20799">
            <v>81.400000000000006</v>
          </cell>
        </row>
        <row r="20800">
          <cell r="F20800" t="str">
            <v xml:space="preserve">901127896      </v>
          </cell>
          <cell r="O20800">
            <v>98.4</v>
          </cell>
        </row>
        <row r="20801">
          <cell r="F20801" t="str">
            <v xml:space="preserve">901127896      </v>
          </cell>
          <cell r="O20801">
            <v>310.89999999999998</v>
          </cell>
        </row>
        <row r="20802">
          <cell r="F20802" t="str">
            <v xml:space="preserve">901127896      </v>
          </cell>
          <cell r="O20802">
            <v>268.7</v>
          </cell>
        </row>
        <row r="20803">
          <cell r="F20803" t="str">
            <v xml:space="preserve">901127896      </v>
          </cell>
          <cell r="O20803">
            <v>226.3</v>
          </cell>
        </row>
        <row r="20804">
          <cell r="F20804" t="str">
            <v xml:space="preserve">901229100      </v>
          </cell>
          <cell r="O20804">
            <v>82.1</v>
          </cell>
        </row>
        <row r="20805">
          <cell r="F20805" t="str">
            <v xml:space="preserve">901363398      </v>
          </cell>
          <cell r="O20805">
            <v>137.30000000000001</v>
          </cell>
        </row>
        <row r="20806">
          <cell r="F20806" t="str">
            <v xml:space="preserve">901363398      </v>
          </cell>
          <cell r="O20806">
            <v>201.7</v>
          </cell>
        </row>
        <row r="20807">
          <cell r="F20807" t="str">
            <v xml:space="preserve">901468908      </v>
          </cell>
          <cell r="O20807">
            <v>74.400000000000006</v>
          </cell>
        </row>
        <row r="20808">
          <cell r="F20808" t="str">
            <v xml:space="preserve">901532251      </v>
          </cell>
          <cell r="O20808">
            <v>353.2</v>
          </cell>
        </row>
        <row r="20809">
          <cell r="F20809" t="str">
            <v xml:space="preserve">830115439      </v>
          </cell>
          <cell r="O20809">
            <v>200.2</v>
          </cell>
        </row>
        <row r="20810">
          <cell r="F20810" t="str">
            <v xml:space="preserve">860058831      </v>
          </cell>
          <cell r="O20810">
            <v>445.1</v>
          </cell>
        </row>
        <row r="20811">
          <cell r="F20811" t="str">
            <v xml:space="preserve">860403972      </v>
          </cell>
          <cell r="O20811">
            <v>3500.2</v>
          </cell>
        </row>
        <row r="20812">
          <cell r="F20812" t="str">
            <v xml:space="preserve">900067125      </v>
          </cell>
          <cell r="O20812">
            <v>85.4</v>
          </cell>
        </row>
        <row r="20813">
          <cell r="F20813" t="str">
            <v xml:space="preserve">860001697      </v>
          </cell>
          <cell r="O20813">
            <v>449.28</v>
          </cell>
        </row>
        <row r="20814">
          <cell r="F20814" t="str">
            <v xml:space="preserve">890903939      </v>
          </cell>
          <cell r="O20814">
            <v>145.47999999999999</v>
          </cell>
        </row>
        <row r="20815">
          <cell r="F20815" t="str">
            <v xml:space="preserve">212            </v>
          </cell>
          <cell r="O20815">
            <v>9</v>
          </cell>
        </row>
        <row r="20816">
          <cell r="F20816" t="str">
            <v xml:space="preserve">212            </v>
          </cell>
          <cell r="O20816">
            <v>15</v>
          </cell>
        </row>
        <row r="20817">
          <cell r="F20817" t="str">
            <v xml:space="preserve">212            </v>
          </cell>
          <cell r="O20817">
            <v>75</v>
          </cell>
        </row>
        <row r="20818">
          <cell r="F20818" t="str">
            <v xml:space="preserve">212            </v>
          </cell>
          <cell r="O20818">
            <v>162</v>
          </cell>
        </row>
        <row r="20819">
          <cell r="F20819" t="str">
            <v xml:space="preserve">212            </v>
          </cell>
          <cell r="O20819">
            <v>90</v>
          </cell>
        </row>
        <row r="20820">
          <cell r="F20820" t="str">
            <v xml:space="preserve">212            </v>
          </cell>
          <cell r="O20820">
            <v>300</v>
          </cell>
        </row>
        <row r="20821">
          <cell r="F20821" t="str">
            <v xml:space="preserve">212            </v>
          </cell>
          <cell r="O20821">
            <v>54</v>
          </cell>
        </row>
        <row r="20822">
          <cell r="F20822" t="str">
            <v xml:space="preserve">900084859      </v>
          </cell>
          <cell r="O20822">
            <v>15</v>
          </cell>
        </row>
        <row r="20823">
          <cell r="F20823" t="str">
            <v xml:space="preserve">21650387       </v>
          </cell>
          <cell r="O20823">
            <v>36</v>
          </cell>
        </row>
        <row r="20824">
          <cell r="F20824" t="str">
            <v xml:space="preserve">70052771       </v>
          </cell>
          <cell r="O20824">
            <v>396</v>
          </cell>
        </row>
        <row r="20825">
          <cell r="F20825" t="str">
            <v xml:space="preserve">811037915      </v>
          </cell>
          <cell r="O20825">
            <v>288</v>
          </cell>
        </row>
        <row r="20826">
          <cell r="F20826" t="str">
            <v xml:space="preserve">890985417      </v>
          </cell>
          <cell r="O20826">
            <v>90</v>
          </cell>
        </row>
        <row r="20827">
          <cell r="F20827" t="str">
            <v xml:space="preserve">890985417      </v>
          </cell>
          <cell r="O20827">
            <v>18</v>
          </cell>
        </row>
        <row r="20828">
          <cell r="F20828" t="str">
            <v xml:space="preserve">890985417      </v>
          </cell>
          <cell r="O20828">
            <v>90</v>
          </cell>
        </row>
        <row r="20829">
          <cell r="F20829" t="str">
            <v xml:space="preserve">900199056      </v>
          </cell>
          <cell r="O20829">
            <v>90</v>
          </cell>
        </row>
        <row r="20830">
          <cell r="F20830" t="str">
            <v xml:space="preserve">900199056      </v>
          </cell>
          <cell r="O20830">
            <v>45</v>
          </cell>
        </row>
        <row r="20831">
          <cell r="F20831" t="str">
            <v xml:space="preserve">213            </v>
          </cell>
          <cell r="O20831">
            <v>90</v>
          </cell>
        </row>
        <row r="20832">
          <cell r="F20832" t="str">
            <v xml:space="preserve">213            </v>
          </cell>
          <cell r="O20832">
            <v>45</v>
          </cell>
        </row>
        <row r="20833">
          <cell r="F20833" t="str">
            <v xml:space="preserve">213            </v>
          </cell>
          <cell r="O20833">
            <v>126</v>
          </cell>
        </row>
        <row r="20834">
          <cell r="F20834" t="str">
            <v xml:space="preserve">70052771       </v>
          </cell>
          <cell r="O20834">
            <v>63</v>
          </cell>
        </row>
        <row r="20835">
          <cell r="F20835" t="str">
            <v xml:space="preserve">811020038      </v>
          </cell>
          <cell r="O20835">
            <v>18</v>
          </cell>
        </row>
        <row r="20836">
          <cell r="F20836" t="str">
            <v xml:space="preserve">811035741      </v>
          </cell>
          <cell r="O20836">
            <v>135</v>
          </cell>
        </row>
        <row r="20837">
          <cell r="F20837" t="str">
            <v xml:space="preserve">860013809      </v>
          </cell>
          <cell r="O20837">
            <v>198</v>
          </cell>
        </row>
        <row r="20838">
          <cell r="F20838" t="str">
            <v xml:space="preserve">860020382      </v>
          </cell>
          <cell r="O20838">
            <v>60</v>
          </cell>
        </row>
        <row r="20839">
          <cell r="F20839" t="str">
            <v xml:space="preserve">890900424      </v>
          </cell>
          <cell r="O20839">
            <v>30</v>
          </cell>
        </row>
        <row r="20840">
          <cell r="F20840" t="str">
            <v xml:space="preserve">890904713      </v>
          </cell>
          <cell r="O20840">
            <v>45</v>
          </cell>
        </row>
        <row r="20841">
          <cell r="F20841" t="str">
            <v xml:space="preserve">890905790      </v>
          </cell>
          <cell r="O20841">
            <v>90</v>
          </cell>
        </row>
        <row r="20842">
          <cell r="F20842" t="str">
            <v xml:space="preserve">890907406      </v>
          </cell>
          <cell r="O20842">
            <v>15</v>
          </cell>
        </row>
        <row r="20843">
          <cell r="F20843" t="str">
            <v xml:space="preserve">899999049      </v>
          </cell>
          <cell r="O20843">
            <v>51</v>
          </cell>
        </row>
        <row r="20844">
          <cell r="F20844" t="str">
            <v xml:space="preserve">900049818      </v>
          </cell>
          <cell r="O20844">
            <v>30</v>
          </cell>
        </row>
        <row r="20845">
          <cell r="F20845" t="str">
            <v xml:space="preserve">900671066      </v>
          </cell>
          <cell r="O20845">
            <v>18</v>
          </cell>
        </row>
        <row r="20846">
          <cell r="F20846" t="str">
            <v xml:space="preserve">901436775      </v>
          </cell>
          <cell r="O20846">
            <v>150</v>
          </cell>
        </row>
        <row r="20847">
          <cell r="F20847" t="str">
            <v xml:space="preserve">8057617        </v>
          </cell>
          <cell r="O20847">
            <v>1800</v>
          </cell>
        </row>
        <row r="20848">
          <cell r="F20848" t="str">
            <v xml:space="preserve">210            </v>
          </cell>
          <cell r="O20848">
            <v>414</v>
          </cell>
        </row>
        <row r="20849">
          <cell r="F20849" t="str">
            <v xml:space="preserve">101            </v>
          </cell>
          <cell r="O20849">
            <v>90</v>
          </cell>
        </row>
        <row r="20850">
          <cell r="F20850" t="str">
            <v xml:space="preserve">890904996      </v>
          </cell>
          <cell r="O20850">
            <v>1575</v>
          </cell>
        </row>
        <row r="20851">
          <cell r="F20851" t="str">
            <v xml:space="preserve">101            </v>
          </cell>
          <cell r="O20851">
            <v>45</v>
          </cell>
        </row>
        <row r="20852">
          <cell r="F20852" t="str">
            <v xml:space="preserve">101            </v>
          </cell>
          <cell r="O20852">
            <v>4.5</v>
          </cell>
        </row>
        <row r="20853">
          <cell r="F20853" t="str">
            <v xml:space="preserve">101            </v>
          </cell>
          <cell r="O20853">
            <v>108</v>
          </cell>
        </row>
        <row r="20854">
          <cell r="F20854" t="str">
            <v xml:space="preserve">210            </v>
          </cell>
          <cell r="O20854">
            <v>1782</v>
          </cell>
        </row>
        <row r="20855">
          <cell r="F20855" t="str">
            <v xml:space="preserve">210            </v>
          </cell>
          <cell r="O20855">
            <v>45</v>
          </cell>
        </row>
        <row r="20856">
          <cell r="F20856" t="str">
            <v xml:space="preserve">860020382      </v>
          </cell>
          <cell r="O20856">
            <v>87</v>
          </cell>
        </row>
        <row r="20857">
          <cell r="F20857" t="str">
            <v xml:space="preserve">404            </v>
          </cell>
          <cell r="O20857">
            <v>150</v>
          </cell>
        </row>
        <row r="20858">
          <cell r="F20858" t="str">
            <v xml:space="preserve">404            </v>
          </cell>
          <cell r="O20858">
            <v>72</v>
          </cell>
        </row>
        <row r="20859">
          <cell r="F20859" t="str">
            <v xml:space="preserve">404            </v>
          </cell>
          <cell r="O20859">
            <v>45</v>
          </cell>
        </row>
        <row r="20860">
          <cell r="F20860" t="str">
            <v xml:space="preserve">890108961      </v>
          </cell>
          <cell r="O20860">
            <v>180</v>
          </cell>
        </row>
        <row r="20861">
          <cell r="F20861" t="str">
            <v xml:space="preserve">860001697      </v>
          </cell>
          <cell r="O20861">
            <v>923.4</v>
          </cell>
        </row>
        <row r="20862">
          <cell r="F20862" t="str">
            <v xml:space="preserve">210            </v>
          </cell>
          <cell r="O20862">
            <v>4.5</v>
          </cell>
        </row>
        <row r="20863">
          <cell r="F20863" t="str">
            <v xml:space="preserve">210            </v>
          </cell>
          <cell r="O20863">
            <v>9</v>
          </cell>
        </row>
        <row r="20864">
          <cell r="F20864" t="str">
            <v xml:space="preserve">210            </v>
          </cell>
          <cell r="O20864">
            <v>30</v>
          </cell>
        </row>
        <row r="20865">
          <cell r="F20865" t="str">
            <v xml:space="preserve">210            </v>
          </cell>
          <cell r="O20865">
            <v>324</v>
          </cell>
        </row>
        <row r="20866">
          <cell r="F20866" t="str">
            <v xml:space="preserve">210            </v>
          </cell>
          <cell r="O20866">
            <v>180</v>
          </cell>
        </row>
        <row r="20867">
          <cell r="F20867" t="str">
            <v xml:space="preserve">210            </v>
          </cell>
          <cell r="O20867">
            <v>198</v>
          </cell>
        </row>
        <row r="20868">
          <cell r="F20868" t="str">
            <v xml:space="preserve">6621568        </v>
          </cell>
          <cell r="O20868">
            <v>54</v>
          </cell>
        </row>
        <row r="20869">
          <cell r="F20869" t="str">
            <v xml:space="preserve">6621568        </v>
          </cell>
          <cell r="O20869">
            <v>90</v>
          </cell>
        </row>
        <row r="20870">
          <cell r="F20870" t="str">
            <v xml:space="preserve">800003267      </v>
          </cell>
          <cell r="O20870">
            <v>162</v>
          </cell>
        </row>
        <row r="20871">
          <cell r="F20871" t="str">
            <v xml:space="preserve">817004766      </v>
          </cell>
          <cell r="O20871">
            <v>144</v>
          </cell>
        </row>
        <row r="20872">
          <cell r="F20872" t="str">
            <v xml:space="preserve">890301602      </v>
          </cell>
          <cell r="O20872">
            <v>54</v>
          </cell>
        </row>
        <row r="20873">
          <cell r="F20873" t="str">
            <v xml:space="preserve">890302609      </v>
          </cell>
          <cell r="O20873">
            <v>135</v>
          </cell>
        </row>
        <row r="20874">
          <cell r="F20874" t="str">
            <v xml:space="preserve">890321924      </v>
          </cell>
          <cell r="O20874">
            <v>36</v>
          </cell>
        </row>
        <row r="20875">
          <cell r="F20875" t="str">
            <v xml:space="preserve">890805453      </v>
          </cell>
          <cell r="O20875">
            <v>36</v>
          </cell>
        </row>
        <row r="20876">
          <cell r="F20876" t="str">
            <v xml:space="preserve">890903939      </v>
          </cell>
          <cell r="O20876">
            <v>302</v>
          </cell>
        </row>
        <row r="20877">
          <cell r="F20877" t="str">
            <v xml:space="preserve">890903939      </v>
          </cell>
          <cell r="O20877">
            <v>245</v>
          </cell>
        </row>
        <row r="20878">
          <cell r="F20878" t="str">
            <v xml:space="preserve">901149931      </v>
          </cell>
          <cell r="O20878">
            <v>36</v>
          </cell>
        </row>
        <row r="20879">
          <cell r="F20879" t="str">
            <v xml:space="preserve">901167377      </v>
          </cell>
          <cell r="O20879">
            <v>149.5</v>
          </cell>
        </row>
        <row r="20880">
          <cell r="F20880" t="str">
            <v xml:space="preserve">811020038      </v>
          </cell>
          <cell r="O20880">
            <v>54</v>
          </cell>
        </row>
        <row r="20881">
          <cell r="F20881" t="str">
            <v xml:space="preserve">860001697      </v>
          </cell>
          <cell r="O20881">
            <v>235.06</v>
          </cell>
        </row>
        <row r="20882">
          <cell r="F20882" t="str">
            <v xml:space="preserve">860001697      </v>
          </cell>
          <cell r="O20882">
            <v>543.69000000000005</v>
          </cell>
        </row>
        <row r="20883">
          <cell r="F20883" t="str">
            <v xml:space="preserve">900172069      </v>
          </cell>
          <cell r="O20883">
            <v>90</v>
          </cell>
        </row>
        <row r="20884">
          <cell r="F20884" t="str">
            <v xml:space="preserve">900817917      </v>
          </cell>
          <cell r="O20884">
            <v>75</v>
          </cell>
        </row>
        <row r="20885">
          <cell r="F20885" t="str">
            <v xml:space="preserve">900817917      </v>
          </cell>
          <cell r="O20885">
            <v>36</v>
          </cell>
        </row>
        <row r="20886">
          <cell r="F20886" t="str">
            <v xml:space="preserve">900996674      </v>
          </cell>
          <cell r="O20886">
            <v>-75</v>
          </cell>
        </row>
        <row r="20887">
          <cell r="F20887" t="str">
            <v xml:space="preserve">900996674      </v>
          </cell>
          <cell r="O20887">
            <v>-36</v>
          </cell>
        </row>
        <row r="20888">
          <cell r="F20888" t="str">
            <v xml:space="preserve">901271360      </v>
          </cell>
          <cell r="O20888">
            <v>900</v>
          </cell>
        </row>
        <row r="20889">
          <cell r="F20889" t="str">
            <v xml:space="preserve">203            </v>
          </cell>
          <cell r="O20889">
            <v>18</v>
          </cell>
        </row>
        <row r="20890">
          <cell r="F20890" t="str">
            <v xml:space="preserve">203            </v>
          </cell>
          <cell r="O20890">
            <v>45</v>
          </cell>
        </row>
        <row r="20891">
          <cell r="F20891" t="str">
            <v xml:space="preserve">43730353       </v>
          </cell>
          <cell r="O20891">
            <v>36</v>
          </cell>
        </row>
        <row r="20892">
          <cell r="F20892" t="str">
            <v xml:space="preserve">811029282      </v>
          </cell>
          <cell r="O20892">
            <v>90</v>
          </cell>
        </row>
        <row r="20893">
          <cell r="F20893" t="str">
            <v xml:space="preserve">890905179      </v>
          </cell>
          <cell r="O20893">
            <v>54</v>
          </cell>
        </row>
        <row r="20894">
          <cell r="F20894" t="str">
            <v xml:space="preserve">860032450      </v>
          </cell>
          <cell r="O20894">
            <v>4000</v>
          </cell>
        </row>
        <row r="20895">
          <cell r="F20895" t="str">
            <v xml:space="preserve">900723285      </v>
          </cell>
          <cell r="O20895">
            <v>289</v>
          </cell>
        </row>
        <row r="20896">
          <cell r="F20896" t="str">
            <v xml:space="preserve">75056610       </v>
          </cell>
          <cell r="O20896">
            <v>117.4</v>
          </cell>
        </row>
        <row r="20897">
          <cell r="F20897" t="str">
            <v xml:space="preserve">800130632      </v>
          </cell>
          <cell r="O20897">
            <v>200.5</v>
          </cell>
        </row>
        <row r="20898">
          <cell r="F20898" t="str">
            <v xml:space="preserve">860058831      </v>
          </cell>
          <cell r="O20898">
            <v>500</v>
          </cell>
        </row>
        <row r="20899">
          <cell r="F20899" t="str">
            <v xml:space="preserve">900354571      </v>
          </cell>
          <cell r="O20899">
            <v>510.3</v>
          </cell>
        </row>
        <row r="20900">
          <cell r="F20900" t="str">
            <v xml:space="preserve">900949158      </v>
          </cell>
          <cell r="O20900">
            <v>150.19999999999999</v>
          </cell>
        </row>
        <row r="20901">
          <cell r="F20901" t="str">
            <v xml:space="preserve">901010840      </v>
          </cell>
          <cell r="O20901">
            <v>500.1</v>
          </cell>
        </row>
        <row r="20902">
          <cell r="F20902" t="str">
            <v xml:space="preserve">901456616      </v>
          </cell>
          <cell r="O20902">
            <v>503</v>
          </cell>
        </row>
        <row r="20903">
          <cell r="F20903" t="str">
            <v xml:space="preserve">18936116       </v>
          </cell>
          <cell r="O20903">
            <v>180</v>
          </cell>
        </row>
        <row r="20904">
          <cell r="F20904" t="str">
            <v xml:space="preserve">18936116       </v>
          </cell>
          <cell r="O20904">
            <v>90</v>
          </cell>
        </row>
        <row r="20905">
          <cell r="F20905" t="str">
            <v xml:space="preserve">808001557      </v>
          </cell>
          <cell r="O20905">
            <v>900</v>
          </cell>
        </row>
        <row r="20906">
          <cell r="F20906" t="str">
            <v xml:space="preserve">808001557      </v>
          </cell>
          <cell r="O20906">
            <v>360</v>
          </cell>
        </row>
        <row r="20907">
          <cell r="F20907" t="str">
            <v xml:space="preserve">110            </v>
          </cell>
          <cell r="O20907">
            <v>270</v>
          </cell>
        </row>
        <row r="20908">
          <cell r="F20908" t="str">
            <v xml:space="preserve">212            </v>
          </cell>
          <cell r="O20908">
            <v>60</v>
          </cell>
        </row>
        <row r="20909">
          <cell r="F20909" t="str">
            <v xml:space="preserve">212            </v>
          </cell>
          <cell r="O20909">
            <v>198</v>
          </cell>
        </row>
        <row r="20910">
          <cell r="F20910" t="str">
            <v xml:space="preserve">212            </v>
          </cell>
          <cell r="O20910">
            <v>90</v>
          </cell>
        </row>
        <row r="20911">
          <cell r="F20911" t="str">
            <v xml:space="preserve">212            </v>
          </cell>
          <cell r="O20911">
            <v>45</v>
          </cell>
        </row>
        <row r="20912">
          <cell r="F20912" t="str">
            <v xml:space="preserve">212            </v>
          </cell>
          <cell r="O20912">
            <v>15</v>
          </cell>
        </row>
        <row r="20913">
          <cell r="F20913" t="str">
            <v xml:space="preserve">212            </v>
          </cell>
          <cell r="O20913">
            <v>36</v>
          </cell>
        </row>
        <row r="20914">
          <cell r="F20914" t="str">
            <v xml:space="preserve">212            </v>
          </cell>
          <cell r="O20914">
            <v>45</v>
          </cell>
        </row>
        <row r="20915">
          <cell r="F20915" t="str">
            <v xml:space="preserve">900495908      </v>
          </cell>
          <cell r="O20915">
            <v>45</v>
          </cell>
        </row>
        <row r="20916">
          <cell r="F20916" t="str">
            <v xml:space="preserve">900495908      </v>
          </cell>
          <cell r="O20916">
            <v>30</v>
          </cell>
        </row>
        <row r="20917">
          <cell r="F20917" t="str">
            <v xml:space="preserve">900495908      </v>
          </cell>
          <cell r="O20917">
            <v>45</v>
          </cell>
        </row>
        <row r="20918">
          <cell r="F20918" t="str">
            <v xml:space="preserve">900495908      </v>
          </cell>
          <cell r="O20918">
            <v>90</v>
          </cell>
        </row>
        <row r="20919">
          <cell r="F20919" t="str">
            <v xml:space="preserve">900495908      </v>
          </cell>
          <cell r="O20919">
            <v>15</v>
          </cell>
        </row>
        <row r="20920">
          <cell r="F20920" t="str">
            <v xml:space="preserve">900495908      </v>
          </cell>
          <cell r="O20920">
            <v>45</v>
          </cell>
        </row>
        <row r="20921">
          <cell r="F20921" t="str">
            <v xml:space="preserve">900495908      </v>
          </cell>
          <cell r="O20921">
            <v>90</v>
          </cell>
        </row>
        <row r="20922">
          <cell r="F20922" t="str">
            <v xml:space="preserve">1032404702     </v>
          </cell>
          <cell r="O20922">
            <v>60.9</v>
          </cell>
        </row>
        <row r="20923">
          <cell r="F20923" t="str">
            <v xml:space="preserve">890332769      </v>
          </cell>
          <cell r="O20923">
            <v>4197.8999999999996</v>
          </cell>
        </row>
        <row r="20924">
          <cell r="F20924" t="str">
            <v xml:space="preserve">860049921      </v>
          </cell>
          <cell r="O20924">
            <v>2159</v>
          </cell>
        </row>
        <row r="20925">
          <cell r="F20925" t="str">
            <v xml:space="preserve">300            </v>
          </cell>
          <cell r="O20925">
            <v>126</v>
          </cell>
        </row>
        <row r="20926">
          <cell r="F20926" t="str">
            <v xml:space="preserve">300            </v>
          </cell>
          <cell r="O20926">
            <v>135</v>
          </cell>
        </row>
        <row r="20927">
          <cell r="F20927" t="str">
            <v xml:space="preserve">300            </v>
          </cell>
          <cell r="O20927">
            <v>324</v>
          </cell>
        </row>
        <row r="20928">
          <cell r="F20928" t="str">
            <v xml:space="preserve">300            </v>
          </cell>
          <cell r="O20928">
            <v>90</v>
          </cell>
        </row>
        <row r="20929">
          <cell r="F20929" t="str">
            <v xml:space="preserve">300            </v>
          </cell>
          <cell r="O20929">
            <v>1152</v>
          </cell>
        </row>
        <row r="20930">
          <cell r="F20930" t="str">
            <v xml:space="preserve">300            </v>
          </cell>
          <cell r="O20930">
            <v>270</v>
          </cell>
        </row>
        <row r="20931">
          <cell r="F20931" t="str">
            <v xml:space="preserve">830133323      </v>
          </cell>
          <cell r="O20931">
            <v>72</v>
          </cell>
        </row>
        <row r="20932">
          <cell r="F20932" t="str">
            <v xml:space="preserve">212            </v>
          </cell>
          <cell r="O20932">
            <v>30</v>
          </cell>
        </row>
        <row r="20933">
          <cell r="F20933" t="str">
            <v xml:space="preserve">212            </v>
          </cell>
          <cell r="O20933">
            <v>72</v>
          </cell>
        </row>
        <row r="20934">
          <cell r="F20934" t="str">
            <v xml:space="preserve">212            </v>
          </cell>
          <cell r="O20934">
            <v>45</v>
          </cell>
        </row>
        <row r="20935">
          <cell r="F20935" t="str">
            <v xml:space="preserve">212            </v>
          </cell>
          <cell r="O20935">
            <v>15</v>
          </cell>
        </row>
        <row r="20936">
          <cell r="F20936" t="str">
            <v xml:space="preserve">830027386      </v>
          </cell>
          <cell r="O20936">
            <v>99</v>
          </cell>
        </row>
        <row r="20937">
          <cell r="F20937" t="str">
            <v xml:space="preserve">890900161      </v>
          </cell>
          <cell r="O20937">
            <v>120</v>
          </cell>
        </row>
        <row r="20938">
          <cell r="F20938" t="str">
            <v xml:space="preserve">890903939      </v>
          </cell>
          <cell r="O20938">
            <v>220.3</v>
          </cell>
        </row>
        <row r="20939">
          <cell r="F20939" t="str">
            <v xml:space="preserve">212            </v>
          </cell>
          <cell r="O20939">
            <v>2175</v>
          </cell>
        </row>
        <row r="20940">
          <cell r="F20940" t="str">
            <v xml:space="preserve">212            </v>
          </cell>
          <cell r="O20940">
            <v>144</v>
          </cell>
        </row>
        <row r="20941">
          <cell r="F20941" t="str">
            <v xml:space="preserve">805012977      </v>
          </cell>
          <cell r="O20941">
            <v>108</v>
          </cell>
        </row>
        <row r="20942">
          <cell r="F20942" t="str">
            <v xml:space="preserve">860020382      </v>
          </cell>
          <cell r="O20942">
            <v>36</v>
          </cell>
        </row>
        <row r="20943">
          <cell r="F20943" t="str">
            <v xml:space="preserve">890300431      </v>
          </cell>
          <cell r="O20943">
            <v>33</v>
          </cell>
        </row>
        <row r="20944">
          <cell r="F20944" t="str">
            <v xml:space="preserve">890307885      </v>
          </cell>
          <cell r="O20944">
            <v>144</v>
          </cell>
        </row>
        <row r="20945">
          <cell r="F20945" t="str">
            <v xml:space="preserve">890308085      </v>
          </cell>
          <cell r="O20945">
            <v>36</v>
          </cell>
        </row>
        <row r="20946">
          <cell r="F20946" t="str">
            <v xml:space="preserve">890312630      </v>
          </cell>
          <cell r="O20946">
            <v>63</v>
          </cell>
        </row>
        <row r="20947">
          <cell r="F20947" t="str">
            <v xml:space="preserve">899999049      </v>
          </cell>
          <cell r="O20947">
            <v>54</v>
          </cell>
        </row>
        <row r="20948">
          <cell r="F20948" t="str">
            <v xml:space="preserve">899999049      </v>
          </cell>
          <cell r="O20948">
            <v>72</v>
          </cell>
        </row>
        <row r="20949">
          <cell r="F20949" t="str">
            <v xml:space="preserve">900818921      </v>
          </cell>
          <cell r="O20949">
            <v>447</v>
          </cell>
        </row>
        <row r="20950">
          <cell r="F20950" t="str">
            <v xml:space="preserve">900896300      </v>
          </cell>
          <cell r="O20950">
            <v>105</v>
          </cell>
        </row>
        <row r="20951">
          <cell r="F20951" t="str">
            <v xml:space="preserve">901026262      </v>
          </cell>
          <cell r="O20951">
            <v>54</v>
          </cell>
        </row>
        <row r="20952">
          <cell r="F20952" t="str">
            <v xml:space="preserve">212            </v>
          </cell>
          <cell r="O20952">
            <v>30</v>
          </cell>
        </row>
        <row r="20953">
          <cell r="F20953" t="str">
            <v xml:space="preserve">212            </v>
          </cell>
          <cell r="O20953">
            <v>18</v>
          </cell>
        </row>
        <row r="20954">
          <cell r="F20954" t="str">
            <v xml:space="preserve">212            </v>
          </cell>
          <cell r="O20954">
            <v>30</v>
          </cell>
        </row>
        <row r="20955">
          <cell r="F20955" t="str">
            <v xml:space="preserve">212            </v>
          </cell>
          <cell r="O20955">
            <v>54</v>
          </cell>
        </row>
        <row r="20956">
          <cell r="F20956" t="str">
            <v xml:space="preserve">212            </v>
          </cell>
          <cell r="O20956">
            <v>15</v>
          </cell>
        </row>
        <row r="20957">
          <cell r="F20957" t="str">
            <v xml:space="preserve">212            </v>
          </cell>
          <cell r="O20957">
            <v>15</v>
          </cell>
        </row>
        <row r="20958">
          <cell r="F20958" t="str">
            <v xml:space="preserve">212            </v>
          </cell>
          <cell r="O20958">
            <v>18</v>
          </cell>
        </row>
        <row r="20959">
          <cell r="F20959" t="str">
            <v xml:space="preserve">212            </v>
          </cell>
          <cell r="O20959">
            <v>45</v>
          </cell>
        </row>
        <row r="20960">
          <cell r="F20960" t="str">
            <v xml:space="preserve">212            </v>
          </cell>
          <cell r="O20960">
            <v>90</v>
          </cell>
        </row>
        <row r="20961">
          <cell r="F20961" t="str">
            <v xml:space="preserve">212            </v>
          </cell>
          <cell r="O20961">
            <v>30</v>
          </cell>
        </row>
        <row r="20962">
          <cell r="F20962" t="str">
            <v xml:space="preserve">212            </v>
          </cell>
          <cell r="O20962">
            <v>60</v>
          </cell>
        </row>
        <row r="20963">
          <cell r="F20963" t="str">
            <v xml:space="preserve">212            </v>
          </cell>
          <cell r="O20963">
            <v>72</v>
          </cell>
        </row>
        <row r="20964">
          <cell r="F20964" t="str">
            <v xml:space="preserve">212            </v>
          </cell>
          <cell r="O20964">
            <v>45</v>
          </cell>
        </row>
        <row r="20965">
          <cell r="F20965" t="str">
            <v xml:space="preserve">811042631      </v>
          </cell>
          <cell r="O20965">
            <v>15</v>
          </cell>
        </row>
        <row r="20966">
          <cell r="F20966" t="str">
            <v xml:space="preserve">830010738      </v>
          </cell>
          <cell r="O20966">
            <v>225</v>
          </cell>
        </row>
        <row r="20967">
          <cell r="F20967" t="str">
            <v xml:space="preserve">900495908      </v>
          </cell>
          <cell r="O20967">
            <v>45</v>
          </cell>
        </row>
        <row r="20968">
          <cell r="F20968" t="str">
            <v xml:space="preserve">900495908      </v>
          </cell>
          <cell r="O20968">
            <v>45</v>
          </cell>
        </row>
        <row r="20969">
          <cell r="F20969" t="str">
            <v xml:space="preserve">890304130      </v>
          </cell>
          <cell r="O20969">
            <v>30</v>
          </cell>
        </row>
        <row r="20970">
          <cell r="F20970" t="str">
            <v xml:space="preserve">890304130      </v>
          </cell>
          <cell r="O20970">
            <v>180</v>
          </cell>
        </row>
        <row r="20971">
          <cell r="F20971" t="str">
            <v xml:space="preserve">890903939      </v>
          </cell>
          <cell r="O20971">
            <v>128.4</v>
          </cell>
        </row>
        <row r="20972">
          <cell r="F20972" t="str">
            <v xml:space="preserve">203            </v>
          </cell>
          <cell r="O20972">
            <v>342</v>
          </cell>
        </row>
        <row r="20973">
          <cell r="F20973" t="str">
            <v xml:space="preserve">203            </v>
          </cell>
          <cell r="O20973">
            <v>45</v>
          </cell>
        </row>
        <row r="20974">
          <cell r="F20974" t="str">
            <v xml:space="preserve">203            </v>
          </cell>
          <cell r="O20974">
            <v>90</v>
          </cell>
        </row>
        <row r="20975">
          <cell r="F20975" t="str">
            <v xml:space="preserve">203            </v>
          </cell>
          <cell r="O20975">
            <v>4.5</v>
          </cell>
        </row>
        <row r="20976">
          <cell r="F20976" t="str">
            <v xml:space="preserve">203            </v>
          </cell>
          <cell r="O20976">
            <v>18</v>
          </cell>
        </row>
        <row r="20977">
          <cell r="F20977" t="str">
            <v xml:space="preserve">203            </v>
          </cell>
          <cell r="O20977">
            <v>15</v>
          </cell>
        </row>
        <row r="20978">
          <cell r="F20978" t="str">
            <v xml:space="preserve">203            </v>
          </cell>
          <cell r="O20978">
            <v>108</v>
          </cell>
        </row>
        <row r="20979">
          <cell r="F20979" t="str">
            <v xml:space="preserve">203            </v>
          </cell>
          <cell r="O20979">
            <v>90</v>
          </cell>
        </row>
        <row r="20980">
          <cell r="F20980" t="str">
            <v xml:space="preserve">900084859      </v>
          </cell>
          <cell r="O20980">
            <v>18</v>
          </cell>
        </row>
        <row r="20981">
          <cell r="F20981" t="str">
            <v xml:space="preserve">900762346      </v>
          </cell>
          <cell r="O20981">
            <v>45</v>
          </cell>
        </row>
        <row r="20982">
          <cell r="F20982" t="str">
            <v xml:space="preserve">1090375745     </v>
          </cell>
          <cell r="O20982">
            <v>92.6</v>
          </cell>
        </row>
        <row r="20983">
          <cell r="F20983" t="str">
            <v xml:space="preserve">1090445467     </v>
          </cell>
          <cell r="O20983">
            <v>40.4</v>
          </cell>
        </row>
        <row r="20984">
          <cell r="F20984" t="str">
            <v xml:space="preserve">1090524322     </v>
          </cell>
          <cell r="O20984">
            <v>290</v>
          </cell>
        </row>
        <row r="20985">
          <cell r="F20985" t="str">
            <v xml:space="preserve">1093767786     </v>
          </cell>
          <cell r="O20985">
            <v>50.7</v>
          </cell>
        </row>
        <row r="20986">
          <cell r="F20986" t="str">
            <v xml:space="preserve">1093791135     </v>
          </cell>
          <cell r="O20986">
            <v>82</v>
          </cell>
        </row>
        <row r="20987">
          <cell r="F20987" t="str">
            <v xml:space="preserve">1113622521     </v>
          </cell>
          <cell r="O20987">
            <v>61.2</v>
          </cell>
        </row>
        <row r="20988">
          <cell r="F20988" t="str">
            <v xml:space="preserve">1126420127     </v>
          </cell>
          <cell r="O20988">
            <v>80.900000000000006</v>
          </cell>
        </row>
        <row r="20989">
          <cell r="F20989" t="str">
            <v xml:space="preserve">1126706884     </v>
          </cell>
          <cell r="O20989">
            <v>94.5</v>
          </cell>
        </row>
        <row r="20990">
          <cell r="F20990" t="str">
            <v xml:space="preserve">13479408       </v>
          </cell>
          <cell r="O20990">
            <v>80.3</v>
          </cell>
        </row>
        <row r="20991">
          <cell r="F20991" t="str">
            <v xml:space="preserve">13498882       </v>
          </cell>
          <cell r="O20991">
            <v>150.1</v>
          </cell>
        </row>
        <row r="20992">
          <cell r="F20992" t="str">
            <v xml:space="preserve">19314075       </v>
          </cell>
          <cell r="O20992">
            <v>53.6</v>
          </cell>
        </row>
        <row r="20993">
          <cell r="F20993" t="str">
            <v xml:space="preserve">1979329        </v>
          </cell>
          <cell r="O20993">
            <v>88.9</v>
          </cell>
        </row>
        <row r="20994">
          <cell r="F20994" t="str">
            <v xml:space="preserve">27680860       </v>
          </cell>
          <cell r="O20994">
            <v>84.1</v>
          </cell>
        </row>
        <row r="20995">
          <cell r="F20995" t="str">
            <v xml:space="preserve">27681345       </v>
          </cell>
          <cell r="O20995">
            <v>95</v>
          </cell>
        </row>
        <row r="20996">
          <cell r="F20996" t="str">
            <v xml:space="preserve">27682032       </v>
          </cell>
          <cell r="O20996">
            <v>48.3</v>
          </cell>
        </row>
        <row r="20997">
          <cell r="F20997" t="str">
            <v xml:space="preserve">28611721       </v>
          </cell>
          <cell r="O20997">
            <v>39.9</v>
          </cell>
        </row>
        <row r="20998">
          <cell r="F20998" t="str">
            <v xml:space="preserve">37369604       </v>
          </cell>
          <cell r="O20998">
            <v>104</v>
          </cell>
        </row>
        <row r="20999">
          <cell r="F20999" t="str">
            <v xml:space="preserve">37390072       </v>
          </cell>
          <cell r="O20999">
            <v>172</v>
          </cell>
        </row>
        <row r="21000">
          <cell r="F21000" t="str">
            <v xml:space="preserve">51652376       </v>
          </cell>
          <cell r="O21000">
            <v>186.3</v>
          </cell>
        </row>
        <row r="21001">
          <cell r="F21001" t="str">
            <v xml:space="preserve">60268289       </v>
          </cell>
          <cell r="O21001">
            <v>118.1</v>
          </cell>
        </row>
        <row r="21002">
          <cell r="F21002" t="str">
            <v xml:space="preserve">60342963       </v>
          </cell>
          <cell r="O21002">
            <v>53.3</v>
          </cell>
        </row>
        <row r="21003">
          <cell r="F21003" t="str">
            <v xml:space="preserve">60374439       </v>
          </cell>
          <cell r="O21003">
            <v>115.9</v>
          </cell>
        </row>
        <row r="21004">
          <cell r="F21004" t="str">
            <v xml:space="preserve">60378423       </v>
          </cell>
          <cell r="O21004">
            <v>42.4</v>
          </cell>
        </row>
        <row r="21005">
          <cell r="F21005" t="str">
            <v xml:space="preserve">70433203       </v>
          </cell>
          <cell r="O21005">
            <v>35.299999999999997</v>
          </cell>
        </row>
        <row r="21006">
          <cell r="F21006" t="str">
            <v xml:space="preserve">71581450       </v>
          </cell>
          <cell r="O21006">
            <v>37.799999999999997</v>
          </cell>
        </row>
        <row r="21007">
          <cell r="F21007" t="str">
            <v xml:space="preserve">74243324       </v>
          </cell>
          <cell r="O21007">
            <v>90.3</v>
          </cell>
        </row>
        <row r="21008">
          <cell r="F21008" t="str">
            <v xml:space="preserve">804013578      </v>
          </cell>
          <cell r="O21008">
            <v>1723.1</v>
          </cell>
        </row>
        <row r="21009">
          <cell r="F21009" t="str">
            <v xml:space="preserve">860001697      </v>
          </cell>
          <cell r="O21009">
            <v>3710</v>
          </cell>
        </row>
        <row r="21010">
          <cell r="F21010" t="str">
            <v xml:space="preserve">88001149       </v>
          </cell>
          <cell r="O21010">
            <v>77.7</v>
          </cell>
        </row>
        <row r="21011">
          <cell r="F21011" t="str">
            <v xml:space="preserve">88001654       </v>
          </cell>
          <cell r="O21011">
            <v>64.3</v>
          </cell>
        </row>
        <row r="21012">
          <cell r="F21012" t="str">
            <v xml:space="preserve">88254195       </v>
          </cell>
          <cell r="O21012">
            <v>37.6</v>
          </cell>
        </row>
        <row r="21013">
          <cell r="F21013" t="str">
            <v xml:space="preserve">890500446      </v>
          </cell>
          <cell r="O21013">
            <v>70.7</v>
          </cell>
        </row>
        <row r="21014">
          <cell r="F21014" t="str">
            <v xml:space="preserve">901251228      </v>
          </cell>
          <cell r="O21014">
            <v>358.1</v>
          </cell>
        </row>
        <row r="21015">
          <cell r="F21015" t="str">
            <v xml:space="preserve">901488458      </v>
          </cell>
          <cell r="O21015">
            <v>161.30000000000001</v>
          </cell>
        </row>
        <row r="21016">
          <cell r="F21016" t="str">
            <v xml:space="preserve">890200474      </v>
          </cell>
          <cell r="O21016">
            <v>3645.6</v>
          </cell>
        </row>
        <row r="21017">
          <cell r="F21017" t="str">
            <v xml:space="preserve">890312630      </v>
          </cell>
          <cell r="O21017">
            <v>4999.8</v>
          </cell>
        </row>
        <row r="21018">
          <cell r="F21018" t="str">
            <v xml:space="preserve">17286711       </v>
          </cell>
          <cell r="O21018">
            <v>43.4</v>
          </cell>
        </row>
        <row r="21019">
          <cell r="F21019" t="str">
            <v xml:space="preserve">890201881      </v>
          </cell>
          <cell r="O21019">
            <v>6020</v>
          </cell>
        </row>
        <row r="21020">
          <cell r="F21020" t="str">
            <v xml:space="preserve">91002697       </v>
          </cell>
          <cell r="O21020">
            <v>280</v>
          </cell>
        </row>
        <row r="21021">
          <cell r="F21021" t="str">
            <v xml:space="preserve">91112503       </v>
          </cell>
          <cell r="O21021">
            <v>200.1</v>
          </cell>
        </row>
        <row r="21022">
          <cell r="F21022" t="str">
            <v xml:space="preserve">900992422      </v>
          </cell>
          <cell r="O21022">
            <v>6575.9</v>
          </cell>
        </row>
        <row r="21023">
          <cell r="F21023" t="str">
            <v xml:space="preserve">901392009      </v>
          </cell>
          <cell r="O21023">
            <v>6496.1</v>
          </cell>
        </row>
        <row r="21024">
          <cell r="F21024" t="str">
            <v xml:space="preserve">42795633       </v>
          </cell>
          <cell r="O21024">
            <v>123.4</v>
          </cell>
        </row>
        <row r="21025">
          <cell r="F21025" t="str">
            <v xml:space="preserve">811013857      </v>
          </cell>
          <cell r="O21025">
            <v>1152.4000000000001</v>
          </cell>
        </row>
        <row r="21026">
          <cell r="F21026" t="str">
            <v xml:space="preserve">811014849      </v>
          </cell>
          <cell r="O21026">
            <v>985.3</v>
          </cell>
        </row>
        <row r="21027">
          <cell r="F21027" t="str">
            <v xml:space="preserve">811014849      </v>
          </cell>
          <cell r="O21027">
            <v>551.4</v>
          </cell>
        </row>
        <row r="21028">
          <cell r="F21028" t="str">
            <v xml:space="preserve">811014849      </v>
          </cell>
          <cell r="O21028">
            <v>963.6</v>
          </cell>
        </row>
        <row r="21029">
          <cell r="F21029" t="str">
            <v xml:space="preserve">811035256      </v>
          </cell>
          <cell r="O21029">
            <v>125.6</v>
          </cell>
        </row>
        <row r="21030">
          <cell r="F21030" t="str">
            <v xml:space="preserve">890910131      </v>
          </cell>
          <cell r="O21030">
            <v>674.1</v>
          </cell>
        </row>
        <row r="21031">
          <cell r="F21031" t="str">
            <v xml:space="preserve">890910131      </v>
          </cell>
          <cell r="O21031">
            <v>1537.6</v>
          </cell>
        </row>
        <row r="21032">
          <cell r="F21032" t="str">
            <v xml:space="preserve">890910131      </v>
          </cell>
          <cell r="O21032">
            <v>189</v>
          </cell>
        </row>
        <row r="21033">
          <cell r="F21033" t="str">
            <v xml:space="preserve">901172312      </v>
          </cell>
          <cell r="O21033">
            <v>4192.2</v>
          </cell>
        </row>
        <row r="21034">
          <cell r="F21034" t="str">
            <v xml:space="preserve">830010738      </v>
          </cell>
          <cell r="O21034">
            <v>102.5</v>
          </cell>
        </row>
        <row r="21035">
          <cell r="F21035" t="str">
            <v xml:space="preserve">830010738      </v>
          </cell>
          <cell r="O21035">
            <v>248</v>
          </cell>
        </row>
        <row r="21036">
          <cell r="F21036" t="str">
            <v xml:space="preserve">830092234      </v>
          </cell>
          <cell r="O21036">
            <v>544.9</v>
          </cell>
        </row>
        <row r="21037">
          <cell r="F21037" t="str">
            <v xml:space="preserve">860522164      </v>
          </cell>
          <cell r="O21037">
            <v>760.5</v>
          </cell>
        </row>
        <row r="21038">
          <cell r="F21038" t="str">
            <v xml:space="preserve">860522164      </v>
          </cell>
          <cell r="O21038">
            <v>150.19999999999999</v>
          </cell>
        </row>
        <row r="21039">
          <cell r="F21039" t="str">
            <v xml:space="preserve">900474647      </v>
          </cell>
          <cell r="O21039">
            <v>1270.9000000000001</v>
          </cell>
        </row>
        <row r="21040">
          <cell r="F21040" t="str">
            <v xml:space="preserve">800041723      </v>
          </cell>
          <cell r="O21040">
            <v>415.1</v>
          </cell>
        </row>
        <row r="21041">
          <cell r="F21041" t="str">
            <v xml:space="preserve">800154428      </v>
          </cell>
          <cell r="O21041">
            <v>390.4</v>
          </cell>
        </row>
        <row r="21042">
          <cell r="F21042" t="str">
            <v xml:space="preserve">830091965      </v>
          </cell>
          <cell r="O21042">
            <v>840</v>
          </cell>
        </row>
        <row r="21043">
          <cell r="F21043" t="str">
            <v xml:space="preserve">860005986      </v>
          </cell>
          <cell r="O21043">
            <v>160</v>
          </cell>
        </row>
        <row r="21044">
          <cell r="F21044" t="str">
            <v xml:space="preserve">900436352      </v>
          </cell>
          <cell r="O21044">
            <v>2252.1</v>
          </cell>
        </row>
        <row r="21045">
          <cell r="F21045" t="str">
            <v xml:space="preserve">900617360      </v>
          </cell>
          <cell r="O21045">
            <v>3608.4</v>
          </cell>
        </row>
        <row r="21046">
          <cell r="F21046" t="str">
            <v xml:space="preserve">860058831      </v>
          </cell>
          <cell r="O21046">
            <v>3942.2</v>
          </cell>
        </row>
        <row r="21047">
          <cell r="F21047" t="str">
            <v xml:space="preserve">900438187      </v>
          </cell>
          <cell r="O21047">
            <v>4967.6000000000004</v>
          </cell>
        </row>
        <row r="21048">
          <cell r="F21048" t="str">
            <v xml:space="preserve">901392009      </v>
          </cell>
          <cell r="O21048">
            <v>4859.6000000000004</v>
          </cell>
        </row>
        <row r="21049">
          <cell r="F21049" t="str">
            <v xml:space="preserve">52790620       </v>
          </cell>
          <cell r="O21049">
            <v>1740</v>
          </cell>
        </row>
        <row r="21050">
          <cell r="F21050" t="str">
            <v xml:space="preserve">52790620       </v>
          </cell>
          <cell r="O21050">
            <v>510</v>
          </cell>
        </row>
        <row r="21051">
          <cell r="F21051" t="str">
            <v xml:space="preserve">213            </v>
          </cell>
          <cell r="O21051">
            <v>405</v>
          </cell>
        </row>
        <row r="21052">
          <cell r="F21052" t="str">
            <v xml:space="preserve">213            </v>
          </cell>
          <cell r="O21052">
            <v>72</v>
          </cell>
        </row>
        <row r="21053">
          <cell r="F21053" t="str">
            <v xml:space="preserve">832001844      </v>
          </cell>
          <cell r="O21053">
            <v>427.5</v>
          </cell>
        </row>
        <row r="21054">
          <cell r="F21054" t="str">
            <v xml:space="preserve">901086455      </v>
          </cell>
          <cell r="O21054">
            <v>136</v>
          </cell>
        </row>
        <row r="21055">
          <cell r="F21055" t="str">
            <v xml:space="preserve">901244271      </v>
          </cell>
          <cell r="O21055">
            <v>1691.7</v>
          </cell>
        </row>
        <row r="21056">
          <cell r="F21056" t="str">
            <v xml:space="preserve">70900706       </v>
          </cell>
          <cell r="O21056">
            <v>375</v>
          </cell>
        </row>
        <row r="21057">
          <cell r="F21057" t="str">
            <v xml:space="preserve">70900706       </v>
          </cell>
          <cell r="O21057">
            <v>540</v>
          </cell>
        </row>
        <row r="21058">
          <cell r="F21058" t="str">
            <v xml:space="preserve">890903939      </v>
          </cell>
          <cell r="O21058">
            <v>126</v>
          </cell>
        </row>
        <row r="21059">
          <cell r="F21059" t="str">
            <v xml:space="preserve">890903939      </v>
          </cell>
          <cell r="O21059">
            <v>216</v>
          </cell>
        </row>
        <row r="21060">
          <cell r="F21060" t="str">
            <v xml:space="preserve">890903939      </v>
          </cell>
          <cell r="O21060">
            <v>180</v>
          </cell>
        </row>
        <row r="21061">
          <cell r="F21061" t="str">
            <v xml:space="preserve">890903939      </v>
          </cell>
          <cell r="O21061">
            <v>288</v>
          </cell>
        </row>
        <row r="21062">
          <cell r="F21062" t="str">
            <v xml:space="preserve">830107617      </v>
          </cell>
          <cell r="O21062">
            <v>4602</v>
          </cell>
        </row>
        <row r="21063">
          <cell r="F21063" t="str">
            <v xml:space="preserve">830107617      </v>
          </cell>
          <cell r="O21063">
            <v>-2850</v>
          </cell>
        </row>
        <row r="21064">
          <cell r="F21064" t="str">
            <v xml:space="preserve">830107617      </v>
          </cell>
          <cell r="O21064">
            <v>-1752</v>
          </cell>
        </row>
        <row r="21065">
          <cell r="F21065" t="str">
            <v xml:space="preserve">900233101      </v>
          </cell>
          <cell r="O21065">
            <v>959.4</v>
          </cell>
        </row>
        <row r="21066">
          <cell r="F21066" t="str">
            <v xml:space="preserve">900314134      </v>
          </cell>
          <cell r="O21066">
            <v>818.3</v>
          </cell>
        </row>
        <row r="21067">
          <cell r="F21067" t="str">
            <v xml:space="preserve">900695374      </v>
          </cell>
          <cell r="O21067">
            <v>1453.7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4A976-307A-4CC7-83FA-16542ADB2081}" name="Tabla13" displayName="Tabla13" ref="A1:AV817" totalsRowCount="1" totalsRowDxfId="96">
  <tableColumns count="48">
    <tableColumn id="1" xr3:uid="{C620C97A-49C4-4758-958B-360F6531142A}" name="Mes" totalsRowLabel="Total" dataDxfId="94" totalsRowDxfId="95"/>
    <tableColumn id="2" xr3:uid="{B3EBF5C2-4BEB-4367-B00C-741726755660}" name="ID" dataDxfId="92" totalsRowDxfId="93"/>
    <tableColumn id="3" xr3:uid="{3BA59C43-4BD5-4D9E-B708-4D77E2BED588}" name="División" dataDxfId="90" totalsRowDxfId="91"/>
    <tableColumn id="4" xr3:uid="{D3B45E7E-844C-471B-8937-0374721B55D1}" name="Región" dataDxfId="88" totalsRowDxfId="89"/>
    <tableColumn id="5" xr3:uid="{FF0E3553-9CF1-463D-AD11-74E5D4236195}" name="CO" dataDxfId="86" totalsRowDxfId="87"/>
    <tableColumn id="6" xr3:uid="{2537CF0C-6376-4037-9F7B-D4DEEF11893D}" name="Tipo Mtto" dataDxfId="84" totalsRowDxfId="85"/>
    <tableColumn id="36" xr3:uid="{32859A41-DAF4-4152-918D-A7186C22B139}" name="Administracion" dataDxfId="82" totalsRowDxfId="83"/>
    <tableColumn id="7" xr3:uid="{6E5F0DC4-B8F8-4851-B4EA-6D9B149851F1}" name="SubClass" dataDxfId="80" totalsRowDxfId="81"/>
    <tableColumn id="8" xr3:uid="{0CAA5D84-5406-413A-B29E-6A577A9DF107}" name="Tipo Operación" dataDxfId="78" totalsRowDxfId="79"/>
    <tableColumn id="9" xr3:uid="{50EDE9D2-3B08-4579-B7BD-A418F23EAE2B}" name="N° Documento" dataDxfId="76" totalsRowDxfId="77"/>
    <tableColumn id="10" xr3:uid="{1026CEB3-B7E7-4E87-A17D-95FCAC2FD04A}" name="Propietario" dataDxfId="74" totalsRowDxfId="75"/>
    <tableColumn id="11" xr3:uid="{A1C34EA3-D8EE-411F-BB7D-E0A6DD75948E}" name="Marca" dataDxfId="72" totalsRowDxfId="73"/>
    <tableColumn id="12" xr3:uid="{D0DEF34F-EACA-47B9-A5F3-269EAE8BEF99}" name="Linea" dataDxfId="70" totalsRowDxfId="71"/>
    <tableColumn id="13" xr3:uid="{5F20B121-94BF-422C-9826-F558636B88A7}" name="Modelo" dataDxfId="68" totalsRowDxfId="69"/>
    <tableColumn id="14" xr3:uid="{EEE6B67E-6218-44A2-B28A-BD4C89331521}" name="Antigüedad" dataDxfId="66" totalsRowDxfId="67"/>
    <tableColumn id="15" xr3:uid="{0133056D-C325-486B-8079-D36E0F6065CC}" name="Rango" dataDxfId="64" totalsRowDxfId="65"/>
    <tableColumn id="16" xr3:uid="{004D2F78-F11E-40BB-8D1F-64689E1B8476}" name="GPS" totalsRowFunction="sum" dataDxfId="62" totalsRowDxfId="63"/>
    <tableColumn id="17" xr3:uid="{86A36B39-F708-4D27-B4CB-A5C500C4C6F8}" name="Combustible" totalsRowFunction="sum" dataDxfId="60" totalsRowDxfId="61"/>
    <tableColumn id="18" xr3:uid="{BEBAADDA-628B-49B5-95EF-4C556D14986F}" name="Ult_Consumo" dataDxfId="58" totalsRowDxfId="59"/>
    <tableColumn id="19" xr3:uid="{E4ACED45-2FF9-4439-9688-18AE4CBBE587}" name="gal Mes" totalsRowFunction="sum" dataDxfId="56" totalsRowDxfId="57"/>
    <tableColumn id="20" xr3:uid="{FC7C7656-F322-4BF5-B797-039001AEE3A6}" name="Dias Op" dataDxfId="54" totalsRowDxfId="55"/>
    <tableColumn id="21" xr3:uid="{9B676D8A-38D7-4AC5-B7AC-E7058F1C3514}" name="% Operatividad" totalsRowFunction="average" dataDxfId="52" totalsRowDxfId="53"/>
    <tableColumn id="43" xr3:uid="{2F4FF811-2CD7-4354-995B-CFBEE4BF279F}" name="Dias Gps" totalsRowFunction="sum" dataDxfId="50" totalsRowDxfId="51"/>
    <tableColumn id="22" xr3:uid="{207C0AE9-C66A-4BFF-98B7-DF2CB5A7FDA4}" name="Dias Ruta" totalsRowFunction="sum" dataDxfId="48" totalsRowDxfId="49"/>
    <tableColumn id="23" xr3:uid="{65008D54-5BDC-415E-8038-B363279769CA}" name="CheckList App" totalsRowFunction="sum" dataDxfId="46" totalsRowDxfId="47"/>
    <tableColumn id="24" xr3:uid="{A1BF2297-F847-4F7E-B41D-AA3A77D10F7A}" name="CheckList Fisc" totalsRowFunction="sum" dataDxfId="44" totalsRowDxfId="45"/>
    <tableColumn id="25" xr3:uid="{61B6E304-6719-4BF7-83E0-C44FBA8709A1}" name="Total Checklist" totalsRowFunction="sum" dataDxfId="42" totalsRowDxfId="43">
      <calculatedColumnFormula>Tabla13[[#This Row],[CheckList App]]+Tabla13[[#This Row],[CheckList Fisc]]</calculatedColumnFormula>
    </tableColumn>
    <tableColumn id="26" xr3:uid="{17284C01-6129-4CC0-A171-2CF8CC0D1592}" name="% CheckList" totalsRowFunction="custom" dataDxfId="40" totalsRowDxfId="41">
      <calculatedColumnFormula>IF(U2=0,"",(IFERROR((AA2/X2),0)))</calculatedColumnFormula>
      <totalsRowFormula>Tabla13[[#Totals],[Total Checklist]]/Tabla13[[#Totals],[Dias Ruta]]</totalsRowFormula>
    </tableColumn>
    <tableColumn id="27" xr3:uid="{927A443A-27EB-4E8F-84B0-D7B6D4CDCC81}" name="Ticket´s Abiertos" totalsRowFunction="sum" dataDxfId="38" totalsRowDxfId="39"/>
    <tableColumn id="28" xr3:uid="{A7488626-C4FC-4D9F-8286-02A0851C3014}" name="Tipo Rutina" dataDxfId="36" totalsRowDxfId="37"/>
    <tableColumn id="29" xr3:uid="{FBABE93E-30C0-42EC-B40A-733BDE2D0652}" name="N° Order Ant" dataDxfId="34" totalsRowDxfId="35">
      <calculatedColumnFormula>IFERROR((VLOOKUP(Tabla13[[#This Row],[ID]],[1]!Mtto_Pesv[[#Headers],[#Data],[Placa]:[Rutina]],2,FALSE)),"-")</calculatedColumnFormula>
    </tableColumn>
    <tableColumn id="30" xr3:uid="{8213CE10-2DBF-47CA-B652-5FEC861A1227}" name="id_R" dataDxfId="32" totalsRowDxfId="33"/>
    <tableColumn id="31" xr3:uid="{68C30E69-4C6B-4140-BD39-77705D8B962E}" name="Km Anterior" dataDxfId="30" totalsRowDxfId="31">
      <calculatedColumnFormula>IFERROR((VLOOKUP(Tabla13[[#This Row],[ID]],[1]!Mtto_Pesv[[#Headers],[#Data],[Placa]:[Rutina]],3,FALSE)),0)</calculatedColumnFormula>
    </tableColumn>
    <tableColumn id="32" xr3:uid="{6432D72F-06F0-40B6-8B52-78D9AD8766A2}" name="Planeado" totalsRowFunction="sum" dataDxfId="28" totalsRowDxfId="29">
      <calculatedColumnFormula>IFERROR((VLOOKUP(Tabla13[[#This Row],[ID]],[1]!Mtto_Pesv[[#Headers],[#Data],[Placa]:[Rutina]],7,FALSE)),0)</calculatedColumnFormula>
    </tableColumn>
    <tableColumn id="33" xr3:uid="{3D75B7C3-397A-4591-A399-70080E0C56C9}" name="Ejecutado" totalsRowFunction="sum" dataDxfId="26" totalsRowDxfId="27">
      <calculatedColumnFormula>IFERROR((VLOOKUP(Tabla13[[#This Row],[ID]],[1]!Mtto_Pesv[[#Headers],[#Data],[Placa]:[Rutina]],8,FALSE)),0)</calculatedColumnFormula>
    </tableColumn>
    <tableColumn id="41" xr3:uid="{FCEB8F60-6B5C-48E9-B328-11BC5B6869D7}" name="N° Order Eje" totalsRowFunction="custom" dataDxfId="24" totalsRowDxfId="25">
      <calculatedColumnFormula>IFERROR((VLOOKUP(Tabla13[[#This Row],[ID]],[1]!Mtto_Pesv[[#Headers],[#Data],[Placa]:[Rutina]],9,FALSE)),"-")</calculatedColumnFormula>
      <totalsRowFormula>Tabla13[[#Totals],[Ejecutado]]/Tabla13[[#Totals],[Planeado]]</totalsRowFormula>
    </tableColumn>
    <tableColumn id="42" xr3:uid="{AC316A03-3FA7-4377-B51B-E779455430E4}" name="Km Ejecut" dataDxfId="22" totalsRowDxfId="23">
      <calculatedColumnFormula>IFERROR((VLOOKUP(Tabla13[[#This Row],[ID]],[1]!Mtto_Pesv[[#Headers],[#Data],[Placa]:[Rutina]],10,FALSE)),0)</calculatedColumnFormula>
    </tableColumn>
    <tableColumn id="39" xr3:uid="{4378F124-FE96-41D3-9147-93878CA32624}" name="Km Mtto" totalsRowFunction="sum" dataDxfId="20" totalsRowDxfId="21">
      <calculatedColumnFormula>IF(Tabla13[[#This Row],[Km Anterior]]=0,0,Tabla13[[#This Row],[Km Ejecut]]-Tabla13[[#This Row],[Km Anterior]])</calculatedColumnFormula>
    </tableColumn>
    <tableColumn id="38" xr3:uid="{990B5F93-4E89-4E0F-BEAF-96A4256C86BB}" name="Km Ini" dataDxfId="18" totalsRowDxfId="19">
      <calculatedColumnFormula>IFERROR((VLOOKUP(Tabla13[[#This Row],[ID]],[1]!Mtto_Pesv[[#Headers],[#Data],[Placa]:[Rutina]],4,FALSE)),0)</calculatedColumnFormula>
    </tableColumn>
    <tableColumn id="37" xr3:uid="{96705A94-4872-4A66-BE56-6AB5D7C45480}" name="Km Fin" dataDxfId="16" totalsRowDxfId="17">
      <calculatedColumnFormula>IFERROR((VLOOKUP(Tabla13[[#This Row],[ID]],[1]!Mtto_Pesv[[#Headers],[#Data],[Placa]:[Rutina]],5,FALSE)),0)</calculatedColumnFormula>
    </tableColumn>
    <tableColumn id="46" xr3:uid="{6C415A20-8D1B-4B30-AE89-FA7377B1B180}" name="Total Km" totalsRowFunction="sum" dataDxfId="14" totalsRowDxfId="15">
      <calculatedColumnFormula>+Tabla13[[#This Row],[Km Fin]]-Tabla13[[#This Row],[Km Ini]]</calculatedColumnFormula>
    </tableColumn>
    <tableColumn id="34" xr3:uid="{88442486-71B0-4770-A104-9BB740D33399}" name="Idriver" dataDxfId="12" totalsRowDxfId="13">
      <calculatedColumnFormula>IFERROR((VLOOKUP(Tabla13[[#This Row],[ID]],[1]!Estilo_Conduccion[[#All],[Placa]:[Puntuacion]],15,FALSE)),0)</calculatedColumnFormula>
    </tableColumn>
    <tableColumn id="40" xr3:uid="{251278F8-5B39-4697-A633-0B0F1AA8F355}" name="N° Documento2" dataDxfId="10" totalsRowDxfId="11"/>
    <tableColumn id="35" xr3:uid="{41BCFCFE-DBD2-4CB9-AA27-C09C977A3458}" name="Nombre Aliado" dataDxfId="8" totalsRowDxfId="9"/>
    <tableColumn id="47" xr3:uid="{49BA6F52-59A9-4D14-BC8A-1CE6DBC90E05}" name="Cap Vh" dataDxfId="6" totalsRowDxfId="7"/>
    <tableColumn id="44" xr3:uid="{F55E6F5A-959A-44A4-90DB-19B6CC7D1F6A}" name="Cap Util (kg)" totalsRowFunction="sum" dataDxfId="4" totalsRowDxfId="5">
      <calculatedColumnFormula array="1">((SUM(IF([2]Sheet1!$F$1:$F$21067=Tabla13[[#This Row],[N° Documento2]],[2]Sheet1!$O$1:$O$21067,0)))+(SUM(IF([2]Sheet1!$E$1:$E$21067=Tabla13[[#This Row],[ID]],[2]Sheet1!$O$1:$O$21067,0))))/(IF(OR(Tabla13[[#This Row],[N° Documento2]]="**",Tabla13[[#This Row],[N° Documento2]]="-"),1,(SUM(IF(Tabla13[N° Documento2]=Tabla13[[#This Row],[N° Documento2]],1,0)))))</calculatedColumnFormula>
    </tableColumn>
    <tableColumn id="48" xr3:uid="{DE17D34E-5B50-4A3F-A6D5-67A0A40D1360}" name="Cap Inst (Kg)" totalsRowFunction="sum" dataDxfId="2" totalsRowDxfId="3">
      <calculatedColumnFormula>(Tabla13[[#This Row],[Cap Vh]]*$AX$2)*0.56</calculatedColumnFormula>
    </tableColumn>
    <tableColumn id="45" xr3:uid="{08565707-19B4-4F66-B71F-78539B08A4D5}" name="% Ut" dataDxfId="0" totalsRowDxfId="1">
      <calculatedColumnFormula>(Tabla13[[#This Row],[Cap Util (kg)]]/(Tabla13[[#This Row],[Cap Inst (Kg)]]))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4852-B092-44C3-BE00-E5FA30D18544}">
  <dimension ref="A1:AV823"/>
  <sheetViews>
    <sheetView showGridLines="0" tabSelected="1" zoomScaleNormal="100" workbookViewId="0">
      <pane xSplit="5" ySplit="1" topLeftCell="F37" activePane="bottomRight" state="frozen"/>
      <selection pane="topRight" activeCell="F1" sqref="F1"/>
      <selection pane="bottomLeft" activeCell="A2" sqref="A2"/>
      <selection pane="bottomRight" sqref="A1:AV817"/>
    </sheetView>
  </sheetViews>
  <sheetFormatPr baseColWidth="10" defaultRowHeight="15" x14ac:dyDescent="0.25"/>
  <cols>
    <col min="3" max="4" width="11.42578125" customWidth="1"/>
    <col min="5" max="5" width="15.28515625" customWidth="1"/>
    <col min="6" max="6" width="17.7109375" customWidth="1"/>
    <col min="7" max="7" width="16.85546875" bestFit="1" customWidth="1"/>
    <col min="8" max="8" width="13.42578125" customWidth="1"/>
    <col min="9" max="9" width="12.42578125" customWidth="1"/>
    <col min="10" max="10" width="19" customWidth="1"/>
    <col min="11" max="11" width="11.42578125" customWidth="1"/>
    <col min="12" max="12" width="18.85546875" customWidth="1"/>
    <col min="13" max="14" width="8.7109375" customWidth="1"/>
    <col min="15" max="15" width="5.85546875" customWidth="1"/>
    <col min="16" max="16" width="8.140625" customWidth="1"/>
    <col min="17" max="17" width="6.42578125" customWidth="1"/>
    <col min="18" max="18" width="12.7109375" customWidth="1"/>
    <col min="19" max="19" width="12.28515625" style="32" customWidth="1"/>
    <col min="20" max="20" width="10.28515625" style="32" customWidth="1"/>
    <col min="21" max="21" width="11.42578125" style="32" bestFit="1" customWidth="1"/>
    <col min="22" max="22" width="9.140625" bestFit="1" customWidth="1"/>
    <col min="23" max="23" width="11.42578125" customWidth="1"/>
    <col min="24" max="24" width="10.28515625" customWidth="1"/>
    <col min="25" max="25" width="12.42578125" bestFit="1" customWidth="1"/>
    <col min="26" max="26" width="12.5703125" bestFit="1" customWidth="1"/>
    <col min="27" max="27" width="12.7109375" bestFit="1" customWidth="1"/>
    <col min="28" max="28" width="10.7109375" bestFit="1" customWidth="1"/>
    <col min="29" max="29" width="12.42578125" customWidth="1"/>
    <col min="30" max="30" width="9" bestFit="1" customWidth="1"/>
    <col min="31" max="31" width="11.85546875" customWidth="1"/>
    <col min="32" max="32" width="11.42578125" customWidth="1"/>
    <col min="33" max="33" width="9" customWidth="1"/>
    <col min="34" max="34" width="8.5703125" bestFit="1" customWidth="1"/>
    <col min="35" max="35" width="8" style="32" bestFit="1" customWidth="1"/>
    <col min="36" max="36" width="11.85546875" bestFit="1" customWidth="1"/>
    <col min="37" max="37" width="10.42578125" bestFit="1" customWidth="1"/>
    <col min="38" max="38" width="10.85546875" bestFit="1" customWidth="1"/>
    <col min="39" max="39" width="11.42578125" customWidth="1"/>
    <col min="42" max="42" width="10.42578125" bestFit="1" customWidth="1"/>
  </cols>
  <sheetData>
    <row r="1" spans="1:4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6" t="s">
        <v>19</v>
      </c>
      <c r="U1" s="33" t="s">
        <v>20</v>
      </c>
      <c r="V1" s="34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4" t="s">
        <v>29</v>
      </c>
      <c r="AE1" s="4" t="s">
        <v>30</v>
      </c>
      <c r="AF1" s="9" t="s">
        <v>31</v>
      </c>
      <c r="AG1" s="10" t="s">
        <v>32</v>
      </c>
      <c r="AH1" s="5" t="s">
        <v>33</v>
      </c>
      <c r="AI1" s="9" t="s">
        <v>34</v>
      </c>
      <c r="AJ1" s="11" t="s">
        <v>35</v>
      </c>
      <c r="AK1" s="11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12" t="s">
        <v>41</v>
      </c>
      <c r="AQ1" s="35" t="s">
        <v>1063</v>
      </c>
      <c r="AR1" s="35" t="s">
        <v>42</v>
      </c>
      <c r="AS1" s="35" t="s">
        <v>1064</v>
      </c>
      <c r="AT1" s="2" t="s">
        <v>1065</v>
      </c>
      <c r="AU1" s="2" t="s">
        <v>1066</v>
      </c>
      <c r="AV1" s="2" t="s">
        <v>1067</v>
      </c>
    </row>
    <row r="2" spans="1:48" x14ac:dyDescent="0.25">
      <c r="A2" s="13" t="s">
        <v>1068</v>
      </c>
      <c r="B2" s="14" t="s">
        <v>43</v>
      </c>
      <c r="C2" s="14" t="s">
        <v>44</v>
      </c>
      <c r="D2" s="14" t="s">
        <v>44</v>
      </c>
      <c r="E2" s="14" t="s">
        <v>45</v>
      </c>
      <c r="F2" s="14" t="s">
        <v>46</v>
      </c>
      <c r="G2" s="15" t="s">
        <v>47</v>
      </c>
      <c r="H2" s="16" t="s">
        <v>48</v>
      </c>
      <c r="I2" s="14" t="s">
        <v>49</v>
      </c>
      <c r="J2" s="14">
        <v>830064700</v>
      </c>
      <c r="K2" s="14" t="s">
        <v>50</v>
      </c>
      <c r="L2" s="14" t="s">
        <v>51</v>
      </c>
      <c r="M2" s="14" t="s">
        <v>52</v>
      </c>
      <c r="N2" s="14">
        <v>2014</v>
      </c>
      <c r="O2" s="14">
        <v>6</v>
      </c>
      <c r="P2" s="14" t="s">
        <v>53</v>
      </c>
      <c r="Q2" s="14">
        <v>0</v>
      </c>
      <c r="R2" s="14">
        <v>0</v>
      </c>
      <c r="S2" s="17" t="s">
        <v>54</v>
      </c>
      <c r="T2" s="18">
        <v>0</v>
      </c>
      <c r="U2" s="14">
        <v>0</v>
      </c>
      <c r="V2" s="19">
        <v>0</v>
      </c>
      <c r="W2" s="14">
        <v>0</v>
      </c>
      <c r="X2" s="14">
        <v>0</v>
      </c>
      <c r="Y2" s="14">
        <v>0</v>
      </c>
      <c r="Z2" s="14">
        <v>0</v>
      </c>
      <c r="AA2" s="14">
        <f>Tabla13[[#This Row],[CheckList App]]+Tabla13[[#This Row],[CheckList Fisc]]</f>
        <v>0</v>
      </c>
      <c r="AB2" s="19" t="str">
        <f t="shared" ref="AB2:AB65" si="0">IF(U2=0,"",(IFERROR((AA2/X2),0)))</f>
        <v/>
      </c>
      <c r="AC2" s="14">
        <f t="array" ref="AC2">SUM(IF([1]!Nov_Checklist[[#All],[Vehículo]]=Tabla13[[#This Row],[ID]],[1]!Nov_Checklist[[#All],[Ejecutado]],0))</f>
        <v>0</v>
      </c>
      <c r="AD2" s="14" t="s">
        <v>55</v>
      </c>
      <c r="AE2" s="15" t="str">
        <f>IFERROR((VLOOKUP(Tabla13[[#This Row],[ID]],[1]!Mtto_Pesv[[#Headers],[#Data],[Placa]:[Rutina]],2,FALSE)),"-")</f>
        <v>-</v>
      </c>
      <c r="AF2" s="14">
        <v>0</v>
      </c>
      <c r="AG2" s="20">
        <f>IFERROR((VLOOKUP(Tabla13[[#This Row],[ID]],[1]!Mtto_Pesv[[#Headers],[#Data],[Placa]:[Rutina]],3,FALSE)),0)</f>
        <v>0</v>
      </c>
      <c r="AH2" s="20">
        <f>IFERROR((VLOOKUP(Tabla13[[#This Row],[ID]],[1]!Mtto_Pesv[[#Headers],[#Data],[Placa]:[Rutina]],7,FALSE)),0)</f>
        <v>0</v>
      </c>
      <c r="AI2" s="20">
        <f>IFERROR((VLOOKUP(Tabla13[[#This Row],[ID]],[1]!Mtto_Pesv[[#Headers],[#Data],[Placa]:[Rutina]],8,FALSE)),0)</f>
        <v>0</v>
      </c>
      <c r="AJ2" s="20" t="str">
        <f>IFERROR((VLOOKUP(Tabla13[[#This Row],[ID]],[1]!Mtto_Pesv[[#Headers],[#Data],[Placa]:[Rutina]],9,FALSE)),"-")</f>
        <v>-</v>
      </c>
      <c r="AK2" s="20">
        <f>IFERROR((VLOOKUP(Tabla13[[#This Row],[ID]],[1]!Mtto_Pesv[[#Headers],[#Data],[Placa]:[Rutina]],10,FALSE)),0)</f>
        <v>0</v>
      </c>
      <c r="AL2" s="20">
        <f>IF(Tabla13[[#This Row],[Km Anterior]]=0,0,Tabla13[[#This Row],[Km Ejecut]]-Tabla13[[#This Row],[Km Anterior]])</f>
        <v>0</v>
      </c>
      <c r="AM2" s="20">
        <f>IFERROR((VLOOKUP(Tabla13[[#This Row],[ID]],[1]!Mtto_Pesv[[#Headers],[#Data],[Placa]:[Rutina]],4,FALSE)),0)</f>
        <v>0</v>
      </c>
      <c r="AN2" s="21">
        <f>IFERROR((VLOOKUP(Tabla13[[#This Row],[ID]],[1]!Mtto_Pesv[[#Headers],[#Data],[Placa]:[Rutina]],5,FALSE)),0)</f>
        <v>0</v>
      </c>
      <c r="AO2" s="21">
        <f>+Tabla13[[#This Row],[Km Fin]]-Tabla13[[#This Row],[Km Ini]]</f>
        <v>0</v>
      </c>
      <c r="AP2" s="20">
        <f>IFERROR((VLOOKUP(Tabla13[[#This Row],[ID]],[1]!Estilo_Conduccion[[#All],[Placa]:[Puntuacion]],15,FALSE)),0)</f>
        <v>0</v>
      </c>
      <c r="AQ2" s="15" t="s">
        <v>1069</v>
      </c>
      <c r="AR2" s="14" t="s">
        <v>56</v>
      </c>
      <c r="AS2" s="21">
        <v>404</v>
      </c>
      <c r="AT2" s="21">
        <f t="array" ref="AT2">(SUM(IF([2]Sheet1!$F$1:$F$21067=Tabla13[[#This Row],[N° Documento2]],[2]Sheet1!$O$1:$O$21067,0)))/SUM(IF(Tabla13[N° Documento2]=Tabla13[[#This Row],[N° Documento2]],1,0))</f>
        <v>0</v>
      </c>
      <c r="AU2" s="21">
        <f>(Tabla13[[#This Row],[Cap Vh]]*$AX$2)*0.56</f>
        <v>0</v>
      </c>
      <c r="AV2" s="36" t="e">
        <f>(Tabla13[[#This Row],[Cap Util (kg)]]/(Tabla13[[#This Row],[Cap Inst (Kg)]]))</f>
        <v>#DIV/0!</v>
      </c>
    </row>
    <row r="3" spans="1:48" x14ac:dyDescent="0.25">
      <c r="A3" s="13" t="s">
        <v>1068</v>
      </c>
      <c r="B3" s="14" t="s">
        <v>57</v>
      </c>
      <c r="C3" s="14" t="s">
        <v>44</v>
      </c>
      <c r="D3" s="14" t="s">
        <v>44</v>
      </c>
      <c r="E3" s="14" t="s">
        <v>58</v>
      </c>
      <c r="F3" s="14" t="s">
        <v>46</v>
      </c>
      <c r="G3" s="15" t="s">
        <v>47</v>
      </c>
      <c r="H3" s="16" t="s">
        <v>48</v>
      </c>
      <c r="I3" s="14" t="s">
        <v>49</v>
      </c>
      <c r="J3" s="14">
        <v>830064700</v>
      </c>
      <c r="K3" s="14" t="s">
        <v>50</v>
      </c>
      <c r="L3" s="14" t="s">
        <v>51</v>
      </c>
      <c r="M3" s="14" t="s">
        <v>52</v>
      </c>
      <c r="N3" s="14">
        <v>2014</v>
      </c>
      <c r="O3" s="14">
        <v>6</v>
      </c>
      <c r="P3" s="14" t="s">
        <v>53</v>
      </c>
      <c r="Q3" s="14">
        <v>0</v>
      </c>
      <c r="R3" s="14">
        <v>0</v>
      </c>
      <c r="S3" s="17" t="s">
        <v>54</v>
      </c>
      <c r="T3" s="18">
        <v>0</v>
      </c>
      <c r="U3" s="14">
        <v>0</v>
      </c>
      <c r="V3" s="19">
        <v>0</v>
      </c>
      <c r="W3" s="14">
        <v>0</v>
      </c>
      <c r="X3" s="14">
        <v>0</v>
      </c>
      <c r="Y3" s="14">
        <v>0</v>
      </c>
      <c r="Z3" s="14">
        <v>0</v>
      </c>
      <c r="AA3" s="14">
        <f>Tabla13[[#This Row],[CheckList App]]+Tabla13[[#This Row],[CheckList Fisc]]</f>
        <v>0</v>
      </c>
      <c r="AB3" s="19" t="str">
        <f t="shared" si="0"/>
        <v/>
      </c>
      <c r="AC3" s="14">
        <v>0</v>
      </c>
      <c r="AD3" s="14" t="s">
        <v>55</v>
      </c>
      <c r="AE3" s="15" t="str">
        <f>IFERROR((VLOOKUP(Tabla13[[#This Row],[ID]],[1]!Mtto_Pesv[[#Headers],[#Data],[Placa]:[Rutina]],2,FALSE)),"-")</f>
        <v>-</v>
      </c>
      <c r="AF3" s="14">
        <v>0</v>
      </c>
      <c r="AG3" s="20">
        <f>IFERROR((VLOOKUP(Tabla13[[#This Row],[ID]],[1]!Mtto_Pesv[[#Headers],[#Data],[Placa]:[Rutina]],3,FALSE)),0)</f>
        <v>0</v>
      </c>
      <c r="AH3" s="20">
        <f>IFERROR((VLOOKUP(Tabla13[[#This Row],[ID]],[1]!Mtto_Pesv[[#Headers],[#Data],[Placa]:[Rutina]],7,FALSE)),0)</f>
        <v>0</v>
      </c>
      <c r="AI3" s="20">
        <f>IFERROR((VLOOKUP(Tabla13[[#This Row],[ID]],[1]!Mtto_Pesv[[#Headers],[#Data],[Placa]:[Rutina]],8,FALSE)),0)</f>
        <v>0</v>
      </c>
      <c r="AJ3" s="20" t="str">
        <f>IFERROR((VLOOKUP(Tabla13[[#This Row],[ID]],[1]!Mtto_Pesv[[#Headers],[#Data],[Placa]:[Rutina]],9,FALSE)),"-")</f>
        <v>-</v>
      </c>
      <c r="AK3" s="20">
        <f>IFERROR((VLOOKUP(Tabla13[[#This Row],[ID]],[1]!Mtto_Pesv[[#Headers],[#Data],[Placa]:[Rutina]],10,FALSE)),0)</f>
        <v>0</v>
      </c>
      <c r="AL3" s="20">
        <f>IF(Tabla13[[#This Row],[Km Anterior]]=0,0,Tabla13[[#This Row],[Km Ejecut]]-Tabla13[[#This Row],[Km Anterior]])</f>
        <v>0</v>
      </c>
      <c r="AM3" s="20">
        <f>IFERROR((VLOOKUP(Tabla13[[#This Row],[ID]],[1]!Mtto_Pesv[[#Headers],[#Data],[Placa]:[Rutina]],4,FALSE)),0)</f>
        <v>0</v>
      </c>
      <c r="AN3" s="21">
        <f>IFERROR((VLOOKUP(Tabla13[[#This Row],[ID]],[1]!Mtto_Pesv[[#Headers],[#Data],[Placa]:[Rutina]],5,FALSE)),0)</f>
        <v>0</v>
      </c>
      <c r="AO3" s="21">
        <f>+Tabla13[[#This Row],[Km Fin]]-Tabla13[[#This Row],[Km Ini]]</f>
        <v>0</v>
      </c>
      <c r="AP3" s="20">
        <f>IFERROR((VLOOKUP(Tabla13[[#This Row],[ID]],[1]!Estilo_Conduccion[[#All],[Placa]:[Puntuacion]],15,FALSE)),0)</f>
        <v>0</v>
      </c>
      <c r="AQ3" s="15" t="s">
        <v>1070</v>
      </c>
      <c r="AR3" s="15" t="s">
        <v>1071</v>
      </c>
      <c r="AS3" s="20">
        <v>404</v>
      </c>
      <c r="AT3" s="21">
        <v>3775.4166666666665</v>
      </c>
      <c r="AU3" s="21">
        <f>(Tabla13[[#This Row],[Cap Vh]]*$AX$2)*0.56</f>
        <v>0</v>
      </c>
      <c r="AV3" s="36" t="e">
        <f>(Tabla13[[#This Row],[Cap Util (kg)]]/(Tabla13[[#This Row],[Cap Inst (Kg)]]))</f>
        <v>#DIV/0!</v>
      </c>
    </row>
    <row r="4" spans="1:48" x14ac:dyDescent="0.25">
      <c r="A4" s="13" t="s">
        <v>1068</v>
      </c>
      <c r="B4" s="14" t="s">
        <v>59</v>
      </c>
      <c r="C4" s="14" t="s">
        <v>44</v>
      </c>
      <c r="D4" s="14" t="s">
        <v>44</v>
      </c>
      <c r="E4" s="14" t="s">
        <v>60</v>
      </c>
      <c r="F4" s="14" t="s">
        <v>46</v>
      </c>
      <c r="G4" s="15" t="s">
        <v>47</v>
      </c>
      <c r="H4" s="16" t="s">
        <v>48</v>
      </c>
      <c r="I4" s="14" t="s">
        <v>49</v>
      </c>
      <c r="J4" s="14">
        <v>830064700</v>
      </c>
      <c r="K4" s="14" t="s">
        <v>50</v>
      </c>
      <c r="L4" s="14" t="s">
        <v>51</v>
      </c>
      <c r="M4" s="14" t="s">
        <v>52</v>
      </c>
      <c r="N4" s="14">
        <v>2014</v>
      </c>
      <c r="O4" s="14">
        <v>6</v>
      </c>
      <c r="P4" s="14" t="s">
        <v>53</v>
      </c>
      <c r="Q4" s="14">
        <v>0</v>
      </c>
      <c r="R4" s="14">
        <v>0</v>
      </c>
      <c r="S4" s="17" t="s">
        <v>54</v>
      </c>
      <c r="T4" s="18">
        <v>0</v>
      </c>
      <c r="U4" s="14">
        <v>0</v>
      </c>
      <c r="V4" s="19">
        <v>0</v>
      </c>
      <c r="W4" s="14">
        <v>0</v>
      </c>
      <c r="X4" s="14">
        <v>0</v>
      </c>
      <c r="Y4" s="14">
        <v>0</v>
      </c>
      <c r="Z4" s="14">
        <v>0</v>
      </c>
      <c r="AA4" s="14">
        <f>Tabla13[[#This Row],[CheckList App]]+Tabla13[[#This Row],[CheckList Fisc]]</f>
        <v>0</v>
      </c>
      <c r="AB4" s="19" t="str">
        <f t="shared" si="0"/>
        <v/>
      </c>
      <c r="AC4" s="14">
        <v>0</v>
      </c>
      <c r="AD4" s="14" t="s">
        <v>55</v>
      </c>
      <c r="AE4" s="15" t="str">
        <f>IFERROR((VLOOKUP(Tabla13[[#This Row],[ID]],[1]!Mtto_Pesv[[#Headers],[#Data],[Placa]:[Rutina]],2,FALSE)),"-")</f>
        <v>-</v>
      </c>
      <c r="AF4" s="14">
        <v>0</v>
      </c>
      <c r="AG4" s="20">
        <f>IFERROR((VLOOKUP(Tabla13[[#This Row],[ID]],[1]!Mtto_Pesv[[#Headers],[#Data],[Placa]:[Rutina]],3,FALSE)),0)</f>
        <v>0</v>
      </c>
      <c r="AH4" s="20">
        <f>IFERROR((VLOOKUP(Tabla13[[#This Row],[ID]],[1]!Mtto_Pesv[[#Headers],[#Data],[Placa]:[Rutina]],7,FALSE)),0)</f>
        <v>0</v>
      </c>
      <c r="AI4" s="20">
        <f>IFERROR((VLOOKUP(Tabla13[[#This Row],[ID]],[1]!Mtto_Pesv[[#Headers],[#Data],[Placa]:[Rutina]],8,FALSE)),0)</f>
        <v>0</v>
      </c>
      <c r="AJ4" s="20" t="str">
        <f>IFERROR((VLOOKUP(Tabla13[[#This Row],[ID]],[1]!Mtto_Pesv[[#Headers],[#Data],[Placa]:[Rutina]],9,FALSE)),"-")</f>
        <v>-</v>
      </c>
      <c r="AK4" s="20">
        <f>IFERROR((VLOOKUP(Tabla13[[#This Row],[ID]],[1]!Mtto_Pesv[[#Headers],[#Data],[Placa]:[Rutina]],10,FALSE)),0)</f>
        <v>0</v>
      </c>
      <c r="AL4" s="20">
        <f>IF(Tabla13[[#This Row],[Km Anterior]]=0,0,Tabla13[[#This Row],[Km Ejecut]]-Tabla13[[#This Row],[Km Anterior]])</f>
        <v>0</v>
      </c>
      <c r="AM4" s="20">
        <f>IFERROR((VLOOKUP(Tabla13[[#This Row],[ID]],[1]!Mtto_Pesv[[#Headers],[#Data],[Placa]:[Rutina]],4,FALSE)),0)</f>
        <v>0</v>
      </c>
      <c r="AN4" s="21">
        <f>IFERROR((VLOOKUP(Tabla13[[#This Row],[ID]],[1]!Mtto_Pesv[[#Headers],[#Data],[Placa]:[Rutina]],5,FALSE)),0)</f>
        <v>0</v>
      </c>
      <c r="AO4" s="21">
        <f>+Tabla13[[#This Row],[Km Fin]]-Tabla13[[#This Row],[Km Ini]]</f>
        <v>0</v>
      </c>
      <c r="AP4" s="20">
        <f>IFERROR((VLOOKUP(Tabla13[[#This Row],[ID]],[1]!Estilo_Conduccion[[#All],[Placa]:[Puntuacion]],15,FALSE)),0)</f>
        <v>0</v>
      </c>
      <c r="AQ4" s="15" t="s">
        <v>1072</v>
      </c>
      <c r="AR4" s="15" t="s">
        <v>1073</v>
      </c>
      <c r="AS4" s="20">
        <v>404</v>
      </c>
      <c r="AT4" s="21">
        <v>3080.8846153846152</v>
      </c>
      <c r="AU4" s="21">
        <f>(Tabla13[[#This Row],[Cap Vh]]*$AX$2)*0.56</f>
        <v>0</v>
      </c>
      <c r="AV4" s="36" t="e">
        <f>(Tabla13[[#This Row],[Cap Util (kg)]]/(Tabla13[[#This Row],[Cap Inst (Kg)]]))</f>
        <v>#DIV/0!</v>
      </c>
    </row>
    <row r="5" spans="1:48" x14ac:dyDescent="0.25">
      <c r="A5" s="13" t="s">
        <v>1068</v>
      </c>
      <c r="B5" s="14" t="s">
        <v>61</v>
      </c>
      <c r="C5" s="14" t="s">
        <v>44</v>
      </c>
      <c r="D5" s="14" t="s">
        <v>44</v>
      </c>
      <c r="E5" s="14" t="s">
        <v>60</v>
      </c>
      <c r="F5" s="14" t="s">
        <v>46</v>
      </c>
      <c r="G5" s="15" t="s">
        <v>47</v>
      </c>
      <c r="H5" s="16" t="s">
        <v>48</v>
      </c>
      <c r="I5" s="14" t="s">
        <v>49</v>
      </c>
      <c r="J5" s="14">
        <v>830064700</v>
      </c>
      <c r="K5" s="14" t="s">
        <v>50</v>
      </c>
      <c r="L5" s="14" t="s">
        <v>51</v>
      </c>
      <c r="M5" s="14" t="s">
        <v>52</v>
      </c>
      <c r="N5" s="14">
        <v>2014</v>
      </c>
      <c r="O5" s="14">
        <v>6</v>
      </c>
      <c r="P5" s="14" t="s">
        <v>53</v>
      </c>
      <c r="Q5" s="14">
        <v>0</v>
      </c>
      <c r="R5" s="14">
        <v>0</v>
      </c>
      <c r="S5" s="17" t="s">
        <v>54</v>
      </c>
      <c r="T5" s="18">
        <v>0</v>
      </c>
      <c r="U5" s="14">
        <v>0</v>
      </c>
      <c r="V5" s="19">
        <v>0</v>
      </c>
      <c r="W5" s="14">
        <v>0</v>
      </c>
      <c r="X5" s="14">
        <v>0</v>
      </c>
      <c r="Y5" s="14">
        <v>0</v>
      </c>
      <c r="Z5" s="14">
        <v>0</v>
      </c>
      <c r="AA5" s="14">
        <f>Tabla13[[#This Row],[CheckList App]]+Tabla13[[#This Row],[CheckList Fisc]]</f>
        <v>0</v>
      </c>
      <c r="AB5" s="19" t="str">
        <f t="shared" si="0"/>
        <v/>
      </c>
      <c r="AC5" s="14">
        <v>0</v>
      </c>
      <c r="AD5" s="14" t="s">
        <v>55</v>
      </c>
      <c r="AE5" s="15" t="str">
        <f>IFERROR((VLOOKUP(Tabla13[[#This Row],[ID]],[1]!Mtto_Pesv[[#Headers],[#Data],[Placa]:[Rutina]],2,FALSE)),"-")</f>
        <v>-</v>
      </c>
      <c r="AF5" s="14">
        <v>0</v>
      </c>
      <c r="AG5" s="20">
        <f>IFERROR((VLOOKUP(Tabla13[[#This Row],[ID]],[1]!Mtto_Pesv[[#Headers],[#Data],[Placa]:[Rutina]],3,FALSE)),0)</f>
        <v>0</v>
      </c>
      <c r="AH5" s="20">
        <f>IFERROR((VLOOKUP(Tabla13[[#This Row],[ID]],[1]!Mtto_Pesv[[#Headers],[#Data],[Placa]:[Rutina]],7,FALSE)),0)</f>
        <v>0</v>
      </c>
      <c r="AI5" s="20">
        <f>IFERROR((VLOOKUP(Tabla13[[#This Row],[ID]],[1]!Mtto_Pesv[[#Headers],[#Data],[Placa]:[Rutina]],8,FALSE)),0)</f>
        <v>0</v>
      </c>
      <c r="AJ5" s="20" t="str">
        <f>IFERROR((VLOOKUP(Tabla13[[#This Row],[ID]],[1]!Mtto_Pesv[[#Headers],[#Data],[Placa]:[Rutina]],9,FALSE)),"-")</f>
        <v>-</v>
      </c>
      <c r="AK5" s="20">
        <f>IFERROR((VLOOKUP(Tabla13[[#This Row],[ID]],[1]!Mtto_Pesv[[#Headers],[#Data],[Placa]:[Rutina]],10,FALSE)),0)</f>
        <v>0</v>
      </c>
      <c r="AL5" s="20">
        <f>IF(Tabla13[[#This Row],[Km Anterior]]=0,0,Tabla13[[#This Row],[Km Ejecut]]-Tabla13[[#This Row],[Km Anterior]])</f>
        <v>0</v>
      </c>
      <c r="AM5" s="20">
        <f>IFERROR((VLOOKUP(Tabla13[[#This Row],[ID]],[1]!Mtto_Pesv[[#Headers],[#Data],[Placa]:[Rutina]],4,FALSE)),0)</f>
        <v>0</v>
      </c>
      <c r="AN5" s="21">
        <f>IFERROR((VLOOKUP(Tabla13[[#This Row],[ID]],[1]!Mtto_Pesv[[#Headers],[#Data],[Placa]:[Rutina]],5,FALSE)),0)</f>
        <v>0</v>
      </c>
      <c r="AO5" s="21">
        <f>+Tabla13[[#This Row],[Km Fin]]-Tabla13[[#This Row],[Km Ini]]</f>
        <v>0</v>
      </c>
      <c r="AP5" s="20">
        <f>IFERROR((VLOOKUP(Tabla13[[#This Row],[ID]],[1]!Estilo_Conduccion[[#All],[Placa]:[Puntuacion]],15,FALSE)),0)</f>
        <v>0</v>
      </c>
      <c r="AQ5" s="15" t="s">
        <v>1072</v>
      </c>
      <c r="AR5" s="15" t="s">
        <v>1073</v>
      </c>
      <c r="AS5" s="20">
        <v>404</v>
      </c>
      <c r="AT5" s="21">
        <v>3080.8846153846152</v>
      </c>
      <c r="AU5" s="21">
        <f>(Tabla13[[#This Row],[Cap Vh]]*$AX$2)*0.56</f>
        <v>0</v>
      </c>
      <c r="AV5" s="36" t="e">
        <f>(Tabla13[[#This Row],[Cap Util (kg)]]/(Tabla13[[#This Row],[Cap Inst (Kg)]]))</f>
        <v>#DIV/0!</v>
      </c>
    </row>
    <row r="6" spans="1:48" x14ac:dyDescent="0.25">
      <c r="A6" s="13" t="s">
        <v>1068</v>
      </c>
      <c r="B6" s="14" t="s">
        <v>62</v>
      </c>
      <c r="C6" s="14" t="s">
        <v>44</v>
      </c>
      <c r="D6" s="14" t="s">
        <v>44</v>
      </c>
      <c r="E6" s="14" t="s">
        <v>63</v>
      </c>
      <c r="F6" s="14" t="s">
        <v>64</v>
      </c>
      <c r="G6" s="14" t="s">
        <v>65</v>
      </c>
      <c r="H6" s="16" t="s">
        <v>66</v>
      </c>
      <c r="I6" s="14" t="s">
        <v>49</v>
      </c>
      <c r="J6" s="14">
        <v>830064700</v>
      </c>
      <c r="K6" s="14" t="s">
        <v>50</v>
      </c>
      <c r="L6" s="14" t="s">
        <v>51</v>
      </c>
      <c r="M6" s="14" t="s">
        <v>52</v>
      </c>
      <c r="N6" s="14">
        <v>2014</v>
      </c>
      <c r="O6" s="14">
        <v>6</v>
      </c>
      <c r="P6" s="14" t="s">
        <v>53</v>
      </c>
      <c r="Q6" s="14">
        <v>0</v>
      </c>
      <c r="R6" s="14">
        <v>0</v>
      </c>
      <c r="S6" s="17" t="s">
        <v>54</v>
      </c>
      <c r="T6" s="18">
        <v>0</v>
      </c>
      <c r="U6" s="14">
        <v>0</v>
      </c>
      <c r="V6" s="19">
        <v>0</v>
      </c>
      <c r="W6" s="14">
        <v>0</v>
      </c>
      <c r="X6" s="14">
        <v>0</v>
      </c>
      <c r="Y6" s="14">
        <v>0</v>
      </c>
      <c r="Z6" s="14">
        <v>0</v>
      </c>
      <c r="AA6" s="14">
        <f>Tabla13[[#This Row],[CheckList App]]+Tabla13[[#This Row],[CheckList Fisc]]</f>
        <v>0</v>
      </c>
      <c r="AB6" s="19" t="str">
        <f t="shared" si="0"/>
        <v/>
      </c>
      <c r="AC6" s="14">
        <v>0</v>
      </c>
      <c r="AD6" s="14" t="s">
        <v>55</v>
      </c>
      <c r="AE6" s="15" t="str">
        <f>IFERROR((VLOOKUP(Tabla13[[#This Row],[ID]],[1]!Mtto_Pesv[[#Headers],[#Data],[Placa]:[Rutina]],2,FALSE)),"-")</f>
        <v>-</v>
      </c>
      <c r="AF6" s="14">
        <v>0</v>
      </c>
      <c r="AG6" s="20">
        <f>IFERROR((VLOOKUP(Tabla13[[#This Row],[ID]],[1]!Mtto_Pesv[[#Headers],[#Data],[Placa]:[Rutina]],3,FALSE)),0)</f>
        <v>0</v>
      </c>
      <c r="AH6" s="20">
        <f>IFERROR((VLOOKUP(Tabla13[[#This Row],[ID]],[1]!Mtto_Pesv[[#Headers],[#Data],[Placa]:[Rutina]],7,FALSE)),0)</f>
        <v>0</v>
      </c>
      <c r="AI6" s="20">
        <f>IFERROR((VLOOKUP(Tabla13[[#This Row],[ID]],[1]!Mtto_Pesv[[#Headers],[#Data],[Placa]:[Rutina]],8,FALSE)),0)</f>
        <v>0</v>
      </c>
      <c r="AJ6" s="20" t="str">
        <f>IFERROR((VLOOKUP(Tabla13[[#This Row],[ID]],[1]!Mtto_Pesv[[#Headers],[#Data],[Placa]:[Rutina]],9,FALSE)),"-")</f>
        <v>-</v>
      </c>
      <c r="AK6" s="20">
        <f>IFERROR((VLOOKUP(Tabla13[[#This Row],[ID]],[1]!Mtto_Pesv[[#Headers],[#Data],[Placa]:[Rutina]],10,FALSE)),0)</f>
        <v>0</v>
      </c>
      <c r="AL6" s="20">
        <f>IF(Tabla13[[#This Row],[Km Anterior]]=0,0,Tabla13[[#This Row],[Km Ejecut]]-Tabla13[[#This Row],[Km Anterior]])</f>
        <v>0</v>
      </c>
      <c r="AM6" s="20">
        <f>IFERROR((VLOOKUP(Tabla13[[#This Row],[ID]],[1]!Mtto_Pesv[[#Headers],[#Data],[Placa]:[Rutina]],4,FALSE)),0)</f>
        <v>0</v>
      </c>
      <c r="AN6" s="21">
        <f>IFERROR((VLOOKUP(Tabla13[[#This Row],[ID]],[1]!Mtto_Pesv[[#Headers],[#Data],[Placa]:[Rutina]],5,FALSE)),0)</f>
        <v>0</v>
      </c>
      <c r="AO6" s="21">
        <f>+Tabla13[[#This Row],[Km Fin]]-Tabla13[[#This Row],[Km Ini]]</f>
        <v>0</v>
      </c>
      <c r="AP6" s="20">
        <f>IFERROR((VLOOKUP(Tabla13[[#This Row],[ID]],[1]!Estilo_Conduccion[[#All],[Placa]:[Puntuacion]],15,FALSE)),0)</f>
        <v>0</v>
      </c>
      <c r="AQ6" s="15" t="s">
        <v>54</v>
      </c>
      <c r="AR6" s="15" t="s">
        <v>54</v>
      </c>
      <c r="AS6" s="20">
        <v>404</v>
      </c>
      <c r="AT6" s="21">
        <v>0</v>
      </c>
      <c r="AU6" s="21">
        <f>(Tabla13[[#This Row],[Cap Vh]]*$AX$2)*0.56</f>
        <v>0</v>
      </c>
      <c r="AV6" s="36" t="e">
        <f>(Tabla13[[#This Row],[Cap Util (kg)]]/(Tabla13[[#This Row],[Cap Inst (Kg)]]))</f>
        <v>#DIV/0!</v>
      </c>
    </row>
    <row r="7" spans="1:48" x14ac:dyDescent="0.25">
      <c r="A7" s="13" t="s">
        <v>1068</v>
      </c>
      <c r="B7" s="14" t="s">
        <v>67</v>
      </c>
      <c r="C7" s="14" t="s">
        <v>44</v>
      </c>
      <c r="D7" s="14" t="s">
        <v>44</v>
      </c>
      <c r="E7" s="14" t="s">
        <v>60</v>
      </c>
      <c r="F7" s="14" t="s">
        <v>46</v>
      </c>
      <c r="G7" s="15" t="s">
        <v>47</v>
      </c>
      <c r="H7" s="16" t="s">
        <v>48</v>
      </c>
      <c r="I7" s="14" t="s">
        <v>49</v>
      </c>
      <c r="J7" s="14">
        <v>830064700</v>
      </c>
      <c r="K7" s="14" t="s">
        <v>50</v>
      </c>
      <c r="L7" s="14" t="s">
        <v>51</v>
      </c>
      <c r="M7" s="14" t="s">
        <v>52</v>
      </c>
      <c r="N7" s="14">
        <v>2014</v>
      </c>
      <c r="O7" s="14">
        <v>6</v>
      </c>
      <c r="P7" s="14" t="s">
        <v>53</v>
      </c>
      <c r="Q7" s="14">
        <v>0</v>
      </c>
      <c r="R7" s="14">
        <v>0</v>
      </c>
      <c r="S7" s="17" t="s">
        <v>54</v>
      </c>
      <c r="T7" s="18">
        <v>0</v>
      </c>
      <c r="U7" s="14">
        <v>0</v>
      </c>
      <c r="V7" s="19">
        <v>0</v>
      </c>
      <c r="W7" s="14">
        <v>0</v>
      </c>
      <c r="X7" s="14">
        <v>0</v>
      </c>
      <c r="Y7" s="14">
        <v>0</v>
      </c>
      <c r="Z7" s="14">
        <v>0</v>
      </c>
      <c r="AA7" s="14">
        <f>Tabla13[[#This Row],[CheckList App]]+Tabla13[[#This Row],[CheckList Fisc]]</f>
        <v>0</v>
      </c>
      <c r="AB7" s="19" t="str">
        <f t="shared" si="0"/>
        <v/>
      </c>
      <c r="AC7" s="14">
        <v>0</v>
      </c>
      <c r="AD7" s="14" t="s">
        <v>55</v>
      </c>
      <c r="AE7" s="15" t="str">
        <f>IFERROR((VLOOKUP(Tabla13[[#This Row],[ID]],[1]!Mtto_Pesv[[#Headers],[#Data],[Placa]:[Rutina]],2,FALSE)),"-")</f>
        <v>-</v>
      </c>
      <c r="AF7" s="14">
        <v>0</v>
      </c>
      <c r="AG7" s="20">
        <f>IFERROR((VLOOKUP(Tabla13[[#This Row],[ID]],[1]!Mtto_Pesv[[#Headers],[#Data],[Placa]:[Rutina]],3,FALSE)),0)</f>
        <v>0</v>
      </c>
      <c r="AH7" s="20">
        <f>IFERROR((VLOOKUP(Tabla13[[#This Row],[ID]],[1]!Mtto_Pesv[[#Headers],[#Data],[Placa]:[Rutina]],7,FALSE)),0)</f>
        <v>0</v>
      </c>
      <c r="AI7" s="20">
        <f>IFERROR((VLOOKUP(Tabla13[[#This Row],[ID]],[1]!Mtto_Pesv[[#Headers],[#Data],[Placa]:[Rutina]],8,FALSE)),0)</f>
        <v>0</v>
      </c>
      <c r="AJ7" s="20" t="str">
        <f>IFERROR((VLOOKUP(Tabla13[[#This Row],[ID]],[1]!Mtto_Pesv[[#Headers],[#Data],[Placa]:[Rutina]],9,FALSE)),"-")</f>
        <v>-</v>
      </c>
      <c r="AK7" s="20">
        <f>IFERROR((VLOOKUP(Tabla13[[#This Row],[ID]],[1]!Mtto_Pesv[[#Headers],[#Data],[Placa]:[Rutina]],10,FALSE)),0)</f>
        <v>0</v>
      </c>
      <c r="AL7" s="20">
        <f>IF(Tabla13[[#This Row],[Km Anterior]]=0,0,Tabla13[[#This Row],[Km Ejecut]]-Tabla13[[#This Row],[Km Anterior]])</f>
        <v>0</v>
      </c>
      <c r="AM7" s="20">
        <f>IFERROR((VLOOKUP(Tabla13[[#This Row],[ID]],[1]!Mtto_Pesv[[#Headers],[#Data],[Placa]:[Rutina]],4,FALSE)),0)</f>
        <v>0</v>
      </c>
      <c r="AN7" s="21">
        <f>IFERROR((VLOOKUP(Tabla13[[#This Row],[ID]],[1]!Mtto_Pesv[[#Headers],[#Data],[Placa]:[Rutina]],5,FALSE)),0)</f>
        <v>0</v>
      </c>
      <c r="AO7" s="21">
        <f>+Tabla13[[#This Row],[Km Fin]]-Tabla13[[#This Row],[Km Ini]]</f>
        <v>0</v>
      </c>
      <c r="AP7" s="20">
        <f>IFERROR((VLOOKUP(Tabla13[[#This Row],[ID]],[1]!Estilo_Conduccion[[#All],[Placa]:[Puntuacion]],15,FALSE)),0)</f>
        <v>0</v>
      </c>
      <c r="AQ7" s="15" t="s">
        <v>1072</v>
      </c>
      <c r="AR7" s="15" t="s">
        <v>1073</v>
      </c>
      <c r="AS7" s="20">
        <v>404</v>
      </c>
      <c r="AT7" s="21">
        <v>3080.8846153846152</v>
      </c>
      <c r="AU7" s="21">
        <f>(Tabla13[[#This Row],[Cap Vh]]*$AX$2)*0.56</f>
        <v>0</v>
      </c>
      <c r="AV7" s="36" t="e">
        <f>(Tabla13[[#This Row],[Cap Util (kg)]]/(Tabla13[[#This Row],[Cap Inst (Kg)]]))</f>
        <v>#DIV/0!</v>
      </c>
    </row>
    <row r="8" spans="1:48" x14ac:dyDescent="0.25">
      <c r="A8" s="13" t="s">
        <v>1068</v>
      </c>
      <c r="B8" s="14" t="s">
        <v>68</v>
      </c>
      <c r="C8" s="14" t="s">
        <v>44</v>
      </c>
      <c r="D8" s="14" t="s">
        <v>44</v>
      </c>
      <c r="E8" s="14" t="s">
        <v>69</v>
      </c>
      <c r="F8" s="14" t="s">
        <v>64</v>
      </c>
      <c r="G8" s="14" t="s">
        <v>65</v>
      </c>
      <c r="H8" s="16" t="s">
        <v>66</v>
      </c>
      <c r="I8" s="14" t="s">
        <v>49</v>
      </c>
      <c r="J8" s="14">
        <v>830064700</v>
      </c>
      <c r="K8" s="14" t="s">
        <v>50</v>
      </c>
      <c r="L8" s="14" t="s">
        <v>51</v>
      </c>
      <c r="M8" s="14" t="s">
        <v>52</v>
      </c>
      <c r="N8" s="14">
        <v>2014</v>
      </c>
      <c r="O8" s="14">
        <v>6</v>
      </c>
      <c r="P8" s="14" t="s">
        <v>53</v>
      </c>
      <c r="Q8" s="14">
        <v>0</v>
      </c>
      <c r="R8" s="14">
        <v>0</v>
      </c>
      <c r="S8" s="17" t="s">
        <v>54</v>
      </c>
      <c r="T8" s="18">
        <v>0</v>
      </c>
      <c r="U8" s="14">
        <v>0</v>
      </c>
      <c r="V8" s="19">
        <v>0</v>
      </c>
      <c r="W8" s="14">
        <v>0</v>
      </c>
      <c r="X8" s="14">
        <v>0</v>
      </c>
      <c r="Y8" s="14">
        <v>0</v>
      </c>
      <c r="Z8" s="14">
        <v>0</v>
      </c>
      <c r="AA8" s="14">
        <f>Tabla13[[#This Row],[CheckList App]]+Tabla13[[#This Row],[CheckList Fisc]]</f>
        <v>0</v>
      </c>
      <c r="AB8" s="19" t="str">
        <f t="shared" si="0"/>
        <v/>
      </c>
      <c r="AC8" s="14">
        <v>0</v>
      </c>
      <c r="AD8" s="14" t="s">
        <v>70</v>
      </c>
      <c r="AE8" s="15" t="str">
        <f>IFERROR((VLOOKUP(Tabla13[[#This Row],[ID]],[1]!Mtto_Pesv[[#Headers],[#Data],[Placa]:[Rutina]],2,FALSE)),"-")</f>
        <v>-</v>
      </c>
      <c r="AF8" s="14">
        <v>1</v>
      </c>
      <c r="AG8" s="20">
        <f>IFERROR((VLOOKUP(Tabla13[[#This Row],[ID]],[1]!Mtto_Pesv[[#Headers],[#Data],[Placa]:[Rutina]],3,FALSE)),0)</f>
        <v>0</v>
      </c>
      <c r="AH8" s="20">
        <f>IFERROR((VLOOKUP(Tabla13[[#This Row],[ID]],[1]!Mtto_Pesv[[#Headers],[#Data],[Placa]:[Rutina]],7,FALSE)),0)</f>
        <v>0</v>
      </c>
      <c r="AI8" s="20">
        <f>IFERROR((VLOOKUP(Tabla13[[#This Row],[ID]],[1]!Mtto_Pesv[[#Headers],[#Data],[Placa]:[Rutina]],8,FALSE)),0)</f>
        <v>0</v>
      </c>
      <c r="AJ8" s="20" t="str">
        <f>IFERROR((VLOOKUP(Tabla13[[#This Row],[ID]],[1]!Mtto_Pesv[[#Headers],[#Data],[Placa]:[Rutina]],9,FALSE)),"-")</f>
        <v>-</v>
      </c>
      <c r="AK8" s="20">
        <f>IFERROR((VLOOKUP(Tabla13[[#This Row],[ID]],[1]!Mtto_Pesv[[#Headers],[#Data],[Placa]:[Rutina]],10,FALSE)),0)</f>
        <v>0</v>
      </c>
      <c r="AL8" s="20">
        <f>IF(Tabla13[[#This Row],[Km Anterior]]=0,0,Tabla13[[#This Row],[Km Ejecut]]-Tabla13[[#This Row],[Km Anterior]])</f>
        <v>0</v>
      </c>
      <c r="AM8" s="20">
        <f>IFERROR((VLOOKUP(Tabla13[[#This Row],[ID]],[1]!Mtto_Pesv[[#Headers],[#Data],[Placa]:[Rutina]],4,FALSE)),0)</f>
        <v>0</v>
      </c>
      <c r="AN8" s="21">
        <f>IFERROR((VLOOKUP(Tabla13[[#This Row],[ID]],[1]!Mtto_Pesv[[#Headers],[#Data],[Placa]:[Rutina]],5,FALSE)),0)</f>
        <v>0</v>
      </c>
      <c r="AO8" s="21">
        <f>+Tabla13[[#This Row],[Km Fin]]-Tabla13[[#This Row],[Km Ini]]</f>
        <v>0</v>
      </c>
      <c r="AP8" s="20">
        <f>IFERROR((VLOOKUP(Tabla13[[#This Row],[ID]],[1]!Estilo_Conduccion[[#All],[Placa]:[Puntuacion]],15,FALSE)),0)</f>
        <v>0</v>
      </c>
      <c r="AQ8" s="15" t="s">
        <v>54</v>
      </c>
      <c r="AR8" s="15" t="s">
        <v>54</v>
      </c>
      <c r="AS8" s="20">
        <v>404</v>
      </c>
      <c r="AT8" s="21">
        <v>0</v>
      </c>
      <c r="AU8" s="21">
        <f>(Tabla13[[#This Row],[Cap Vh]]*$AX$2)*0.56</f>
        <v>0</v>
      </c>
      <c r="AV8" s="36" t="e">
        <f>(Tabla13[[#This Row],[Cap Util (kg)]]/(Tabla13[[#This Row],[Cap Inst (Kg)]]))</f>
        <v>#DIV/0!</v>
      </c>
    </row>
    <row r="9" spans="1:48" x14ac:dyDescent="0.25">
      <c r="A9" s="13" t="s">
        <v>1068</v>
      </c>
      <c r="B9" s="14" t="s">
        <v>71</v>
      </c>
      <c r="C9" s="14" t="s">
        <v>44</v>
      </c>
      <c r="D9" s="14" t="s">
        <v>44</v>
      </c>
      <c r="E9" s="14" t="s">
        <v>58</v>
      </c>
      <c r="F9" s="14" t="s">
        <v>46</v>
      </c>
      <c r="G9" s="15" t="s">
        <v>47</v>
      </c>
      <c r="H9" s="16" t="s">
        <v>48</v>
      </c>
      <c r="I9" s="14" t="s">
        <v>49</v>
      </c>
      <c r="J9" s="14">
        <v>830064700</v>
      </c>
      <c r="K9" s="14" t="s">
        <v>50</v>
      </c>
      <c r="L9" s="14" t="s">
        <v>51</v>
      </c>
      <c r="M9" s="14" t="s">
        <v>52</v>
      </c>
      <c r="N9" s="14">
        <v>2014</v>
      </c>
      <c r="O9" s="14">
        <v>6</v>
      </c>
      <c r="P9" s="14" t="s">
        <v>53</v>
      </c>
      <c r="Q9" s="14">
        <v>0</v>
      </c>
      <c r="R9" s="14">
        <v>0</v>
      </c>
      <c r="S9" s="17" t="s">
        <v>54</v>
      </c>
      <c r="T9" s="18">
        <v>0</v>
      </c>
      <c r="U9" s="14">
        <v>0</v>
      </c>
      <c r="V9" s="19">
        <v>0</v>
      </c>
      <c r="W9" s="14">
        <v>0</v>
      </c>
      <c r="X9" s="14">
        <v>0</v>
      </c>
      <c r="Y9" s="14">
        <v>0</v>
      </c>
      <c r="Z9" s="14">
        <v>0</v>
      </c>
      <c r="AA9" s="14">
        <f>Tabla13[[#This Row],[CheckList App]]+Tabla13[[#This Row],[CheckList Fisc]]</f>
        <v>0</v>
      </c>
      <c r="AB9" s="19" t="str">
        <f t="shared" si="0"/>
        <v/>
      </c>
      <c r="AC9" s="14">
        <v>0</v>
      </c>
      <c r="AD9" s="14" t="s">
        <v>55</v>
      </c>
      <c r="AE9" s="15" t="str">
        <f>IFERROR((VLOOKUP(Tabla13[[#This Row],[ID]],[1]!Mtto_Pesv[[#Headers],[#Data],[Placa]:[Rutina]],2,FALSE)),"-")</f>
        <v>-</v>
      </c>
      <c r="AF9" s="14">
        <v>0</v>
      </c>
      <c r="AG9" s="20">
        <f>IFERROR((VLOOKUP(Tabla13[[#This Row],[ID]],[1]!Mtto_Pesv[[#Headers],[#Data],[Placa]:[Rutina]],3,FALSE)),0)</f>
        <v>0</v>
      </c>
      <c r="AH9" s="20">
        <f>IFERROR((VLOOKUP(Tabla13[[#This Row],[ID]],[1]!Mtto_Pesv[[#Headers],[#Data],[Placa]:[Rutina]],7,FALSE)),0)</f>
        <v>0</v>
      </c>
      <c r="AI9" s="20">
        <f>IFERROR((VLOOKUP(Tabla13[[#This Row],[ID]],[1]!Mtto_Pesv[[#Headers],[#Data],[Placa]:[Rutina]],8,FALSE)),0)</f>
        <v>0</v>
      </c>
      <c r="AJ9" s="20" t="str">
        <f>IFERROR((VLOOKUP(Tabla13[[#This Row],[ID]],[1]!Mtto_Pesv[[#Headers],[#Data],[Placa]:[Rutina]],9,FALSE)),"-")</f>
        <v>-</v>
      </c>
      <c r="AK9" s="20">
        <f>IFERROR((VLOOKUP(Tabla13[[#This Row],[ID]],[1]!Mtto_Pesv[[#Headers],[#Data],[Placa]:[Rutina]],10,FALSE)),0)</f>
        <v>0</v>
      </c>
      <c r="AL9" s="20">
        <f>IF(Tabla13[[#This Row],[Km Anterior]]=0,0,Tabla13[[#This Row],[Km Ejecut]]-Tabla13[[#This Row],[Km Anterior]])</f>
        <v>0</v>
      </c>
      <c r="AM9" s="20">
        <f>IFERROR((VLOOKUP(Tabla13[[#This Row],[ID]],[1]!Mtto_Pesv[[#Headers],[#Data],[Placa]:[Rutina]],4,FALSE)),0)</f>
        <v>0</v>
      </c>
      <c r="AN9" s="21">
        <f>IFERROR((VLOOKUP(Tabla13[[#This Row],[ID]],[1]!Mtto_Pesv[[#Headers],[#Data],[Placa]:[Rutina]],5,FALSE)),0)</f>
        <v>0</v>
      </c>
      <c r="AO9" s="21">
        <f>+Tabla13[[#This Row],[Km Fin]]-Tabla13[[#This Row],[Km Ini]]</f>
        <v>0</v>
      </c>
      <c r="AP9" s="20">
        <f>IFERROR((VLOOKUP(Tabla13[[#This Row],[ID]],[1]!Estilo_Conduccion[[#All],[Placa]:[Puntuacion]],15,FALSE)),0)</f>
        <v>0</v>
      </c>
      <c r="AQ9" s="15" t="s">
        <v>54</v>
      </c>
      <c r="AR9" s="15" t="s">
        <v>54</v>
      </c>
      <c r="AS9" s="20">
        <v>404</v>
      </c>
      <c r="AT9" s="21">
        <v>0</v>
      </c>
      <c r="AU9" s="21">
        <f>(Tabla13[[#This Row],[Cap Vh]]*$AX$2)*0.56</f>
        <v>0</v>
      </c>
      <c r="AV9" s="36" t="e">
        <f>(Tabla13[[#This Row],[Cap Util (kg)]]/(Tabla13[[#This Row],[Cap Inst (Kg)]]))</f>
        <v>#DIV/0!</v>
      </c>
    </row>
    <row r="10" spans="1:48" x14ac:dyDescent="0.25">
      <c r="A10" s="13" t="s">
        <v>1068</v>
      </c>
      <c r="B10" s="14" t="s">
        <v>72</v>
      </c>
      <c r="C10" s="14" t="s">
        <v>44</v>
      </c>
      <c r="D10" s="14" t="s">
        <v>44</v>
      </c>
      <c r="E10" s="14" t="s">
        <v>58</v>
      </c>
      <c r="F10" s="14" t="s">
        <v>46</v>
      </c>
      <c r="G10" s="15" t="s">
        <v>47</v>
      </c>
      <c r="H10" s="16" t="s">
        <v>48</v>
      </c>
      <c r="I10" s="14" t="s">
        <v>49</v>
      </c>
      <c r="J10" s="14">
        <v>830064700</v>
      </c>
      <c r="K10" s="14" t="s">
        <v>50</v>
      </c>
      <c r="L10" s="14" t="s">
        <v>51</v>
      </c>
      <c r="M10" s="14" t="s">
        <v>52</v>
      </c>
      <c r="N10" s="14">
        <v>2014</v>
      </c>
      <c r="O10" s="14">
        <v>6</v>
      </c>
      <c r="P10" s="14" t="s">
        <v>53</v>
      </c>
      <c r="Q10" s="14">
        <v>0</v>
      </c>
      <c r="R10" s="14">
        <v>0</v>
      </c>
      <c r="S10" s="17" t="s">
        <v>54</v>
      </c>
      <c r="T10" s="18">
        <v>0</v>
      </c>
      <c r="U10" s="14">
        <v>0</v>
      </c>
      <c r="V10" s="19">
        <v>0</v>
      </c>
      <c r="W10" s="14">
        <v>0</v>
      </c>
      <c r="X10" s="14">
        <v>0</v>
      </c>
      <c r="Y10" s="14">
        <v>0</v>
      </c>
      <c r="Z10" s="14">
        <v>0</v>
      </c>
      <c r="AA10" s="14">
        <f>Tabla13[[#This Row],[CheckList App]]+Tabla13[[#This Row],[CheckList Fisc]]</f>
        <v>0</v>
      </c>
      <c r="AB10" s="19" t="str">
        <f t="shared" si="0"/>
        <v/>
      </c>
      <c r="AC10" s="14">
        <v>0</v>
      </c>
      <c r="AD10" s="14" t="s">
        <v>55</v>
      </c>
      <c r="AE10" s="15" t="str">
        <f>IFERROR((VLOOKUP(Tabla13[[#This Row],[ID]],[1]!Mtto_Pesv[[#Headers],[#Data],[Placa]:[Rutina]],2,FALSE)),"-")</f>
        <v>-</v>
      </c>
      <c r="AF10" s="14">
        <v>0</v>
      </c>
      <c r="AG10" s="20">
        <f>IFERROR((VLOOKUP(Tabla13[[#This Row],[ID]],[1]!Mtto_Pesv[[#Headers],[#Data],[Placa]:[Rutina]],3,FALSE)),0)</f>
        <v>0</v>
      </c>
      <c r="AH10" s="20">
        <f>IFERROR((VLOOKUP(Tabla13[[#This Row],[ID]],[1]!Mtto_Pesv[[#Headers],[#Data],[Placa]:[Rutina]],7,FALSE)),0)</f>
        <v>0</v>
      </c>
      <c r="AI10" s="20">
        <f>IFERROR((VLOOKUP(Tabla13[[#This Row],[ID]],[1]!Mtto_Pesv[[#Headers],[#Data],[Placa]:[Rutina]],8,FALSE)),0)</f>
        <v>0</v>
      </c>
      <c r="AJ10" s="20" t="str">
        <f>IFERROR((VLOOKUP(Tabla13[[#This Row],[ID]],[1]!Mtto_Pesv[[#Headers],[#Data],[Placa]:[Rutina]],9,FALSE)),"-")</f>
        <v>-</v>
      </c>
      <c r="AK10" s="20">
        <f>IFERROR((VLOOKUP(Tabla13[[#This Row],[ID]],[1]!Mtto_Pesv[[#Headers],[#Data],[Placa]:[Rutina]],10,FALSE)),0)</f>
        <v>0</v>
      </c>
      <c r="AL10" s="20">
        <f>IF(Tabla13[[#This Row],[Km Anterior]]=0,0,Tabla13[[#This Row],[Km Ejecut]]-Tabla13[[#This Row],[Km Anterior]])</f>
        <v>0</v>
      </c>
      <c r="AM10" s="20">
        <f>IFERROR((VLOOKUP(Tabla13[[#This Row],[ID]],[1]!Mtto_Pesv[[#Headers],[#Data],[Placa]:[Rutina]],4,FALSE)),0)</f>
        <v>0</v>
      </c>
      <c r="AN10" s="21">
        <f>IFERROR((VLOOKUP(Tabla13[[#This Row],[ID]],[1]!Mtto_Pesv[[#Headers],[#Data],[Placa]:[Rutina]],5,FALSE)),0)</f>
        <v>0</v>
      </c>
      <c r="AO10" s="21">
        <f>+Tabla13[[#This Row],[Km Fin]]-Tabla13[[#This Row],[Km Ini]]</f>
        <v>0</v>
      </c>
      <c r="AP10" s="20">
        <f>IFERROR((VLOOKUP(Tabla13[[#This Row],[ID]],[1]!Estilo_Conduccion[[#All],[Placa]:[Puntuacion]],15,FALSE)),0)</f>
        <v>0</v>
      </c>
      <c r="AQ10" s="15" t="s">
        <v>1070</v>
      </c>
      <c r="AR10" s="15" t="s">
        <v>1071</v>
      </c>
      <c r="AS10" s="20">
        <v>404</v>
      </c>
      <c r="AT10" s="21">
        <v>3775.4166666666665</v>
      </c>
      <c r="AU10" s="21">
        <f>(Tabla13[[#This Row],[Cap Vh]]*$AX$2)*0.56</f>
        <v>0</v>
      </c>
      <c r="AV10" s="36" t="e">
        <f>(Tabla13[[#This Row],[Cap Util (kg)]]/(Tabla13[[#This Row],[Cap Inst (Kg)]]))</f>
        <v>#DIV/0!</v>
      </c>
    </row>
    <row r="11" spans="1:48" x14ac:dyDescent="0.25">
      <c r="A11" s="13" t="s">
        <v>1068</v>
      </c>
      <c r="B11" s="14" t="s">
        <v>73</v>
      </c>
      <c r="C11" s="14" t="s">
        <v>44</v>
      </c>
      <c r="D11" s="14" t="s">
        <v>44</v>
      </c>
      <c r="E11" s="14" t="s">
        <v>63</v>
      </c>
      <c r="F11" s="14" t="s">
        <v>46</v>
      </c>
      <c r="G11" s="15" t="s">
        <v>47</v>
      </c>
      <c r="H11" s="16" t="s">
        <v>48</v>
      </c>
      <c r="I11" s="14" t="s">
        <v>49</v>
      </c>
      <c r="J11" s="14">
        <v>830064700</v>
      </c>
      <c r="K11" s="14" t="s">
        <v>50</v>
      </c>
      <c r="L11" s="14" t="s">
        <v>51</v>
      </c>
      <c r="M11" s="14" t="s">
        <v>52</v>
      </c>
      <c r="N11" s="14">
        <v>2014</v>
      </c>
      <c r="O11" s="14">
        <v>6</v>
      </c>
      <c r="P11" s="14" t="s">
        <v>53</v>
      </c>
      <c r="Q11" s="14">
        <v>0</v>
      </c>
      <c r="R11" s="14">
        <v>0</v>
      </c>
      <c r="S11" s="17" t="s">
        <v>54</v>
      </c>
      <c r="T11" s="18">
        <v>0</v>
      </c>
      <c r="U11" s="14">
        <v>0</v>
      </c>
      <c r="V11" s="19">
        <v>0</v>
      </c>
      <c r="W11" s="14">
        <v>0</v>
      </c>
      <c r="X11" s="14">
        <v>0</v>
      </c>
      <c r="Y11" s="14">
        <v>0</v>
      </c>
      <c r="Z11" s="14">
        <v>0</v>
      </c>
      <c r="AA11" s="14">
        <f>Tabla13[[#This Row],[CheckList App]]+Tabla13[[#This Row],[CheckList Fisc]]</f>
        <v>0</v>
      </c>
      <c r="AB11" s="19" t="str">
        <f t="shared" si="0"/>
        <v/>
      </c>
      <c r="AC11" s="14">
        <v>0</v>
      </c>
      <c r="AD11" s="14" t="s">
        <v>55</v>
      </c>
      <c r="AE11" s="15" t="str">
        <f>IFERROR((VLOOKUP(Tabla13[[#This Row],[ID]],[1]!Mtto_Pesv[[#Headers],[#Data],[Placa]:[Rutina]],2,FALSE)),"-")</f>
        <v>-</v>
      </c>
      <c r="AF11" s="14">
        <v>0</v>
      </c>
      <c r="AG11" s="20">
        <f>IFERROR((VLOOKUP(Tabla13[[#This Row],[ID]],[1]!Mtto_Pesv[[#Headers],[#Data],[Placa]:[Rutina]],3,FALSE)),0)</f>
        <v>0</v>
      </c>
      <c r="AH11" s="20">
        <f>IFERROR((VLOOKUP(Tabla13[[#This Row],[ID]],[1]!Mtto_Pesv[[#Headers],[#Data],[Placa]:[Rutina]],7,FALSE)),0)</f>
        <v>0</v>
      </c>
      <c r="AI11" s="20">
        <f>IFERROR((VLOOKUP(Tabla13[[#This Row],[ID]],[1]!Mtto_Pesv[[#Headers],[#Data],[Placa]:[Rutina]],8,FALSE)),0)</f>
        <v>0</v>
      </c>
      <c r="AJ11" s="20" t="str">
        <f>IFERROR((VLOOKUP(Tabla13[[#This Row],[ID]],[1]!Mtto_Pesv[[#Headers],[#Data],[Placa]:[Rutina]],9,FALSE)),"-")</f>
        <v>-</v>
      </c>
      <c r="AK11" s="20">
        <f>IFERROR((VLOOKUP(Tabla13[[#This Row],[ID]],[1]!Mtto_Pesv[[#Headers],[#Data],[Placa]:[Rutina]],10,FALSE)),0)</f>
        <v>0</v>
      </c>
      <c r="AL11" s="20">
        <f>IF(Tabla13[[#This Row],[Km Anterior]]=0,0,Tabla13[[#This Row],[Km Ejecut]]-Tabla13[[#This Row],[Km Anterior]])</f>
        <v>0</v>
      </c>
      <c r="AM11" s="20">
        <f>IFERROR((VLOOKUP(Tabla13[[#This Row],[ID]],[1]!Mtto_Pesv[[#Headers],[#Data],[Placa]:[Rutina]],4,FALSE)),0)</f>
        <v>0</v>
      </c>
      <c r="AN11" s="21">
        <f>IFERROR((VLOOKUP(Tabla13[[#This Row],[ID]],[1]!Mtto_Pesv[[#Headers],[#Data],[Placa]:[Rutina]],5,FALSE)),0)</f>
        <v>0</v>
      </c>
      <c r="AO11" s="21">
        <f>+Tabla13[[#This Row],[Km Fin]]-Tabla13[[#This Row],[Km Ini]]</f>
        <v>0</v>
      </c>
      <c r="AP11" s="20">
        <f>IFERROR((VLOOKUP(Tabla13[[#This Row],[ID]],[1]!Estilo_Conduccion[[#All],[Placa]:[Puntuacion]],15,FALSE)),0)</f>
        <v>0</v>
      </c>
      <c r="AQ11" s="15" t="s">
        <v>1074</v>
      </c>
      <c r="AR11" s="15" t="s">
        <v>1075</v>
      </c>
      <c r="AS11" s="20">
        <v>404</v>
      </c>
      <c r="AT11" s="21">
        <v>1990.7142857142858</v>
      </c>
      <c r="AU11" s="21">
        <f>(Tabla13[[#This Row],[Cap Vh]]*$AX$2)*0.56</f>
        <v>0</v>
      </c>
      <c r="AV11" s="36" t="e">
        <f>(Tabla13[[#This Row],[Cap Util (kg)]]/(Tabla13[[#This Row],[Cap Inst (Kg)]]))</f>
        <v>#DIV/0!</v>
      </c>
    </row>
    <row r="12" spans="1:48" x14ac:dyDescent="0.25">
      <c r="A12" s="13" t="s">
        <v>1068</v>
      </c>
      <c r="B12" s="14" t="s">
        <v>74</v>
      </c>
      <c r="C12" s="14" t="s">
        <v>44</v>
      </c>
      <c r="D12" s="14" t="s">
        <v>44</v>
      </c>
      <c r="E12" s="14" t="s">
        <v>60</v>
      </c>
      <c r="F12" s="14" t="s">
        <v>46</v>
      </c>
      <c r="G12" s="15" t="s">
        <v>47</v>
      </c>
      <c r="H12" s="16" t="s">
        <v>48</v>
      </c>
      <c r="I12" s="14" t="s">
        <v>49</v>
      </c>
      <c r="J12" s="14">
        <v>830064700</v>
      </c>
      <c r="K12" s="14" t="s">
        <v>50</v>
      </c>
      <c r="L12" s="14" t="s">
        <v>51</v>
      </c>
      <c r="M12" s="14" t="s">
        <v>52</v>
      </c>
      <c r="N12" s="14">
        <v>2014</v>
      </c>
      <c r="O12" s="14">
        <v>6</v>
      </c>
      <c r="P12" s="14" t="s">
        <v>53</v>
      </c>
      <c r="Q12" s="14">
        <v>0</v>
      </c>
      <c r="R12" s="14">
        <v>0</v>
      </c>
      <c r="S12" s="17" t="s">
        <v>54</v>
      </c>
      <c r="T12" s="18">
        <v>0</v>
      </c>
      <c r="U12" s="14">
        <v>0</v>
      </c>
      <c r="V12" s="19">
        <v>0</v>
      </c>
      <c r="W12" s="14">
        <v>0</v>
      </c>
      <c r="X12" s="14">
        <v>0</v>
      </c>
      <c r="Y12" s="14">
        <v>0</v>
      </c>
      <c r="Z12" s="14">
        <v>0</v>
      </c>
      <c r="AA12" s="14">
        <f>Tabla13[[#This Row],[CheckList App]]+Tabla13[[#This Row],[CheckList Fisc]]</f>
        <v>0</v>
      </c>
      <c r="AB12" s="19" t="str">
        <f t="shared" si="0"/>
        <v/>
      </c>
      <c r="AC12" s="14">
        <v>0</v>
      </c>
      <c r="AD12" s="14" t="s">
        <v>55</v>
      </c>
      <c r="AE12" s="15" t="str">
        <f>IFERROR((VLOOKUP(Tabla13[[#This Row],[ID]],[1]!Mtto_Pesv[[#Headers],[#Data],[Placa]:[Rutina]],2,FALSE)),"-")</f>
        <v>-</v>
      </c>
      <c r="AF12" s="14">
        <v>0</v>
      </c>
      <c r="AG12" s="20">
        <f>IFERROR((VLOOKUP(Tabla13[[#This Row],[ID]],[1]!Mtto_Pesv[[#Headers],[#Data],[Placa]:[Rutina]],3,FALSE)),0)</f>
        <v>0</v>
      </c>
      <c r="AH12" s="20">
        <f>IFERROR((VLOOKUP(Tabla13[[#This Row],[ID]],[1]!Mtto_Pesv[[#Headers],[#Data],[Placa]:[Rutina]],7,FALSE)),0)</f>
        <v>0</v>
      </c>
      <c r="AI12" s="20">
        <f>IFERROR((VLOOKUP(Tabla13[[#This Row],[ID]],[1]!Mtto_Pesv[[#Headers],[#Data],[Placa]:[Rutina]],8,FALSE)),0)</f>
        <v>0</v>
      </c>
      <c r="AJ12" s="20" t="str">
        <f>IFERROR((VLOOKUP(Tabla13[[#This Row],[ID]],[1]!Mtto_Pesv[[#Headers],[#Data],[Placa]:[Rutina]],9,FALSE)),"-")</f>
        <v>-</v>
      </c>
      <c r="AK12" s="20">
        <f>IFERROR((VLOOKUP(Tabla13[[#This Row],[ID]],[1]!Mtto_Pesv[[#Headers],[#Data],[Placa]:[Rutina]],10,FALSE)),0)</f>
        <v>0</v>
      </c>
      <c r="AL12" s="20">
        <f>IF(Tabla13[[#This Row],[Km Anterior]]=0,0,Tabla13[[#This Row],[Km Ejecut]]-Tabla13[[#This Row],[Km Anterior]])</f>
        <v>0</v>
      </c>
      <c r="AM12" s="20">
        <f>IFERROR((VLOOKUP(Tabla13[[#This Row],[ID]],[1]!Mtto_Pesv[[#Headers],[#Data],[Placa]:[Rutina]],4,FALSE)),0)</f>
        <v>0</v>
      </c>
      <c r="AN12" s="21">
        <f>IFERROR((VLOOKUP(Tabla13[[#This Row],[ID]],[1]!Mtto_Pesv[[#Headers],[#Data],[Placa]:[Rutina]],5,FALSE)),0)</f>
        <v>0</v>
      </c>
      <c r="AO12" s="21">
        <f>+Tabla13[[#This Row],[Km Fin]]-Tabla13[[#This Row],[Km Ini]]</f>
        <v>0</v>
      </c>
      <c r="AP12" s="20">
        <f>IFERROR((VLOOKUP(Tabla13[[#This Row],[ID]],[1]!Estilo_Conduccion[[#All],[Placa]:[Puntuacion]],15,FALSE)),0)</f>
        <v>0</v>
      </c>
      <c r="AQ12" s="15" t="s">
        <v>1072</v>
      </c>
      <c r="AR12" s="15" t="s">
        <v>1073</v>
      </c>
      <c r="AS12" s="20">
        <v>404</v>
      </c>
      <c r="AT12" s="21">
        <v>3080.8846153846152</v>
      </c>
      <c r="AU12" s="21">
        <f>(Tabla13[[#This Row],[Cap Vh]]*$AX$2)*0.56</f>
        <v>0</v>
      </c>
      <c r="AV12" s="36" t="e">
        <f>(Tabla13[[#This Row],[Cap Util (kg)]]/(Tabla13[[#This Row],[Cap Inst (Kg)]]))</f>
        <v>#DIV/0!</v>
      </c>
    </row>
    <row r="13" spans="1:48" x14ac:dyDescent="0.25">
      <c r="A13" s="13" t="s">
        <v>1068</v>
      </c>
      <c r="B13" s="14" t="s">
        <v>75</v>
      </c>
      <c r="C13" s="14" t="s">
        <v>44</v>
      </c>
      <c r="D13" s="14" t="s">
        <v>44</v>
      </c>
      <c r="E13" s="14" t="s">
        <v>45</v>
      </c>
      <c r="F13" s="14" t="s">
        <v>76</v>
      </c>
      <c r="G13" s="15" t="s">
        <v>47</v>
      </c>
      <c r="H13" s="16" t="s">
        <v>48</v>
      </c>
      <c r="I13" s="14" t="s">
        <v>49</v>
      </c>
      <c r="J13" s="14">
        <v>900335279</v>
      </c>
      <c r="K13" s="14" t="s">
        <v>77</v>
      </c>
      <c r="L13" s="14" t="s">
        <v>51</v>
      </c>
      <c r="M13" s="14" t="s">
        <v>78</v>
      </c>
      <c r="N13" s="14">
        <v>2015</v>
      </c>
      <c r="O13" s="14">
        <v>5</v>
      </c>
      <c r="P13" s="14" t="s">
        <v>53</v>
      </c>
      <c r="Q13" s="14">
        <v>0</v>
      </c>
      <c r="R13" s="14">
        <v>0</v>
      </c>
      <c r="S13" s="17" t="s">
        <v>54</v>
      </c>
      <c r="T13" s="18">
        <v>0</v>
      </c>
      <c r="U13" s="14">
        <v>0</v>
      </c>
      <c r="V13" s="19">
        <v>0</v>
      </c>
      <c r="W13" s="14">
        <v>0</v>
      </c>
      <c r="X13" s="14">
        <v>0</v>
      </c>
      <c r="Y13" s="14">
        <v>0</v>
      </c>
      <c r="Z13" s="14">
        <v>0</v>
      </c>
      <c r="AA13" s="14">
        <f>Tabla13[[#This Row],[CheckList App]]+Tabla13[[#This Row],[CheckList Fisc]]</f>
        <v>0</v>
      </c>
      <c r="AB13" s="19" t="str">
        <f t="shared" si="0"/>
        <v/>
      </c>
      <c r="AC13" s="14">
        <v>0</v>
      </c>
      <c r="AD13" s="14" t="s">
        <v>55</v>
      </c>
      <c r="AE13" s="15" t="str">
        <f>IFERROR((VLOOKUP(Tabla13[[#This Row],[ID]],[1]!Mtto_Pesv[[#Headers],[#Data],[Placa]:[Rutina]],2,FALSE)),"-")</f>
        <v>-</v>
      </c>
      <c r="AF13" s="14">
        <v>0</v>
      </c>
      <c r="AG13" s="20">
        <f>IFERROR((VLOOKUP(Tabla13[[#This Row],[ID]],[1]!Mtto_Pesv[[#Headers],[#Data],[Placa]:[Rutina]],3,FALSE)),0)</f>
        <v>0</v>
      </c>
      <c r="AH13" s="20">
        <f>IFERROR((VLOOKUP(Tabla13[[#This Row],[ID]],[1]!Mtto_Pesv[[#Headers],[#Data],[Placa]:[Rutina]],7,FALSE)),0)</f>
        <v>0</v>
      </c>
      <c r="AI13" s="20">
        <f>IFERROR((VLOOKUP(Tabla13[[#This Row],[ID]],[1]!Mtto_Pesv[[#Headers],[#Data],[Placa]:[Rutina]],8,FALSE)),0)</f>
        <v>0</v>
      </c>
      <c r="AJ13" s="20" t="str">
        <f>IFERROR((VLOOKUP(Tabla13[[#This Row],[ID]],[1]!Mtto_Pesv[[#Headers],[#Data],[Placa]:[Rutina]],9,FALSE)),"-")</f>
        <v>-</v>
      </c>
      <c r="AK13" s="20">
        <f>IFERROR((VLOOKUP(Tabla13[[#This Row],[ID]],[1]!Mtto_Pesv[[#Headers],[#Data],[Placa]:[Rutina]],10,FALSE)),0)</f>
        <v>0</v>
      </c>
      <c r="AL13" s="20">
        <f>IF(Tabla13[[#This Row],[Km Anterior]]=0,0,Tabla13[[#This Row],[Km Ejecut]]-Tabla13[[#This Row],[Km Anterior]])</f>
        <v>0</v>
      </c>
      <c r="AM13" s="20">
        <f>IFERROR((VLOOKUP(Tabla13[[#This Row],[ID]],[1]!Mtto_Pesv[[#Headers],[#Data],[Placa]:[Rutina]],4,FALSE)),0)</f>
        <v>0</v>
      </c>
      <c r="AN13" s="21">
        <f>IFERROR((VLOOKUP(Tabla13[[#This Row],[ID]],[1]!Mtto_Pesv[[#Headers],[#Data],[Placa]:[Rutina]],5,FALSE)),0)</f>
        <v>0</v>
      </c>
      <c r="AO13" s="21">
        <f>+Tabla13[[#This Row],[Km Fin]]-Tabla13[[#This Row],[Km Ini]]</f>
        <v>0</v>
      </c>
      <c r="AP13" s="20">
        <f>IFERROR((VLOOKUP(Tabla13[[#This Row],[ID]],[1]!Estilo_Conduccion[[#All],[Placa]:[Puntuacion]],15,FALSE)),0)</f>
        <v>0</v>
      </c>
      <c r="AQ13" s="15" t="s">
        <v>1076</v>
      </c>
      <c r="AR13" s="15" t="s">
        <v>1077</v>
      </c>
      <c r="AS13" s="20">
        <v>404</v>
      </c>
      <c r="AT13" s="21">
        <v>5065.7142857142853</v>
      </c>
      <c r="AU13" s="21">
        <f>(Tabla13[[#This Row],[Cap Vh]]*$AX$2)*0.56</f>
        <v>0</v>
      </c>
      <c r="AV13" s="36" t="e">
        <f>(Tabla13[[#This Row],[Cap Util (kg)]]/(Tabla13[[#This Row],[Cap Inst (Kg)]]))</f>
        <v>#DIV/0!</v>
      </c>
    </row>
    <row r="14" spans="1:48" x14ac:dyDescent="0.25">
      <c r="A14" s="13" t="s">
        <v>1068</v>
      </c>
      <c r="B14" s="14" t="s">
        <v>79</v>
      </c>
      <c r="C14" s="14" t="s">
        <v>44</v>
      </c>
      <c r="D14" s="14" t="s">
        <v>44</v>
      </c>
      <c r="E14" s="14" t="s">
        <v>60</v>
      </c>
      <c r="F14" s="14" t="s">
        <v>46</v>
      </c>
      <c r="G14" s="15" t="s">
        <v>47</v>
      </c>
      <c r="H14" s="16" t="s">
        <v>48</v>
      </c>
      <c r="I14" s="14" t="s">
        <v>49</v>
      </c>
      <c r="J14" s="14">
        <v>830064700</v>
      </c>
      <c r="K14" s="14" t="s">
        <v>50</v>
      </c>
      <c r="L14" s="14" t="s">
        <v>51</v>
      </c>
      <c r="M14" s="14" t="s">
        <v>52</v>
      </c>
      <c r="N14" s="14">
        <v>2015</v>
      </c>
      <c r="O14" s="14">
        <v>5</v>
      </c>
      <c r="P14" s="14" t="s">
        <v>53</v>
      </c>
      <c r="Q14" s="14">
        <v>0</v>
      </c>
      <c r="R14" s="14">
        <v>0</v>
      </c>
      <c r="S14" s="17" t="s">
        <v>54</v>
      </c>
      <c r="T14" s="18">
        <v>0</v>
      </c>
      <c r="U14" s="14">
        <v>0</v>
      </c>
      <c r="V14" s="19">
        <v>0</v>
      </c>
      <c r="W14" s="14">
        <v>0</v>
      </c>
      <c r="X14" s="14">
        <v>0</v>
      </c>
      <c r="Y14" s="14">
        <v>0</v>
      </c>
      <c r="Z14" s="14">
        <v>0</v>
      </c>
      <c r="AA14" s="14">
        <f>Tabla13[[#This Row],[CheckList App]]+Tabla13[[#This Row],[CheckList Fisc]]</f>
        <v>0</v>
      </c>
      <c r="AB14" s="19" t="str">
        <f t="shared" si="0"/>
        <v/>
      </c>
      <c r="AC14" s="14">
        <v>0</v>
      </c>
      <c r="AD14" s="14" t="s">
        <v>55</v>
      </c>
      <c r="AE14" s="15" t="str">
        <f>IFERROR((VLOOKUP(Tabla13[[#This Row],[ID]],[1]!Mtto_Pesv[[#Headers],[#Data],[Placa]:[Rutina]],2,FALSE)),"-")</f>
        <v>-</v>
      </c>
      <c r="AF14" s="14">
        <v>0</v>
      </c>
      <c r="AG14" s="20">
        <f>IFERROR((VLOOKUP(Tabla13[[#This Row],[ID]],[1]!Mtto_Pesv[[#Headers],[#Data],[Placa]:[Rutina]],3,FALSE)),0)</f>
        <v>0</v>
      </c>
      <c r="AH14" s="20">
        <f>IFERROR((VLOOKUP(Tabla13[[#This Row],[ID]],[1]!Mtto_Pesv[[#Headers],[#Data],[Placa]:[Rutina]],7,FALSE)),0)</f>
        <v>0</v>
      </c>
      <c r="AI14" s="20">
        <f>IFERROR((VLOOKUP(Tabla13[[#This Row],[ID]],[1]!Mtto_Pesv[[#Headers],[#Data],[Placa]:[Rutina]],8,FALSE)),0)</f>
        <v>0</v>
      </c>
      <c r="AJ14" s="20" t="str">
        <f>IFERROR((VLOOKUP(Tabla13[[#This Row],[ID]],[1]!Mtto_Pesv[[#Headers],[#Data],[Placa]:[Rutina]],9,FALSE)),"-")</f>
        <v>-</v>
      </c>
      <c r="AK14" s="20">
        <f>IFERROR((VLOOKUP(Tabla13[[#This Row],[ID]],[1]!Mtto_Pesv[[#Headers],[#Data],[Placa]:[Rutina]],10,FALSE)),0)</f>
        <v>0</v>
      </c>
      <c r="AL14" s="20">
        <f>IF(Tabla13[[#This Row],[Km Anterior]]=0,0,Tabla13[[#This Row],[Km Ejecut]]-Tabla13[[#This Row],[Km Anterior]])</f>
        <v>0</v>
      </c>
      <c r="AM14" s="20">
        <f>IFERROR((VLOOKUP(Tabla13[[#This Row],[ID]],[1]!Mtto_Pesv[[#Headers],[#Data],[Placa]:[Rutina]],4,FALSE)),0)</f>
        <v>0</v>
      </c>
      <c r="AN14" s="21">
        <f>IFERROR((VLOOKUP(Tabla13[[#This Row],[ID]],[1]!Mtto_Pesv[[#Headers],[#Data],[Placa]:[Rutina]],5,FALSE)),0)</f>
        <v>0</v>
      </c>
      <c r="AO14" s="21">
        <f>+Tabla13[[#This Row],[Km Fin]]-Tabla13[[#This Row],[Km Ini]]</f>
        <v>0</v>
      </c>
      <c r="AP14" s="20">
        <f>IFERROR((VLOOKUP(Tabla13[[#This Row],[ID]],[1]!Estilo_Conduccion[[#All],[Placa]:[Puntuacion]],15,FALSE)),0)</f>
        <v>0</v>
      </c>
      <c r="AQ14" s="15" t="s">
        <v>1072</v>
      </c>
      <c r="AR14" s="15" t="s">
        <v>1073</v>
      </c>
      <c r="AS14" s="20">
        <v>280</v>
      </c>
      <c r="AT14" s="21">
        <v>3080.8846153846152</v>
      </c>
      <c r="AU14" s="21">
        <f>(Tabla13[[#This Row],[Cap Vh]]*$AX$2)*0.56</f>
        <v>0</v>
      </c>
      <c r="AV14" s="36" t="e">
        <f>(Tabla13[[#This Row],[Cap Util (kg)]]/(Tabla13[[#This Row],[Cap Inst (Kg)]]))</f>
        <v>#DIV/0!</v>
      </c>
    </row>
    <row r="15" spans="1:48" x14ac:dyDescent="0.25">
      <c r="A15" s="13" t="s">
        <v>1068</v>
      </c>
      <c r="B15" s="14" t="s">
        <v>80</v>
      </c>
      <c r="C15" s="14" t="s">
        <v>44</v>
      </c>
      <c r="D15" s="14" t="s">
        <v>44</v>
      </c>
      <c r="E15" s="14" t="s">
        <v>58</v>
      </c>
      <c r="F15" s="14" t="s">
        <v>46</v>
      </c>
      <c r="G15" s="15" t="s">
        <v>47</v>
      </c>
      <c r="H15" s="16" t="s">
        <v>48</v>
      </c>
      <c r="I15" s="14" t="s">
        <v>49</v>
      </c>
      <c r="J15" s="14">
        <v>830064700</v>
      </c>
      <c r="K15" s="14" t="s">
        <v>50</v>
      </c>
      <c r="L15" s="14" t="s">
        <v>51</v>
      </c>
      <c r="M15" s="14" t="s">
        <v>52</v>
      </c>
      <c r="N15" s="14">
        <v>2015</v>
      </c>
      <c r="O15" s="14">
        <v>5</v>
      </c>
      <c r="P15" s="14" t="s">
        <v>53</v>
      </c>
      <c r="Q15" s="14">
        <v>0</v>
      </c>
      <c r="R15" s="14">
        <v>0</v>
      </c>
      <c r="S15" s="17" t="s">
        <v>54</v>
      </c>
      <c r="T15" s="18">
        <v>0</v>
      </c>
      <c r="U15" s="14">
        <v>0</v>
      </c>
      <c r="V15" s="19">
        <v>0</v>
      </c>
      <c r="W15" s="14">
        <v>0</v>
      </c>
      <c r="X15" s="14">
        <v>0</v>
      </c>
      <c r="Y15" s="14">
        <v>0</v>
      </c>
      <c r="Z15" s="14">
        <v>0</v>
      </c>
      <c r="AA15" s="14">
        <f>Tabla13[[#This Row],[CheckList App]]+Tabla13[[#This Row],[CheckList Fisc]]</f>
        <v>0</v>
      </c>
      <c r="AB15" s="19" t="str">
        <f t="shared" si="0"/>
        <v/>
      </c>
      <c r="AC15" s="14">
        <v>0</v>
      </c>
      <c r="AD15" s="14" t="s">
        <v>55</v>
      </c>
      <c r="AE15" s="15" t="str">
        <f>IFERROR((VLOOKUP(Tabla13[[#This Row],[ID]],[1]!Mtto_Pesv[[#Headers],[#Data],[Placa]:[Rutina]],2,FALSE)),"-")</f>
        <v>-</v>
      </c>
      <c r="AF15" s="14">
        <v>0</v>
      </c>
      <c r="AG15" s="20">
        <f>IFERROR((VLOOKUP(Tabla13[[#This Row],[ID]],[1]!Mtto_Pesv[[#Headers],[#Data],[Placa]:[Rutina]],3,FALSE)),0)</f>
        <v>0</v>
      </c>
      <c r="AH15" s="20">
        <f>IFERROR((VLOOKUP(Tabla13[[#This Row],[ID]],[1]!Mtto_Pesv[[#Headers],[#Data],[Placa]:[Rutina]],7,FALSE)),0)</f>
        <v>0</v>
      </c>
      <c r="AI15" s="20">
        <f>IFERROR((VLOOKUP(Tabla13[[#This Row],[ID]],[1]!Mtto_Pesv[[#Headers],[#Data],[Placa]:[Rutina]],8,FALSE)),0)</f>
        <v>0</v>
      </c>
      <c r="AJ15" s="20" t="str">
        <f>IFERROR((VLOOKUP(Tabla13[[#This Row],[ID]],[1]!Mtto_Pesv[[#Headers],[#Data],[Placa]:[Rutina]],9,FALSE)),"-")</f>
        <v>-</v>
      </c>
      <c r="AK15" s="20">
        <f>IFERROR((VLOOKUP(Tabla13[[#This Row],[ID]],[1]!Mtto_Pesv[[#Headers],[#Data],[Placa]:[Rutina]],10,FALSE)),0)</f>
        <v>0</v>
      </c>
      <c r="AL15" s="20">
        <f>IF(Tabla13[[#This Row],[Km Anterior]]=0,0,Tabla13[[#This Row],[Km Ejecut]]-Tabla13[[#This Row],[Km Anterior]])</f>
        <v>0</v>
      </c>
      <c r="AM15" s="20">
        <f>IFERROR((VLOOKUP(Tabla13[[#This Row],[ID]],[1]!Mtto_Pesv[[#Headers],[#Data],[Placa]:[Rutina]],4,FALSE)),0)</f>
        <v>0</v>
      </c>
      <c r="AN15" s="21">
        <f>IFERROR((VLOOKUP(Tabla13[[#This Row],[ID]],[1]!Mtto_Pesv[[#Headers],[#Data],[Placa]:[Rutina]],5,FALSE)),0)</f>
        <v>0</v>
      </c>
      <c r="AO15" s="21">
        <f>+Tabla13[[#This Row],[Km Fin]]-Tabla13[[#This Row],[Km Ini]]</f>
        <v>0</v>
      </c>
      <c r="AP15" s="20">
        <f>IFERROR((VLOOKUP(Tabla13[[#This Row],[ID]],[1]!Estilo_Conduccion[[#All],[Placa]:[Puntuacion]],15,FALSE)),0)</f>
        <v>0</v>
      </c>
      <c r="AQ15" s="15" t="s">
        <v>1070</v>
      </c>
      <c r="AR15" s="15" t="s">
        <v>1071</v>
      </c>
      <c r="AS15" s="20">
        <v>280</v>
      </c>
      <c r="AT15" s="21">
        <v>3775.4166666666665</v>
      </c>
      <c r="AU15" s="21">
        <f>(Tabla13[[#This Row],[Cap Vh]]*$AX$2)*0.56</f>
        <v>0</v>
      </c>
      <c r="AV15" s="36" t="e">
        <f>(Tabla13[[#This Row],[Cap Util (kg)]]/(Tabla13[[#This Row],[Cap Inst (Kg)]]))</f>
        <v>#DIV/0!</v>
      </c>
    </row>
    <row r="16" spans="1:48" x14ac:dyDescent="0.25">
      <c r="A16" s="13" t="s">
        <v>1068</v>
      </c>
      <c r="B16" s="14" t="s">
        <v>81</v>
      </c>
      <c r="C16" s="14" t="s">
        <v>44</v>
      </c>
      <c r="D16" s="14" t="s">
        <v>44</v>
      </c>
      <c r="E16" s="14" t="s">
        <v>58</v>
      </c>
      <c r="F16" s="14" t="s">
        <v>46</v>
      </c>
      <c r="G16" s="15" t="s">
        <v>47</v>
      </c>
      <c r="H16" s="16" t="s">
        <v>48</v>
      </c>
      <c r="I16" s="14" t="s">
        <v>49</v>
      </c>
      <c r="J16" s="14">
        <v>830064700</v>
      </c>
      <c r="K16" s="14" t="s">
        <v>50</v>
      </c>
      <c r="L16" s="14" t="s">
        <v>51</v>
      </c>
      <c r="M16" s="14" t="s">
        <v>52</v>
      </c>
      <c r="N16" s="14">
        <v>2015</v>
      </c>
      <c r="O16" s="14">
        <v>5</v>
      </c>
      <c r="P16" s="14" t="s">
        <v>53</v>
      </c>
      <c r="Q16" s="14">
        <v>0</v>
      </c>
      <c r="R16" s="14">
        <v>0</v>
      </c>
      <c r="S16" s="17" t="s">
        <v>54</v>
      </c>
      <c r="T16" s="18">
        <v>0</v>
      </c>
      <c r="U16" s="14">
        <v>0</v>
      </c>
      <c r="V16" s="19">
        <v>0</v>
      </c>
      <c r="W16" s="14">
        <v>0</v>
      </c>
      <c r="X16" s="14">
        <v>0</v>
      </c>
      <c r="Y16" s="14">
        <v>0</v>
      </c>
      <c r="Z16" s="14">
        <v>0</v>
      </c>
      <c r="AA16" s="14">
        <f>Tabla13[[#This Row],[CheckList App]]+Tabla13[[#This Row],[CheckList Fisc]]</f>
        <v>0</v>
      </c>
      <c r="AB16" s="19" t="str">
        <f t="shared" si="0"/>
        <v/>
      </c>
      <c r="AC16" s="14">
        <v>0</v>
      </c>
      <c r="AD16" s="14" t="s">
        <v>55</v>
      </c>
      <c r="AE16" s="15" t="str">
        <f>IFERROR((VLOOKUP(Tabla13[[#This Row],[ID]],[1]!Mtto_Pesv[[#Headers],[#Data],[Placa]:[Rutina]],2,FALSE)),"-")</f>
        <v>-</v>
      </c>
      <c r="AF16" s="14">
        <v>0</v>
      </c>
      <c r="AG16" s="20">
        <f>IFERROR((VLOOKUP(Tabla13[[#This Row],[ID]],[1]!Mtto_Pesv[[#Headers],[#Data],[Placa]:[Rutina]],3,FALSE)),0)</f>
        <v>0</v>
      </c>
      <c r="AH16" s="20">
        <f>IFERROR((VLOOKUP(Tabla13[[#This Row],[ID]],[1]!Mtto_Pesv[[#Headers],[#Data],[Placa]:[Rutina]],7,FALSE)),0)</f>
        <v>0</v>
      </c>
      <c r="AI16" s="20">
        <f>IFERROR((VLOOKUP(Tabla13[[#This Row],[ID]],[1]!Mtto_Pesv[[#Headers],[#Data],[Placa]:[Rutina]],8,FALSE)),0)</f>
        <v>0</v>
      </c>
      <c r="AJ16" s="20" t="str">
        <f>IFERROR((VLOOKUP(Tabla13[[#This Row],[ID]],[1]!Mtto_Pesv[[#Headers],[#Data],[Placa]:[Rutina]],9,FALSE)),"-")</f>
        <v>-</v>
      </c>
      <c r="AK16" s="20">
        <f>IFERROR((VLOOKUP(Tabla13[[#This Row],[ID]],[1]!Mtto_Pesv[[#Headers],[#Data],[Placa]:[Rutina]],10,FALSE)),0)</f>
        <v>0</v>
      </c>
      <c r="AL16" s="20">
        <f>IF(Tabla13[[#This Row],[Km Anterior]]=0,0,Tabla13[[#This Row],[Km Ejecut]]-Tabla13[[#This Row],[Km Anterior]])</f>
        <v>0</v>
      </c>
      <c r="AM16" s="20">
        <f>IFERROR((VLOOKUP(Tabla13[[#This Row],[ID]],[1]!Mtto_Pesv[[#Headers],[#Data],[Placa]:[Rutina]],4,FALSE)),0)</f>
        <v>0</v>
      </c>
      <c r="AN16" s="21">
        <f>IFERROR((VLOOKUP(Tabla13[[#This Row],[ID]],[1]!Mtto_Pesv[[#Headers],[#Data],[Placa]:[Rutina]],5,FALSE)),0)</f>
        <v>0</v>
      </c>
      <c r="AO16" s="21">
        <f>+Tabla13[[#This Row],[Km Fin]]-Tabla13[[#This Row],[Km Ini]]</f>
        <v>0</v>
      </c>
      <c r="AP16" s="20">
        <f>IFERROR((VLOOKUP(Tabla13[[#This Row],[ID]],[1]!Estilo_Conduccion[[#All],[Placa]:[Puntuacion]],15,FALSE)),0)</f>
        <v>0</v>
      </c>
      <c r="AQ16" s="15" t="s">
        <v>1078</v>
      </c>
      <c r="AR16" s="15" t="s">
        <v>1079</v>
      </c>
      <c r="AS16" s="20">
        <v>280</v>
      </c>
      <c r="AT16" s="21">
        <v>4470</v>
      </c>
      <c r="AU16" s="21">
        <f>(Tabla13[[#This Row],[Cap Vh]]*$AX$2)*0.56</f>
        <v>0</v>
      </c>
      <c r="AV16" s="36" t="e">
        <f>(Tabla13[[#This Row],[Cap Util (kg)]]/(Tabla13[[#This Row],[Cap Inst (Kg)]]))</f>
        <v>#DIV/0!</v>
      </c>
    </row>
    <row r="17" spans="1:48" x14ac:dyDescent="0.25">
      <c r="A17" s="13" t="s">
        <v>1068</v>
      </c>
      <c r="B17" s="14" t="s">
        <v>82</v>
      </c>
      <c r="C17" s="14" t="s">
        <v>44</v>
      </c>
      <c r="D17" s="14" t="s">
        <v>44</v>
      </c>
      <c r="E17" s="14" t="s">
        <v>60</v>
      </c>
      <c r="F17" s="14" t="s">
        <v>46</v>
      </c>
      <c r="G17" s="15" t="s">
        <v>47</v>
      </c>
      <c r="H17" s="16" t="s">
        <v>48</v>
      </c>
      <c r="I17" s="14" t="s">
        <v>49</v>
      </c>
      <c r="J17" s="14">
        <v>830064700</v>
      </c>
      <c r="K17" s="14" t="s">
        <v>50</v>
      </c>
      <c r="L17" s="14" t="s">
        <v>51</v>
      </c>
      <c r="M17" s="14" t="s">
        <v>52</v>
      </c>
      <c r="N17" s="14">
        <v>2015</v>
      </c>
      <c r="O17" s="14">
        <v>5</v>
      </c>
      <c r="P17" s="14" t="s">
        <v>53</v>
      </c>
      <c r="Q17" s="14">
        <v>0</v>
      </c>
      <c r="R17" s="14">
        <v>0</v>
      </c>
      <c r="S17" s="17" t="s">
        <v>54</v>
      </c>
      <c r="T17" s="18">
        <v>0</v>
      </c>
      <c r="U17" s="14">
        <v>0</v>
      </c>
      <c r="V17" s="19">
        <v>0</v>
      </c>
      <c r="W17" s="14">
        <v>0</v>
      </c>
      <c r="X17" s="14">
        <v>0</v>
      </c>
      <c r="Y17" s="14">
        <v>0</v>
      </c>
      <c r="Z17" s="14">
        <v>0</v>
      </c>
      <c r="AA17" s="14">
        <f>Tabla13[[#This Row],[CheckList App]]+Tabla13[[#This Row],[CheckList Fisc]]</f>
        <v>0</v>
      </c>
      <c r="AB17" s="19" t="str">
        <f t="shared" si="0"/>
        <v/>
      </c>
      <c r="AC17" s="14">
        <v>0</v>
      </c>
      <c r="AD17" s="14" t="s">
        <v>55</v>
      </c>
      <c r="AE17" s="15" t="str">
        <f>IFERROR((VLOOKUP(Tabla13[[#This Row],[ID]],[1]!Mtto_Pesv[[#Headers],[#Data],[Placa]:[Rutina]],2,FALSE)),"-")</f>
        <v>-</v>
      </c>
      <c r="AF17" s="14">
        <v>0</v>
      </c>
      <c r="AG17" s="20">
        <f>IFERROR((VLOOKUP(Tabla13[[#This Row],[ID]],[1]!Mtto_Pesv[[#Headers],[#Data],[Placa]:[Rutina]],3,FALSE)),0)</f>
        <v>0</v>
      </c>
      <c r="AH17" s="20">
        <f>IFERROR((VLOOKUP(Tabla13[[#This Row],[ID]],[1]!Mtto_Pesv[[#Headers],[#Data],[Placa]:[Rutina]],7,FALSE)),0)</f>
        <v>0</v>
      </c>
      <c r="AI17" s="20">
        <f>IFERROR((VLOOKUP(Tabla13[[#This Row],[ID]],[1]!Mtto_Pesv[[#Headers],[#Data],[Placa]:[Rutina]],8,FALSE)),0)</f>
        <v>0</v>
      </c>
      <c r="AJ17" s="20" t="str">
        <f>IFERROR((VLOOKUP(Tabla13[[#This Row],[ID]],[1]!Mtto_Pesv[[#Headers],[#Data],[Placa]:[Rutina]],9,FALSE)),"-")</f>
        <v>-</v>
      </c>
      <c r="AK17" s="20">
        <f>IFERROR((VLOOKUP(Tabla13[[#This Row],[ID]],[1]!Mtto_Pesv[[#Headers],[#Data],[Placa]:[Rutina]],10,FALSE)),0)</f>
        <v>0</v>
      </c>
      <c r="AL17" s="20">
        <f>IF(Tabla13[[#This Row],[Km Anterior]]=0,0,Tabla13[[#This Row],[Km Ejecut]]-Tabla13[[#This Row],[Km Anterior]])</f>
        <v>0</v>
      </c>
      <c r="AM17" s="20">
        <f>IFERROR((VLOOKUP(Tabla13[[#This Row],[ID]],[1]!Mtto_Pesv[[#Headers],[#Data],[Placa]:[Rutina]],4,FALSE)),0)</f>
        <v>0</v>
      </c>
      <c r="AN17" s="21">
        <f>IFERROR((VLOOKUP(Tabla13[[#This Row],[ID]],[1]!Mtto_Pesv[[#Headers],[#Data],[Placa]:[Rutina]],5,FALSE)),0)</f>
        <v>0</v>
      </c>
      <c r="AO17" s="21">
        <f>+Tabla13[[#This Row],[Km Fin]]-Tabla13[[#This Row],[Km Ini]]</f>
        <v>0</v>
      </c>
      <c r="AP17" s="20">
        <f>IFERROR((VLOOKUP(Tabla13[[#This Row],[ID]],[1]!Estilo_Conduccion[[#All],[Placa]:[Puntuacion]],15,FALSE)),0)</f>
        <v>0</v>
      </c>
      <c r="AQ17" s="15" t="s">
        <v>1072</v>
      </c>
      <c r="AR17" s="15" t="s">
        <v>1073</v>
      </c>
      <c r="AS17" s="20">
        <v>280</v>
      </c>
      <c r="AT17" s="21">
        <v>3080.8846153846152</v>
      </c>
      <c r="AU17" s="21">
        <f>(Tabla13[[#This Row],[Cap Vh]]*$AX$2)*0.56</f>
        <v>0</v>
      </c>
      <c r="AV17" s="36" t="e">
        <f>(Tabla13[[#This Row],[Cap Util (kg)]]/(Tabla13[[#This Row],[Cap Inst (Kg)]]))</f>
        <v>#DIV/0!</v>
      </c>
    </row>
    <row r="18" spans="1:48" x14ac:dyDescent="0.25">
      <c r="A18" s="13" t="s">
        <v>1068</v>
      </c>
      <c r="B18" s="14" t="s">
        <v>83</v>
      </c>
      <c r="C18" s="14" t="s">
        <v>44</v>
      </c>
      <c r="D18" s="14" t="s">
        <v>44</v>
      </c>
      <c r="E18" s="14" t="s">
        <v>60</v>
      </c>
      <c r="F18" s="14" t="s">
        <v>46</v>
      </c>
      <c r="G18" s="15" t="s">
        <v>47</v>
      </c>
      <c r="H18" s="16" t="s">
        <v>48</v>
      </c>
      <c r="I18" s="14" t="s">
        <v>49</v>
      </c>
      <c r="J18" s="14">
        <v>830064700</v>
      </c>
      <c r="K18" s="14" t="s">
        <v>50</v>
      </c>
      <c r="L18" s="14" t="s">
        <v>51</v>
      </c>
      <c r="M18" s="14" t="s">
        <v>52</v>
      </c>
      <c r="N18" s="14">
        <v>2015</v>
      </c>
      <c r="O18" s="14">
        <v>5</v>
      </c>
      <c r="P18" s="14" t="s">
        <v>53</v>
      </c>
      <c r="Q18" s="14">
        <v>0</v>
      </c>
      <c r="R18" s="14">
        <v>0</v>
      </c>
      <c r="S18" s="17" t="s">
        <v>54</v>
      </c>
      <c r="T18" s="18">
        <v>0</v>
      </c>
      <c r="U18" s="14">
        <v>0</v>
      </c>
      <c r="V18" s="19">
        <v>0</v>
      </c>
      <c r="W18" s="14">
        <v>0</v>
      </c>
      <c r="X18" s="14">
        <v>0</v>
      </c>
      <c r="Y18" s="14">
        <v>0</v>
      </c>
      <c r="Z18" s="14">
        <v>0</v>
      </c>
      <c r="AA18" s="14">
        <f>Tabla13[[#This Row],[CheckList App]]+Tabla13[[#This Row],[CheckList Fisc]]</f>
        <v>0</v>
      </c>
      <c r="AB18" s="19" t="str">
        <f t="shared" si="0"/>
        <v/>
      </c>
      <c r="AC18" s="14">
        <v>0</v>
      </c>
      <c r="AD18" s="14" t="s">
        <v>55</v>
      </c>
      <c r="AE18" s="15" t="str">
        <f>IFERROR((VLOOKUP(Tabla13[[#This Row],[ID]],[1]!Mtto_Pesv[[#Headers],[#Data],[Placa]:[Rutina]],2,FALSE)),"-")</f>
        <v>-</v>
      </c>
      <c r="AF18" s="14">
        <v>0</v>
      </c>
      <c r="AG18" s="20">
        <f>IFERROR((VLOOKUP(Tabla13[[#This Row],[ID]],[1]!Mtto_Pesv[[#Headers],[#Data],[Placa]:[Rutina]],3,FALSE)),0)</f>
        <v>0</v>
      </c>
      <c r="AH18" s="20">
        <f>IFERROR((VLOOKUP(Tabla13[[#This Row],[ID]],[1]!Mtto_Pesv[[#Headers],[#Data],[Placa]:[Rutina]],7,FALSE)),0)</f>
        <v>0</v>
      </c>
      <c r="AI18" s="20">
        <f>IFERROR((VLOOKUP(Tabla13[[#This Row],[ID]],[1]!Mtto_Pesv[[#Headers],[#Data],[Placa]:[Rutina]],8,FALSE)),0)</f>
        <v>0</v>
      </c>
      <c r="AJ18" s="20" t="str">
        <f>IFERROR((VLOOKUP(Tabla13[[#This Row],[ID]],[1]!Mtto_Pesv[[#Headers],[#Data],[Placa]:[Rutina]],9,FALSE)),"-")</f>
        <v>-</v>
      </c>
      <c r="AK18" s="20">
        <f>IFERROR((VLOOKUP(Tabla13[[#This Row],[ID]],[1]!Mtto_Pesv[[#Headers],[#Data],[Placa]:[Rutina]],10,FALSE)),0)</f>
        <v>0</v>
      </c>
      <c r="AL18" s="20">
        <f>IF(Tabla13[[#This Row],[Km Anterior]]=0,0,Tabla13[[#This Row],[Km Ejecut]]-Tabla13[[#This Row],[Km Anterior]])</f>
        <v>0</v>
      </c>
      <c r="AM18" s="20">
        <f>IFERROR((VLOOKUP(Tabla13[[#This Row],[ID]],[1]!Mtto_Pesv[[#Headers],[#Data],[Placa]:[Rutina]],4,FALSE)),0)</f>
        <v>0</v>
      </c>
      <c r="AN18" s="21">
        <f>IFERROR((VLOOKUP(Tabla13[[#This Row],[ID]],[1]!Mtto_Pesv[[#Headers],[#Data],[Placa]:[Rutina]],5,FALSE)),0)</f>
        <v>0</v>
      </c>
      <c r="AO18" s="21">
        <f>+Tabla13[[#This Row],[Km Fin]]-Tabla13[[#This Row],[Km Ini]]</f>
        <v>0</v>
      </c>
      <c r="AP18" s="20">
        <f>IFERROR((VLOOKUP(Tabla13[[#This Row],[ID]],[1]!Estilo_Conduccion[[#All],[Placa]:[Puntuacion]],15,FALSE)),0)</f>
        <v>0</v>
      </c>
      <c r="AQ18" s="15" t="s">
        <v>1072</v>
      </c>
      <c r="AR18" s="15" t="s">
        <v>1073</v>
      </c>
      <c r="AS18" s="20">
        <v>280</v>
      </c>
      <c r="AT18" s="21">
        <v>3080.8846153846152</v>
      </c>
      <c r="AU18" s="21">
        <f>(Tabla13[[#This Row],[Cap Vh]]*$AX$2)*0.56</f>
        <v>0</v>
      </c>
      <c r="AV18" s="36" t="e">
        <f>(Tabla13[[#This Row],[Cap Util (kg)]]/(Tabla13[[#This Row],[Cap Inst (Kg)]]))</f>
        <v>#DIV/0!</v>
      </c>
    </row>
    <row r="19" spans="1:48" x14ac:dyDescent="0.25">
      <c r="A19" s="13" t="s">
        <v>1068</v>
      </c>
      <c r="B19" s="14" t="s">
        <v>84</v>
      </c>
      <c r="C19" s="14" t="s">
        <v>44</v>
      </c>
      <c r="D19" s="14" t="s">
        <v>44</v>
      </c>
      <c r="E19" s="14" t="s">
        <v>85</v>
      </c>
      <c r="F19" s="14" t="s">
        <v>46</v>
      </c>
      <c r="G19" s="15" t="s">
        <v>47</v>
      </c>
      <c r="H19" s="16" t="s">
        <v>48</v>
      </c>
      <c r="I19" s="14" t="s">
        <v>49</v>
      </c>
      <c r="J19" s="14">
        <v>830064700</v>
      </c>
      <c r="K19" s="14" t="s">
        <v>50</v>
      </c>
      <c r="L19" s="14" t="s">
        <v>51</v>
      </c>
      <c r="M19" s="14" t="s">
        <v>52</v>
      </c>
      <c r="N19" s="14">
        <v>2015</v>
      </c>
      <c r="O19" s="14">
        <v>5</v>
      </c>
      <c r="P19" s="14" t="s">
        <v>53</v>
      </c>
      <c r="Q19" s="14">
        <v>0</v>
      </c>
      <c r="R19" s="14">
        <v>0</v>
      </c>
      <c r="S19" s="17" t="s">
        <v>54</v>
      </c>
      <c r="T19" s="18">
        <v>0</v>
      </c>
      <c r="U19" s="14">
        <v>0</v>
      </c>
      <c r="V19" s="19">
        <v>0</v>
      </c>
      <c r="W19" s="14">
        <v>0</v>
      </c>
      <c r="X19" s="14">
        <v>0</v>
      </c>
      <c r="Y19" s="14">
        <v>0</v>
      </c>
      <c r="Z19" s="14">
        <v>0</v>
      </c>
      <c r="AA19" s="14">
        <f>Tabla13[[#This Row],[CheckList App]]+Tabla13[[#This Row],[CheckList Fisc]]</f>
        <v>0</v>
      </c>
      <c r="AB19" s="19" t="str">
        <f t="shared" si="0"/>
        <v/>
      </c>
      <c r="AC19" s="14">
        <v>0</v>
      </c>
      <c r="AD19" s="14" t="s">
        <v>55</v>
      </c>
      <c r="AE19" s="15" t="str">
        <f>IFERROR((VLOOKUP(Tabla13[[#This Row],[ID]],[1]!Mtto_Pesv[[#Headers],[#Data],[Placa]:[Rutina]],2,FALSE)),"-")</f>
        <v>-</v>
      </c>
      <c r="AF19" s="14">
        <v>0</v>
      </c>
      <c r="AG19" s="20">
        <f>IFERROR((VLOOKUP(Tabla13[[#This Row],[ID]],[1]!Mtto_Pesv[[#Headers],[#Data],[Placa]:[Rutina]],3,FALSE)),0)</f>
        <v>0</v>
      </c>
      <c r="AH19" s="20">
        <f>IFERROR((VLOOKUP(Tabla13[[#This Row],[ID]],[1]!Mtto_Pesv[[#Headers],[#Data],[Placa]:[Rutina]],7,FALSE)),0)</f>
        <v>0</v>
      </c>
      <c r="AI19" s="20">
        <f>IFERROR((VLOOKUP(Tabla13[[#This Row],[ID]],[1]!Mtto_Pesv[[#Headers],[#Data],[Placa]:[Rutina]],8,FALSE)),0)</f>
        <v>0</v>
      </c>
      <c r="AJ19" s="20" t="str">
        <f>IFERROR((VLOOKUP(Tabla13[[#This Row],[ID]],[1]!Mtto_Pesv[[#Headers],[#Data],[Placa]:[Rutina]],9,FALSE)),"-")</f>
        <v>-</v>
      </c>
      <c r="AK19" s="20">
        <f>IFERROR((VLOOKUP(Tabla13[[#This Row],[ID]],[1]!Mtto_Pesv[[#Headers],[#Data],[Placa]:[Rutina]],10,FALSE)),0)</f>
        <v>0</v>
      </c>
      <c r="AL19" s="20">
        <f>IF(Tabla13[[#This Row],[Km Anterior]]=0,0,Tabla13[[#This Row],[Km Ejecut]]-Tabla13[[#This Row],[Km Anterior]])</f>
        <v>0</v>
      </c>
      <c r="AM19" s="20">
        <f>IFERROR((VLOOKUP(Tabla13[[#This Row],[ID]],[1]!Mtto_Pesv[[#Headers],[#Data],[Placa]:[Rutina]],4,FALSE)),0)</f>
        <v>0</v>
      </c>
      <c r="AN19" s="21">
        <f>IFERROR((VLOOKUP(Tabla13[[#This Row],[ID]],[1]!Mtto_Pesv[[#Headers],[#Data],[Placa]:[Rutina]],5,FALSE)),0)</f>
        <v>0</v>
      </c>
      <c r="AO19" s="21">
        <f>+Tabla13[[#This Row],[Km Fin]]-Tabla13[[#This Row],[Km Ini]]</f>
        <v>0</v>
      </c>
      <c r="AP19" s="20">
        <f>IFERROR((VLOOKUP(Tabla13[[#This Row],[ID]],[1]!Estilo_Conduccion[[#All],[Placa]:[Puntuacion]],15,FALSE)),0)</f>
        <v>0</v>
      </c>
      <c r="AQ19" s="15" t="s">
        <v>1069</v>
      </c>
      <c r="AR19" s="15" t="s">
        <v>86</v>
      </c>
      <c r="AS19" s="20">
        <v>280</v>
      </c>
      <c r="AT19" s="21">
        <v>0</v>
      </c>
      <c r="AU19" s="21">
        <f>(Tabla13[[#This Row],[Cap Vh]]*$AX$2)*0.56</f>
        <v>0</v>
      </c>
      <c r="AV19" s="36" t="e">
        <f>(Tabla13[[#This Row],[Cap Util (kg)]]/(Tabla13[[#This Row],[Cap Inst (Kg)]]))</f>
        <v>#DIV/0!</v>
      </c>
    </row>
    <row r="20" spans="1:48" x14ac:dyDescent="0.25">
      <c r="A20" s="13" t="s">
        <v>1068</v>
      </c>
      <c r="B20" s="14" t="s">
        <v>87</v>
      </c>
      <c r="C20" s="14" t="s">
        <v>44</v>
      </c>
      <c r="D20" s="14" t="s">
        <v>44</v>
      </c>
      <c r="E20" s="14" t="s">
        <v>60</v>
      </c>
      <c r="F20" s="14" t="s">
        <v>46</v>
      </c>
      <c r="G20" s="15" t="s">
        <v>47</v>
      </c>
      <c r="H20" s="16" t="s">
        <v>48</v>
      </c>
      <c r="I20" s="14" t="s">
        <v>49</v>
      </c>
      <c r="J20" s="14">
        <v>830064700</v>
      </c>
      <c r="K20" s="14" t="s">
        <v>50</v>
      </c>
      <c r="L20" s="14" t="s">
        <v>51</v>
      </c>
      <c r="M20" s="14" t="s">
        <v>52</v>
      </c>
      <c r="N20" s="14">
        <v>2015</v>
      </c>
      <c r="O20" s="14">
        <v>5</v>
      </c>
      <c r="P20" s="14" t="s">
        <v>53</v>
      </c>
      <c r="Q20" s="14">
        <v>0</v>
      </c>
      <c r="R20" s="14">
        <v>0</v>
      </c>
      <c r="S20" s="17" t="s">
        <v>54</v>
      </c>
      <c r="T20" s="18">
        <v>0</v>
      </c>
      <c r="U20" s="14">
        <v>0</v>
      </c>
      <c r="V20" s="19">
        <v>0</v>
      </c>
      <c r="W20" s="14">
        <v>0</v>
      </c>
      <c r="X20" s="14">
        <v>0</v>
      </c>
      <c r="Y20" s="14">
        <v>0</v>
      </c>
      <c r="Z20" s="14">
        <v>0</v>
      </c>
      <c r="AA20" s="14">
        <f>Tabla13[[#This Row],[CheckList App]]+Tabla13[[#This Row],[CheckList Fisc]]</f>
        <v>0</v>
      </c>
      <c r="AB20" s="19" t="str">
        <f t="shared" si="0"/>
        <v/>
      </c>
      <c r="AC20" s="14">
        <v>0</v>
      </c>
      <c r="AD20" s="14" t="s">
        <v>55</v>
      </c>
      <c r="AE20" s="15" t="str">
        <f>IFERROR((VLOOKUP(Tabla13[[#This Row],[ID]],[1]!Mtto_Pesv[[#Headers],[#Data],[Placa]:[Rutina]],2,FALSE)),"-")</f>
        <v>-</v>
      </c>
      <c r="AF20" s="14">
        <v>0</v>
      </c>
      <c r="AG20" s="20">
        <f>IFERROR((VLOOKUP(Tabla13[[#This Row],[ID]],[1]!Mtto_Pesv[[#Headers],[#Data],[Placa]:[Rutina]],3,FALSE)),0)</f>
        <v>0</v>
      </c>
      <c r="AH20" s="20">
        <f>IFERROR((VLOOKUP(Tabla13[[#This Row],[ID]],[1]!Mtto_Pesv[[#Headers],[#Data],[Placa]:[Rutina]],7,FALSE)),0)</f>
        <v>0</v>
      </c>
      <c r="AI20" s="20">
        <f>IFERROR((VLOOKUP(Tabla13[[#This Row],[ID]],[1]!Mtto_Pesv[[#Headers],[#Data],[Placa]:[Rutina]],8,FALSE)),0)</f>
        <v>0</v>
      </c>
      <c r="AJ20" s="20" t="str">
        <f>IFERROR((VLOOKUP(Tabla13[[#This Row],[ID]],[1]!Mtto_Pesv[[#Headers],[#Data],[Placa]:[Rutina]],9,FALSE)),"-")</f>
        <v>-</v>
      </c>
      <c r="AK20" s="20">
        <f>IFERROR((VLOOKUP(Tabla13[[#This Row],[ID]],[1]!Mtto_Pesv[[#Headers],[#Data],[Placa]:[Rutina]],10,FALSE)),0)</f>
        <v>0</v>
      </c>
      <c r="AL20" s="20">
        <f>IF(Tabla13[[#This Row],[Km Anterior]]=0,0,Tabla13[[#This Row],[Km Ejecut]]-Tabla13[[#This Row],[Km Anterior]])</f>
        <v>0</v>
      </c>
      <c r="AM20" s="20">
        <f>IFERROR((VLOOKUP(Tabla13[[#This Row],[ID]],[1]!Mtto_Pesv[[#Headers],[#Data],[Placa]:[Rutina]],4,FALSE)),0)</f>
        <v>0</v>
      </c>
      <c r="AN20" s="21">
        <f>IFERROR((VLOOKUP(Tabla13[[#This Row],[ID]],[1]!Mtto_Pesv[[#Headers],[#Data],[Placa]:[Rutina]],5,FALSE)),0)</f>
        <v>0</v>
      </c>
      <c r="AO20" s="21">
        <f>+Tabla13[[#This Row],[Km Fin]]-Tabla13[[#This Row],[Km Ini]]</f>
        <v>0</v>
      </c>
      <c r="AP20" s="20">
        <f>IFERROR((VLOOKUP(Tabla13[[#This Row],[ID]],[1]!Estilo_Conduccion[[#All],[Placa]:[Puntuacion]],15,FALSE)),0)</f>
        <v>0</v>
      </c>
      <c r="AQ20" s="15" t="s">
        <v>1072</v>
      </c>
      <c r="AR20" s="15" t="s">
        <v>1073</v>
      </c>
      <c r="AS20" s="20">
        <v>280</v>
      </c>
      <c r="AT20" s="21">
        <v>3080.8846153846152</v>
      </c>
      <c r="AU20" s="21">
        <f>(Tabla13[[#This Row],[Cap Vh]]*$AX$2)*0.56</f>
        <v>0</v>
      </c>
      <c r="AV20" s="36" t="e">
        <f>(Tabla13[[#This Row],[Cap Util (kg)]]/(Tabla13[[#This Row],[Cap Inst (Kg)]]))</f>
        <v>#DIV/0!</v>
      </c>
    </row>
    <row r="21" spans="1:48" x14ac:dyDescent="0.25">
      <c r="A21" s="13" t="s">
        <v>1068</v>
      </c>
      <c r="B21" s="14" t="s">
        <v>88</v>
      </c>
      <c r="C21" s="14" t="s">
        <v>44</v>
      </c>
      <c r="D21" s="14" t="s">
        <v>44</v>
      </c>
      <c r="E21" s="14" t="s">
        <v>58</v>
      </c>
      <c r="F21" s="14" t="s">
        <v>76</v>
      </c>
      <c r="G21" s="15" t="s">
        <v>89</v>
      </c>
      <c r="H21" s="16" t="s">
        <v>90</v>
      </c>
      <c r="I21" s="14" t="s">
        <v>49</v>
      </c>
      <c r="J21" s="14">
        <v>830064700</v>
      </c>
      <c r="K21" s="14" t="s">
        <v>50</v>
      </c>
      <c r="L21" s="14" t="s">
        <v>51</v>
      </c>
      <c r="M21" s="14" t="s">
        <v>52</v>
      </c>
      <c r="N21" s="14">
        <v>2015</v>
      </c>
      <c r="O21" s="14">
        <v>5</v>
      </c>
      <c r="P21" s="14" t="s">
        <v>53</v>
      </c>
      <c r="Q21" s="14">
        <v>0</v>
      </c>
      <c r="R21" s="14">
        <v>0</v>
      </c>
      <c r="S21" s="17" t="s">
        <v>54</v>
      </c>
      <c r="T21" s="18">
        <v>0</v>
      </c>
      <c r="U21" s="14">
        <v>0</v>
      </c>
      <c r="V21" s="19">
        <v>0</v>
      </c>
      <c r="W21" s="14">
        <v>0</v>
      </c>
      <c r="X21" s="14">
        <v>0</v>
      </c>
      <c r="Y21" s="14">
        <v>0</v>
      </c>
      <c r="Z21" s="14">
        <v>0</v>
      </c>
      <c r="AA21" s="14">
        <f>Tabla13[[#This Row],[CheckList App]]+Tabla13[[#This Row],[CheckList Fisc]]</f>
        <v>0</v>
      </c>
      <c r="AB21" s="19" t="str">
        <f t="shared" si="0"/>
        <v/>
      </c>
      <c r="AC21" s="14">
        <v>0</v>
      </c>
      <c r="AD21" s="14" t="s">
        <v>55</v>
      </c>
      <c r="AE21" s="15" t="str">
        <f>IFERROR((VLOOKUP(Tabla13[[#This Row],[ID]],[1]!Mtto_Pesv[[#Headers],[#Data],[Placa]:[Rutina]],2,FALSE)),"-")</f>
        <v>-</v>
      </c>
      <c r="AF21" s="14">
        <v>0</v>
      </c>
      <c r="AG21" s="20">
        <f>IFERROR((VLOOKUP(Tabla13[[#This Row],[ID]],[1]!Mtto_Pesv[[#Headers],[#Data],[Placa]:[Rutina]],3,FALSE)),0)</f>
        <v>0</v>
      </c>
      <c r="AH21" s="20">
        <f>IFERROR((VLOOKUP(Tabla13[[#This Row],[ID]],[1]!Mtto_Pesv[[#Headers],[#Data],[Placa]:[Rutina]],7,FALSE)),0)</f>
        <v>0</v>
      </c>
      <c r="AI21" s="20">
        <f>IFERROR((VLOOKUP(Tabla13[[#This Row],[ID]],[1]!Mtto_Pesv[[#Headers],[#Data],[Placa]:[Rutina]],8,FALSE)),0)</f>
        <v>0</v>
      </c>
      <c r="AJ21" s="20" t="str">
        <f>IFERROR((VLOOKUP(Tabla13[[#This Row],[ID]],[1]!Mtto_Pesv[[#Headers],[#Data],[Placa]:[Rutina]],9,FALSE)),"-")</f>
        <v>-</v>
      </c>
      <c r="AK21" s="20">
        <f>IFERROR((VLOOKUP(Tabla13[[#This Row],[ID]],[1]!Mtto_Pesv[[#Headers],[#Data],[Placa]:[Rutina]],10,FALSE)),0)</f>
        <v>0</v>
      </c>
      <c r="AL21" s="20">
        <f>IF(Tabla13[[#This Row],[Km Anterior]]=0,0,Tabla13[[#This Row],[Km Ejecut]]-Tabla13[[#This Row],[Km Anterior]])</f>
        <v>0</v>
      </c>
      <c r="AM21" s="20">
        <f>IFERROR((VLOOKUP(Tabla13[[#This Row],[ID]],[1]!Mtto_Pesv[[#Headers],[#Data],[Placa]:[Rutina]],4,FALSE)),0)</f>
        <v>0</v>
      </c>
      <c r="AN21" s="21">
        <f>IFERROR((VLOOKUP(Tabla13[[#This Row],[ID]],[1]!Mtto_Pesv[[#Headers],[#Data],[Placa]:[Rutina]],5,FALSE)),0)</f>
        <v>0</v>
      </c>
      <c r="AO21" s="21">
        <f>+Tabla13[[#This Row],[Km Fin]]-Tabla13[[#This Row],[Km Ini]]</f>
        <v>0</v>
      </c>
      <c r="AP21" s="20">
        <f>IFERROR((VLOOKUP(Tabla13[[#This Row],[ID]],[1]!Estilo_Conduccion[[#All],[Placa]:[Puntuacion]],15,FALSE)),0)</f>
        <v>0</v>
      </c>
      <c r="AQ21" s="15" t="s">
        <v>1080</v>
      </c>
      <c r="AR21" s="15" t="s">
        <v>1081</v>
      </c>
      <c r="AS21" s="20">
        <v>280</v>
      </c>
      <c r="AT21" s="21">
        <v>8535</v>
      </c>
      <c r="AU21" s="21">
        <f>(Tabla13[[#This Row],[Cap Vh]]*$AX$2)*0.56</f>
        <v>0</v>
      </c>
      <c r="AV21" s="36" t="e">
        <f>(Tabla13[[#This Row],[Cap Util (kg)]]/(Tabla13[[#This Row],[Cap Inst (Kg)]]))</f>
        <v>#DIV/0!</v>
      </c>
    </row>
    <row r="22" spans="1:48" x14ac:dyDescent="0.25">
      <c r="A22" s="13" t="s">
        <v>1068</v>
      </c>
      <c r="B22" s="14" t="s">
        <v>91</v>
      </c>
      <c r="C22" s="14" t="s">
        <v>44</v>
      </c>
      <c r="D22" s="14" t="s">
        <v>44</v>
      </c>
      <c r="E22" s="14" t="s">
        <v>63</v>
      </c>
      <c r="F22" s="14" t="s">
        <v>46</v>
      </c>
      <c r="G22" s="15" t="s">
        <v>47</v>
      </c>
      <c r="H22" s="16" t="s">
        <v>48</v>
      </c>
      <c r="I22" s="14" t="s">
        <v>49</v>
      </c>
      <c r="J22" s="14">
        <v>830064700</v>
      </c>
      <c r="K22" s="14" t="s">
        <v>50</v>
      </c>
      <c r="L22" s="14" t="s">
        <v>51</v>
      </c>
      <c r="M22" s="14" t="s">
        <v>52</v>
      </c>
      <c r="N22" s="14">
        <v>2015</v>
      </c>
      <c r="O22" s="14">
        <v>5</v>
      </c>
      <c r="P22" s="14" t="s">
        <v>53</v>
      </c>
      <c r="Q22" s="14">
        <v>0</v>
      </c>
      <c r="R22" s="14">
        <v>0</v>
      </c>
      <c r="S22" s="17" t="s">
        <v>54</v>
      </c>
      <c r="T22" s="18">
        <v>0</v>
      </c>
      <c r="U22" s="14">
        <v>0</v>
      </c>
      <c r="V22" s="19">
        <v>0</v>
      </c>
      <c r="W22" s="14">
        <v>0</v>
      </c>
      <c r="X22" s="14">
        <v>0</v>
      </c>
      <c r="Y22" s="14">
        <v>0</v>
      </c>
      <c r="Z22" s="14">
        <v>0</v>
      </c>
      <c r="AA22" s="14">
        <f>Tabla13[[#This Row],[CheckList App]]+Tabla13[[#This Row],[CheckList Fisc]]</f>
        <v>0</v>
      </c>
      <c r="AB22" s="19" t="str">
        <f t="shared" si="0"/>
        <v/>
      </c>
      <c r="AC22" s="14">
        <v>0</v>
      </c>
      <c r="AD22" s="14" t="s">
        <v>55</v>
      </c>
      <c r="AE22" s="15" t="str">
        <f>IFERROR((VLOOKUP(Tabla13[[#This Row],[ID]],[1]!Mtto_Pesv[[#Headers],[#Data],[Placa]:[Rutina]],2,FALSE)),"-")</f>
        <v>-</v>
      </c>
      <c r="AF22" s="14">
        <v>0</v>
      </c>
      <c r="AG22" s="20">
        <f>IFERROR((VLOOKUP(Tabla13[[#This Row],[ID]],[1]!Mtto_Pesv[[#Headers],[#Data],[Placa]:[Rutina]],3,FALSE)),0)</f>
        <v>0</v>
      </c>
      <c r="AH22" s="20">
        <f>IFERROR((VLOOKUP(Tabla13[[#This Row],[ID]],[1]!Mtto_Pesv[[#Headers],[#Data],[Placa]:[Rutina]],7,FALSE)),0)</f>
        <v>0</v>
      </c>
      <c r="AI22" s="20">
        <f>IFERROR((VLOOKUP(Tabla13[[#This Row],[ID]],[1]!Mtto_Pesv[[#Headers],[#Data],[Placa]:[Rutina]],8,FALSE)),0)</f>
        <v>0</v>
      </c>
      <c r="AJ22" s="20" t="str">
        <f>IFERROR((VLOOKUP(Tabla13[[#This Row],[ID]],[1]!Mtto_Pesv[[#Headers],[#Data],[Placa]:[Rutina]],9,FALSE)),"-")</f>
        <v>-</v>
      </c>
      <c r="AK22" s="20">
        <f>IFERROR((VLOOKUP(Tabla13[[#This Row],[ID]],[1]!Mtto_Pesv[[#Headers],[#Data],[Placa]:[Rutina]],10,FALSE)),0)</f>
        <v>0</v>
      </c>
      <c r="AL22" s="20">
        <f>IF(Tabla13[[#This Row],[Km Anterior]]=0,0,Tabla13[[#This Row],[Km Ejecut]]-Tabla13[[#This Row],[Km Anterior]])</f>
        <v>0</v>
      </c>
      <c r="AM22" s="20">
        <f>IFERROR((VLOOKUP(Tabla13[[#This Row],[ID]],[1]!Mtto_Pesv[[#Headers],[#Data],[Placa]:[Rutina]],4,FALSE)),0)</f>
        <v>0</v>
      </c>
      <c r="AN22" s="21">
        <f>IFERROR((VLOOKUP(Tabla13[[#This Row],[ID]],[1]!Mtto_Pesv[[#Headers],[#Data],[Placa]:[Rutina]],5,FALSE)),0)</f>
        <v>0</v>
      </c>
      <c r="AO22" s="21">
        <f>+Tabla13[[#This Row],[Km Fin]]-Tabla13[[#This Row],[Km Ini]]</f>
        <v>0</v>
      </c>
      <c r="AP22" s="20">
        <f>IFERROR((VLOOKUP(Tabla13[[#This Row],[ID]],[1]!Estilo_Conduccion[[#All],[Placa]:[Puntuacion]],15,FALSE)),0)</f>
        <v>0</v>
      </c>
      <c r="AQ22" s="15" t="s">
        <v>54</v>
      </c>
      <c r="AR22" s="15" t="s">
        <v>54</v>
      </c>
      <c r="AS22" s="20">
        <v>280</v>
      </c>
      <c r="AT22" s="21">
        <v>0</v>
      </c>
      <c r="AU22" s="21">
        <f>(Tabla13[[#This Row],[Cap Vh]]*$AX$2)*0.56</f>
        <v>0</v>
      </c>
      <c r="AV22" s="36" t="e">
        <f>(Tabla13[[#This Row],[Cap Util (kg)]]/(Tabla13[[#This Row],[Cap Inst (Kg)]]))</f>
        <v>#DIV/0!</v>
      </c>
    </row>
    <row r="23" spans="1:48" x14ac:dyDescent="0.25">
      <c r="A23" s="13" t="s">
        <v>1068</v>
      </c>
      <c r="B23" s="14" t="s">
        <v>93</v>
      </c>
      <c r="C23" s="14" t="s">
        <v>44</v>
      </c>
      <c r="D23" s="14" t="s">
        <v>44</v>
      </c>
      <c r="E23" s="14" t="s">
        <v>60</v>
      </c>
      <c r="F23" s="14" t="s">
        <v>46</v>
      </c>
      <c r="G23" s="15" t="s">
        <v>47</v>
      </c>
      <c r="H23" s="16" t="s">
        <v>48</v>
      </c>
      <c r="I23" s="14" t="s">
        <v>49</v>
      </c>
      <c r="J23" s="14">
        <v>830064700</v>
      </c>
      <c r="K23" s="14" t="s">
        <v>50</v>
      </c>
      <c r="L23" s="14" t="s">
        <v>51</v>
      </c>
      <c r="M23" s="14" t="s">
        <v>52</v>
      </c>
      <c r="N23" s="14">
        <v>2015</v>
      </c>
      <c r="O23" s="14">
        <v>5</v>
      </c>
      <c r="P23" s="14" t="s">
        <v>53</v>
      </c>
      <c r="Q23" s="14">
        <v>0</v>
      </c>
      <c r="R23" s="14">
        <v>0</v>
      </c>
      <c r="S23" s="17" t="s">
        <v>54</v>
      </c>
      <c r="T23" s="18">
        <v>0</v>
      </c>
      <c r="U23" s="14">
        <v>0</v>
      </c>
      <c r="V23" s="19">
        <v>0</v>
      </c>
      <c r="W23" s="14">
        <v>0</v>
      </c>
      <c r="X23" s="14">
        <v>0</v>
      </c>
      <c r="Y23" s="14">
        <v>0</v>
      </c>
      <c r="Z23" s="14">
        <v>0</v>
      </c>
      <c r="AA23" s="14">
        <f>Tabla13[[#This Row],[CheckList App]]+Tabla13[[#This Row],[CheckList Fisc]]</f>
        <v>0</v>
      </c>
      <c r="AB23" s="19" t="str">
        <f t="shared" si="0"/>
        <v/>
      </c>
      <c r="AC23" s="14">
        <v>0</v>
      </c>
      <c r="AD23" s="14" t="s">
        <v>55</v>
      </c>
      <c r="AE23" s="15" t="str">
        <f>IFERROR((VLOOKUP(Tabla13[[#This Row],[ID]],[1]!Mtto_Pesv[[#Headers],[#Data],[Placa]:[Rutina]],2,FALSE)),"-")</f>
        <v>-</v>
      </c>
      <c r="AF23" s="14">
        <v>0</v>
      </c>
      <c r="AG23" s="20">
        <f>IFERROR((VLOOKUP(Tabla13[[#This Row],[ID]],[1]!Mtto_Pesv[[#Headers],[#Data],[Placa]:[Rutina]],3,FALSE)),0)</f>
        <v>0</v>
      </c>
      <c r="AH23" s="20">
        <f>IFERROR((VLOOKUP(Tabla13[[#This Row],[ID]],[1]!Mtto_Pesv[[#Headers],[#Data],[Placa]:[Rutina]],7,FALSE)),0)</f>
        <v>0</v>
      </c>
      <c r="AI23" s="20">
        <f>IFERROR((VLOOKUP(Tabla13[[#This Row],[ID]],[1]!Mtto_Pesv[[#Headers],[#Data],[Placa]:[Rutina]],8,FALSE)),0)</f>
        <v>0</v>
      </c>
      <c r="AJ23" s="20" t="str">
        <f>IFERROR((VLOOKUP(Tabla13[[#This Row],[ID]],[1]!Mtto_Pesv[[#Headers],[#Data],[Placa]:[Rutina]],9,FALSE)),"-")</f>
        <v>-</v>
      </c>
      <c r="AK23" s="20">
        <f>IFERROR((VLOOKUP(Tabla13[[#This Row],[ID]],[1]!Mtto_Pesv[[#Headers],[#Data],[Placa]:[Rutina]],10,FALSE)),0)</f>
        <v>0</v>
      </c>
      <c r="AL23" s="20">
        <f>IF(Tabla13[[#This Row],[Km Anterior]]=0,0,Tabla13[[#This Row],[Km Ejecut]]-Tabla13[[#This Row],[Km Anterior]])</f>
        <v>0</v>
      </c>
      <c r="AM23" s="20">
        <f>IFERROR((VLOOKUP(Tabla13[[#This Row],[ID]],[1]!Mtto_Pesv[[#Headers],[#Data],[Placa]:[Rutina]],4,FALSE)),0)</f>
        <v>0</v>
      </c>
      <c r="AN23" s="21">
        <f>IFERROR((VLOOKUP(Tabla13[[#This Row],[ID]],[1]!Mtto_Pesv[[#Headers],[#Data],[Placa]:[Rutina]],5,FALSE)),0)</f>
        <v>0</v>
      </c>
      <c r="AO23" s="21">
        <f>+Tabla13[[#This Row],[Km Fin]]-Tabla13[[#This Row],[Km Ini]]</f>
        <v>0</v>
      </c>
      <c r="AP23" s="20">
        <f>IFERROR((VLOOKUP(Tabla13[[#This Row],[ID]],[1]!Estilo_Conduccion[[#All],[Placa]:[Puntuacion]],15,FALSE)),0)</f>
        <v>0</v>
      </c>
      <c r="AQ23" s="15" t="s">
        <v>1072</v>
      </c>
      <c r="AR23" s="15" t="s">
        <v>1073</v>
      </c>
      <c r="AS23" s="20">
        <v>280</v>
      </c>
      <c r="AT23" s="21">
        <v>3080.8846153846152</v>
      </c>
      <c r="AU23" s="21">
        <f>(Tabla13[[#This Row],[Cap Vh]]*$AX$2)*0.56</f>
        <v>0</v>
      </c>
      <c r="AV23" s="36" t="e">
        <f>(Tabla13[[#This Row],[Cap Util (kg)]]/(Tabla13[[#This Row],[Cap Inst (Kg)]]))</f>
        <v>#DIV/0!</v>
      </c>
    </row>
    <row r="24" spans="1:48" x14ac:dyDescent="0.25">
      <c r="A24" s="13" t="s">
        <v>1068</v>
      </c>
      <c r="B24" s="14" t="s">
        <v>94</v>
      </c>
      <c r="C24" s="14" t="s">
        <v>44</v>
      </c>
      <c r="D24" s="14" t="s">
        <v>44</v>
      </c>
      <c r="E24" s="14" t="s">
        <v>60</v>
      </c>
      <c r="F24" s="14" t="s">
        <v>46</v>
      </c>
      <c r="G24" s="15" t="s">
        <v>47</v>
      </c>
      <c r="H24" s="16" t="s">
        <v>48</v>
      </c>
      <c r="I24" s="14" t="s">
        <v>49</v>
      </c>
      <c r="J24" s="14">
        <v>830064700</v>
      </c>
      <c r="K24" s="14" t="s">
        <v>50</v>
      </c>
      <c r="L24" s="14" t="s">
        <v>51</v>
      </c>
      <c r="M24" s="14" t="s">
        <v>52</v>
      </c>
      <c r="N24" s="14">
        <v>2015</v>
      </c>
      <c r="O24" s="14">
        <v>5</v>
      </c>
      <c r="P24" s="14" t="s">
        <v>53</v>
      </c>
      <c r="Q24" s="14">
        <v>0</v>
      </c>
      <c r="R24" s="14">
        <v>0</v>
      </c>
      <c r="S24" s="17" t="s">
        <v>54</v>
      </c>
      <c r="T24" s="18">
        <v>0</v>
      </c>
      <c r="U24" s="14">
        <v>0</v>
      </c>
      <c r="V24" s="19">
        <v>0</v>
      </c>
      <c r="W24" s="14">
        <v>0</v>
      </c>
      <c r="X24" s="14">
        <v>0</v>
      </c>
      <c r="Y24" s="14">
        <v>0</v>
      </c>
      <c r="Z24" s="14">
        <v>0</v>
      </c>
      <c r="AA24" s="14">
        <f>Tabla13[[#This Row],[CheckList App]]+Tabla13[[#This Row],[CheckList Fisc]]</f>
        <v>0</v>
      </c>
      <c r="AB24" s="19" t="str">
        <f t="shared" si="0"/>
        <v/>
      </c>
      <c r="AC24" s="14">
        <v>0</v>
      </c>
      <c r="AD24" s="14" t="s">
        <v>55</v>
      </c>
      <c r="AE24" s="15" t="str">
        <f>IFERROR((VLOOKUP(Tabla13[[#This Row],[ID]],[1]!Mtto_Pesv[[#Headers],[#Data],[Placa]:[Rutina]],2,FALSE)),"-")</f>
        <v>-</v>
      </c>
      <c r="AF24" s="14">
        <v>0</v>
      </c>
      <c r="AG24" s="20">
        <f>IFERROR((VLOOKUP(Tabla13[[#This Row],[ID]],[1]!Mtto_Pesv[[#Headers],[#Data],[Placa]:[Rutina]],3,FALSE)),0)</f>
        <v>0</v>
      </c>
      <c r="AH24" s="20">
        <f>IFERROR((VLOOKUP(Tabla13[[#This Row],[ID]],[1]!Mtto_Pesv[[#Headers],[#Data],[Placa]:[Rutina]],7,FALSE)),0)</f>
        <v>0</v>
      </c>
      <c r="AI24" s="20">
        <f>IFERROR((VLOOKUP(Tabla13[[#This Row],[ID]],[1]!Mtto_Pesv[[#Headers],[#Data],[Placa]:[Rutina]],8,FALSE)),0)</f>
        <v>0</v>
      </c>
      <c r="AJ24" s="20" t="str">
        <f>IFERROR((VLOOKUP(Tabla13[[#This Row],[ID]],[1]!Mtto_Pesv[[#Headers],[#Data],[Placa]:[Rutina]],9,FALSE)),"-")</f>
        <v>-</v>
      </c>
      <c r="AK24" s="20">
        <f>IFERROR((VLOOKUP(Tabla13[[#This Row],[ID]],[1]!Mtto_Pesv[[#Headers],[#Data],[Placa]:[Rutina]],10,FALSE)),0)</f>
        <v>0</v>
      </c>
      <c r="AL24" s="20">
        <f>IF(Tabla13[[#This Row],[Km Anterior]]=0,0,Tabla13[[#This Row],[Km Ejecut]]-Tabla13[[#This Row],[Km Anterior]])</f>
        <v>0</v>
      </c>
      <c r="AM24" s="20">
        <f>IFERROR((VLOOKUP(Tabla13[[#This Row],[ID]],[1]!Mtto_Pesv[[#Headers],[#Data],[Placa]:[Rutina]],4,FALSE)),0)</f>
        <v>0</v>
      </c>
      <c r="AN24" s="21">
        <f>IFERROR((VLOOKUP(Tabla13[[#This Row],[ID]],[1]!Mtto_Pesv[[#Headers],[#Data],[Placa]:[Rutina]],5,FALSE)),0)</f>
        <v>0</v>
      </c>
      <c r="AO24" s="21">
        <f>+Tabla13[[#This Row],[Km Fin]]-Tabla13[[#This Row],[Km Ini]]</f>
        <v>0</v>
      </c>
      <c r="AP24" s="20">
        <f>IFERROR((VLOOKUP(Tabla13[[#This Row],[ID]],[1]!Estilo_Conduccion[[#All],[Placa]:[Puntuacion]],15,FALSE)),0)</f>
        <v>0</v>
      </c>
      <c r="AQ24" s="15" t="s">
        <v>1082</v>
      </c>
      <c r="AR24" s="15" t="s">
        <v>1083</v>
      </c>
      <c r="AS24" s="20">
        <v>280</v>
      </c>
      <c r="AT24" s="21">
        <v>2634.1875</v>
      </c>
      <c r="AU24" s="21">
        <f>(Tabla13[[#This Row],[Cap Vh]]*$AX$2)*0.56</f>
        <v>0</v>
      </c>
      <c r="AV24" s="36" t="e">
        <f>(Tabla13[[#This Row],[Cap Util (kg)]]/(Tabla13[[#This Row],[Cap Inst (Kg)]]))</f>
        <v>#DIV/0!</v>
      </c>
    </row>
    <row r="25" spans="1:48" x14ac:dyDescent="0.25">
      <c r="A25" s="13" t="s">
        <v>1068</v>
      </c>
      <c r="B25" s="14" t="s">
        <v>95</v>
      </c>
      <c r="C25" s="14" t="s">
        <v>44</v>
      </c>
      <c r="D25" s="14" t="s">
        <v>44</v>
      </c>
      <c r="E25" s="14" t="s">
        <v>45</v>
      </c>
      <c r="F25" s="14" t="s">
        <v>46</v>
      </c>
      <c r="G25" s="15" t="s">
        <v>47</v>
      </c>
      <c r="H25" s="16" t="s">
        <v>48</v>
      </c>
      <c r="I25" s="14" t="s">
        <v>49</v>
      </c>
      <c r="J25" s="14">
        <v>8300647003</v>
      </c>
      <c r="K25" s="14" t="s">
        <v>50</v>
      </c>
      <c r="L25" s="14" t="s">
        <v>96</v>
      </c>
      <c r="M25" s="14" t="s">
        <v>97</v>
      </c>
      <c r="N25" s="14">
        <v>2010</v>
      </c>
      <c r="O25" s="14">
        <v>10</v>
      </c>
      <c r="P25" s="14" t="s">
        <v>53</v>
      </c>
      <c r="Q25" s="14">
        <v>0</v>
      </c>
      <c r="R25" s="14">
        <v>0</v>
      </c>
      <c r="S25" s="17" t="s">
        <v>54</v>
      </c>
      <c r="T25" s="18">
        <v>0</v>
      </c>
      <c r="U25" s="14">
        <v>0</v>
      </c>
      <c r="V25" s="19">
        <v>0</v>
      </c>
      <c r="W25" s="14">
        <v>0</v>
      </c>
      <c r="X25" s="14">
        <v>0</v>
      </c>
      <c r="Y25" s="14">
        <v>0</v>
      </c>
      <c r="Z25" s="14">
        <v>0</v>
      </c>
      <c r="AA25" s="14">
        <f>Tabla13[[#This Row],[CheckList App]]+Tabla13[[#This Row],[CheckList Fisc]]</f>
        <v>0</v>
      </c>
      <c r="AB25" s="19" t="str">
        <f t="shared" si="0"/>
        <v/>
      </c>
      <c r="AC25" s="14">
        <v>0</v>
      </c>
      <c r="AD25" s="14" t="s">
        <v>55</v>
      </c>
      <c r="AE25" s="15" t="str">
        <f>IFERROR((VLOOKUP(Tabla13[[#This Row],[ID]],[1]!Mtto_Pesv[[#Headers],[#Data],[Placa]:[Rutina]],2,FALSE)),"-")</f>
        <v>-</v>
      </c>
      <c r="AF25" s="14">
        <v>0</v>
      </c>
      <c r="AG25" s="20">
        <f>IFERROR((VLOOKUP(Tabla13[[#This Row],[ID]],[1]!Mtto_Pesv[[#Headers],[#Data],[Placa]:[Rutina]],3,FALSE)),0)</f>
        <v>0</v>
      </c>
      <c r="AH25" s="20">
        <f>IFERROR((VLOOKUP(Tabla13[[#This Row],[ID]],[1]!Mtto_Pesv[[#Headers],[#Data],[Placa]:[Rutina]],7,FALSE)),0)</f>
        <v>0</v>
      </c>
      <c r="AI25" s="20">
        <f>IFERROR((VLOOKUP(Tabla13[[#This Row],[ID]],[1]!Mtto_Pesv[[#Headers],[#Data],[Placa]:[Rutina]],8,FALSE)),0)</f>
        <v>0</v>
      </c>
      <c r="AJ25" s="20" t="str">
        <f>IFERROR((VLOOKUP(Tabla13[[#This Row],[ID]],[1]!Mtto_Pesv[[#Headers],[#Data],[Placa]:[Rutina]],9,FALSE)),"-")</f>
        <v>-</v>
      </c>
      <c r="AK25" s="20">
        <f>IFERROR((VLOOKUP(Tabla13[[#This Row],[ID]],[1]!Mtto_Pesv[[#Headers],[#Data],[Placa]:[Rutina]],10,FALSE)),0)</f>
        <v>0</v>
      </c>
      <c r="AL25" s="20">
        <f>IF(Tabla13[[#This Row],[Km Anterior]]=0,0,Tabla13[[#This Row],[Km Ejecut]]-Tabla13[[#This Row],[Km Anterior]])</f>
        <v>0</v>
      </c>
      <c r="AM25" s="20">
        <f>IFERROR((VLOOKUP(Tabla13[[#This Row],[ID]],[1]!Mtto_Pesv[[#Headers],[#Data],[Placa]:[Rutina]],4,FALSE)),0)</f>
        <v>0</v>
      </c>
      <c r="AN25" s="21">
        <f>IFERROR((VLOOKUP(Tabla13[[#This Row],[ID]],[1]!Mtto_Pesv[[#Headers],[#Data],[Placa]:[Rutina]],5,FALSE)),0)</f>
        <v>0</v>
      </c>
      <c r="AO25" s="21">
        <f>+Tabla13[[#This Row],[Km Fin]]-Tabla13[[#This Row],[Km Ini]]</f>
        <v>0</v>
      </c>
      <c r="AP25" s="20">
        <f>IFERROR((VLOOKUP(Tabla13[[#This Row],[ID]],[1]!Estilo_Conduccion[[#All],[Placa]:[Puntuacion]],15,FALSE)),0)</f>
        <v>0</v>
      </c>
      <c r="AQ25" s="15" t="s">
        <v>1084</v>
      </c>
      <c r="AR25" s="15" t="s">
        <v>1085</v>
      </c>
      <c r="AS25" s="20">
        <v>200</v>
      </c>
      <c r="AT25" s="21">
        <v>4974.8571428571431</v>
      </c>
      <c r="AU25" s="21">
        <f>(Tabla13[[#This Row],[Cap Vh]]*$AX$2)*0.56</f>
        <v>0</v>
      </c>
      <c r="AV25" s="36" t="e">
        <f>(Tabla13[[#This Row],[Cap Util (kg)]]/(Tabla13[[#This Row],[Cap Inst (Kg)]]))</f>
        <v>#DIV/0!</v>
      </c>
    </row>
    <row r="26" spans="1:48" x14ac:dyDescent="0.25">
      <c r="A26" s="13" t="s">
        <v>1068</v>
      </c>
      <c r="B26" s="14" t="s">
        <v>98</v>
      </c>
      <c r="C26" s="14" t="s">
        <v>44</v>
      </c>
      <c r="D26" s="14" t="s">
        <v>44</v>
      </c>
      <c r="E26" s="14" t="s">
        <v>60</v>
      </c>
      <c r="F26" s="14" t="s">
        <v>46</v>
      </c>
      <c r="G26" s="15" t="s">
        <v>47</v>
      </c>
      <c r="H26" s="16" t="s">
        <v>48</v>
      </c>
      <c r="I26" s="14" t="s">
        <v>49</v>
      </c>
      <c r="J26" s="14">
        <v>830064700</v>
      </c>
      <c r="K26" s="14" t="s">
        <v>50</v>
      </c>
      <c r="L26" s="14" t="s">
        <v>99</v>
      </c>
      <c r="M26" s="14" t="s">
        <v>100</v>
      </c>
      <c r="N26" s="14">
        <v>2014</v>
      </c>
      <c r="O26" s="14">
        <v>6</v>
      </c>
      <c r="P26" s="14" t="s">
        <v>53</v>
      </c>
      <c r="Q26" s="14">
        <v>0</v>
      </c>
      <c r="R26" s="14">
        <v>0</v>
      </c>
      <c r="S26" s="17" t="s">
        <v>54</v>
      </c>
      <c r="T26" s="18">
        <v>0</v>
      </c>
      <c r="U26" s="14">
        <v>0</v>
      </c>
      <c r="V26" s="19">
        <v>0</v>
      </c>
      <c r="W26" s="14">
        <v>0</v>
      </c>
      <c r="X26" s="14">
        <v>0</v>
      </c>
      <c r="Y26" s="14">
        <v>0</v>
      </c>
      <c r="Z26" s="14">
        <v>0</v>
      </c>
      <c r="AA26" s="14">
        <f>Tabla13[[#This Row],[CheckList App]]+Tabla13[[#This Row],[CheckList Fisc]]</f>
        <v>0</v>
      </c>
      <c r="AB26" s="19" t="str">
        <f t="shared" si="0"/>
        <v/>
      </c>
      <c r="AC26" s="14">
        <v>0</v>
      </c>
      <c r="AD26" s="14" t="s">
        <v>55</v>
      </c>
      <c r="AE26" s="15" t="str">
        <f>IFERROR((VLOOKUP(Tabla13[[#This Row],[ID]],[1]!Mtto_Pesv[[#Headers],[#Data],[Placa]:[Rutina]],2,FALSE)),"-")</f>
        <v>-</v>
      </c>
      <c r="AF26" s="14">
        <v>0</v>
      </c>
      <c r="AG26" s="20">
        <f>IFERROR((VLOOKUP(Tabla13[[#This Row],[ID]],[1]!Mtto_Pesv[[#Headers],[#Data],[Placa]:[Rutina]],3,FALSE)),0)</f>
        <v>0</v>
      </c>
      <c r="AH26" s="20">
        <f>IFERROR((VLOOKUP(Tabla13[[#This Row],[ID]],[1]!Mtto_Pesv[[#Headers],[#Data],[Placa]:[Rutina]],7,FALSE)),0)</f>
        <v>0</v>
      </c>
      <c r="AI26" s="20">
        <f>IFERROR((VLOOKUP(Tabla13[[#This Row],[ID]],[1]!Mtto_Pesv[[#Headers],[#Data],[Placa]:[Rutina]],8,FALSE)),0)</f>
        <v>0</v>
      </c>
      <c r="AJ26" s="20" t="str">
        <f>IFERROR((VLOOKUP(Tabla13[[#This Row],[ID]],[1]!Mtto_Pesv[[#Headers],[#Data],[Placa]:[Rutina]],9,FALSE)),"-")</f>
        <v>-</v>
      </c>
      <c r="AK26" s="20">
        <f>IFERROR((VLOOKUP(Tabla13[[#This Row],[ID]],[1]!Mtto_Pesv[[#Headers],[#Data],[Placa]:[Rutina]],10,FALSE)),0)</f>
        <v>0</v>
      </c>
      <c r="AL26" s="20">
        <f>IF(Tabla13[[#This Row],[Km Anterior]]=0,0,Tabla13[[#This Row],[Km Ejecut]]-Tabla13[[#This Row],[Km Anterior]])</f>
        <v>0</v>
      </c>
      <c r="AM26" s="20">
        <f>IFERROR((VLOOKUP(Tabla13[[#This Row],[ID]],[1]!Mtto_Pesv[[#Headers],[#Data],[Placa]:[Rutina]],4,FALSE)),0)</f>
        <v>0</v>
      </c>
      <c r="AN26" s="21">
        <f>IFERROR((VLOOKUP(Tabla13[[#This Row],[ID]],[1]!Mtto_Pesv[[#Headers],[#Data],[Placa]:[Rutina]],5,FALSE)),0)</f>
        <v>0</v>
      </c>
      <c r="AO26" s="21">
        <f>+Tabla13[[#This Row],[Km Fin]]-Tabla13[[#This Row],[Km Ini]]</f>
        <v>0</v>
      </c>
      <c r="AP26" s="20">
        <f>IFERROR((VLOOKUP(Tabla13[[#This Row],[ID]],[1]!Estilo_Conduccion[[#All],[Placa]:[Puntuacion]],15,FALSE)),0)</f>
        <v>0</v>
      </c>
      <c r="AQ26" s="15" t="s">
        <v>1072</v>
      </c>
      <c r="AR26" s="15" t="s">
        <v>1073</v>
      </c>
      <c r="AS26" s="20">
        <v>200</v>
      </c>
      <c r="AT26" s="21">
        <v>3080.8846153846152</v>
      </c>
      <c r="AU26" s="21">
        <f>(Tabla13[[#This Row],[Cap Vh]]*$AX$2)*0.56</f>
        <v>0</v>
      </c>
      <c r="AV26" s="36" t="e">
        <f>(Tabla13[[#This Row],[Cap Util (kg)]]/(Tabla13[[#This Row],[Cap Inst (Kg)]]))</f>
        <v>#DIV/0!</v>
      </c>
    </row>
    <row r="27" spans="1:48" x14ac:dyDescent="0.25">
      <c r="A27" s="13" t="s">
        <v>1068</v>
      </c>
      <c r="B27" s="14" t="s">
        <v>101</v>
      </c>
      <c r="C27" s="14" t="s">
        <v>44</v>
      </c>
      <c r="D27" s="14" t="s">
        <v>44</v>
      </c>
      <c r="E27" s="14" t="s">
        <v>60</v>
      </c>
      <c r="F27" s="14" t="s">
        <v>76</v>
      </c>
      <c r="G27" s="15" t="s">
        <v>89</v>
      </c>
      <c r="H27" s="16" t="s">
        <v>90</v>
      </c>
      <c r="I27" s="14" t="s">
        <v>49</v>
      </c>
      <c r="J27" s="14">
        <v>860002964</v>
      </c>
      <c r="K27" s="14" t="s">
        <v>102</v>
      </c>
      <c r="L27" s="14" t="s">
        <v>103</v>
      </c>
      <c r="M27" s="14" t="s">
        <v>104</v>
      </c>
      <c r="N27" s="14">
        <v>2018</v>
      </c>
      <c r="O27" s="14">
        <v>1</v>
      </c>
      <c r="P27" s="14" t="s">
        <v>105</v>
      </c>
      <c r="Q27" s="14">
        <v>0</v>
      </c>
      <c r="R27" s="14">
        <v>0</v>
      </c>
      <c r="S27" s="17" t="s">
        <v>54</v>
      </c>
      <c r="T27" s="18">
        <v>0</v>
      </c>
      <c r="U27" s="14">
        <v>0</v>
      </c>
      <c r="V27" s="19">
        <v>0</v>
      </c>
      <c r="W27" s="14">
        <v>0</v>
      </c>
      <c r="X27" s="14">
        <v>0</v>
      </c>
      <c r="Y27" s="14">
        <v>0</v>
      </c>
      <c r="Z27" s="14">
        <v>0</v>
      </c>
      <c r="AA27" s="14">
        <f>Tabla13[[#This Row],[CheckList App]]+Tabla13[[#This Row],[CheckList Fisc]]</f>
        <v>0</v>
      </c>
      <c r="AB27" s="19" t="str">
        <f t="shared" si="0"/>
        <v/>
      </c>
      <c r="AC27" s="14">
        <v>0</v>
      </c>
      <c r="AD27" s="14" t="s">
        <v>54</v>
      </c>
      <c r="AE27" s="15" t="str">
        <f>IFERROR((VLOOKUP(Tabla13[[#This Row],[ID]],[1]!Mtto_Pesv[[#Headers],[#Data],[Placa]:[Rutina]],2,FALSE)),"-")</f>
        <v>-</v>
      </c>
      <c r="AF27" s="14">
        <v>0</v>
      </c>
      <c r="AG27" s="20">
        <f>IFERROR((VLOOKUP(Tabla13[[#This Row],[ID]],[1]!Mtto_Pesv[[#Headers],[#Data],[Placa]:[Rutina]],3,FALSE)),0)</f>
        <v>0</v>
      </c>
      <c r="AH27" s="20">
        <f>IFERROR((VLOOKUP(Tabla13[[#This Row],[ID]],[1]!Mtto_Pesv[[#Headers],[#Data],[Placa]:[Rutina]],7,FALSE)),0)</f>
        <v>0</v>
      </c>
      <c r="AI27" s="20">
        <f>IFERROR((VLOOKUP(Tabla13[[#This Row],[ID]],[1]!Mtto_Pesv[[#Headers],[#Data],[Placa]:[Rutina]],8,FALSE)),0)</f>
        <v>0</v>
      </c>
      <c r="AJ27" s="20" t="str">
        <f>IFERROR((VLOOKUP(Tabla13[[#This Row],[ID]],[1]!Mtto_Pesv[[#Headers],[#Data],[Placa]:[Rutina]],9,FALSE)),"-")</f>
        <v>-</v>
      </c>
      <c r="AK27" s="20">
        <f>IFERROR((VLOOKUP(Tabla13[[#This Row],[ID]],[1]!Mtto_Pesv[[#Headers],[#Data],[Placa]:[Rutina]],10,FALSE)),0)</f>
        <v>0</v>
      </c>
      <c r="AL27" s="20">
        <f>IF(Tabla13[[#This Row],[Km Anterior]]=0,0,Tabla13[[#This Row],[Km Ejecut]]-Tabla13[[#This Row],[Km Anterior]])</f>
        <v>0</v>
      </c>
      <c r="AM27" s="20">
        <f>IFERROR((VLOOKUP(Tabla13[[#This Row],[ID]],[1]!Mtto_Pesv[[#Headers],[#Data],[Placa]:[Rutina]],4,FALSE)),0)</f>
        <v>0</v>
      </c>
      <c r="AN27" s="21">
        <f>IFERROR((VLOOKUP(Tabla13[[#This Row],[ID]],[1]!Mtto_Pesv[[#Headers],[#Data],[Placa]:[Rutina]],5,FALSE)),0)</f>
        <v>0</v>
      </c>
      <c r="AO27" s="21">
        <f>+Tabla13[[#This Row],[Km Fin]]-Tabla13[[#This Row],[Km Ini]]</f>
        <v>0</v>
      </c>
      <c r="AP27" s="20">
        <f>IFERROR((VLOOKUP(Tabla13[[#This Row],[ID]],[1]!Estilo_Conduccion[[#All],[Placa]:[Puntuacion]],15,FALSE)),0)</f>
        <v>0</v>
      </c>
      <c r="AQ27" s="15" t="s">
        <v>1076</v>
      </c>
      <c r="AR27" s="15" t="s">
        <v>1077</v>
      </c>
      <c r="AS27" s="20">
        <v>1650</v>
      </c>
      <c r="AT27" s="21">
        <v>5065.7142857142853</v>
      </c>
      <c r="AU27" s="21">
        <f>(Tabla13[[#This Row],[Cap Vh]]*$AX$2)*0.56</f>
        <v>0</v>
      </c>
      <c r="AV27" s="36" t="e">
        <f>(Tabla13[[#This Row],[Cap Util (kg)]]/(Tabla13[[#This Row],[Cap Inst (Kg)]]))</f>
        <v>#DIV/0!</v>
      </c>
    </row>
    <row r="28" spans="1:48" x14ac:dyDescent="0.25">
      <c r="A28" s="13" t="s">
        <v>1068</v>
      </c>
      <c r="B28" s="14" t="s">
        <v>106</v>
      </c>
      <c r="C28" s="14" t="s">
        <v>44</v>
      </c>
      <c r="D28" s="14" t="s">
        <v>44</v>
      </c>
      <c r="E28" s="14" t="s">
        <v>60</v>
      </c>
      <c r="F28" s="14" t="s">
        <v>76</v>
      </c>
      <c r="G28" s="15" t="s">
        <v>89</v>
      </c>
      <c r="H28" s="16" t="s">
        <v>90</v>
      </c>
      <c r="I28" s="14" t="s">
        <v>49</v>
      </c>
      <c r="J28" s="14">
        <v>860002964</v>
      </c>
      <c r="K28" s="14" t="s">
        <v>102</v>
      </c>
      <c r="L28" s="14" t="s">
        <v>103</v>
      </c>
      <c r="M28" s="14" t="s">
        <v>104</v>
      </c>
      <c r="N28" s="14">
        <v>2018</v>
      </c>
      <c r="O28" s="14">
        <v>1</v>
      </c>
      <c r="P28" s="14" t="s">
        <v>105</v>
      </c>
      <c r="Q28" s="14">
        <v>0</v>
      </c>
      <c r="R28" s="14">
        <v>0</v>
      </c>
      <c r="S28" s="17" t="s">
        <v>54</v>
      </c>
      <c r="T28" s="18">
        <v>0</v>
      </c>
      <c r="U28" s="14">
        <v>0</v>
      </c>
      <c r="V28" s="19">
        <v>0</v>
      </c>
      <c r="W28" s="14">
        <v>0</v>
      </c>
      <c r="X28" s="14">
        <v>0</v>
      </c>
      <c r="Y28" s="14">
        <v>0</v>
      </c>
      <c r="Z28" s="14">
        <v>0</v>
      </c>
      <c r="AA28" s="14">
        <f>Tabla13[[#This Row],[CheckList App]]+Tabla13[[#This Row],[CheckList Fisc]]</f>
        <v>0</v>
      </c>
      <c r="AB28" s="19" t="str">
        <f t="shared" si="0"/>
        <v/>
      </c>
      <c r="AC28" s="14">
        <v>0</v>
      </c>
      <c r="AD28" s="14" t="s">
        <v>54</v>
      </c>
      <c r="AE28" s="15" t="str">
        <f>IFERROR((VLOOKUP(Tabla13[[#This Row],[ID]],[1]!Mtto_Pesv[[#Headers],[#Data],[Placa]:[Rutina]],2,FALSE)),"-")</f>
        <v>-</v>
      </c>
      <c r="AF28" s="14">
        <v>0</v>
      </c>
      <c r="AG28" s="20">
        <f>IFERROR((VLOOKUP(Tabla13[[#This Row],[ID]],[1]!Mtto_Pesv[[#Headers],[#Data],[Placa]:[Rutina]],3,FALSE)),0)</f>
        <v>0</v>
      </c>
      <c r="AH28" s="20">
        <f>IFERROR((VLOOKUP(Tabla13[[#This Row],[ID]],[1]!Mtto_Pesv[[#Headers],[#Data],[Placa]:[Rutina]],7,FALSE)),0)</f>
        <v>0</v>
      </c>
      <c r="AI28" s="20">
        <f>IFERROR((VLOOKUP(Tabla13[[#This Row],[ID]],[1]!Mtto_Pesv[[#Headers],[#Data],[Placa]:[Rutina]],8,FALSE)),0)</f>
        <v>0</v>
      </c>
      <c r="AJ28" s="20" t="str">
        <f>IFERROR((VLOOKUP(Tabla13[[#This Row],[ID]],[1]!Mtto_Pesv[[#Headers],[#Data],[Placa]:[Rutina]],9,FALSE)),"-")</f>
        <v>-</v>
      </c>
      <c r="AK28" s="20">
        <f>IFERROR((VLOOKUP(Tabla13[[#This Row],[ID]],[1]!Mtto_Pesv[[#Headers],[#Data],[Placa]:[Rutina]],10,FALSE)),0)</f>
        <v>0</v>
      </c>
      <c r="AL28" s="20">
        <f>IF(Tabla13[[#This Row],[Km Anterior]]=0,0,Tabla13[[#This Row],[Km Ejecut]]-Tabla13[[#This Row],[Km Anterior]])</f>
        <v>0</v>
      </c>
      <c r="AM28" s="20">
        <f>IFERROR((VLOOKUP(Tabla13[[#This Row],[ID]],[1]!Mtto_Pesv[[#Headers],[#Data],[Placa]:[Rutina]],4,FALSE)),0)</f>
        <v>0</v>
      </c>
      <c r="AN28" s="21">
        <f>IFERROR((VLOOKUP(Tabla13[[#This Row],[ID]],[1]!Mtto_Pesv[[#Headers],[#Data],[Placa]:[Rutina]],5,FALSE)),0)</f>
        <v>0</v>
      </c>
      <c r="AO28" s="21">
        <f>+Tabla13[[#This Row],[Km Fin]]-Tabla13[[#This Row],[Km Ini]]</f>
        <v>0</v>
      </c>
      <c r="AP28" s="20">
        <f>IFERROR((VLOOKUP(Tabla13[[#This Row],[ID]],[1]!Estilo_Conduccion[[#All],[Placa]:[Puntuacion]],15,FALSE)),0)</f>
        <v>0</v>
      </c>
      <c r="AQ28" s="15" t="s">
        <v>1076</v>
      </c>
      <c r="AR28" s="15" t="s">
        <v>1077</v>
      </c>
      <c r="AS28" s="20">
        <v>1650</v>
      </c>
      <c r="AT28" s="21">
        <v>5065.7142857142853</v>
      </c>
      <c r="AU28" s="21">
        <f>(Tabla13[[#This Row],[Cap Vh]]*$AX$2)*0.56</f>
        <v>0</v>
      </c>
      <c r="AV28" s="36" t="e">
        <f>(Tabla13[[#This Row],[Cap Util (kg)]]/(Tabla13[[#This Row],[Cap Inst (Kg)]]))</f>
        <v>#DIV/0!</v>
      </c>
    </row>
    <row r="29" spans="1:48" x14ac:dyDescent="0.25">
      <c r="A29" s="13" t="s">
        <v>1068</v>
      </c>
      <c r="B29" s="14" t="s">
        <v>107</v>
      </c>
      <c r="C29" s="14" t="s">
        <v>44</v>
      </c>
      <c r="D29" s="14" t="s">
        <v>44</v>
      </c>
      <c r="E29" s="14" t="s">
        <v>60</v>
      </c>
      <c r="F29" s="14" t="s">
        <v>76</v>
      </c>
      <c r="G29" s="15" t="s">
        <v>89</v>
      </c>
      <c r="H29" s="16" t="s">
        <v>90</v>
      </c>
      <c r="I29" s="14" t="s">
        <v>49</v>
      </c>
      <c r="J29" s="14">
        <v>860002964</v>
      </c>
      <c r="K29" s="14" t="s">
        <v>102</v>
      </c>
      <c r="L29" s="14" t="s">
        <v>103</v>
      </c>
      <c r="M29" s="14" t="s">
        <v>104</v>
      </c>
      <c r="N29" s="14">
        <v>2018</v>
      </c>
      <c r="O29" s="14">
        <v>1</v>
      </c>
      <c r="P29" s="14" t="s">
        <v>105</v>
      </c>
      <c r="Q29" s="14">
        <v>0</v>
      </c>
      <c r="R29" s="14">
        <v>0</v>
      </c>
      <c r="S29" s="17" t="s">
        <v>54</v>
      </c>
      <c r="T29" s="18">
        <v>0</v>
      </c>
      <c r="U29" s="14">
        <v>0</v>
      </c>
      <c r="V29" s="19">
        <v>0</v>
      </c>
      <c r="W29" s="14">
        <v>0</v>
      </c>
      <c r="X29" s="14">
        <v>0</v>
      </c>
      <c r="Y29" s="14">
        <v>0</v>
      </c>
      <c r="Z29" s="14">
        <v>0</v>
      </c>
      <c r="AA29" s="14">
        <f>Tabla13[[#This Row],[CheckList App]]+Tabla13[[#This Row],[CheckList Fisc]]</f>
        <v>0</v>
      </c>
      <c r="AB29" s="19" t="str">
        <f t="shared" si="0"/>
        <v/>
      </c>
      <c r="AC29" s="14">
        <v>0</v>
      </c>
      <c r="AD29" s="14" t="s">
        <v>54</v>
      </c>
      <c r="AE29" s="15" t="str">
        <f>IFERROR((VLOOKUP(Tabla13[[#This Row],[ID]],[1]!Mtto_Pesv[[#Headers],[#Data],[Placa]:[Rutina]],2,FALSE)),"-")</f>
        <v>-</v>
      </c>
      <c r="AF29" s="14">
        <v>0</v>
      </c>
      <c r="AG29" s="20">
        <f>IFERROR((VLOOKUP(Tabla13[[#This Row],[ID]],[1]!Mtto_Pesv[[#Headers],[#Data],[Placa]:[Rutina]],3,FALSE)),0)</f>
        <v>0</v>
      </c>
      <c r="AH29" s="20">
        <f>IFERROR((VLOOKUP(Tabla13[[#This Row],[ID]],[1]!Mtto_Pesv[[#Headers],[#Data],[Placa]:[Rutina]],7,FALSE)),0)</f>
        <v>0</v>
      </c>
      <c r="AI29" s="20">
        <f>IFERROR((VLOOKUP(Tabla13[[#This Row],[ID]],[1]!Mtto_Pesv[[#Headers],[#Data],[Placa]:[Rutina]],8,FALSE)),0)</f>
        <v>0</v>
      </c>
      <c r="AJ29" s="20" t="str">
        <f>IFERROR((VLOOKUP(Tabla13[[#This Row],[ID]],[1]!Mtto_Pesv[[#Headers],[#Data],[Placa]:[Rutina]],9,FALSE)),"-")</f>
        <v>-</v>
      </c>
      <c r="AK29" s="20">
        <f>IFERROR((VLOOKUP(Tabla13[[#This Row],[ID]],[1]!Mtto_Pesv[[#Headers],[#Data],[Placa]:[Rutina]],10,FALSE)),0)</f>
        <v>0</v>
      </c>
      <c r="AL29" s="20">
        <f>IF(Tabla13[[#This Row],[Km Anterior]]=0,0,Tabla13[[#This Row],[Km Ejecut]]-Tabla13[[#This Row],[Km Anterior]])</f>
        <v>0</v>
      </c>
      <c r="AM29" s="20">
        <f>IFERROR((VLOOKUP(Tabla13[[#This Row],[ID]],[1]!Mtto_Pesv[[#Headers],[#Data],[Placa]:[Rutina]],4,FALSE)),0)</f>
        <v>0</v>
      </c>
      <c r="AN29" s="21">
        <f>IFERROR((VLOOKUP(Tabla13[[#This Row],[ID]],[1]!Mtto_Pesv[[#Headers],[#Data],[Placa]:[Rutina]],5,FALSE)),0)</f>
        <v>0</v>
      </c>
      <c r="AO29" s="21">
        <f>+Tabla13[[#This Row],[Km Fin]]-Tabla13[[#This Row],[Km Ini]]</f>
        <v>0</v>
      </c>
      <c r="AP29" s="20">
        <f>IFERROR((VLOOKUP(Tabla13[[#This Row],[ID]],[1]!Estilo_Conduccion[[#All],[Placa]:[Puntuacion]],15,FALSE)),0)</f>
        <v>0</v>
      </c>
      <c r="AQ29" s="15" t="s">
        <v>1086</v>
      </c>
      <c r="AR29" s="15" t="s">
        <v>1087</v>
      </c>
      <c r="AS29" s="20">
        <v>1650</v>
      </c>
      <c r="AT29" s="21">
        <v>9282</v>
      </c>
      <c r="AU29" s="21">
        <f>(Tabla13[[#This Row],[Cap Vh]]*$AX$2)*0.56</f>
        <v>0</v>
      </c>
      <c r="AV29" s="36" t="e">
        <f>(Tabla13[[#This Row],[Cap Util (kg)]]/(Tabla13[[#This Row],[Cap Inst (Kg)]]))</f>
        <v>#DIV/0!</v>
      </c>
    </row>
    <row r="30" spans="1:48" x14ac:dyDescent="0.25">
      <c r="A30" s="13" t="s">
        <v>1068</v>
      </c>
      <c r="B30" s="14" t="s">
        <v>108</v>
      </c>
      <c r="C30" s="14" t="s">
        <v>44</v>
      </c>
      <c r="D30" s="14" t="s">
        <v>44</v>
      </c>
      <c r="E30" s="14" t="s">
        <v>60</v>
      </c>
      <c r="F30" s="14" t="s">
        <v>46</v>
      </c>
      <c r="G30" s="15" t="s">
        <v>47</v>
      </c>
      <c r="H30" s="16" t="s">
        <v>48</v>
      </c>
      <c r="I30" s="14" t="s">
        <v>109</v>
      </c>
      <c r="J30" s="14">
        <v>830064700</v>
      </c>
      <c r="K30" s="14" t="s">
        <v>50</v>
      </c>
      <c r="L30" s="14" t="s">
        <v>103</v>
      </c>
      <c r="M30" s="14" t="s">
        <v>110</v>
      </c>
      <c r="N30" s="14">
        <v>2017</v>
      </c>
      <c r="O30" s="14">
        <v>3</v>
      </c>
      <c r="P30" s="14" t="s">
        <v>105</v>
      </c>
      <c r="Q30" s="14">
        <v>1</v>
      </c>
      <c r="R30" s="14">
        <v>0</v>
      </c>
      <c r="S30" s="17" t="s">
        <v>54</v>
      </c>
      <c r="T30" s="18">
        <v>0</v>
      </c>
      <c r="U30" s="14">
        <v>30</v>
      </c>
      <c r="V30" s="19">
        <v>1</v>
      </c>
      <c r="W30" s="14">
        <v>0</v>
      </c>
      <c r="X30" s="14">
        <v>0</v>
      </c>
      <c r="Y30" s="14">
        <v>0</v>
      </c>
      <c r="Z30" s="14">
        <v>0</v>
      </c>
      <c r="AA30" s="14">
        <f>Tabla13[[#This Row],[CheckList App]]+Tabla13[[#This Row],[CheckList Fisc]]</f>
        <v>0</v>
      </c>
      <c r="AB30" s="19">
        <f t="shared" si="0"/>
        <v>0</v>
      </c>
      <c r="AC30" s="14">
        <v>0</v>
      </c>
      <c r="AD30" s="14" t="s">
        <v>55</v>
      </c>
      <c r="AE30" s="15" t="str">
        <f>IFERROR((VLOOKUP(Tabla13[[#This Row],[ID]],[1]!Mtto_Pesv[[#Headers],[#Data],[Placa]:[Rutina]],2,FALSE)),"-")</f>
        <v>-</v>
      </c>
      <c r="AF30" s="14">
        <v>0</v>
      </c>
      <c r="AG30" s="20">
        <f>IFERROR((VLOOKUP(Tabla13[[#This Row],[ID]],[1]!Mtto_Pesv[[#Headers],[#Data],[Placa]:[Rutina]],3,FALSE)),0)</f>
        <v>0</v>
      </c>
      <c r="AH30" s="20">
        <f>IFERROR((VLOOKUP(Tabla13[[#This Row],[ID]],[1]!Mtto_Pesv[[#Headers],[#Data],[Placa]:[Rutina]],7,FALSE)),0)</f>
        <v>0</v>
      </c>
      <c r="AI30" s="20">
        <f>IFERROR((VLOOKUP(Tabla13[[#This Row],[ID]],[1]!Mtto_Pesv[[#Headers],[#Data],[Placa]:[Rutina]],8,FALSE)),0)</f>
        <v>0</v>
      </c>
      <c r="AJ30" s="20" t="str">
        <f>IFERROR((VLOOKUP(Tabla13[[#This Row],[ID]],[1]!Mtto_Pesv[[#Headers],[#Data],[Placa]:[Rutina]],9,FALSE)),"-")</f>
        <v>-</v>
      </c>
      <c r="AK30" s="20">
        <f>IFERROR((VLOOKUP(Tabla13[[#This Row],[ID]],[1]!Mtto_Pesv[[#Headers],[#Data],[Placa]:[Rutina]],10,FALSE)),0)</f>
        <v>0</v>
      </c>
      <c r="AL30" s="20">
        <f>IF(Tabla13[[#This Row],[Km Anterior]]=0,0,Tabla13[[#This Row],[Km Ejecut]]-Tabla13[[#This Row],[Km Anterior]])</f>
        <v>0</v>
      </c>
      <c r="AM30" s="20">
        <f>IFERROR((VLOOKUP(Tabla13[[#This Row],[ID]],[1]!Mtto_Pesv[[#Headers],[#Data],[Placa]:[Rutina]],4,FALSE)),0)</f>
        <v>0</v>
      </c>
      <c r="AN30" s="21">
        <f>IFERROR((VLOOKUP(Tabla13[[#This Row],[ID]],[1]!Mtto_Pesv[[#Headers],[#Data],[Placa]:[Rutina]],5,FALSE)),0)</f>
        <v>0</v>
      </c>
      <c r="AO30" s="21">
        <f>+Tabla13[[#This Row],[Km Fin]]-Tabla13[[#This Row],[Km Ini]]</f>
        <v>0</v>
      </c>
      <c r="AP30" s="20">
        <f>IFERROR((VLOOKUP(Tabla13[[#This Row],[ID]],[1]!Estilo_Conduccion[[#All],[Placa]:[Puntuacion]],15,FALSE)),0)</f>
        <v>331.9</v>
      </c>
      <c r="AQ30" s="15" t="s">
        <v>1082</v>
      </c>
      <c r="AR30" s="15" t="s">
        <v>1083</v>
      </c>
      <c r="AS30" s="20">
        <v>8550</v>
      </c>
      <c r="AT30" s="21">
        <v>2634.1875</v>
      </c>
      <c r="AU30" s="21">
        <f>(Tabla13[[#This Row],[Cap Vh]]*$AX$2)*0.56</f>
        <v>0</v>
      </c>
      <c r="AV30" s="36" t="e">
        <f>(Tabla13[[#This Row],[Cap Util (kg)]]/(Tabla13[[#This Row],[Cap Inst (Kg)]]))</f>
        <v>#DIV/0!</v>
      </c>
    </row>
    <row r="31" spans="1:48" x14ac:dyDescent="0.25">
      <c r="A31" s="13" t="s">
        <v>1068</v>
      </c>
      <c r="B31" s="14" t="s">
        <v>111</v>
      </c>
      <c r="C31" s="14" t="s">
        <v>44</v>
      </c>
      <c r="D31" s="14" t="s">
        <v>44</v>
      </c>
      <c r="E31" s="14" t="s">
        <v>58</v>
      </c>
      <c r="F31" s="14" t="s">
        <v>76</v>
      </c>
      <c r="G31" s="15" t="s">
        <v>47</v>
      </c>
      <c r="H31" s="16" t="s">
        <v>48</v>
      </c>
      <c r="I31" s="14" t="s">
        <v>49</v>
      </c>
      <c r="J31" s="14">
        <v>830064700</v>
      </c>
      <c r="K31" s="14" t="s">
        <v>50</v>
      </c>
      <c r="L31" s="14" t="s">
        <v>103</v>
      </c>
      <c r="M31" s="14" t="s">
        <v>104</v>
      </c>
      <c r="N31" s="14">
        <v>2018</v>
      </c>
      <c r="O31" s="14">
        <v>2</v>
      </c>
      <c r="P31" s="14" t="s">
        <v>105</v>
      </c>
      <c r="Q31" s="14">
        <v>0</v>
      </c>
      <c r="R31" s="14">
        <v>0</v>
      </c>
      <c r="S31" s="17" t="s">
        <v>54</v>
      </c>
      <c r="T31" s="18">
        <v>0</v>
      </c>
      <c r="U31" s="14">
        <v>30</v>
      </c>
      <c r="V31" s="19">
        <v>1</v>
      </c>
      <c r="W31" s="14">
        <v>0</v>
      </c>
      <c r="X31" s="14">
        <v>0</v>
      </c>
      <c r="Y31" s="14">
        <v>0</v>
      </c>
      <c r="Z31" s="14">
        <v>0</v>
      </c>
      <c r="AA31" s="14">
        <f>Tabla13[[#This Row],[CheckList App]]+Tabla13[[#This Row],[CheckList Fisc]]</f>
        <v>0</v>
      </c>
      <c r="AB31" s="19">
        <f t="shared" si="0"/>
        <v>0</v>
      </c>
      <c r="AC31" s="14">
        <v>0</v>
      </c>
      <c r="AD31" s="14" t="s">
        <v>55</v>
      </c>
      <c r="AE31" s="15" t="str">
        <f>IFERROR((VLOOKUP(Tabla13[[#This Row],[ID]],[1]!Mtto_Pesv[[#Headers],[#Data],[Placa]:[Rutina]],2,FALSE)),"-")</f>
        <v>-</v>
      </c>
      <c r="AF31" s="14">
        <v>0</v>
      </c>
      <c r="AG31" s="20">
        <f>IFERROR((VLOOKUP(Tabla13[[#This Row],[ID]],[1]!Mtto_Pesv[[#Headers],[#Data],[Placa]:[Rutina]],3,FALSE)),0)</f>
        <v>0</v>
      </c>
      <c r="AH31" s="20">
        <f>IFERROR((VLOOKUP(Tabla13[[#This Row],[ID]],[1]!Mtto_Pesv[[#Headers],[#Data],[Placa]:[Rutina]],7,FALSE)),0)</f>
        <v>0</v>
      </c>
      <c r="AI31" s="20">
        <f>IFERROR((VLOOKUP(Tabla13[[#This Row],[ID]],[1]!Mtto_Pesv[[#Headers],[#Data],[Placa]:[Rutina]],8,FALSE)),0)</f>
        <v>0</v>
      </c>
      <c r="AJ31" s="20" t="str">
        <f>IFERROR((VLOOKUP(Tabla13[[#This Row],[ID]],[1]!Mtto_Pesv[[#Headers],[#Data],[Placa]:[Rutina]],9,FALSE)),"-")</f>
        <v>-</v>
      </c>
      <c r="AK31" s="20">
        <f>IFERROR((VLOOKUP(Tabla13[[#This Row],[ID]],[1]!Mtto_Pesv[[#Headers],[#Data],[Placa]:[Rutina]],10,FALSE)),0)</f>
        <v>0</v>
      </c>
      <c r="AL31" s="20">
        <f>IF(Tabla13[[#This Row],[Km Anterior]]=0,0,Tabla13[[#This Row],[Km Ejecut]]-Tabla13[[#This Row],[Km Anterior]])</f>
        <v>0</v>
      </c>
      <c r="AM31" s="20">
        <f>IFERROR((VLOOKUP(Tabla13[[#This Row],[ID]],[1]!Mtto_Pesv[[#Headers],[#Data],[Placa]:[Rutina]],4,FALSE)),0)</f>
        <v>0</v>
      </c>
      <c r="AN31" s="21">
        <f>IFERROR((VLOOKUP(Tabla13[[#This Row],[ID]],[1]!Mtto_Pesv[[#Headers],[#Data],[Placa]:[Rutina]],5,FALSE)),0)</f>
        <v>0</v>
      </c>
      <c r="AO31" s="21">
        <f>+Tabla13[[#This Row],[Km Fin]]-Tabla13[[#This Row],[Km Ini]]</f>
        <v>0</v>
      </c>
      <c r="AP31" s="20">
        <f>IFERROR((VLOOKUP(Tabla13[[#This Row],[ID]],[1]!Estilo_Conduccion[[#All],[Placa]:[Puntuacion]],15,FALSE)),0)</f>
        <v>0</v>
      </c>
      <c r="AQ31" s="15" t="s">
        <v>1070</v>
      </c>
      <c r="AR31" s="15" t="s">
        <v>1071</v>
      </c>
      <c r="AS31" s="20">
        <v>1650</v>
      </c>
      <c r="AT31" s="21">
        <v>3775.4166666666665</v>
      </c>
      <c r="AU31" s="21">
        <f>(Tabla13[[#This Row],[Cap Vh]]*$AX$2)*0.56</f>
        <v>0</v>
      </c>
      <c r="AV31" s="36" t="e">
        <f>(Tabla13[[#This Row],[Cap Util (kg)]]/(Tabla13[[#This Row],[Cap Inst (Kg)]]))</f>
        <v>#DIV/0!</v>
      </c>
    </row>
    <row r="32" spans="1:48" x14ac:dyDescent="0.25">
      <c r="A32" s="13" t="s">
        <v>1068</v>
      </c>
      <c r="B32" s="14" t="s">
        <v>112</v>
      </c>
      <c r="C32" s="14" t="s">
        <v>44</v>
      </c>
      <c r="D32" s="14" t="s">
        <v>44</v>
      </c>
      <c r="E32" s="14" t="s">
        <v>113</v>
      </c>
      <c r="F32" s="14" t="s">
        <v>76</v>
      </c>
      <c r="G32" s="15" t="s">
        <v>89</v>
      </c>
      <c r="H32" s="16" t="s">
        <v>90</v>
      </c>
      <c r="I32" s="14" t="s">
        <v>49</v>
      </c>
      <c r="J32" s="14">
        <v>830064700</v>
      </c>
      <c r="K32" s="14" t="s">
        <v>50</v>
      </c>
      <c r="L32" s="14" t="s">
        <v>103</v>
      </c>
      <c r="M32" s="14" t="s">
        <v>104</v>
      </c>
      <c r="N32" s="14">
        <v>2018</v>
      </c>
      <c r="O32" s="14">
        <v>2</v>
      </c>
      <c r="P32" s="14" t="s">
        <v>105</v>
      </c>
      <c r="Q32" s="14">
        <v>0</v>
      </c>
      <c r="R32" s="14">
        <v>0</v>
      </c>
      <c r="S32" s="17" t="s">
        <v>54</v>
      </c>
      <c r="T32" s="18">
        <v>0</v>
      </c>
      <c r="U32" s="14">
        <v>0</v>
      </c>
      <c r="V32" s="19">
        <v>0</v>
      </c>
      <c r="W32" s="14">
        <v>0</v>
      </c>
      <c r="X32" s="14">
        <v>0</v>
      </c>
      <c r="Y32" s="14">
        <v>0</v>
      </c>
      <c r="Z32" s="14">
        <v>0</v>
      </c>
      <c r="AA32" s="14">
        <f>Tabla13[[#This Row],[CheckList App]]+Tabla13[[#This Row],[CheckList Fisc]]</f>
        <v>0</v>
      </c>
      <c r="AB32" s="19" t="str">
        <f t="shared" si="0"/>
        <v/>
      </c>
      <c r="AC32" s="14">
        <v>0</v>
      </c>
      <c r="AD32" s="14" t="s">
        <v>55</v>
      </c>
      <c r="AE32" s="15" t="str">
        <f>IFERROR((VLOOKUP(Tabla13[[#This Row],[ID]],[1]!Mtto_Pesv[[#Headers],[#Data],[Placa]:[Rutina]],2,FALSE)),"-")</f>
        <v>-</v>
      </c>
      <c r="AF32" s="14">
        <v>0</v>
      </c>
      <c r="AG32" s="20">
        <f>IFERROR((VLOOKUP(Tabla13[[#This Row],[ID]],[1]!Mtto_Pesv[[#Headers],[#Data],[Placa]:[Rutina]],3,FALSE)),0)</f>
        <v>0</v>
      </c>
      <c r="AH32" s="20">
        <f>IFERROR((VLOOKUP(Tabla13[[#This Row],[ID]],[1]!Mtto_Pesv[[#Headers],[#Data],[Placa]:[Rutina]],7,FALSE)),0)</f>
        <v>0</v>
      </c>
      <c r="AI32" s="20">
        <f>IFERROR((VLOOKUP(Tabla13[[#This Row],[ID]],[1]!Mtto_Pesv[[#Headers],[#Data],[Placa]:[Rutina]],8,FALSE)),0)</f>
        <v>0</v>
      </c>
      <c r="AJ32" s="20" t="str">
        <f>IFERROR((VLOOKUP(Tabla13[[#This Row],[ID]],[1]!Mtto_Pesv[[#Headers],[#Data],[Placa]:[Rutina]],9,FALSE)),"-")</f>
        <v>-</v>
      </c>
      <c r="AK32" s="20">
        <f>IFERROR((VLOOKUP(Tabla13[[#This Row],[ID]],[1]!Mtto_Pesv[[#Headers],[#Data],[Placa]:[Rutina]],10,FALSE)),0)</f>
        <v>0</v>
      </c>
      <c r="AL32" s="20">
        <f>IF(Tabla13[[#This Row],[Km Anterior]]=0,0,Tabla13[[#This Row],[Km Ejecut]]-Tabla13[[#This Row],[Km Anterior]])</f>
        <v>0</v>
      </c>
      <c r="AM32" s="20">
        <f>IFERROR((VLOOKUP(Tabla13[[#This Row],[ID]],[1]!Mtto_Pesv[[#Headers],[#Data],[Placa]:[Rutina]],4,FALSE)),0)</f>
        <v>0</v>
      </c>
      <c r="AN32" s="21">
        <f>IFERROR((VLOOKUP(Tabla13[[#This Row],[ID]],[1]!Mtto_Pesv[[#Headers],[#Data],[Placa]:[Rutina]],5,FALSE)),0)</f>
        <v>0</v>
      </c>
      <c r="AO32" s="21">
        <f>+Tabla13[[#This Row],[Km Fin]]-Tabla13[[#This Row],[Km Ini]]</f>
        <v>0</v>
      </c>
      <c r="AP32" s="20">
        <f>IFERROR((VLOOKUP(Tabla13[[#This Row],[ID]],[1]!Estilo_Conduccion[[#All],[Placa]:[Puntuacion]],15,FALSE)),0)</f>
        <v>0</v>
      </c>
      <c r="AQ32" s="15" t="s">
        <v>1088</v>
      </c>
      <c r="AR32" s="15" t="s">
        <v>1089</v>
      </c>
      <c r="AS32" s="20">
        <v>1650</v>
      </c>
      <c r="AT32" s="21">
        <v>12000</v>
      </c>
      <c r="AU32" s="21">
        <f>(Tabla13[[#This Row],[Cap Vh]]*$AX$2)*0.56</f>
        <v>0</v>
      </c>
      <c r="AV32" s="36" t="e">
        <f>(Tabla13[[#This Row],[Cap Util (kg)]]/(Tabla13[[#This Row],[Cap Inst (Kg)]]))</f>
        <v>#DIV/0!</v>
      </c>
    </row>
    <row r="33" spans="1:48" x14ac:dyDescent="0.25">
      <c r="A33" s="13" t="s">
        <v>1068</v>
      </c>
      <c r="B33" s="14" t="s">
        <v>114</v>
      </c>
      <c r="C33" s="14" t="s">
        <v>44</v>
      </c>
      <c r="D33" s="14" t="s">
        <v>44</v>
      </c>
      <c r="E33" s="14" t="s">
        <v>58</v>
      </c>
      <c r="F33" s="14" t="s">
        <v>76</v>
      </c>
      <c r="G33" s="15" t="s">
        <v>47</v>
      </c>
      <c r="H33" s="16" t="s">
        <v>48</v>
      </c>
      <c r="I33" s="14" t="s">
        <v>49</v>
      </c>
      <c r="J33" s="14">
        <v>830064700</v>
      </c>
      <c r="K33" s="14" t="s">
        <v>50</v>
      </c>
      <c r="L33" s="14" t="s">
        <v>103</v>
      </c>
      <c r="M33" s="14" t="s">
        <v>104</v>
      </c>
      <c r="N33" s="14">
        <v>2018</v>
      </c>
      <c r="O33" s="14">
        <v>2</v>
      </c>
      <c r="P33" s="14" t="s">
        <v>105</v>
      </c>
      <c r="Q33" s="14">
        <v>0</v>
      </c>
      <c r="R33" s="14">
        <v>0</v>
      </c>
      <c r="S33" s="17" t="s">
        <v>54</v>
      </c>
      <c r="T33" s="18">
        <v>0</v>
      </c>
      <c r="U33" s="14">
        <v>30</v>
      </c>
      <c r="V33" s="19">
        <v>1</v>
      </c>
      <c r="W33" s="14">
        <v>0</v>
      </c>
      <c r="X33" s="14">
        <v>0</v>
      </c>
      <c r="Y33" s="14">
        <v>0</v>
      </c>
      <c r="Z33" s="14">
        <v>0</v>
      </c>
      <c r="AA33" s="14">
        <f>Tabla13[[#This Row],[CheckList App]]+Tabla13[[#This Row],[CheckList Fisc]]</f>
        <v>0</v>
      </c>
      <c r="AB33" s="19">
        <f t="shared" si="0"/>
        <v>0</v>
      </c>
      <c r="AC33" s="14">
        <v>0</v>
      </c>
      <c r="AD33" s="14" t="s">
        <v>55</v>
      </c>
      <c r="AE33" s="15" t="str">
        <f>IFERROR((VLOOKUP(Tabla13[[#This Row],[ID]],[1]!Mtto_Pesv[[#Headers],[#Data],[Placa]:[Rutina]],2,FALSE)),"-")</f>
        <v>-</v>
      </c>
      <c r="AF33" s="14">
        <v>0</v>
      </c>
      <c r="AG33" s="20">
        <f>IFERROR((VLOOKUP(Tabla13[[#This Row],[ID]],[1]!Mtto_Pesv[[#Headers],[#Data],[Placa]:[Rutina]],3,FALSE)),0)</f>
        <v>0</v>
      </c>
      <c r="AH33" s="20">
        <f>IFERROR((VLOOKUP(Tabla13[[#This Row],[ID]],[1]!Mtto_Pesv[[#Headers],[#Data],[Placa]:[Rutina]],7,FALSE)),0)</f>
        <v>0</v>
      </c>
      <c r="AI33" s="20">
        <f>IFERROR((VLOOKUP(Tabla13[[#This Row],[ID]],[1]!Mtto_Pesv[[#Headers],[#Data],[Placa]:[Rutina]],8,FALSE)),0)</f>
        <v>0</v>
      </c>
      <c r="AJ33" s="20" t="str">
        <f>IFERROR((VLOOKUP(Tabla13[[#This Row],[ID]],[1]!Mtto_Pesv[[#Headers],[#Data],[Placa]:[Rutina]],9,FALSE)),"-")</f>
        <v>-</v>
      </c>
      <c r="AK33" s="20">
        <f>IFERROR((VLOOKUP(Tabla13[[#This Row],[ID]],[1]!Mtto_Pesv[[#Headers],[#Data],[Placa]:[Rutina]],10,FALSE)),0)</f>
        <v>0</v>
      </c>
      <c r="AL33" s="20">
        <f>IF(Tabla13[[#This Row],[Km Anterior]]=0,0,Tabla13[[#This Row],[Km Ejecut]]-Tabla13[[#This Row],[Km Anterior]])</f>
        <v>0</v>
      </c>
      <c r="AM33" s="20">
        <f>IFERROR((VLOOKUP(Tabla13[[#This Row],[ID]],[1]!Mtto_Pesv[[#Headers],[#Data],[Placa]:[Rutina]],4,FALSE)),0)</f>
        <v>0</v>
      </c>
      <c r="AN33" s="21">
        <f>IFERROR((VLOOKUP(Tabla13[[#This Row],[ID]],[1]!Mtto_Pesv[[#Headers],[#Data],[Placa]:[Rutina]],5,FALSE)),0)</f>
        <v>0</v>
      </c>
      <c r="AO33" s="21">
        <f>+Tabla13[[#This Row],[Km Fin]]-Tabla13[[#This Row],[Km Ini]]</f>
        <v>0</v>
      </c>
      <c r="AP33" s="20">
        <f>IFERROR((VLOOKUP(Tabla13[[#This Row],[ID]],[1]!Estilo_Conduccion[[#All],[Placa]:[Puntuacion]],15,FALSE)),0)</f>
        <v>0</v>
      </c>
      <c r="AQ33" s="15" t="s">
        <v>1090</v>
      </c>
      <c r="AR33" s="15" t="s">
        <v>1091</v>
      </c>
      <c r="AS33" s="20">
        <v>1650</v>
      </c>
      <c r="AT33" s="21">
        <v>9215</v>
      </c>
      <c r="AU33" s="21">
        <f>(Tabla13[[#This Row],[Cap Vh]]*$AX$2)*0.56</f>
        <v>0</v>
      </c>
      <c r="AV33" s="36" t="e">
        <f>(Tabla13[[#This Row],[Cap Util (kg)]]/(Tabla13[[#This Row],[Cap Inst (Kg)]]))</f>
        <v>#DIV/0!</v>
      </c>
    </row>
    <row r="34" spans="1:48" x14ac:dyDescent="0.25">
      <c r="A34" s="13" t="s">
        <v>1068</v>
      </c>
      <c r="B34" s="14" t="s">
        <v>115</v>
      </c>
      <c r="C34" s="14" t="s">
        <v>44</v>
      </c>
      <c r="D34" s="14" t="s">
        <v>44</v>
      </c>
      <c r="E34" s="14" t="s">
        <v>58</v>
      </c>
      <c r="F34" s="14" t="s">
        <v>76</v>
      </c>
      <c r="G34" s="15" t="s">
        <v>47</v>
      </c>
      <c r="H34" s="16" t="s">
        <v>48</v>
      </c>
      <c r="I34" s="14" t="s">
        <v>49</v>
      </c>
      <c r="J34" s="14">
        <v>900335279</v>
      </c>
      <c r="K34" s="14" t="s">
        <v>77</v>
      </c>
      <c r="L34" s="14" t="s">
        <v>103</v>
      </c>
      <c r="M34" s="14" t="s">
        <v>104</v>
      </c>
      <c r="N34" s="14">
        <v>2018</v>
      </c>
      <c r="O34" s="14">
        <v>2</v>
      </c>
      <c r="P34" s="14" t="s">
        <v>105</v>
      </c>
      <c r="Q34" s="14">
        <v>0</v>
      </c>
      <c r="R34" s="14">
        <v>0</v>
      </c>
      <c r="S34" s="17" t="s">
        <v>54</v>
      </c>
      <c r="T34" s="18">
        <v>0</v>
      </c>
      <c r="U34" s="14">
        <v>30</v>
      </c>
      <c r="V34" s="19">
        <v>1</v>
      </c>
      <c r="W34" s="14">
        <v>0</v>
      </c>
      <c r="X34" s="14">
        <v>0</v>
      </c>
      <c r="Y34" s="14">
        <v>0</v>
      </c>
      <c r="Z34" s="14">
        <v>0</v>
      </c>
      <c r="AA34" s="14">
        <f>Tabla13[[#This Row],[CheckList App]]+Tabla13[[#This Row],[CheckList Fisc]]</f>
        <v>0</v>
      </c>
      <c r="AB34" s="19">
        <f t="shared" si="0"/>
        <v>0</v>
      </c>
      <c r="AC34" s="14">
        <v>0</v>
      </c>
      <c r="AD34" s="14" t="s">
        <v>55</v>
      </c>
      <c r="AE34" s="15" t="str">
        <f>IFERROR((VLOOKUP(Tabla13[[#This Row],[ID]],[1]!Mtto_Pesv[[#Headers],[#Data],[Placa]:[Rutina]],2,FALSE)),"-")</f>
        <v>-</v>
      </c>
      <c r="AF34" s="14">
        <v>0</v>
      </c>
      <c r="AG34" s="20">
        <f>IFERROR((VLOOKUP(Tabla13[[#This Row],[ID]],[1]!Mtto_Pesv[[#Headers],[#Data],[Placa]:[Rutina]],3,FALSE)),0)</f>
        <v>0</v>
      </c>
      <c r="AH34" s="20">
        <f>IFERROR((VLOOKUP(Tabla13[[#This Row],[ID]],[1]!Mtto_Pesv[[#Headers],[#Data],[Placa]:[Rutina]],7,FALSE)),0)</f>
        <v>0</v>
      </c>
      <c r="AI34" s="20">
        <f>IFERROR((VLOOKUP(Tabla13[[#This Row],[ID]],[1]!Mtto_Pesv[[#Headers],[#Data],[Placa]:[Rutina]],8,FALSE)),0)</f>
        <v>0</v>
      </c>
      <c r="AJ34" s="20" t="str">
        <f>IFERROR((VLOOKUP(Tabla13[[#This Row],[ID]],[1]!Mtto_Pesv[[#Headers],[#Data],[Placa]:[Rutina]],9,FALSE)),"-")</f>
        <v>-</v>
      </c>
      <c r="AK34" s="20">
        <f>IFERROR((VLOOKUP(Tabla13[[#This Row],[ID]],[1]!Mtto_Pesv[[#Headers],[#Data],[Placa]:[Rutina]],10,FALSE)),0)</f>
        <v>0</v>
      </c>
      <c r="AL34" s="20">
        <f>IF(Tabla13[[#This Row],[Km Anterior]]=0,0,Tabla13[[#This Row],[Km Ejecut]]-Tabla13[[#This Row],[Km Anterior]])</f>
        <v>0</v>
      </c>
      <c r="AM34" s="20">
        <f>IFERROR((VLOOKUP(Tabla13[[#This Row],[ID]],[1]!Mtto_Pesv[[#Headers],[#Data],[Placa]:[Rutina]],4,FALSE)),0)</f>
        <v>0</v>
      </c>
      <c r="AN34" s="21">
        <f>IFERROR((VLOOKUP(Tabla13[[#This Row],[ID]],[1]!Mtto_Pesv[[#Headers],[#Data],[Placa]:[Rutina]],5,FALSE)),0)</f>
        <v>0</v>
      </c>
      <c r="AO34" s="21">
        <f>+Tabla13[[#This Row],[Km Fin]]-Tabla13[[#This Row],[Km Ini]]</f>
        <v>0</v>
      </c>
      <c r="AP34" s="20">
        <f>IFERROR((VLOOKUP(Tabla13[[#This Row],[ID]],[1]!Estilo_Conduccion[[#All],[Placa]:[Puntuacion]],15,FALSE)),0)</f>
        <v>0</v>
      </c>
      <c r="AQ34" s="15" t="s">
        <v>1070</v>
      </c>
      <c r="AR34" s="15" t="s">
        <v>1071</v>
      </c>
      <c r="AS34" s="20">
        <v>1650</v>
      </c>
      <c r="AT34" s="21">
        <v>3775.4166666666665</v>
      </c>
      <c r="AU34" s="21">
        <f>(Tabla13[[#This Row],[Cap Vh]]*$AX$2)*0.56</f>
        <v>0</v>
      </c>
      <c r="AV34" s="36" t="e">
        <f>(Tabla13[[#This Row],[Cap Util (kg)]]/(Tabla13[[#This Row],[Cap Inst (Kg)]]))</f>
        <v>#DIV/0!</v>
      </c>
    </row>
    <row r="35" spans="1:48" x14ac:dyDescent="0.25">
      <c r="A35" s="13" t="s">
        <v>1068</v>
      </c>
      <c r="B35" s="14" t="s">
        <v>116</v>
      </c>
      <c r="C35" s="14" t="s">
        <v>44</v>
      </c>
      <c r="D35" s="14" t="s">
        <v>44</v>
      </c>
      <c r="E35" s="14" t="s">
        <v>63</v>
      </c>
      <c r="F35" s="14" t="s">
        <v>76</v>
      </c>
      <c r="G35" s="15" t="s">
        <v>89</v>
      </c>
      <c r="H35" s="16" t="s">
        <v>90</v>
      </c>
      <c r="I35" s="14" t="s">
        <v>49</v>
      </c>
      <c r="J35" s="14">
        <v>830064700</v>
      </c>
      <c r="K35" s="14" t="s">
        <v>50</v>
      </c>
      <c r="L35" s="14" t="s">
        <v>103</v>
      </c>
      <c r="M35" s="14" t="s">
        <v>104</v>
      </c>
      <c r="N35" s="14">
        <v>2018</v>
      </c>
      <c r="O35" s="14">
        <v>2</v>
      </c>
      <c r="P35" s="14" t="s">
        <v>105</v>
      </c>
      <c r="Q35" s="14">
        <v>0</v>
      </c>
      <c r="R35" s="14">
        <v>0</v>
      </c>
      <c r="S35" s="17" t="s">
        <v>54</v>
      </c>
      <c r="T35" s="18">
        <v>0</v>
      </c>
      <c r="U35" s="14">
        <v>0</v>
      </c>
      <c r="V35" s="19">
        <v>0</v>
      </c>
      <c r="W35" s="14">
        <v>0</v>
      </c>
      <c r="X35" s="14">
        <v>0</v>
      </c>
      <c r="Y35" s="14">
        <v>0</v>
      </c>
      <c r="Z35" s="14">
        <v>0</v>
      </c>
      <c r="AA35" s="14">
        <f>Tabla13[[#This Row],[CheckList App]]+Tabla13[[#This Row],[CheckList Fisc]]</f>
        <v>0</v>
      </c>
      <c r="AB35" s="19" t="str">
        <f t="shared" si="0"/>
        <v/>
      </c>
      <c r="AC35" s="14">
        <v>0</v>
      </c>
      <c r="AD35" s="14" t="s">
        <v>55</v>
      </c>
      <c r="AE35" s="15" t="str">
        <f>IFERROR((VLOOKUP(Tabla13[[#This Row],[ID]],[1]!Mtto_Pesv[[#Headers],[#Data],[Placa]:[Rutina]],2,FALSE)),"-")</f>
        <v>-</v>
      </c>
      <c r="AF35" s="14">
        <v>0</v>
      </c>
      <c r="AG35" s="20">
        <f>IFERROR((VLOOKUP(Tabla13[[#This Row],[ID]],[1]!Mtto_Pesv[[#Headers],[#Data],[Placa]:[Rutina]],3,FALSE)),0)</f>
        <v>0</v>
      </c>
      <c r="AH35" s="20">
        <f>IFERROR((VLOOKUP(Tabla13[[#This Row],[ID]],[1]!Mtto_Pesv[[#Headers],[#Data],[Placa]:[Rutina]],7,FALSE)),0)</f>
        <v>0</v>
      </c>
      <c r="AI35" s="20">
        <f>IFERROR((VLOOKUP(Tabla13[[#This Row],[ID]],[1]!Mtto_Pesv[[#Headers],[#Data],[Placa]:[Rutina]],8,FALSE)),0)</f>
        <v>0</v>
      </c>
      <c r="AJ35" s="20" t="str">
        <f>IFERROR((VLOOKUP(Tabla13[[#This Row],[ID]],[1]!Mtto_Pesv[[#Headers],[#Data],[Placa]:[Rutina]],9,FALSE)),"-")</f>
        <v>-</v>
      </c>
      <c r="AK35" s="20">
        <f>IFERROR((VLOOKUP(Tabla13[[#This Row],[ID]],[1]!Mtto_Pesv[[#Headers],[#Data],[Placa]:[Rutina]],10,FALSE)),0)</f>
        <v>0</v>
      </c>
      <c r="AL35" s="20">
        <f>IF(Tabla13[[#This Row],[Km Anterior]]=0,0,Tabla13[[#This Row],[Km Ejecut]]-Tabla13[[#This Row],[Km Anterior]])</f>
        <v>0</v>
      </c>
      <c r="AM35" s="20">
        <f>IFERROR((VLOOKUP(Tabla13[[#This Row],[ID]],[1]!Mtto_Pesv[[#Headers],[#Data],[Placa]:[Rutina]],4,FALSE)),0)</f>
        <v>0</v>
      </c>
      <c r="AN35" s="21">
        <f>IFERROR((VLOOKUP(Tabla13[[#This Row],[ID]],[1]!Mtto_Pesv[[#Headers],[#Data],[Placa]:[Rutina]],5,FALSE)),0)</f>
        <v>0</v>
      </c>
      <c r="AO35" s="21">
        <f>+Tabla13[[#This Row],[Km Fin]]-Tabla13[[#This Row],[Km Ini]]</f>
        <v>0</v>
      </c>
      <c r="AP35" s="20">
        <f>IFERROR((VLOOKUP(Tabla13[[#This Row],[ID]],[1]!Estilo_Conduccion[[#All],[Placa]:[Puntuacion]],15,FALSE)),0)</f>
        <v>0</v>
      </c>
      <c r="AQ35" s="15" t="s">
        <v>1092</v>
      </c>
      <c r="AR35" s="15" t="s">
        <v>1093</v>
      </c>
      <c r="AS35" s="20">
        <v>1650</v>
      </c>
      <c r="AT35" s="21">
        <v>5666</v>
      </c>
      <c r="AU35" s="21">
        <f>(Tabla13[[#This Row],[Cap Vh]]*$AX$2)*0.56</f>
        <v>0</v>
      </c>
      <c r="AV35" s="36" t="e">
        <f>(Tabla13[[#This Row],[Cap Util (kg)]]/(Tabla13[[#This Row],[Cap Inst (Kg)]]))</f>
        <v>#DIV/0!</v>
      </c>
    </row>
    <row r="36" spans="1:48" x14ac:dyDescent="0.25">
      <c r="A36" s="13" t="s">
        <v>1068</v>
      </c>
      <c r="B36" s="14" t="s">
        <v>117</v>
      </c>
      <c r="C36" s="14" t="s">
        <v>44</v>
      </c>
      <c r="D36" s="14" t="s">
        <v>44</v>
      </c>
      <c r="E36" s="14" t="s">
        <v>63</v>
      </c>
      <c r="F36" s="14" t="s">
        <v>46</v>
      </c>
      <c r="G36" s="15" t="s">
        <v>47</v>
      </c>
      <c r="H36" s="16" t="s">
        <v>48</v>
      </c>
      <c r="I36" s="14" t="s">
        <v>49</v>
      </c>
      <c r="J36" s="14">
        <v>830064700</v>
      </c>
      <c r="K36" s="14" t="s">
        <v>50</v>
      </c>
      <c r="L36" s="14" t="s">
        <v>103</v>
      </c>
      <c r="M36" s="14" t="s">
        <v>104</v>
      </c>
      <c r="N36" s="14">
        <v>2018</v>
      </c>
      <c r="O36" s="14">
        <v>2</v>
      </c>
      <c r="P36" s="14" t="s">
        <v>105</v>
      </c>
      <c r="Q36" s="14">
        <v>1</v>
      </c>
      <c r="R36" s="14">
        <v>0</v>
      </c>
      <c r="S36" s="17" t="s">
        <v>54</v>
      </c>
      <c r="T36" s="18">
        <v>0</v>
      </c>
      <c r="U36" s="14">
        <v>30</v>
      </c>
      <c r="V36" s="19">
        <v>1</v>
      </c>
      <c r="W36" s="14">
        <v>0</v>
      </c>
      <c r="X36" s="14">
        <v>0</v>
      </c>
      <c r="Y36" s="14">
        <v>0</v>
      </c>
      <c r="Z36" s="14">
        <v>0</v>
      </c>
      <c r="AA36" s="14">
        <f>Tabla13[[#This Row],[CheckList App]]+Tabla13[[#This Row],[CheckList Fisc]]</f>
        <v>0</v>
      </c>
      <c r="AB36" s="19">
        <f t="shared" si="0"/>
        <v>0</v>
      </c>
      <c r="AC36" s="14">
        <v>0</v>
      </c>
      <c r="AD36" s="14" t="s">
        <v>55</v>
      </c>
      <c r="AE36" s="15" t="str">
        <f>IFERROR((VLOOKUP(Tabla13[[#This Row],[ID]],[1]!Mtto_Pesv[[#Headers],[#Data],[Placa]:[Rutina]],2,FALSE)),"-")</f>
        <v>-</v>
      </c>
      <c r="AF36" s="14">
        <v>0</v>
      </c>
      <c r="AG36" s="20">
        <f>IFERROR((VLOOKUP(Tabla13[[#This Row],[ID]],[1]!Mtto_Pesv[[#Headers],[#Data],[Placa]:[Rutina]],3,FALSE)),0)</f>
        <v>0</v>
      </c>
      <c r="AH36" s="20">
        <f>IFERROR((VLOOKUP(Tabla13[[#This Row],[ID]],[1]!Mtto_Pesv[[#Headers],[#Data],[Placa]:[Rutina]],7,FALSE)),0)</f>
        <v>0</v>
      </c>
      <c r="AI36" s="20">
        <f>IFERROR((VLOOKUP(Tabla13[[#This Row],[ID]],[1]!Mtto_Pesv[[#Headers],[#Data],[Placa]:[Rutina]],8,FALSE)),0)</f>
        <v>0</v>
      </c>
      <c r="AJ36" s="20" t="str">
        <f>IFERROR((VLOOKUP(Tabla13[[#This Row],[ID]],[1]!Mtto_Pesv[[#Headers],[#Data],[Placa]:[Rutina]],9,FALSE)),"-")</f>
        <v>-</v>
      </c>
      <c r="AK36" s="20">
        <f>IFERROR((VLOOKUP(Tabla13[[#This Row],[ID]],[1]!Mtto_Pesv[[#Headers],[#Data],[Placa]:[Rutina]],10,FALSE)),0)</f>
        <v>0</v>
      </c>
      <c r="AL36" s="20">
        <f>IF(Tabla13[[#This Row],[Km Anterior]]=0,0,Tabla13[[#This Row],[Km Ejecut]]-Tabla13[[#This Row],[Km Anterior]])</f>
        <v>0</v>
      </c>
      <c r="AM36" s="20">
        <f>IFERROR((VLOOKUP(Tabla13[[#This Row],[ID]],[1]!Mtto_Pesv[[#Headers],[#Data],[Placa]:[Rutina]],4,FALSE)),0)</f>
        <v>0</v>
      </c>
      <c r="AN36" s="21">
        <f>IFERROR((VLOOKUP(Tabla13[[#This Row],[ID]],[1]!Mtto_Pesv[[#Headers],[#Data],[Placa]:[Rutina]],5,FALSE)),0)</f>
        <v>0</v>
      </c>
      <c r="AO36" s="21">
        <f>+Tabla13[[#This Row],[Km Fin]]-Tabla13[[#This Row],[Km Ini]]</f>
        <v>0</v>
      </c>
      <c r="AP36" s="20">
        <f>IFERROR((VLOOKUP(Tabla13[[#This Row],[ID]],[1]!Estilo_Conduccion[[#All],[Placa]:[Puntuacion]],15,FALSE)),0)</f>
        <v>1071.3</v>
      </c>
      <c r="AQ36" s="15" t="s">
        <v>1094</v>
      </c>
      <c r="AR36" s="15" t="s">
        <v>1095</v>
      </c>
      <c r="AS36" s="20">
        <v>2350</v>
      </c>
      <c r="AT36" s="21">
        <v>13621.5</v>
      </c>
      <c r="AU36" s="21">
        <f>(Tabla13[[#This Row],[Cap Vh]]*$AX$2)*0.56</f>
        <v>0</v>
      </c>
      <c r="AV36" s="36" t="e">
        <f>(Tabla13[[#This Row],[Cap Util (kg)]]/(Tabla13[[#This Row],[Cap Inst (Kg)]]))</f>
        <v>#DIV/0!</v>
      </c>
    </row>
    <row r="37" spans="1:48" x14ac:dyDescent="0.25">
      <c r="A37" s="13" t="s">
        <v>1068</v>
      </c>
      <c r="B37" s="14" t="s">
        <v>118</v>
      </c>
      <c r="C37" s="14" t="s">
        <v>44</v>
      </c>
      <c r="D37" s="14" t="s">
        <v>44</v>
      </c>
      <c r="E37" s="14" t="s">
        <v>85</v>
      </c>
      <c r="F37" s="14" t="s">
        <v>64</v>
      </c>
      <c r="G37" s="15" t="s">
        <v>119</v>
      </c>
      <c r="H37" s="16" t="s">
        <v>120</v>
      </c>
      <c r="I37" s="14" t="s">
        <v>109</v>
      </c>
      <c r="J37" s="14">
        <v>830064700</v>
      </c>
      <c r="K37" s="14" t="s">
        <v>50</v>
      </c>
      <c r="L37" s="14" t="s">
        <v>103</v>
      </c>
      <c r="M37" s="14" t="s">
        <v>121</v>
      </c>
      <c r="N37" s="14">
        <v>2018</v>
      </c>
      <c r="O37" s="14">
        <v>2</v>
      </c>
      <c r="P37" s="14" t="s">
        <v>105</v>
      </c>
      <c r="Q37" s="14">
        <v>1</v>
      </c>
      <c r="R37" s="14">
        <v>1</v>
      </c>
      <c r="S37" s="17">
        <v>44834.438784722217</v>
      </c>
      <c r="T37" s="18">
        <v>354.0859999999999</v>
      </c>
      <c r="U37" s="14">
        <v>30</v>
      </c>
      <c r="V37" s="19">
        <v>1</v>
      </c>
      <c r="W37" s="14">
        <v>0</v>
      </c>
      <c r="X37" s="14">
        <v>26</v>
      </c>
      <c r="Y37" s="14">
        <v>25</v>
      </c>
      <c r="Z37" s="14">
        <v>0</v>
      </c>
      <c r="AA37" s="14">
        <f>Tabla13[[#This Row],[CheckList App]]+Tabla13[[#This Row],[CheckList Fisc]]</f>
        <v>25</v>
      </c>
      <c r="AB37" s="19">
        <f t="shared" si="0"/>
        <v>0.96153846153846156</v>
      </c>
      <c r="AC37" s="14">
        <v>18</v>
      </c>
      <c r="AD37" s="14" t="s">
        <v>70</v>
      </c>
      <c r="AE37" s="22" t="str">
        <f>IFERROR((VLOOKUP(Tabla13[[#This Row],[ID]],[1]!Mtto_Pesv[[#Headers],[#Data],[Placa]:[Rutina]],2,FALSE)),"-")</f>
        <v>-</v>
      </c>
      <c r="AF37" s="14">
        <v>1</v>
      </c>
      <c r="AG37" s="20">
        <f>IFERROR((VLOOKUP(Tabla13[[#This Row],[ID]],[1]!Mtto_Pesv[[#Headers],[#Data],[Placa]:[Rutina]],3,FALSE)),0)</f>
        <v>0</v>
      </c>
      <c r="AH37" s="20">
        <f>IFERROR((VLOOKUP(Tabla13[[#This Row],[ID]],[1]!Mtto_Pesv[[#Headers],[#Data],[Placa]:[Rutina]],7,FALSE)),0)</f>
        <v>0</v>
      </c>
      <c r="AI37" s="20">
        <f>IFERROR((VLOOKUP(Tabla13[[#This Row],[ID]],[1]!Mtto_Pesv[[#Headers],[#Data],[Placa]:[Rutina]],8,FALSE)),0)</f>
        <v>0</v>
      </c>
      <c r="AJ37" s="20" t="str">
        <f>IFERROR((VLOOKUP(Tabla13[[#This Row],[ID]],[1]!Mtto_Pesv[[#Headers],[#Data],[Placa]:[Rutina]],9,FALSE)),"-")</f>
        <v>-</v>
      </c>
      <c r="AK37" s="20">
        <f>IFERROR((VLOOKUP(Tabla13[[#This Row],[ID]],[1]!Mtto_Pesv[[#Headers],[#Data],[Placa]:[Rutina]],10,FALSE)),0)</f>
        <v>0</v>
      </c>
      <c r="AL37" s="20">
        <f>IF(Tabla13[[#This Row],[Km Anterior]]=0,0,Tabla13[[#This Row],[Km Ejecut]]-Tabla13[[#This Row],[Km Anterior]])</f>
        <v>0</v>
      </c>
      <c r="AM37" s="20">
        <f>IFERROR((VLOOKUP(Tabla13[[#This Row],[ID]],[1]!Mtto_Pesv[[#Headers],[#Data],[Placa]:[Rutina]],4,FALSE)),0)</f>
        <v>0</v>
      </c>
      <c r="AN37" s="21">
        <f>IFERROR((VLOOKUP(Tabla13[[#This Row],[ID]],[1]!Mtto_Pesv[[#Headers],[#Data],[Placa]:[Rutina]],5,FALSE)),0)</f>
        <v>0</v>
      </c>
      <c r="AO37" s="21">
        <f>+Tabla13[[#This Row],[Km Fin]]-Tabla13[[#This Row],[Km Ini]]</f>
        <v>0</v>
      </c>
      <c r="AP37" s="20">
        <f>IFERROR((VLOOKUP(Tabla13[[#This Row],[ID]],[1]!Estilo_Conduccion[[#All],[Placa]:[Puntuacion]],15,FALSE)),0)</f>
        <v>3246.2000000000007</v>
      </c>
      <c r="AQ37" s="15" t="s">
        <v>54</v>
      </c>
      <c r="AR37" s="15" t="s">
        <v>54</v>
      </c>
      <c r="AS37" s="20">
        <v>2350</v>
      </c>
      <c r="AT37" s="21">
        <v>0</v>
      </c>
      <c r="AU37" s="21">
        <f>(Tabla13[[#This Row],[Cap Vh]]*$AX$2)*0.56</f>
        <v>0</v>
      </c>
      <c r="AV37" s="36" t="e">
        <f>(Tabla13[[#This Row],[Cap Util (kg)]]/(Tabla13[[#This Row],[Cap Inst (Kg)]]))</f>
        <v>#DIV/0!</v>
      </c>
    </row>
    <row r="38" spans="1:48" x14ac:dyDescent="0.25">
      <c r="A38" s="13" t="s">
        <v>1068</v>
      </c>
      <c r="B38" s="14" t="s">
        <v>122</v>
      </c>
      <c r="C38" s="14" t="s">
        <v>44</v>
      </c>
      <c r="D38" s="14" t="s">
        <v>44</v>
      </c>
      <c r="E38" s="14" t="s">
        <v>58</v>
      </c>
      <c r="F38" s="14" t="s">
        <v>76</v>
      </c>
      <c r="G38" s="15" t="s">
        <v>47</v>
      </c>
      <c r="H38" s="16" t="s">
        <v>48</v>
      </c>
      <c r="I38" s="14" t="s">
        <v>49</v>
      </c>
      <c r="J38" s="14">
        <v>830064700</v>
      </c>
      <c r="K38" s="14" t="s">
        <v>50</v>
      </c>
      <c r="L38" s="14" t="s">
        <v>103</v>
      </c>
      <c r="M38" s="14" t="s">
        <v>121</v>
      </c>
      <c r="N38" s="14">
        <v>2018</v>
      </c>
      <c r="O38" s="14">
        <v>2</v>
      </c>
      <c r="P38" s="14" t="s">
        <v>105</v>
      </c>
      <c r="Q38" s="14">
        <v>0</v>
      </c>
      <c r="R38" s="14">
        <v>0</v>
      </c>
      <c r="S38" s="17" t="s">
        <v>54</v>
      </c>
      <c r="T38" s="18">
        <v>0</v>
      </c>
      <c r="U38" s="14">
        <v>30</v>
      </c>
      <c r="V38" s="19">
        <v>1</v>
      </c>
      <c r="W38" s="14">
        <v>0</v>
      </c>
      <c r="X38" s="14">
        <v>0</v>
      </c>
      <c r="Y38" s="14">
        <v>0</v>
      </c>
      <c r="Z38" s="14">
        <v>0</v>
      </c>
      <c r="AA38" s="14">
        <f>Tabla13[[#This Row],[CheckList App]]+Tabla13[[#This Row],[CheckList Fisc]]</f>
        <v>0</v>
      </c>
      <c r="AB38" s="19">
        <f t="shared" si="0"/>
        <v>0</v>
      </c>
      <c r="AC38" s="14">
        <v>0</v>
      </c>
      <c r="AD38" s="14" t="s">
        <v>55</v>
      </c>
      <c r="AE38" s="15" t="str">
        <f>IFERROR((VLOOKUP(Tabla13[[#This Row],[ID]],[1]!Mtto_Pesv[[#Headers],[#Data],[Placa]:[Rutina]],2,FALSE)),"-")</f>
        <v>-</v>
      </c>
      <c r="AF38" s="14">
        <v>0</v>
      </c>
      <c r="AG38" s="20">
        <f>IFERROR((VLOOKUP(Tabla13[[#This Row],[ID]],[1]!Mtto_Pesv[[#Headers],[#Data],[Placa]:[Rutina]],3,FALSE)),0)</f>
        <v>0</v>
      </c>
      <c r="AH38" s="20">
        <f>IFERROR((VLOOKUP(Tabla13[[#This Row],[ID]],[1]!Mtto_Pesv[[#Headers],[#Data],[Placa]:[Rutina]],7,FALSE)),0)</f>
        <v>0</v>
      </c>
      <c r="AI38" s="20">
        <f>IFERROR((VLOOKUP(Tabla13[[#This Row],[ID]],[1]!Mtto_Pesv[[#Headers],[#Data],[Placa]:[Rutina]],8,FALSE)),0)</f>
        <v>0</v>
      </c>
      <c r="AJ38" s="20" t="str">
        <f>IFERROR((VLOOKUP(Tabla13[[#This Row],[ID]],[1]!Mtto_Pesv[[#Headers],[#Data],[Placa]:[Rutina]],9,FALSE)),"-")</f>
        <v>-</v>
      </c>
      <c r="AK38" s="20">
        <f>IFERROR((VLOOKUP(Tabla13[[#This Row],[ID]],[1]!Mtto_Pesv[[#Headers],[#Data],[Placa]:[Rutina]],10,FALSE)),0)</f>
        <v>0</v>
      </c>
      <c r="AL38" s="20">
        <f>IF(Tabla13[[#This Row],[Km Anterior]]=0,0,Tabla13[[#This Row],[Km Ejecut]]-Tabla13[[#This Row],[Km Anterior]])</f>
        <v>0</v>
      </c>
      <c r="AM38" s="20">
        <f>IFERROR((VLOOKUP(Tabla13[[#This Row],[ID]],[1]!Mtto_Pesv[[#Headers],[#Data],[Placa]:[Rutina]],4,FALSE)),0)</f>
        <v>0</v>
      </c>
      <c r="AN38" s="21">
        <f>IFERROR((VLOOKUP(Tabla13[[#This Row],[ID]],[1]!Mtto_Pesv[[#Headers],[#Data],[Placa]:[Rutina]],5,FALSE)),0)</f>
        <v>0</v>
      </c>
      <c r="AO38" s="21">
        <f>+Tabla13[[#This Row],[Km Fin]]-Tabla13[[#This Row],[Km Ini]]</f>
        <v>0</v>
      </c>
      <c r="AP38" s="20">
        <f>IFERROR((VLOOKUP(Tabla13[[#This Row],[ID]],[1]!Estilo_Conduccion[[#All],[Placa]:[Puntuacion]],15,FALSE)),0)</f>
        <v>0</v>
      </c>
      <c r="AQ38" s="15" t="s">
        <v>1070</v>
      </c>
      <c r="AR38" s="15" t="s">
        <v>1071</v>
      </c>
      <c r="AS38" s="20">
        <v>2350</v>
      </c>
      <c r="AT38" s="21">
        <v>3775.4166666666665</v>
      </c>
      <c r="AU38" s="21">
        <f>(Tabla13[[#This Row],[Cap Vh]]*$AX$2)*0.56</f>
        <v>0</v>
      </c>
      <c r="AV38" s="36" t="e">
        <f>(Tabla13[[#This Row],[Cap Util (kg)]]/(Tabla13[[#This Row],[Cap Inst (Kg)]]))</f>
        <v>#DIV/0!</v>
      </c>
    </row>
    <row r="39" spans="1:48" x14ac:dyDescent="0.25">
      <c r="A39" s="13" t="s">
        <v>1068</v>
      </c>
      <c r="B39" s="14" t="s">
        <v>123</v>
      </c>
      <c r="C39" s="14" t="s">
        <v>44</v>
      </c>
      <c r="D39" s="14" t="s">
        <v>44</v>
      </c>
      <c r="E39" s="14" t="s">
        <v>85</v>
      </c>
      <c r="F39" s="14" t="s">
        <v>46</v>
      </c>
      <c r="G39" s="15" t="s">
        <v>47</v>
      </c>
      <c r="H39" s="16" t="s">
        <v>48</v>
      </c>
      <c r="I39" s="14" t="s">
        <v>109</v>
      </c>
      <c r="J39" s="14">
        <v>830064700</v>
      </c>
      <c r="K39" s="14" t="s">
        <v>50</v>
      </c>
      <c r="L39" s="14" t="s">
        <v>103</v>
      </c>
      <c r="M39" s="14" t="s">
        <v>121</v>
      </c>
      <c r="N39" s="14">
        <v>2018</v>
      </c>
      <c r="O39" s="14">
        <v>2</v>
      </c>
      <c r="P39" s="14" t="s">
        <v>105</v>
      </c>
      <c r="Q39" s="14">
        <v>0</v>
      </c>
      <c r="R39" s="14">
        <v>0</v>
      </c>
      <c r="S39" s="17" t="s">
        <v>54</v>
      </c>
      <c r="T39" s="18">
        <v>0</v>
      </c>
      <c r="U39" s="14">
        <v>30</v>
      </c>
      <c r="V39" s="19">
        <v>1</v>
      </c>
      <c r="W39" s="14">
        <v>0</v>
      </c>
      <c r="X39" s="14">
        <v>26</v>
      </c>
      <c r="Y39" s="14">
        <v>2</v>
      </c>
      <c r="Z39" s="14">
        <v>0</v>
      </c>
      <c r="AA39" s="14">
        <f>Tabla13[[#This Row],[CheckList App]]+Tabla13[[#This Row],[CheckList Fisc]]</f>
        <v>2</v>
      </c>
      <c r="AB39" s="19">
        <f t="shared" si="0"/>
        <v>7.6923076923076927E-2</v>
      </c>
      <c r="AC39" s="14">
        <v>0</v>
      </c>
      <c r="AD39" s="14" t="s">
        <v>70</v>
      </c>
      <c r="AE39" s="15" t="str">
        <f>IFERROR((VLOOKUP(Tabla13[[#This Row],[ID]],[1]!Mtto_Pesv[[#Headers],[#Data],[Placa]:[Rutina]],2,FALSE)),"-")</f>
        <v>-</v>
      </c>
      <c r="AF39" s="14">
        <v>1</v>
      </c>
      <c r="AG39" s="20">
        <f>IFERROR((VLOOKUP(Tabla13[[#This Row],[ID]],[1]!Mtto_Pesv[[#Headers],[#Data],[Placa]:[Rutina]],3,FALSE)),0)</f>
        <v>0</v>
      </c>
      <c r="AH39" s="20">
        <f>IFERROR((VLOOKUP(Tabla13[[#This Row],[ID]],[1]!Mtto_Pesv[[#Headers],[#Data],[Placa]:[Rutina]],7,FALSE)),0)</f>
        <v>0</v>
      </c>
      <c r="AI39" s="20">
        <f>IFERROR((VLOOKUP(Tabla13[[#This Row],[ID]],[1]!Mtto_Pesv[[#Headers],[#Data],[Placa]:[Rutina]],8,FALSE)),0)</f>
        <v>0</v>
      </c>
      <c r="AJ39" s="20" t="str">
        <f>IFERROR((VLOOKUP(Tabla13[[#This Row],[ID]],[1]!Mtto_Pesv[[#Headers],[#Data],[Placa]:[Rutina]],9,FALSE)),"-")</f>
        <v>-</v>
      </c>
      <c r="AK39" s="20">
        <f>IFERROR((VLOOKUP(Tabla13[[#This Row],[ID]],[1]!Mtto_Pesv[[#Headers],[#Data],[Placa]:[Rutina]],10,FALSE)),0)</f>
        <v>0</v>
      </c>
      <c r="AL39" s="20">
        <f>IF(Tabla13[[#This Row],[Km Anterior]]=0,0,Tabla13[[#This Row],[Km Ejecut]]-Tabla13[[#This Row],[Km Anterior]])</f>
        <v>0</v>
      </c>
      <c r="AM39" s="20">
        <f>IFERROR((VLOOKUP(Tabla13[[#This Row],[ID]],[1]!Mtto_Pesv[[#Headers],[#Data],[Placa]:[Rutina]],4,FALSE)),0)</f>
        <v>0</v>
      </c>
      <c r="AN39" s="21">
        <f>IFERROR((VLOOKUP(Tabla13[[#This Row],[ID]],[1]!Mtto_Pesv[[#Headers],[#Data],[Placa]:[Rutina]],5,FALSE)),0)</f>
        <v>0</v>
      </c>
      <c r="AO39" s="21">
        <f>+Tabla13[[#This Row],[Km Fin]]-Tabla13[[#This Row],[Km Ini]]</f>
        <v>0</v>
      </c>
      <c r="AP39" s="20">
        <f>IFERROR((VLOOKUP(Tabla13[[#This Row],[ID]],[1]!Estilo_Conduccion[[#All],[Placa]:[Puntuacion]],15,FALSE)),0)</f>
        <v>0</v>
      </c>
      <c r="AQ39" s="15" t="s">
        <v>1096</v>
      </c>
      <c r="AR39" s="15" t="s">
        <v>1097</v>
      </c>
      <c r="AS39" s="20">
        <v>2350</v>
      </c>
      <c r="AT39" s="21">
        <v>10134</v>
      </c>
      <c r="AU39" s="21">
        <f>(Tabla13[[#This Row],[Cap Vh]]*$AX$2)*0.56</f>
        <v>0</v>
      </c>
      <c r="AV39" s="36" t="e">
        <f>(Tabla13[[#This Row],[Cap Util (kg)]]/(Tabla13[[#This Row],[Cap Inst (Kg)]]))</f>
        <v>#DIV/0!</v>
      </c>
    </row>
    <row r="40" spans="1:48" x14ac:dyDescent="0.25">
      <c r="A40" s="13" t="s">
        <v>1068</v>
      </c>
      <c r="B40" s="14" t="s">
        <v>124</v>
      </c>
      <c r="C40" s="14" t="s">
        <v>44</v>
      </c>
      <c r="D40" s="14" t="s">
        <v>44</v>
      </c>
      <c r="E40" s="14" t="s">
        <v>45</v>
      </c>
      <c r="F40" s="14" t="s">
        <v>46</v>
      </c>
      <c r="G40" s="15" t="s">
        <v>47</v>
      </c>
      <c r="H40" s="16" t="s">
        <v>48</v>
      </c>
      <c r="I40" s="14" t="s">
        <v>49</v>
      </c>
      <c r="J40" s="14">
        <v>900335279</v>
      </c>
      <c r="K40" s="14" t="s">
        <v>77</v>
      </c>
      <c r="L40" s="14" t="s">
        <v>103</v>
      </c>
      <c r="M40" s="14" t="s">
        <v>121</v>
      </c>
      <c r="N40" s="14">
        <v>2019</v>
      </c>
      <c r="O40" s="14">
        <v>1</v>
      </c>
      <c r="P40" s="14" t="s">
        <v>105</v>
      </c>
      <c r="Q40" s="14">
        <v>1</v>
      </c>
      <c r="R40" s="14">
        <v>0</v>
      </c>
      <c r="S40" s="17" t="s">
        <v>54</v>
      </c>
      <c r="T40" s="18">
        <v>0</v>
      </c>
      <c r="U40" s="14">
        <v>30</v>
      </c>
      <c r="V40" s="19">
        <v>1</v>
      </c>
      <c r="W40" s="14">
        <v>0</v>
      </c>
      <c r="X40" s="14">
        <v>0</v>
      </c>
      <c r="Y40" s="14">
        <v>0</v>
      </c>
      <c r="Z40" s="14">
        <v>0</v>
      </c>
      <c r="AA40" s="14">
        <f>Tabla13[[#This Row],[CheckList App]]+Tabla13[[#This Row],[CheckList Fisc]]</f>
        <v>0</v>
      </c>
      <c r="AB40" s="19">
        <f t="shared" si="0"/>
        <v>0</v>
      </c>
      <c r="AC40" s="14">
        <v>0</v>
      </c>
      <c r="AD40" s="14" t="s">
        <v>55</v>
      </c>
      <c r="AE40" s="15" t="str">
        <f>IFERROR((VLOOKUP(Tabla13[[#This Row],[ID]],[1]!Mtto_Pesv[[#Headers],[#Data],[Placa]:[Rutina]],2,FALSE)),"-")</f>
        <v>-</v>
      </c>
      <c r="AF40" s="14">
        <v>0</v>
      </c>
      <c r="AG40" s="20">
        <f>IFERROR((VLOOKUP(Tabla13[[#This Row],[ID]],[1]!Mtto_Pesv[[#Headers],[#Data],[Placa]:[Rutina]],3,FALSE)),0)</f>
        <v>0</v>
      </c>
      <c r="AH40" s="20">
        <f>IFERROR((VLOOKUP(Tabla13[[#This Row],[ID]],[1]!Mtto_Pesv[[#Headers],[#Data],[Placa]:[Rutina]],7,FALSE)),0)</f>
        <v>0</v>
      </c>
      <c r="AI40" s="20">
        <f>IFERROR((VLOOKUP(Tabla13[[#This Row],[ID]],[1]!Mtto_Pesv[[#Headers],[#Data],[Placa]:[Rutina]],8,FALSE)),0)</f>
        <v>0</v>
      </c>
      <c r="AJ40" s="20" t="str">
        <f>IFERROR((VLOOKUP(Tabla13[[#This Row],[ID]],[1]!Mtto_Pesv[[#Headers],[#Data],[Placa]:[Rutina]],9,FALSE)),"-")</f>
        <v>-</v>
      </c>
      <c r="AK40" s="20">
        <f>IFERROR((VLOOKUP(Tabla13[[#This Row],[ID]],[1]!Mtto_Pesv[[#Headers],[#Data],[Placa]:[Rutina]],10,FALSE)),0)</f>
        <v>0</v>
      </c>
      <c r="AL40" s="20">
        <f>IF(Tabla13[[#This Row],[Km Anterior]]=0,0,Tabla13[[#This Row],[Km Ejecut]]-Tabla13[[#This Row],[Km Anterior]])</f>
        <v>0</v>
      </c>
      <c r="AM40" s="20">
        <f>IFERROR((VLOOKUP(Tabla13[[#This Row],[ID]],[1]!Mtto_Pesv[[#Headers],[#Data],[Placa]:[Rutina]],4,FALSE)),0)</f>
        <v>0</v>
      </c>
      <c r="AN40" s="21">
        <f>IFERROR((VLOOKUP(Tabla13[[#This Row],[ID]],[1]!Mtto_Pesv[[#Headers],[#Data],[Placa]:[Rutina]],5,FALSE)),0)</f>
        <v>0</v>
      </c>
      <c r="AO40" s="21">
        <f>+Tabla13[[#This Row],[Km Fin]]-Tabla13[[#This Row],[Km Ini]]</f>
        <v>0</v>
      </c>
      <c r="AP40" s="20">
        <f>IFERROR((VLOOKUP(Tabla13[[#This Row],[ID]],[1]!Estilo_Conduccion[[#All],[Placa]:[Puntuacion]],15,FALSE)),0)</f>
        <v>767.4</v>
      </c>
      <c r="AQ40" s="15" t="s">
        <v>1098</v>
      </c>
      <c r="AR40" s="15" t="s">
        <v>1099</v>
      </c>
      <c r="AS40" s="20">
        <v>2200</v>
      </c>
      <c r="AT40" s="21">
        <v>3975</v>
      </c>
      <c r="AU40" s="21">
        <f>(Tabla13[[#This Row],[Cap Vh]]*$AX$2)*0.56</f>
        <v>0</v>
      </c>
      <c r="AV40" s="36" t="e">
        <f>(Tabla13[[#This Row],[Cap Util (kg)]]/(Tabla13[[#This Row],[Cap Inst (Kg)]]))</f>
        <v>#DIV/0!</v>
      </c>
    </row>
    <row r="41" spans="1:48" x14ac:dyDescent="0.25">
      <c r="A41" s="13" t="s">
        <v>1068</v>
      </c>
      <c r="B41" s="14" t="s">
        <v>125</v>
      </c>
      <c r="C41" s="14" t="s">
        <v>44</v>
      </c>
      <c r="D41" s="14" t="s">
        <v>44</v>
      </c>
      <c r="E41" s="14" t="s">
        <v>113</v>
      </c>
      <c r="F41" s="14" t="s">
        <v>64</v>
      </c>
      <c r="G41" s="15" t="s">
        <v>119</v>
      </c>
      <c r="H41" s="16" t="s">
        <v>120</v>
      </c>
      <c r="I41" s="14" t="s">
        <v>109</v>
      </c>
      <c r="J41" s="14">
        <v>900335279</v>
      </c>
      <c r="K41" s="14" t="s">
        <v>77</v>
      </c>
      <c r="L41" s="14" t="s">
        <v>103</v>
      </c>
      <c r="M41" s="14" t="s">
        <v>121</v>
      </c>
      <c r="N41" s="14">
        <v>2018</v>
      </c>
      <c r="O41" s="14">
        <v>2</v>
      </c>
      <c r="P41" s="14" t="s">
        <v>105</v>
      </c>
      <c r="Q41" s="14">
        <v>1</v>
      </c>
      <c r="R41" s="14">
        <v>1</v>
      </c>
      <c r="S41" s="17">
        <v>44834.517048611109</v>
      </c>
      <c r="T41" s="18">
        <v>193.631</v>
      </c>
      <c r="U41" s="14">
        <v>30</v>
      </c>
      <c r="V41" s="19">
        <v>1</v>
      </c>
      <c r="W41" s="14">
        <v>0</v>
      </c>
      <c r="X41" s="14">
        <v>26</v>
      </c>
      <c r="Y41" s="14">
        <v>18</v>
      </c>
      <c r="Z41" s="14">
        <v>0</v>
      </c>
      <c r="AA41" s="14">
        <f>Tabla13[[#This Row],[CheckList App]]+Tabla13[[#This Row],[CheckList Fisc]]</f>
        <v>18</v>
      </c>
      <c r="AB41" s="19">
        <f t="shared" si="0"/>
        <v>0.69230769230769229</v>
      </c>
      <c r="AC41" s="14">
        <v>4</v>
      </c>
      <c r="AD41" s="14" t="s">
        <v>70</v>
      </c>
      <c r="AE41" s="22" t="str">
        <f>IFERROR((VLOOKUP(Tabla13[[#This Row],[ID]],[1]!Mtto_Pesv[[#Headers],[#Data],[Placa]:[Rutina]],2,FALSE)),"-")</f>
        <v>-</v>
      </c>
      <c r="AF41" s="14">
        <v>1</v>
      </c>
      <c r="AG41" s="20">
        <f>IFERROR((VLOOKUP(Tabla13[[#This Row],[ID]],[1]!Mtto_Pesv[[#Headers],[#Data],[Placa]:[Rutina]],3,FALSE)),0)</f>
        <v>0</v>
      </c>
      <c r="AH41" s="20">
        <f>IFERROR((VLOOKUP(Tabla13[[#This Row],[ID]],[1]!Mtto_Pesv[[#Headers],[#Data],[Placa]:[Rutina]],7,FALSE)),0)</f>
        <v>0</v>
      </c>
      <c r="AI41" s="20">
        <f>IFERROR((VLOOKUP(Tabla13[[#This Row],[ID]],[1]!Mtto_Pesv[[#Headers],[#Data],[Placa]:[Rutina]],8,FALSE)),0)</f>
        <v>0</v>
      </c>
      <c r="AJ41" s="20" t="str">
        <f>IFERROR((VLOOKUP(Tabla13[[#This Row],[ID]],[1]!Mtto_Pesv[[#Headers],[#Data],[Placa]:[Rutina]],9,FALSE)),"-")</f>
        <v>-</v>
      </c>
      <c r="AK41" s="20">
        <f>IFERROR((VLOOKUP(Tabla13[[#This Row],[ID]],[1]!Mtto_Pesv[[#Headers],[#Data],[Placa]:[Rutina]],10,FALSE)),0)</f>
        <v>0</v>
      </c>
      <c r="AL41" s="20">
        <f>IF(Tabla13[[#This Row],[Km Anterior]]=0,0,Tabla13[[#This Row],[Km Ejecut]]-Tabla13[[#This Row],[Km Anterior]])</f>
        <v>0</v>
      </c>
      <c r="AM41" s="20">
        <f>IFERROR((VLOOKUP(Tabla13[[#This Row],[ID]],[1]!Mtto_Pesv[[#Headers],[#Data],[Placa]:[Rutina]],4,FALSE)),0)</f>
        <v>0</v>
      </c>
      <c r="AN41" s="21">
        <f>IFERROR((VLOOKUP(Tabla13[[#This Row],[ID]],[1]!Mtto_Pesv[[#Headers],[#Data],[Placa]:[Rutina]],5,FALSE)),0)</f>
        <v>0</v>
      </c>
      <c r="AO41" s="21">
        <f>+Tabla13[[#This Row],[Km Fin]]-Tabla13[[#This Row],[Km Ini]]</f>
        <v>0</v>
      </c>
      <c r="AP41" s="20">
        <f>IFERROR((VLOOKUP(Tabla13[[#This Row],[ID]],[1]!Estilo_Conduccion[[#All],[Placa]:[Puntuacion]],15,FALSE)),0)</f>
        <v>182</v>
      </c>
      <c r="AQ41" s="15" t="s">
        <v>54</v>
      </c>
      <c r="AR41" s="15" t="s">
        <v>54</v>
      </c>
      <c r="AS41" s="20">
        <v>2200</v>
      </c>
      <c r="AT41" s="21">
        <v>0</v>
      </c>
      <c r="AU41" s="21">
        <f>(Tabla13[[#This Row],[Cap Vh]]*$AX$2)*0.56</f>
        <v>0</v>
      </c>
      <c r="AV41" s="36" t="e">
        <f>(Tabla13[[#This Row],[Cap Util (kg)]]/(Tabla13[[#This Row],[Cap Inst (Kg)]]))</f>
        <v>#DIV/0!</v>
      </c>
    </row>
    <row r="42" spans="1:48" x14ac:dyDescent="0.25">
      <c r="A42" s="13" t="s">
        <v>1068</v>
      </c>
      <c r="B42" s="14" t="s">
        <v>126</v>
      </c>
      <c r="C42" s="14" t="s">
        <v>44</v>
      </c>
      <c r="D42" s="14" t="s">
        <v>44</v>
      </c>
      <c r="E42" s="14" t="s">
        <v>127</v>
      </c>
      <c r="F42" s="14" t="s">
        <v>64</v>
      </c>
      <c r="G42" s="15" t="s">
        <v>128</v>
      </c>
      <c r="H42" s="16" t="s">
        <v>129</v>
      </c>
      <c r="I42" s="14" t="s">
        <v>49</v>
      </c>
      <c r="J42" s="14">
        <v>900335279</v>
      </c>
      <c r="K42" s="14" t="s">
        <v>77</v>
      </c>
      <c r="L42" s="14" t="s">
        <v>103</v>
      </c>
      <c r="M42" s="14" t="s">
        <v>121</v>
      </c>
      <c r="N42" s="14">
        <v>2018</v>
      </c>
      <c r="O42" s="14">
        <v>2</v>
      </c>
      <c r="P42" s="14" t="s">
        <v>105</v>
      </c>
      <c r="Q42" s="14">
        <v>1</v>
      </c>
      <c r="R42" s="14">
        <v>0</v>
      </c>
      <c r="S42" s="17" t="s">
        <v>54</v>
      </c>
      <c r="T42" s="18">
        <v>0</v>
      </c>
      <c r="U42" s="14">
        <v>30</v>
      </c>
      <c r="V42" s="19">
        <v>1</v>
      </c>
      <c r="W42" s="14">
        <v>0</v>
      </c>
      <c r="X42" s="14">
        <v>22</v>
      </c>
      <c r="Y42" s="14">
        <v>0</v>
      </c>
      <c r="Z42" s="14">
        <v>17</v>
      </c>
      <c r="AA42" s="14">
        <f>Tabla13[[#This Row],[CheckList App]]+Tabla13[[#This Row],[CheckList Fisc]]</f>
        <v>17</v>
      </c>
      <c r="AB42" s="19">
        <f t="shared" si="0"/>
        <v>0.77272727272727271</v>
      </c>
      <c r="AC42" s="14">
        <v>0</v>
      </c>
      <c r="AD42" s="14" t="s">
        <v>70</v>
      </c>
      <c r="AE42" s="15" t="str">
        <f>IFERROR((VLOOKUP(Tabla13[[#This Row],[ID]],[1]!Mtto_Pesv[[#Headers],[#Data],[Placa]:[Rutina]],2,FALSE)),"-")</f>
        <v>-</v>
      </c>
      <c r="AF42" s="14">
        <v>1</v>
      </c>
      <c r="AG42" s="20">
        <f>IFERROR((VLOOKUP(Tabla13[[#This Row],[ID]],[1]!Mtto_Pesv[[#Headers],[#Data],[Placa]:[Rutina]],3,FALSE)),0)</f>
        <v>0</v>
      </c>
      <c r="AH42" s="20">
        <f>IFERROR((VLOOKUP(Tabla13[[#This Row],[ID]],[1]!Mtto_Pesv[[#Headers],[#Data],[Placa]:[Rutina]],7,FALSE)),0)</f>
        <v>0</v>
      </c>
      <c r="AI42" s="20">
        <f>IFERROR((VLOOKUP(Tabla13[[#This Row],[ID]],[1]!Mtto_Pesv[[#Headers],[#Data],[Placa]:[Rutina]],8,FALSE)),0)</f>
        <v>0</v>
      </c>
      <c r="AJ42" s="20" t="str">
        <f>IFERROR((VLOOKUP(Tabla13[[#This Row],[ID]],[1]!Mtto_Pesv[[#Headers],[#Data],[Placa]:[Rutina]],9,FALSE)),"-")</f>
        <v>-</v>
      </c>
      <c r="AK42" s="20">
        <f>IFERROR((VLOOKUP(Tabla13[[#This Row],[ID]],[1]!Mtto_Pesv[[#Headers],[#Data],[Placa]:[Rutina]],10,FALSE)),0)</f>
        <v>0</v>
      </c>
      <c r="AL42" s="20">
        <f>IF(Tabla13[[#This Row],[Km Anterior]]=0,0,Tabla13[[#This Row],[Km Ejecut]]-Tabla13[[#This Row],[Km Anterior]])</f>
        <v>0</v>
      </c>
      <c r="AM42" s="20">
        <f>IFERROR((VLOOKUP(Tabla13[[#This Row],[ID]],[1]!Mtto_Pesv[[#Headers],[#Data],[Placa]:[Rutina]],4,FALSE)),0)</f>
        <v>0</v>
      </c>
      <c r="AN42" s="21">
        <f>IFERROR((VLOOKUP(Tabla13[[#This Row],[ID]],[1]!Mtto_Pesv[[#Headers],[#Data],[Placa]:[Rutina]],5,FALSE)),0)</f>
        <v>0</v>
      </c>
      <c r="AO42" s="21">
        <f>+Tabla13[[#This Row],[Km Fin]]-Tabla13[[#This Row],[Km Ini]]</f>
        <v>0</v>
      </c>
      <c r="AP42" s="20">
        <f>IFERROR((VLOOKUP(Tabla13[[#This Row],[ID]],[1]!Estilo_Conduccion[[#All],[Placa]:[Puntuacion]],15,FALSE)),0)</f>
        <v>4499</v>
      </c>
      <c r="AQ42" s="15" t="s">
        <v>1100</v>
      </c>
      <c r="AR42" s="15" t="s">
        <v>1101</v>
      </c>
      <c r="AS42" s="20">
        <v>2200</v>
      </c>
      <c r="AT42" s="21">
        <v>15483</v>
      </c>
      <c r="AU42" s="21">
        <f>(Tabla13[[#This Row],[Cap Vh]]*$AX$2)*0.56</f>
        <v>0</v>
      </c>
      <c r="AV42" s="36" t="e">
        <f>(Tabla13[[#This Row],[Cap Util (kg)]]/(Tabla13[[#This Row],[Cap Inst (Kg)]]))</f>
        <v>#DIV/0!</v>
      </c>
    </row>
    <row r="43" spans="1:48" x14ac:dyDescent="0.25">
      <c r="A43" s="13" t="s">
        <v>1068</v>
      </c>
      <c r="B43" s="14" t="s">
        <v>130</v>
      </c>
      <c r="C43" s="14" t="s">
        <v>44</v>
      </c>
      <c r="D43" s="14" t="s">
        <v>44</v>
      </c>
      <c r="E43" s="14" t="s">
        <v>45</v>
      </c>
      <c r="F43" s="14" t="s">
        <v>46</v>
      </c>
      <c r="G43" s="15" t="s">
        <v>47</v>
      </c>
      <c r="H43" s="16" t="s">
        <v>48</v>
      </c>
      <c r="I43" s="14" t="s">
        <v>49</v>
      </c>
      <c r="J43" s="14">
        <v>900335279</v>
      </c>
      <c r="K43" s="14" t="s">
        <v>77</v>
      </c>
      <c r="L43" s="14" t="s">
        <v>103</v>
      </c>
      <c r="M43" s="14" t="s">
        <v>121</v>
      </c>
      <c r="N43" s="14">
        <v>2019</v>
      </c>
      <c r="O43" s="14">
        <v>1</v>
      </c>
      <c r="P43" s="14" t="s">
        <v>105</v>
      </c>
      <c r="Q43" s="14">
        <v>1</v>
      </c>
      <c r="R43" s="14">
        <v>0</v>
      </c>
      <c r="S43" s="17" t="s">
        <v>54</v>
      </c>
      <c r="T43" s="18">
        <v>0</v>
      </c>
      <c r="U43" s="14">
        <v>30</v>
      </c>
      <c r="V43" s="19">
        <v>1</v>
      </c>
      <c r="W43" s="14">
        <v>0</v>
      </c>
      <c r="X43" s="14">
        <v>0</v>
      </c>
      <c r="Y43" s="14">
        <v>0</v>
      </c>
      <c r="Z43" s="14">
        <v>0</v>
      </c>
      <c r="AA43" s="14">
        <f>Tabla13[[#This Row],[CheckList App]]+Tabla13[[#This Row],[CheckList Fisc]]</f>
        <v>0</v>
      </c>
      <c r="AB43" s="19">
        <f t="shared" si="0"/>
        <v>0</v>
      </c>
      <c r="AC43" s="14">
        <v>0</v>
      </c>
      <c r="AD43" s="14" t="s">
        <v>70</v>
      </c>
      <c r="AE43" s="15" t="str">
        <f>IFERROR((VLOOKUP(Tabla13[[#This Row],[ID]],[1]!Mtto_Pesv[[#Headers],[#Data],[Placa]:[Rutina]],2,FALSE)),"-")</f>
        <v>-</v>
      </c>
      <c r="AF43" s="14">
        <v>1</v>
      </c>
      <c r="AG43" s="20">
        <f>IFERROR((VLOOKUP(Tabla13[[#This Row],[ID]],[1]!Mtto_Pesv[[#Headers],[#Data],[Placa]:[Rutina]],3,FALSE)),0)</f>
        <v>0</v>
      </c>
      <c r="AH43" s="20">
        <f>IFERROR((VLOOKUP(Tabla13[[#This Row],[ID]],[1]!Mtto_Pesv[[#Headers],[#Data],[Placa]:[Rutina]],7,FALSE)),0)</f>
        <v>0</v>
      </c>
      <c r="AI43" s="20">
        <f>IFERROR((VLOOKUP(Tabla13[[#This Row],[ID]],[1]!Mtto_Pesv[[#Headers],[#Data],[Placa]:[Rutina]],8,FALSE)),0)</f>
        <v>0</v>
      </c>
      <c r="AJ43" s="20" t="str">
        <f>IFERROR((VLOOKUP(Tabla13[[#This Row],[ID]],[1]!Mtto_Pesv[[#Headers],[#Data],[Placa]:[Rutina]],9,FALSE)),"-")</f>
        <v>-</v>
      </c>
      <c r="AK43" s="20">
        <f>IFERROR((VLOOKUP(Tabla13[[#This Row],[ID]],[1]!Mtto_Pesv[[#Headers],[#Data],[Placa]:[Rutina]],10,FALSE)),0)</f>
        <v>0</v>
      </c>
      <c r="AL43" s="20">
        <f>IF(Tabla13[[#This Row],[Km Anterior]]=0,0,Tabla13[[#This Row],[Km Ejecut]]-Tabla13[[#This Row],[Km Anterior]])</f>
        <v>0</v>
      </c>
      <c r="AM43" s="20">
        <f>IFERROR((VLOOKUP(Tabla13[[#This Row],[ID]],[1]!Mtto_Pesv[[#Headers],[#Data],[Placa]:[Rutina]],4,FALSE)),0)</f>
        <v>0</v>
      </c>
      <c r="AN43" s="21">
        <f>IFERROR((VLOOKUP(Tabla13[[#This Row],[ID]],[1]!Mtto_Pesv[[#Headers],[#Data],[Placa]:[Rutina]],5,FALSE)),0)</f>
        <v>0</v>
      </c>
      <c r="AO43" s="21">
        <f>+Tabla13[[#This Row],[Km Fin]]-Tabla13[[#This Row],[Km Ini]]</f>
        <v>0</v>
      </c>
      <c r="AP43" s="20">
        <f>IFERROR((VLOOKUP(Tabla13[[#This Row],[ID]],[1]!Estilo_Conduccion[[#All],[Placa]:[Puntuacion]],15,FALSE)),0)</f>
        <v>741</v>
      </c>
      <c r="AQ43" s="15" t="s">
        <v>1102</v>
      </c>
      <c r="AR43" s="15" t="s">
        <v>1103</v>
      </c>
      <c r="AS43" s="20">
        <v>2200</v>
      </c>
      <c r="AT43" s="21">
        <v>990</v>
      </c>
      <c r="AU43" s="21">
        <f>(Tabla13[[#This Row],[Cap Vh]]*$AX$2)*0.56</f>
        <v>0</v>
      </c>
      <c r="AV43" s="36" t="e">
        <f>(Tabla13[[#This Row],[Cap Util (kg)]]/(Tabla13[[#This Row],[Cap Inst (Kg)]]))</f>
        <v>#DIV/0!</v>
      </c>
    </row>
    <row r="44" spans="1:48" x14ac:dyDescent="0.25">
      <c r="A44" s="13" t="s">
        <v>1068</v>
      </c>
      <c r="B44" s="14" t="s">
        <v>131</v>
      </c>
      <c r="C44" s="14" t="s">
        <v>44</v>
      </c>
      <c r="D44" s="14" t="s">
        <v>44</v>
      </c>
      <c r="E44" s="14" t="s">
        <v>60</v>
      </c>
      <c r="F44" s="14" t="s">
        <v>46</v>
      </c>
      <c r="G44" s="15" t="s">
        <v>47</v>
      </c>
      <c r="H44" s="16" t="s">
        <v>48</v>
      </c>
      <c r="I44" s="14" t="s">
        <v>109</v>
      </c>
      <c r="J44" s="14">
        <v>830064700</v>
      </c>
      <c r="K44" s="14" t="s">
        <v>50</v>
      </c>
      <c r="L44" s="14" t="s">
        <v>103</v>
      </c>
      <c r="M44" s="14" t="s">
        <v>132</v>
      </c>
      <c r="N44" s="14">
        <v>2018</v>
      </c>
      <c r="O44" s="14">
        <v>2</v>
      </c>
      <c r="P44" s="14" t="s">
        <v>105</v>
      </c>
      <c r="Q44" s="14">
        <v>1</v>
      </c>
      <c r="R44" s="14">
        <v>0</v>
      </c>
      <c r="S44" s="17" t="s">
        <v>54</v>
      </c>
      <c r="T44" s="18">
        <v>0</v>
      </c>
      <c r="U44" s="14">
        <v>30</v>
      </c>
      <c r="V44" s="19">
        <v>1</v>
      </c>
      <c r="W44" s="14">
        <v>0</v>
      </c>
      <c r="X44" s="14">
        <v>0</v>
      </c>
      <c r="Y44" s="14">
        <v>0</v>
      </c>
      <c r="Z44" s="14">
        <v>0</v>
      </c>
      <c r="AA44" s="14">
        <f>Tabla13[[#This Row],[CheckList App]]+Tabla13[[#This Row],[CheckList Fisc]]</f>
        <v>0</v>
      </c>
      <c r="AB44" s="19">
        <f t="shared" si="0"/>
        <v>0</v>
      </c>
      <c r="AC44" s="14">
        <v>0</v>
      </c>
      <c r="AD44" s="14" t="s">
        <v>55</v>
      </c>
      <c r="AE44" s="15" t="str">
        <f>IFERROR((VLOOKUP(Tabla13[[#This Row],[ID]],[1]!Mtto_Pesv[[#Headers],[#Data],[Placa]:[Rutina]],2,FALSE)),"-")</f>
        <v>-</v>
      </c>
      <c r="AF44" s="14">
        <v>0</v>
      </c>
      <c r="AG44" s="20">
        <f>IFERROR((VLOOKUP(Tabla13[[#This Row],[ID]],[1]!Mtto_Pesv[[#Headers],[#Data],[Placa]:[Rutina]],3,FALSE)),0)</f>
        <v>0</v>
      </c>
      <c r="AH44" s="20">
        <f>IFERROR((VLOOKUP(Tabla13[[#This Row],[ID]],[1]!Mtto_Pesv[[#Headers],[#Data],[Placa]:[Rutina]],7,FALSE)),0)</f>
        <v>0</v>
      </c>
      <c r="AI44" s="20">
        <f>IFERROR((VLOOKUP(Tabla13[[#This Row],[ID]],[1]!Mtto_Pesv[[#Headers],[#Data],[Placa]:[Rutina]],8,FALSE)),0)</f>
        <v>0</v>
      </c>
      <c r="AJ44" s="20" t="str">
        <f>IFERROR((VLOOKUP(Tabla13[[#This Row],[ID]],[1]!Mtto_Pesv[[#Headers],[#Data],[Placa]:[Rutina]],9,FALSE)),"-")</f>
        <v>-</v>
      </c>
      <c r="AK44" s="20">
        <f>IFERROR((VLOOKUP(Tabla13[[#This Row],[ID]],[1]!Mtto_Pesv[[#Headers],[#Data],[Placa]:[Rutina]],10,FALSE)),0)</f>
        <v>0</v>
      </c>
      <c r="AL44" s="20">
        <f>IF(Tabla13[[#This Row],[Km Anterior]]=0,0,Tabla13[[#This Row],[Km Ejecut]]-Tabla13[[#This Row],[Km Anterior]])</f>
        <v>0</v>
      </c>
      <c r="AM44" s="20">
        <f>IFERROR((VLOOKUP(Tabla13[[#This Row],[ID]],[1]!Mtto_Pesv[[#Headers],[#Data],[Placa]:[Rutina]],4,FALSE)),0)</f>
        <v>0</v>
      </c>
      <c r="AN44" s="21">
        <f>IFERROR((VLOOKUP(Tabla13[[#This Row],[ID]],[1]!Mtto_Pesv[[#Headers],[#Data],[Placa]:[Rutina]],5,FALSE)),0)</f>
        <v>0</v>
      </c>
      <c r="AO44" s="21">
        <f>+Tabla13[[#This Row],[Km Fin]]-Tabla13[[#This Row],[Km Ini]]</f>
        <v>0</v>
      </c>
      <c r="AP44" s="20">
        <f>IFERROR((VLOOKUP(Tabla13[[#This Row],[ID]],[1]!Estilo_Conduccion[[#All],[Placa]:[Puntuacion]],15,FALSE)),0)</f>
        <v>1443.4</v>
      </c>
      <c r="AQ44" s="15" t="s">
        <v>1082</v>
      </c>
      <c r="AR44" s="15" t="s">
        <v>1083</v>
      </c>
      <c r="AS44" s="20">
        <v>10505</v>
      </c>
      <c r="AT44" s="21">
        <v>2634.1875</v>
      </c>
      <c r="AU44" s="21">
        <f>(Tabla13[[#This Row],[Cap Vh]]*$AX$2)*0.56</f>
        <v>0</v>
      </c>
      <c r="AV44" s="36" t="e">
        <f>(Tabla13[[#This Row],[Cap Util (kg)]]/(Tabla13[[#This Row],[Cap Inst (Kg)]]))</f>
        <v>#DIV/0!</v>
      </c>
    </row>
    <row r="45" spans="1:48" x14ac:dyDescent="0.25">
      <c r="A45" s="13" t="s">
        <v>1068</v>
      </c>
      <c r="B45" s="14" t="s">
        <v>133</v>
      </c>
      <c r="C45" s="14" t="s">
        <v>44</v>
      </c>
      <c r="D45" s="14" t="s">
        <v>44</v>
      </c>
      <c r="E45" s="14" t="s">
        <v>60</v>
      </c>
      <c r="F45" s="14" t="s">
        <v>46</v>
      </c>
      <c r="G45" s="15" t="s">
        <v>47</v>
      </c>
      <c r="H45" s="16" t="s">
        <v>48</v>
      </c>
      <c r="I45" s="14" t="s">
        <v>109</v>
      </c>
      <c r="J45" s="14">
        <v>830064700</v>
      </c>
      <c r="K45" s="14" t="s">
        <v>50</v>
      </c>
      <c r="L45" s="14" t="s">
        <v>103</v>
      </c>
      <c r="M45" s="14" t="s">
        <v>132</v>
      </c>
      <c r="N45" s="14">
        <v>2018</v>
      </c>
      <c r="O45" s="14">
        <v>2</v>
      </c>
      <c r="P45" s="14" t="s">
        <v>105</v>
      </c>
      <c r="Q45" s="14">
        <v>1</v>
      </c>
      <c r="R45" s="14">
        <v>0</v>
      </c>
      <c r="S45" s="17" t="s">
        <v>54</v>
      </c>
      <c r="T45" s="18">
        <v>0</v>
      </c>
      <c r="U45" s="14">
        <v>30</v>
      </c>
      <c r="V45" s="19">
        <v>1</v>
      </c>
      <c r="W45" s="14">
        <v>0</v>
      </c>
      <c r="X45" s="14">
        <v>0</v>
      </c>
      <c r="Y45" s="14">
        <v>0</v>
      </c>
      <c r="Z45" s="14">
        <v>0</v>
      </c>
      <c r="AA45" s="14">
        <f>Tabla13[[#This Row],[CheckList App]]+Tabla13[[#This Row],[CheckList Fisc]]</f>
        <v>0</v>
      </c>
      <c r="AB45" s="19">
        <f t="shared" si="0"/>
        <v>0</v>
      </c>
      <c r="AC45" s="14">
        <v>0</v>
      </c>
      <c r="AD45" s="14" t="s">
        <v>70</v>
      </c>
      <c r="AE45" s="15" t="str">
        <f>IFERROR((VLOOKUP(Tabla13[[#This Row],[ID]],[1]!Mtto_Pesv[[#Headers],[#Data],[Placa]:[Rutina]],2,FALSE)),"-")</f>
        <v>-</v>
      </c>
      <c r="AF45" s="14">
        <v>1</v>
      </c>
      <c r="AG45" s="20">
        <f>IFERROR((VLOOKUP(Tabla13[[#This Row],[ID]],[1]!Mtto_Pesv[[#Headers],[#Data],[Placa]:[Rutina]],3,FALSE)),0)</f>
        <v>0</v>
      </c>
      <c r="AH45" s="20">
        <f>IFERROR((VLOOKUP(Tabla13[[#This Row],[ID]],[1]!Mtto_Pesv[[#Headers],[#Data],[Placa]:[Rutina]],7,FALSE)),0)</f>
        <v>0</v>
      </c>
      <c r="AI45" s="20">
        <f>IFERROR((VLOOKUP(Tabla13[[#This Row],[ID]],[1]!Mtto_Pesv[[#Headers],[#Data],[Placa]:[Rutina]],8,FALSE)),0)</f>
        <v>0</v>
      </c>
      <c r="AJ45" s="20" t="str">
        <f>IFERROR((VLOOKUP(Tabla13[[#This Row],[ID]],[1]!Mtto_Pesv[[#Headers],[#Data],[Placa]:[Rutina]],9,FALSE)),"-")</f>
        <v>-</v>
      </c>
      <c r="AK45" s="20">
        <f>IFERROR((VLOOKUP(Tabla13[[#This Row],[ID]],[1]!Mtto_Pesv[[#Headers],[#Data],[Placa]:[Rutina]],10,FALSE)),0)</f>
        <v>0</v>
      </c>
      <c r="AL45" s="20">
        <f>IF(Tabla13[[#This Row],[Km Anterior]]=0,0,Tabla13[[#This Row],[Km Ejecut]]-Tabla13[[#This Row],[Km Anterior]])</f>
        <v>0</v>
      </c>
      <c r="AM45" s="20">
        <f>IFERROR((VLOOKUP(Tabla13[[#This Row],[ID]],[1]!Mtto_Pesv[[#Headers],[#Data],[Placa]:[Rutina]],4,FALSE)),0)</f>
        <v>0</v>
      </c>
      <c r="AN45" s="21">
        <f>IFERROR((VLOOKUP(Tabla13[[#This Row],[ID]],[1]!Mtto_Pesv[[#Headers],[#Data],[Placa]:[Rutina]],5,FALSE)),0)</f>
        <v>0</v>
      </c>
      <c r="AO45" s="21">
        <f>+Tabla13[[#This Row],[Km Fin]]-Tabla13[[#This Row],[Km Ini]]</f>
        <v>0</v>
      </c>
      <c r="AP45" s="20">
        <f>IFERROR((VLOOKUP(Tabla13[[#This Row],[ID]],[1]!Estilo_Conduccion[[#All],[Placa]:[Puntuacion]],15,FALSE)),0)</f>
        <v>405.09999999999997</v>
      </c>
      <c r="AQ45" s="15" t="s">
        <v>1082</v>
      </c>
      <c r="AR45" s="15" t="s">
        <v>1083</v>
      </c>
      <c r="AS45" s="20">
        <v>10505</v>
      </c>
      <c r="AT45" s="21">
        <v>2634.1875</v>
      </c>
      <c r="AU45" s="21">
        <f>(Tabla13[[#This Row],[Cap Vh]]*$AX$2)*0.56</f>
        <v>0</v>
      </c>
      <c r="AV45" s="36" t="e">
        <f>(Tabla13[[#This Row],[Cap Util (kg)]]/(Tabla13[[#This Row],[Cap Inst (Kg)]]))</f>
        <v>#DIV/0!</v>
      </c>
    </row>
    <row r="46" spans="1:48" x14ac:dyDescent="0.25">
      <c r="A46" s="13" t="s">
        <v>1068</v>
      </c>
      <c r="B46" s="14" t="s">
        <v>134</v>
      </c>
      <c r="C46" s="14" t="s">
        <v>44</v>
      </c>
      <c r="D46" s="14" t="s">
        <v>44</v>
      </c>
      <c r="E46" s="14" t="s">
        <v>85</v>
      </c>
      <c r="F46" s="14" t="s">
        <v>64</v>
      </c>
      <c r="G46" s="15" t="s">
        <v>119</v>
      </c>
      <c r="H46" s="16" t="s">
        <v>120</v>
      </c>
      <c r="I46" s="14" t="s">
        <v>49</v>
      </c>
      <c r="J46" s="14">
        <v>830064700</v>
      </c>
      <c r="K46" s="14" t="s">
        <v>50</v>
      </c>
      <c r="L46" s="14" t="s">
        <v>135</v>
      </c>
      <c r="M46" s="14" t="s">
        <v>136</v>
      </c>
      <c r="N46" s="14">
        <v>2011</v>
      </c>
      <c r="O46" s="14">
        <v>9</v>
      </c>
      <c r="P46" s="14" t="s">
        <v>53</v>
      </c>
      <c r="Q46" s="14">
        <v>0</v>
      </c>
      <c r="R46" s="14">
        <v>0</v>
      </c>
      <c r="S46" s="17" t="s">
        <v>54</v>
      </c>
      <c r="T46" s="18">
        <v>0</v>
      </c>
      <c r="U46" s="14">
        <v>0</v>
      </c>
      <c r="V46" s="19">
        <v>0</v>
      </c>
      <c r="W46" s="14">
        <v>0</v>
      </c>
      <c r="X46" s="14">
        <v>0</v>
      </c>
      <c r="Y46" s="14">
        <v>0</v>
      </c>
      <c r="Z46" s="14">
        <v>0</v>
      </c>
      <c r="AA46" s="14">
        <f>Tabla13[[#This Row],[CheckList App]]+Tabla13[[#This Row],[CheckList Fisc]]</f>
        <v>0</v>
      </c>
      <c r="AB46" s="19" t="str">
        <f t="shared" si="0"/>
        <v/>
      </c>
      <c r="AC46" s="14">
        <v>0</v>
      </c>
      <c r="AD46" s="14" t="s">
        <v>70</v>
      </c>
      <c r="AE46" s="22" t="str">
        <f>IFERROR((VLOOKUP(Tabla13[[#This Row],[ID]],[1]!Mtto_Pesv[[#Headers],[#Data],[Placa]:[Rutina]],2,FALSE)),"-")</f>
        <v>-</v>
      </c>
      <c r="AF46" s="14">
        <v>1</v>
      </c>
      <c r="AG46" s="20">
        <f>IFERROR((VLOOKUP(Tabla13[[#This Row],[ID]],[1]!Mtto_Pesv[[#Headers],[#Data],[Placa]:[Rutina]],3,FALSE)),0)</f>
        <v>0</v>
      </c>
      <c r="AH46" s="20">
        <f>IFERROR((VLOOKUP(Tabla13[[#This Row],[ID]],[1]!Mtto_Pesv[[#Headers],[#Data],[Placa]:[Rutina]],7,FALSE)),0)</f>
        <v>0</v>
      </c>
      <c r="AI46" s="20">
        <f>IFERROR((VLOOKUP(Tabla13[[#This Row],[ID]],[1]!Mtto_Pesv[[#Headers],[#Data],[Placa]:[Rutina]],8,FALSE)),0)</f>
        <v>0</v>
      </c>
      <c r="AJ46" s="20" t="str">
        <f>IFERROR((VLOOKUP(Tabla13[[#This Row],[ID]],[1]!Mtto_Pesv[[#Headers],[#Data],[Placa]:[Rutina]],9,FALSE)),"-")</f>
        <v>-</v>
      </c>
      <c r="AK46" s="20">
        <f>IFERROR((VLOOKUP(Tabla13[[#This Row],[ID]],[1]!Mtto_Pesv[[#Headers],[#Data],[Placa]:[Rutina]],10,FALSE)),0)</f>
        <v>0</v>
      </c>
      <c r="AL46" s="20">
        <f>IF(Tabla13[[#This Row],[Km Anterior]]=0,0,Tabla13[[#This Row],[Km Ejecut]]-Tabla13[[#This Row],[Km Anterior]])</f>
        <v>0</v>
      </c>
      <c r="AM46" s="20">
        <f>IFERROR((VLOOKUP(Tabla13[[#This Row],[ID]],[1]!Mtto_Pesv[[#Headers],[#Data],[Placa]:[Rutina]],4,FALSE)),0)</f>
        <v>0</v>
      </c>
      <c r="AN46" s="21">
        <f>IFERROR((VLOOKUP(Tabla13[[#This Row],[ID]],[1]!Mtto_Pesv[[#Headers],[#Data],[Placa]:[Rutina]],5,FALSE)),0)</f>
        <v>0</v>
      </c>
      <c r="AO46" s="21">
        <f>+Tabla13[[#This Row],[Km Fin]]-Tabla13[[#This Row],[Km Ini]]</f>
        <v>0</v>
      </c>
      <c r="AP46" s="20">
        <f>IFERROR((VLOOKUP(Tabla13[[#This Row],[ID]],[1]!Estilo_Conduccion[[#All],[Placa]:[Puntuacion]],15,FALSE)),0)</f>
        <v>0</v>
      </c>
      <c r="AQ46" s="15" t="s">
        <v>54</v>
      </c>
      <c r="AR46" s="15" t="s">
        <v>54</v>
      </c>
      <c r="AS46" s="20">
        <v>200</v>
      </c>
      <c r="AT46" s="21">
        <v>0</v>
      </c>
      <c r="AU46" s="21">
        <f>(Tabla13[[#This Row],[Cap Vh]]*$AX$2)*0.56</f>
        <v>0</v>
      </c>
      <c r="AV46" s="36" t="e">
        <f>(Tabla13[[#This Row],[Cap Util (kg)]]/(Tabla13[[#This Row],[Cap Inst (Kg)]]))</f>
        <v>#DIV/0!</v>
      </c>
    </row>
    <row r="47" spans="1:48" x14ac:dyDescent="0.25">
      <c r="A47" s="13" t="s">
        <v>1068</v>
      </c>
      <c r="B47" s="14" t="s">
        <v>137</v>
      </c>
      <c r="C47" s="14" t="s">
        <v>44</v>
      </c>
      <c r="D47" s="14" t="s">
        <v>44</v>
      </c>
      <c r="E47" s="14" t="s">
        <v>63</v>
      </c>
      <c r="F47" s="14" t="s">
        <v>46</v>
      </c>
      <c r="G47" s="15" t="s">
        <v>128</v>
      </c>
      <c r="H47" s="16" t="s">
        <v>129</v>
      </c>
      <c r="I47" s="14" t="s">
        <v>49</v>
      </c>
      <c r="J47" s="14">
        <v>890903937</v>
      </c>
      <c r="K47" s="14" t="s">
        <v>138</v>
      </c>
      <c r="L47" s="14" t="s">
        <v>103</v>
      </c>
      <c r="M47" s="14" t="s">
        <v>121</v>
      </c>
      <c r="N47" s="14">
        <v>2019</v>
      </c>
      <c r="O47" s="14">
        <v>1</v>
      </c>
      <c r="P47" s="14" t="s">
        <v>105</v>
      </c>
      <c r="Q47" s="14">
        <v>1</v>
      </c>
      <c r="R47" s="14">
        <v>1</v>
      </c>
      <c r="S47" s="17">
        <v>44834.4218287037</v>
      </c>
      <c r="T47" s="18">
        <v>58.39</v>
      </c>
      <c r="U47" s="14">
        <v>30</v>
      </c>
      <c r="V47" s="19">
        <v>1</v>
      </c>
      <c r="W47" s="14">
        <v>0</v>
      </c>
      <c r="X47" s="14">
        <v>17</v>
      </c>
      <c r="Y47" s="14">
        <v>7</v>
      </c>
      <c r="Z47" s="14">
        <v>9</v>
      </c>
      <c r="AA47" s="14">
        <f>Tabla13[[#This Row],[CheckList App]]+Tabla13[[#This Row],[CheckList Fisc]]</f>
        <v>16</v>
      </c>
      <c r="AB47" s="19">
        <f t="shared" si="0"/>
        <v>0.94117647058823528</v>
      </c>
      <c r="AC47" s="14">
        <v>0</v>
      </c>
      <c r="AD47" s="14" t="s">
        <v>70</v>
      </c>
      <c r="AE47" s="15" t="str">
        <f>IFERROR((VLOOKUP(Tabla13[[#This Row],[ID]],[1]!Mtto_Pesv[[#Headers],[#Data],[Placa]:[Rutina]],2,FALSE)),"-")</f>
        <v>-</v>
      </c>
      <c r="AF47" s="14">
        <v>1</v>
      </c>
      <c r="AG47" s="20">
        <f>IFERROR((VLOOKUP(Tabla13[[#This Row],[ID]],[1]!Mtto_Pesv[[#Headers],[#Data],[Placa]:[Rutina]],3,FALSE)),0)</f>
        <v>0</v>
      </c>
      <c r="AH47" s="20">
        <f>IFERROR((VLOOKUP(Tabla13[[#This Row],[ID]],[1]!Mtto_Pesv[[#Headers],[#Data],[Placa]:[Rutina]],7,FALSE)),0)</f>
        <v>0</v>
      </c>
      <c r="AI47" s="20">
        <f>IFERROR((VLOOKUP(Tabla13[[#This Row],[ID]],[1]!Mtto_Pesv[[#Headers],[#Data],[Placa]:[Rutina]],8,FALSE)),0)</f>
        <v>0</v>
      </c>
      <c r="AJ47" s="20" t="str">
        <f>IFERROR((VLOOKUP(Tabla13[[#This Row],[ID]],[1]!Mtto_Pesv[[#Headers],[#Data],[Placa]:[Rutina]],9,FALSE)),"-")</f>
        <v>-</v>
      </c>
      <c r="AK47" s="20">
        <f>IFERROR((VLOOKUP(Tabla13[[#This Row],[ID]],[1]!Mtto_Pesv[[#Headers],[#Data],[Placa]:[Rutina]],10,FALSE)),0)</f>
        <v>0</v>
      </c>
      <c r="AL47" s="20">
        <f>IF(Tabla13[[#This Row],[Km Anterior]]=0,0,Tabla13[[#This Row],[Km Ejecut]]-Tabla13[[#This Row],[Km Anterior]])</f>
        <v>0</v>
      </c>
      <c r="AM47" s="20">
        <f>IFERROR((VLOOKUP(Tabla13[[#This Row],[ID]],[1]!Mtto_Pesv[[#Headers],[#Data],[Placa]:[Rutina]],4,FALSE)),0)</f>
        <v>0</v>
      </c>
      <c r="AN47" s="21">
        <f>IFERROR((VLOOKUP(Tabla13[[#This Row],[ID]],[1]!Mtto_Pesv[[#Headers],[#Data],[Placa]:[Rutina]],5,FALSE)),0)</f>
        <v>0</v>
      </c>
      <c r="AO47" s="21">
        <f>+Tabla13[[#This Row],[Km Fin]]-Tabla13[[#This Row],[Km Ini]]</f>
        <v>0</v>
      </c>
      <c r="AP47" s="20">
        <f>IFERROR((VLOOKUP(Tabla13[[#This Row],[ID]],[1]!Estilo_Conduccion[[#All],[Placa]:[Puntuacion]],15,FALSE)),0)</f>
        <v>848.9</v>
      </c>
      <c r="AQ47" s="15" t="s">
        <v>1092</v>
      </c>
      <c r="AR47" s="15" t="s">
        <v>1093</v>
      </c>
      <c r="AS47" s="20">
        <v>2350</v>
      </c>
      <c r="AT47" s="21">
        <v>5666</v>
      </c>
      <c r="AU47" s="21">
        <f>(Tabla13[[#This Row],[Cap Vh]]*$AX$2)*0.56</f>
        <v>0</v>
      </c>
      <c r="AV47" s="36" t="e">
        <f>(Tabla13[[#This Row],[Cap Util (kg)]]/(Tabla13[[#This Row],[Cap Inst (Kg)]]))</f>
        <v>#DIV/0!</v>
      </c>
    </row>
    <row r="48" spans="1:48" x14ac:dyDescent="0.25">
      <c r="A48" s="13" t="s">
        <v>1068</v>
      </c>
      <c r="B48" s="14" t="s">
        <v>139</v>
      </c>
      <c r="C48" s="14" t="s">
        <v>44</v>
      </c>
      <c r="D48" s="14" t="s">
        <v>44</v>
      </c>
      <c r="E48" s="14" t="s">
        <v>140</v>
      </c>
      <c r="F48" s="14" t="s">
        <v>76</v>
      </c>
      <c r="G48" s="15" t="s">
        <v>128</v>
      </c>
      <c r="H48" s="16" t="s">
        <v>141</v>
      </c>
      <c r="I48" s="14" t="s">
        <v>49</v>
      </c>
      <c r="J48" s="14">
        <v>890903937</v>
      </c>
      <c r="K48" s="14" t="s">
        <v>138</v>
      </c>
      <c r="L48" s="14" t="s">
        <v>103</v>
      </c>
      <c r="M48" s="14" t="s">
        <v>121</v>
      </c>
      <c r="N48" s="14">
        <v>2020</v>
      </c>
      <c r="O48" s="14">
        <v>0</v>
      </c>
      <c r="P48" s="14" t="s">
        <v>105</v>
      </c>
      <c r="Q48" s="14">
        <v>1</v>
      </c>
      <c r="R48" s="14">
        <v>0</v>
      </c>
      <c r="S48" s="17" t="s">
        <v>54</v>
      </c>
      <c r="T48" s="18">
        <v>0</v>
      </c>
      <c r="U48" s="14">
        <v>0</v>
      </c>
      <c r="V48" s="19">
        <v>0</v>
      </c>
      <c r="W48" s="14">
        <v>0</v>
      </c>
      <c r="X48" s="14">
        <v>25</v>
      </c>
      <c r="Y48" s="14">
        <v>0</v>
      </c>
      <c r="Z48" s="14">
        <v>21</v>
      </c>
      <c r="AA48" s="14">
        <f>Tabla13[[#This Row],[CheckList App]]+Tabla13[[#This Row],[CheckList Fisc]]</f>
        <v>21</v>
      </c>
      <c r="AB48" s="19" t="str">
        <f t="shared" si="0"/>
        <v/>
      </c>
      <c r="AC48" s="14">
        <v>0</v>
      </c>
      <c r="AD48" s="14" t="s">
        <v>70</v>
      </c>
      <c r="AE48" s="15" t="str">
        <f>IFERROR((VLOOKUP(Tabla13[[#This Row],[ID]],[1]!Mtto_Pesv[[#Headers],[#Data],[Placa]:[Rutina]],2,FALSE)),"-")</f>
        <v>-</v>
      </c>
      <c r="AF48" s="14">
        <v>1</v>
      </c>
      <c r="AG48" s="20">
        <f>IFERROR((VLOOKUP(Tabla13[[#This Row],[ID]],[1]!Mtto_Pesv[[#Headers],[#Data],[Placa]:[Rutina]],3,FALSE)),0)</f>
        <v>0</v>
      </c>
      <c r="AH48" s="20">
        <f>IFERROR((VLOOKUP(Tabla13[[#This Row],[ID]],[1]!Mtto_Pesv[[#Headers],[#Data],[Placa]:[Rutina]],7,FALSE)),0)</f>
        <v>0</v>
      </c>
      <c r="AI48" s="20">
        <f>IFERROR((VLOOKUP(Tabla13[[#This Row],[ID]],[1]!Mtto_Pesv[[#Headers],[#Data],[Placa]:[Rutina]],8,FALSE)),0)</f>
        <v>0</v>
      </c>
      <c r="AJ48" s="20" t="str">
        <f>IFERROR((VLOOKUP(Tabla13[[#This Row],[ID]],[1]!Mtto_Pesv[[#Headers],[#Data],[Placa]:[Rutina]],9,FALSE)),"-")</f>
        <v>-</v>
      </c>
      <c r="AK48" s="20">
        <f>IFERROR((VLOOKUP(Tabla13[[#This Row],[ID]],[1]!Mtto_Pesv[[#Headers],[#Data],[Placa]:[Rutina]],10,FALSE)),0)</f>
        <v>0</v>
      </c>
      <c r="AL48" s="20">
        <f>IF(Tabla13[[#This Row],[Km Anterior]]=0,0,Tabla13[[#This Row],[Km Ejecut]]-Tabla13[[#This Row],[Km Anterior]])</f>
        <v>0</v>
      </c>
      <c r="AM48" s="20">
        <f>IFERROR((VLOOKUP(Tabla13[[#This Row],[ID]],[1]!Mtto_Pesv[[#Headers],[#Data],[Placa]:[Rutina]],4,FALSE)),0)</f>
        <v>0</v>
      </c>
      <c r="AN48" s="21">
        <f>IFERROR((VLOOKUP(Tabla13[[#This Row],[ID]],[1]!Mtto_Pesv[[#Headers],[#Data],[Placa]:[Rutina]],5,FALSE)),0)</f>
        <v>0</v>
      </c>
      <c r="AO48" s="21">
        <f>+Tabla13[[#This Row],[Km Fin]]-Tabla13[[#This Row],[Km Ini]]</f>
        <v>0</v>
      </c>
      <c r="AP48" s="20">
        <f>IFERROR((VLOOKUP(Tabla13[[#This Row],[ID]],[1]!Estilo_Conduccion[[#All],[Placa]:[Puntuacion]],15,FALSE)),0)</f>
        <v>120.1</v>
      </c>
      <c r="AQ48" s="15" t="s">
        <v>1104</v>
      </c>
      <c r="AR48" s="15" t="s">
        <v>1105</v>
      </c>
      <c r="AS48" s="20">
        <v>2350</v>
      </c>
      <c r="AT48" s="21">
        <v>6196.5</v>
      </c>
      <c r="AU48" s="21">
        <f>(Tabla13[[#This Row],[Cap Vh]]*$AX$2)*0.56</f>
        <v>0</v>
      </c>
      <c r="AV48" s="36" t="e">
        <f>(Tabla13[[#This Row],[Cap Util (kg)]]/(Tabla13[[#This Row],[Cap Inst (Kg)]]))</f>
        <v>#DIV/0!</v>
      </c>
    </row>
    <row r="49" spans="1:48" x14ac:dyDescent="0.25">
      <c r="A49" s="13" t="s">
        <v>1068</v>
      </c>
      <c r="B49" s="14" t="s">
        <v>142</v>
      </c>
      <c r="C49" s="14" t="s">
        <v>44</v>
      </c>
      <c r="D49" s="14" t="s">
        <v>44</v>
      </c>
      <c r="E49" s="14" t="s">
        <v>45</v>
      </c>
      <c r="F49" s="14" t="s">
        <v>64</v>
      </c>
      <c r="G49" s="15" t="s">
        <v>128</v>
      </c>
      <c r="H49" s="16" t="s">
        <v>143</v>
      </c>
      <c r="I49" s="14" t="s">
        <v>109</v>
      </c>
      <c r="J49" s="14">
        <v>890903937</v>
      </c>
      <c r="K49" s="14" t="s">
        <v>138</v>
      </c>
      <c r="L49" s="14" t="s">
        <v>103</v>
      </c>
      <c r="M49" s="14" t="s">
        <v>121</v>
      </c>
      <c r="N49" s="14">
        <v>2020</v>
      </c>
      <c r="O49" s="14">
        <v>0</v>
      </c>
      <c r="P49" s="14" t="s">
        <v>105</v>
      </c>
      <c r="Q49" s="14">
        <v>0</v>
      </c>
      <c r="R49" s="14">
        <v>1</v>
      </c>
      <c r="S49" s="17">
        <v>44834.486064814817</v>
      </c>
      <c r="T49" s="18">
        <v>97.194999999999993</v>
      </c>
      <c r="U49" s="14">
        <v>30</v>
      </c>
      <c r="V49" s="19">
        <v>1</v>
      </c>
      <c r="W49" s="14">
        <v>0</v>
      </c>
      <c r="X49" s="14">
        <v>26</v>
      </c>
      <c r="Y49" s="14">
        <v>0</v>
      </c>
      <c r="Z49" s="14">
        <v>26</v>
      </c>
      <c r="AA49" s="14">
        <f>Tabla13[[#This Row],[CheckList App]]+Tabla13[[#This Row],[CheckList Fisc]]</f>
        <v>26</v>
      </c>
      <c r="AB49" s="19">
        <f t="shared" si="0"/>
        <v>1</v>
      </c>
      <c r="AC49" s="14">
        <v>0</v>
      </c>
      <c r="AD49" s="14" t="s">
        <v>70</v>
      </c>
      <c r="AE49" s="15" t="str">
        <f>IFERROR((VLOOKUP(Tabla13[[#This Row],[ID]],[1]!Mtto_Pesv[[#Headers],[#Data],[Placa]:[Rutina]],2,FALSE)),"-")</f>
        <v>-</v>
      </c>
      <c r="AF49" s="14">
        <v>1</v>
      </c>
      <c r="AG49" s="20">
        <f>IFERROR((VLOOKUP(Tabla13[[#This Row],[ID]],[1]!Mtto_Pesv[[#Headers],[#Data],[Placa]:[Rutina]],3,FALSE)),0)</f>
        <v>0</v>
      </c>
      <c r="AH49" s="20">
        <f>IFERROR((VLOOKUP(Tabla13[[#This Row],[ID]],[1]!Mtto_Pesv[[#Headers],[#Data],[Placa]:[Rutina]],7,FALSE)),0)</f>
        <v>0</v>
      </c>
      <c r="AI49" s="20">
        <f>IFERROR((VLOOKUP(Tabla13[[#This Row],[ID]],[1]!Mtto_Pesv[[#Headers],[#Data],[Placa]:[Rutina]],8,FALSE)),0)</f>
        <v>0</v>
      </c>
      <c r="AJ49" s="20" t="str">
        <f>IFERROR((VLOOKUP(Tabla13[[#This Row],[ID]],[1]!Mtto_Pesv[[#Headers],[#Data],[Placa]:[Rutina]],9,FALSE)),"-")</f>
        <v>-</v>
      </c>
      <c r="AK49" s="20">
        <f>IFERROR((VLOOKUP(Tabla13[[#This Row],[ID]],[1]!Mtto_Pesv[[#Headers],[#Data],[Placa]:[Rutina]],10,FALSE)),0)</f>
        <v>0</v>
      </c>
      <c r="AL49" s="20">
        <f>IF(Tabla13[[#This Row],[Km Anterior]]=0,0,Tabla13[[#This Row],[Km Ejecut]]-Tabla13[[#This Row],[Km Anterior]])</f>
        <v>0</v>
      </c>
      <c r="AM49" s="20">
        <f>IFERROR((VLOOKUP(Tabla13[[#This Row],[ID]],[1]!Mtto_Pesv[[#Headers],[#Data],[Placa]:[Rutina]],4,FALSE)),0)</f>
        <v>0</v>
      </c>
      <c r="AN49" s="21">
        <f>IFERROR((VLOOKUP(Tabla13[[#This Row],[ID]],[1]!Mtto_Pesv[[#Headers],[#Data],[Placa]:[Rutina]],5,FALSE)),0)</f>
        <v>0</v>
      </c>
      <c r="AO49" s="21">
        <f>+Tabla13[[#This Row],[Km Fin]]-Tabla13[[#This Row],[Km Ini]]</f>
        <v>0</v>
      </c>
      <c r="AP49" s="20">
        <f>IFERROR((VLOOKUP(Tabla13[[#This Row],[ID]],[1]!Estilo_Conduccion[[#All],[Placa]:[Puntuacion]],15,FALSE)),0)</f>
        <v>435.7</v>
      </c>
      <c r="AQ49" s="15" t="s">
        <v>54</v>
      </c>
      <c r="AR49" s="15" t="s">
        <v>1106</v>
      </c>
      <c r="AS49" s="20">
        <v>2350</v>
      </c>
      <c r="AT49" s="21">
        <v>0</v>
      </c>
      <c r="AU49" s="21">
        <f>(Tabla13[[#This Row],[Cap Vh]]*$AX$2)*0.56</f>
        <v>0</v>
      </c>
      <c r="AV49" s="36" t="e">
        <f>(Tabla13[[#This Row],[Cap Util (kg)]]/(Tabla13[[#This Row],[Cap Inst (Kg)]]))</f>
        <v>#DIV/0!</v>
      </c>
    </row>
    <row r="50" spans="1:48" x14ac:dyDescent="0.25">
      <c r="A50" s="13" t="s">
        <v>1068</v>
      </c>
      <c r="B50" s="14" t="s">
        <v>144</v>
      </c>
      <c r="C50" s="14" t="s">
        <v>44</v>
      </c>
      <c r="D50" s="14" t="s">
        <v>44</v>
      </c>
      <c r="E50" s="14" t="s">
        <v>69</v>
      </c>
      <c r="F50" s="14" t="s">
        <v>64</v>
      </c>
      <c r="G50" s="15" t="s">
        <v>128</v>
      </c>
      <c r="H50" s="16" t="s">
        <v>143</v>
      </c>
      <c r="I50" s="14" t="s">
        <v>49</v>
      </c>
      <c r="J50" s="14">
        <v>890903937</v>
      </c>
      <c r="K50" s="14" t="s">
        <v>138</v>
      </c>
      <c r="L50" s="14" t="s">
        <v>103</v>
      </c>
      <c r="M50" s="14" t="s">
        <v>104</v>
      </c>
      <c r="N50" s="14">
        <v>2019</v>
      </c>
      <c r="O50" s="14">
        <v>1</v>
      </c>
      <c r="P50" s="14" t="s">
        <v>105</v>
      </c>
      <c r="Q50" s="14">
        <v>1</v>
      </c>
      <c r="R50" s="14">
        <v>1</v>
      </c>
      <c r="S50" s="17">
        <v>44831.719004629631</v>
      </c>
      <c r="T50" s="18">
        <v>196.499</v>
      </c>
      <c r="U50" s="14">
        <v>30</v>
      </c>
      <c r="V50" s="19">
        <v>1</v>
      </c>
      <c r="W50" s="14">
        <v>0</v>
      </c>
      <c r="X50" s="14">
        <v>30</v>
      </c>
      <c r="Y50" s="14">
        <v>0</v>
      </c>
      <c r="Z50" s="14">
        <v>30</v>
      </c>
      <c r="AA50" s="14">
        <f>Tabla13[[#This Row],[CheckList App]]+Tabla13[[#This Row],[CheckList Fisc]]</f>
        <v>30</v>
      </c>
      <c r="AB50" s="19">
        <f t="shared" si="0"/>
        <v>1</v>
      </c>
      <c r="AC50" s="14">
        <v>0</v>
      </c>
      <c r="AD50" s="14" t="s">
        <v>70</v>
      </c>
      <c r="AE50" s="15" t="str">
        <f>IFERROR((VLOOKUP(Tabla13[[#This Row],[ID]],[1]!Mtto_Pesv[[#Headers],[#Data],[Placa]:[Rutina]],2,FALSE)),"-")</f>
        <v>-</v>
      </c>
      <c r="AF50" s="14">
        <v>1</v>
      </c>
      <c r="AG50" s="20">
        <f>IFERROR((VLOOKUP(Tabla13[[#This Row],[ID]],[1]!Mtto_Pesv[[#Headers],[#Data],[Placa]:[Rutina]],3,FALSE)),0)</f>
        <v>0</v>
      </c>
      <c r="AH50" s="20">
        <f>IFERROR((VLOOKUP(Tabla13[[#This Row],[ID]],[1]!Mtto_Pesv[[#Headers],[#Data],[Placa]:[Rutina]],7,FALSE)),0)</f>
        <v>0</v>
      </c>
      <c r="AI50" s="20">
        <f>IFERROR((VLOOKUP(Tabla13[[#This Row],[ID]],[1]!Mtto_Pesv[[#Headers],[#Data],[Placa]:[Rutina]],8,FALSE)),0)</f>
        <v>0</v>
      </c>
      <c r="AJ50" s="20" t="str">
        <f>IFERROR((VLOOKUP(Tabla13[[#This Row],[ID]],[1]!Mtto_Pesv[[#Headers],[#Data],[Placa]:[Rutina]],9,FALSE)),"-")</f>
        <v>-</v>
      </c>
      <c r="AK50" s="20">
        <f>IFERROR((VLOOKUP(Tabla13[[#This Row],[ID]],[1]!Mtto_Pesv[[#Headers],[#Data],[Placa]:[Rutina]],10,FALSE)),0)</f>
        <v>0</v>
      </c>
      <c r="AL50" s="20">
        <f>IF(Tabla13[[#This Row],[Km Anterior]]=0,0,Tabla13[[#This Row],[Km Ejecut]]-Tabla13[[#This Row],[Km Anterior]])</f>
        <v>0</v>
      </c>
      <c r="AM50" s="20">
        <f>IFERROR((VLOOKUP(Tabla13[[#This Row],[ID]],[1]!Mtto_Pesv[[#Headers],[#Data],[Placa]:[Rutina]],4,FALSE)),0)</f>
        <v>0</v>
      </c>
      <c r="AN50" s="21">
        <f>IFERROR((VLOOKUP(Tabla13[[#This Row],[ID]],[1]!Mtto_Pesv[[#Headers],[#Data],[Placa]:[Rutina]],5,FALSE)),0)</f>
        <v>0</v>
      </c>
      <c r="AO50" s="21">
        <f>+Tabla13[[#This Row],[Km Fin]]-Tabla13[[#This Row],[Km Ini]]</f>
        <v>0</v>
      </c>
      <c r="AP50" s="20">
        <f>IFERROR((VLOOKUP(Tabla13[[#This Row],[ID]],[1]!Estilo_Conduccion[[#All],[Placa]:[Puntuacion]],15,FALSE)),0)</f>
        <v>348.59999999999997</v>
      </c>
      <c r="AQ50" s="15" t="s">
        <v>54</v>
      </c>
      <c r="AR50" s="15" t="s">
        <v>145</v>
      </c>
      <c r="AS50" s="20">
        <v>1650</v>
      </c>
      <c r="AT50" s="21">
        <v>0</v>
      </c>
      <c r="AU50" s="21">
        <f>(Tabla13[[#This Row],[Cap Vh]]*$AX$2)*0.56</f>
        <v>0</v>
      </c>
      <c r="AV50" s="36" t="e">
        <f>(Tabla13[[#This Row],[Cap Util (kg)]]/(Tabla13[[#This Row],[Cap Inst (Kg)]]))</f>
        <v>#DIV/0!</v>
      </c>
    </row>
    <row r="51" spans="1:48" x14ac:dyDescent="0.25">
      <c r="A51" s="13" t="s">
        <v>1068</v>
      </c>
      <c r="B51" s="14" t="s">
        <v>146</v>
      </c>
      <c r="C51" s="14" t="s">
        <v>44</v>
      </c>
      <c r="D51" s="14" t="s">
        <v>44</v>
      </c>
      <c r="E51" s="14" t="s">
        <v>127</v>
      </c>
      <c r="F51" s="14" t="s">
        <v>64</v>
      </c>
      <c r="G51" s="15" t="s">
        <v>128</v>
      </c>
      <c r="H51" s="16" t="s">
        <v>143</v>
      </c>
      <c r="I51" s="14" t="s">
        <v>49</v>
      </c>
      <c r="J51" s="14">
        <v>890903937</v>
      </c>
      <c r="K51" s="14" t="s">
        <v>138</v>
      </c>
      <c r="L51" s="14" t="s">
        <v>103</v>
      </c>
      <c r="M51" s="14" t="s">
        <v>104</v>
      </c>
      <c r="N51" s="14">
        <v>2019</v>
      </c>
      <c r="O51" s="14">
        <v>1</v>
      </c>
      <c r="P51" s="14" t="s">
        <v>105</v>
      </c>
      <c r="Q51" s="14">
        <v>1</v>
      </c>
      <c r="R51" s="14">
        <v>0</v>
      </c>
      <c r="S51" s="17" t="s">
        <v>54</v>
      </c>
      <c r="T51" s="18">
        <v>0</v>
      </c>
      <c r="U51" s="14">
        <v>30</v>
      </c>
      <c r="V51" s="19">
        <v>1</v>
      </c>
      <c r="W51" s="14">
        <v>0</v>
      </c>
      <c r="X51" s="14">
        <v>23</v>
      </c>
      <c r="Y51" s="14">
        <v>0</v>
      </c>
      <c r="Z51" s="14">
        <v>13</v>
      </c>
      <c r="AA51" s="14">
        <f>Tabla13[[#This Row],[CheckList App]]+Tabla13[[#This Row],[CheckList Fisc]]</f>
        <v>13</v>
      </c>
      <c r="AB51" s="19">
        <f t="shared" si="0"/>
        <v>0.56521739130434778</v>
      </c>
      <c r="AC51" s="14">
        <v>0</v>
      </c>
      <c r="AD51" s="14" t="s">
        <v>70</v>
      </c>
      <c r="AE51" s="15" t="str">
        <f>IFERROR((VLOOKUP(Tabla13[[#This Row],[ID]],[1]!Mtto_Pesv[[#Headers],[#Data],[Placa]:[Rutina]],2,FALSE)),"-")</f>
        <v>-</v>
      </c>
      <c r="AF51" s="14">
        <v>1</v>
      </c>
      <c r="AG51" s="20">
        <f>IFERROR((VLOOKUP(Tabla13[[#This Row],[ID]],[1]!Mtto_Pesv[[#Headers],[#Data],[Placa]:[Rutina]],3,FALSE)),0)</f>
        <v>0</v>
      </c>
      <c r="AH51" s="20">
        <f>IFERROR((VLOOKUP(Tabla13[[#This Row],[ID]],[1]!Mtto_Pesv[[#Headers],[#Data],[Placa]:[Rutina]],7,FALSE)),0)</f>
        <v>0</v>
      </c>
      <c r="AI51" s="20">
        <f>IFERROR((VLOOKUP(Tabla13[[#This Row],[ID]],[1]!Mtto_Pesv[[#Headers],[#Data],[Placa]:[Rutina]],8,FALSE)),0)</f>
        <v>0</v>
      </c>
      <c r="AJ51" s="20" t="str">
        <f>IFERROR((VLOOKUP(Tabla13[[#This Row],[ID]],[1]!Mtto_Pesv[[#Headers],[#Data],[Placa]:[Rutina]],9,FALSE)),"-")</f>
        <v>-</v>
      </c>
      <c r="AK51" s="20">
        <f>IFERROR((VLOOKUP(Tabla13[[#This Row],[ID]],[1]!Mtto_Pesv[[#Headers],[#Data],[Placa]:[Rutina]],10,FALSE)),0)</f>
        <v>0</v>
      </c>
      <c r="AL51" s="20">
        <f>IF(Tabla13[[#This Row],[Km Anterior]]=0,0,Tabla13[[#This Row],[Km Ejecut]]-Tabla13[[#This Row],[Km Anterior]])</f>
        <v>0</v>
      </c>
      <c r="AM51" s="20">
        <f>IFERROR((VLOOKUP(Tabla13[[#This Row],[ID]],[1]!Mtto_Pesv[[#Headers],[#Data],[Placa]:[Rutina]],4,FALSE)),0)</f>
        <v>0</v>
      </c>
      <c r="AN51" s="21">
        <f>IFERROR((VLOOKUP(Tabla13[[#This Row],[ID]],[1]!Mtto_Pesv[[#Headers],[#Data],[Placa]:[Rutina]],5,FALSE)),0)</f>
        <v>0</v>
      </c>
      <c r="AO51" s="21">
        <f>+Tabla13[[#This Row],[Km Fin]]-Tabla13[[#This Row],[Km Ini]]</f>
        <v>0</v>
      </c>
      <c r="AP51" s="20">
        <f>IFERROR((VLOOKUP(Tabla13[[#This Row],[ID]],[1]!Estilo_Conduccion[[#All],[Placa]:[Puntuacion]],15,FALSE)),0)</f>
        <v>162.4</v>
      </c>
      <c r="AQ51" s="15" t="s">
        <v>54</v>
      </c>
      <c r="AR51" s="15" t="s">
        <v>147</v>
      </c>
      <c r="AS51" s="20">
        <v>1650</v>
      </c>
      <c r="AT51" s="21">
        <v>0</v>
      </c>
      <c r="AU51" s="21">
        <f>(Tabla13[[#This Row],[Cap Vh]]*$AX$2)*0.56</f>
        <v>0</v>
      </c>
      <c r="AV51" s="36" t="e">
        <f>(Tabla13[[#This Row],[Cap Util (kg)]]/(Tabla13[[#This Row],[Cap Inst (Kg)]]))</f>
        <v>#DIV/0!</v>
      </c>
    </row>
    <row r="52" spans="1:48" x14ac:dyDescent="0.25">
      <c r="A52" s="13" t="s">
        <v>1068</v>
      </c>
      <c r="B52" s="14" t="s">
        <v>148</v>
      </c>
      <c r="C52" s="14" t="s">
        <v>44</v>
      </c>
      <c r="D52" s="14" t="s">
        <v>44</v>
      </c>
      <c r="E52" s="14" t="s">
        <v>69</v>
      </c>
      <c r="F52" s="14" t="s">
        <v>64</v>
      </c>
      <c r="G52" s="15" t="s">
        <v>128</v>
      </c>
      <c r="H52" s="16" t="s">
        <v>143</v>
      </c>
      <c r="I52" s="14" t="s">
        <v>49</v>
      </c>
      <c r="J52" s="14">
        <v>890903937</v>
      </c>
      <c r="K52" s="14" t="s">
        <v>138</v>
      </c>
      <c r="L52" s="14" t="s">
        <v>103</v>
      </c>
      <c r="M52" s="14" t="s">
        <v>104</v>
      </c>
      <c r="N52" s="14">
        <v>2019</v>
      </c>
      <c r="O52" s="14">
        <v>1</v>
      </c>
      <c r="P52" s="14" t="s">
        <v>105</v>
      </c>
      <c r="Q52" s="14">
        <v>1</v>
      </c>
      <c r="R52" s="14">
        <v>0</v>
      </c>
      <c r="S52" s="17" t="s">
        <v>54</v>
      </c>
      <c r="T52" s="18">
        <v>0</v>
      </c>
      <c r="U52" s="14">
        <v>30</v>
      </c>
      <c r="V52" s="19">
        <v>1</v>
      </c>
      <c r="W52" s="14">
        <v>0</v>
      </c>
      <c r="X52" s="14">
        <v>27</v>
      </c>
      <c r="Y52" s="14">
        <v>0</v>
      </c>
      <c r="Z52" s="14">
        <v>17</v>
      </c>
      <c r="AA52" s="14">
        <f>Tabla13[[#This Row],[CheckList App]]+Tabla13[[#This Row],[CheckList Fisc]]</f>
        <v>17</v>
      </c>
      <c r="AB52" s="19">
        <f t="shared" si="0"/>
        <v>0.62962962962962965</v>
      </c>
      <c r="AC52" s="14">
        <v>0</v>
      </c>
      <c r="AD52" s="14" t="s">
        <v>70</v>
      </c>
      <c r="AE52" s="15" t="str">
        <f>IFERROR((VLOOKUP(Tabla13[[#This Row],[ID]],[1]!Mtto_Pesv[[#Headers],[#Data],[Placa]:[Rutina]],2,FALSE)),"-")</f>
        <v>-</v>
      </c>
      <c r="AF52" s="14">
        <v>1</v>
      </c>
      <c r="AG52" s="20">
        <f>IFERROR((VLOOKUP(Tabla13[[#This Row],[ID]],[1]!Mtto_Pesv[[#Headers],[#Data],[Placa]:[Rutina]],3,FALSE)),0)</f>
        <v>0</v>
      </c>
      <c r="AH52" s="20">
        <f>IFERROR((VLOOKUP(Tabla13[[#This Row],[ID]],[1]!Mtto_Pesv[[#Headers],[#Data],[Placa]:[Rutina]],7,FALSE)),0)</f>
        <v>0</v>
      </c>
      <c r="AI52" s="20">
        <f>IFERROR((VLOOKUP(Tabla13[[#This Row],[ID]],[1]!Mtto_Pesv[[#Headers],[#Data],[Placa]:[Rutina]],8,FALSE)),0)</f>
        <v>0</v>
      </c>
      <c r="AJ52" s="20" t="str">
        <f>IFERROR((VLOOKUP(Tabla13[[#This Row],[ID]],[1]!Mtto_Pesv[[#Headers],[#Data],[Placa]:[Rutina]],9,FALSE)),"-")</f>
        <v>-</v>
      </c>
      <c r="AK52" s="20">
        <f>IFERROR((VLOOKUP(Tabla13[[#This Row],[ID]],[1]!Mtto_Pesv[[#Headers],[#Data],[Placa]:[Rutina]],10,FALSE)),0)</f>
        <v>0</v>
      </c>
      <c r="AL52" s="20">
        <f>IF(Tabla13[[#This Row],[Km Anterior]]=0,0,Tabla13[[#This Row],[Km Ejecut]]-Tabla13[[#This Row],[Km Anterior]])</f>
        <v>0</v>
      </c>
      <c r="AM52" s="20">
        <f>IFERROR((VLOOKUP(Tabla13[[#This Row],[ID]],[1]!Mtto_Pesv[[#Headers],[#Data],[Placa]:[Rutina]],4,FALSE)),0)</f>
        <v>0</v>
      </c>
      <c r="AN52" s="21">
        <f>IFERROR((VLOOKUP(Tabla13[[#This Row],[ID]],[1]!Mtto_Pesv[[#Headers],[#Data],[Placa]:[Rutina]],5,FALSE)),0)</f>
        <v>0</v>
      </c>
      <c r="AO52" s="21">
        <f>+Tabla13[[#This Row],[Km Fin]]-Tabla13[[#This Row],[Km Ini]]</f>
        <v>0</v>
      </c>
      <c r="AP52" s="20">
        <f>IFERROR((VLOOKUP(Tabla13[[#This Row],[ID]],[1]!Estilo_Conduccion[[#All],[Placa]:[Puntuacion]],15,FALSE)),0)</f>
        <v>552.20000000000005</v>
      </c>
      <c r="AQ52" s="15" t="s">
        <v>54</v>
      </c>
      <c r="AR52" s="15" t="s">
        <v>496</v>
      </c>
      <c r="AS52" s="20">
        <v>1650</v>
      </c>
      <c r="AT52" s="21">
        <v>0</v>
      </c>
      <c r="AU52" s="21">
        <f>(Tabla13[[#This Row],[Cap Vh]]*$AX$2)*0.56</f>
        <v>0</v>
      </c>
      <c r="AV52" s="36" t="e">
        <f>(Tabla13[[#This Row],[Cap Util (kg)]]/(Tabla13[[#This Row],[Cap Inst (Kg)]]))</f>
        <v>#DIV/0!</v>
      </c>
    </row>
    <row r="53" spans="1:48" x14ac:dyDescent="0.25">
      <c r="A53" s="13" t="s">
        <v>1068</v>
      </c>
      <c r="B53" s="14" t="s">
        <v>150</v>
      </c>
      <c r="C53" s="14" t="s">
        <v>44</v>
      </c>
      <c r="D53" s="14" t="s">
        <v>44</v>
      </c>
      <c r="E53" s="14" t="s">
        <v>85</v>
      </c>
      <c r="F53" s="14" t="s">
        <v>64</v>
      </c>
      <c r="G53" s="15" t="s">
        <v>128</v>
      </c>
      <c r="H53" s="16" t="s">
        <v>143</v>
      </c>
      <c r="I53" s="14" t="s">
        <v>49</v>
      </c>
      <c r="J53" s="14">
        <v>890903937</v>
      </c>
      <c r="K53" s="14" t="s">
        <v>138</v>
      </c>
      <c r="L53" s="14" t="s">
        <v>103</v>
      </c>
      <c r="M53" s="14" t="s">
        <v>104</v>
      </c>
      <c r="N53" s="14">
        <v>2019</v>
      </c>
      <c r="O53" s="14">
        <v>1</v>
      </c>
      <c r="P53" s="14" t="s">
        <v>105</v>
      </c>
      <c r="Q53" s="14">
        <v>1</v>
      </c>
      <c r="R53" s="14">
        <v>1</v>
      </c>
      <c r="S53" s="17">
        <v>44833.426412037043</v>
      </c>
      <c r="T53" s="18">
        <v>115.45100000000001</v>
      </c>
      <c r="U53" s="14">
        <v>30</v>
      </c>
      <c r="V53" s="19">
        <v>1</v>
      </c>
      <c r="W53" s="14">
        <v>0</v>
      </c>
      <c r="X53" s="14">
        <v>26</v>
      </c>
      <c r="Y53" s="14">
        <v>0</v>
      </c>
      <c r="Z53" s="14">
        <v>25</v>
      </c>
      <c r="AA53" s="14">
        <f>Tabla13[[#This Row],[CheckList App]]+Tabla13[[#This Row],[CheckList Fisc]]</f>
        <v>25</v>
      </c>
      <c r="AB53" s="19">
        <f t="shared" si="0"/>
        <v>0.96153846153846156</v>
      </c>
      <c r="AC53" s="14">
        <v>0</v>
      </c>
      <c r="AD53" s="14" t="s">
        <v>70</v>
      </c>
      <c r="AE53" s="15" t="str">
        <f>IFERROR((VLOOKUP(Tabla13[[#This Row],[ID]],[1]!Mtto_Pesv[[#Headers],[#Data],[Placa]:[Rutina]],2,FALSE)),"-")</f>
        <v>-</v>
      </c>
      <c r="AF53" s="14">
        <v>1</v>
      </c>
      <c r="AG53" s="20">
        <f>IFERROR((VLOOKUP(Tabla13[[#This Row],[ID]],[1]!Mtto_Pesv[[#Headers],[#Data],[Placa]:[Rutina]],3,FALSE)),0)</f>
        <v>0</v>
      </c>
      <c r="AH53" s="20">
        <f>IFERROR((VLOOKUP(Tabla13[[#This Row],[ID]],[1]!Mtto_Pesv[[#Headers],[#Data],[Placa]:[Rutina]],7,FALSE)),0)</f>
        <v>0</v>
      </c>
      <c r="AI53" s="20">
        <f>IFERROR((VLOOKUP(Tabla13[[#This Row],[ID]],[1]!Mtto_Pesv[[#Headers],[#Data],[Placa]:[Rutina]],8,FALSE)),0)</f>
        <v>0</v>
      </c>
      <c r="AJ53" s="20" t="str">
        <f>IFERROR((VLOOKUP(Tabla13[[#This Row],[ID]],[1]!Mtto_Pesv[[#Headers],[#Data],[Placa]:[Rutina]],9,FALSE)),"-")</f>
        <v>-</v>
      </c>
      <c r="AK53" s="20">
        <f>IFERROR((VLOOKUP(Tabla13[[#This Row],[ID]],[1]!Mtto_Pesv[[#Headers],[#Data],[Placa]:[Rutina]],10,FALSE)),0)</f>
        <v>0</v>
      </c>
      <c r="AL53" s="20">
        <f>IF(Tabla13[[#This Row],[Km Anterior]]=0,0,Tabla13[[#This Row],[Km Ejecut]]-Tabla13[[#This Row],[Km Anterior]])</f>
        <v>0</v>
      </c>
      <c r="AM53" s="20">
        <f>IFERROR((VLOOKUP(Tabla13[[#This Row],[ID]],[1]!Mtto_Pesv[[#Headers],[#Data],[Placa]:[Rutina]],4,FALSE)),0)</f>
        <v>0</v>
      </c>
      <c r="AN53" s="21">
        <f>IFERROR((VLOOKUP(Tabla13[[#This Row],[ID]],[1]!Mtto_Pesv[[#Headers],[#Data],[Placa]:[Rutina]],5,FALSE)),0)</f>
        <v>0</v>
      </c>
      <c r="AO53" s="21">
        <f>+Tabla13[[#This Row],[Km Fin]]-Tabla13[[#This Row],[Km Ini]]</f>
        <v>0</v>
      </c>
      <c r="AP53" s="20">
        <f>IFERROR((VLOOKUP(Tabla13[[#This Row],[ID]],[1]!Estilo_Conduccion[[#All],[Placa]:[Puntuacion]],15,FALSE)),0)</f>
        <v>429.49999999999994</v>
      </c>
      <c r="AQ53" s="15" t="s">
        <v>54</v>
      </c>
      <c r="AR53" s="15" t="s">
        <v>151</v>
      </c>
      <c r="AS53" s="20">
        <v>1650</v>
      </c>
      <c r="AT53" s="21">
        <v>0</v>
      </c>
      <c r="AU53" s="21">
        <f>(Tabla13[[#This Row],[Cap Vh]]*$AX$2)*0.56</f>
        <v>0</v>
      </c>
      <c r="AV53" s="36" t="e">
        <f>(Tabla13[[#This Row],[Cap Util (kg)]]/(Tabla13[[#This Row],[Cap Inst (Kg)]]))</f>
        <v>#DIV/0!</v>
      </c>
    </row>
    <row r="54" spans="1:48" x14ac:dyDescent="0.25">
      <c r="A54" s="13" t="s">
        <v>1068</v>
      </c>
      <c r="B54" s="14" t="s">
        <v>152</v>
      </c>
      <c r="C54" s="14" t="s">
        <v>44</v>
      </c>
      <c r="D54" s="14" t="s">
        <v>44</v>
      </c>
      <c r="E54" s="14" t="s">
        <v>45</v>
      </c>
      <c r="F54" s="14" t="s">
        <v>64</v>
      </c>
      <c r="G54" s="15" t="s">
        <v>128</v>
      </c>
      <c r="H54" s="16" t="s">
        <v>143</v>
      </c>
      <c r="I54" s="14" t="s">
        <v>109</v>
      </c>
      <c r="J54" s="14">
        <v>890903937</v>
      </c>
      <c r="K54" s="14" t="s">
        <v>138</v>
      </c>
      <c r="L54" s="14" t="s">
        <v>103</v>
      </c>
      <c r="M54" s="14" t="s">
        <v>153</v>
      </c>
      <c r="N54" s="14">
        <v>2019</v>
      </c>
      <c r="O54" s="14">
        <v>1</v>
      </c>
      <c r="P54" s="14" t="s">
        <v>105</v>
      </c>
      <c r="Q54" s="14">
        <v>0</v>
      </c>
      <c r="R54" s="14">
        <v>1</v>
      </c>
      <c r="S54" s="17">
        <v>44834.25681712963</v>
      </c>
      <c r="T54" s="18">
        <v>294.762</v>
      </c>
      <c r="U54" s="14">
        <v>30</v>
      </c>
      <c r="V54" s="19">
        <v>1</v>
      </c>
      <c r="W54" s="14">
        <v>0</v>
      </c>
      <c r="X54" s="14">
        <v>26</v>
      </c>
      <c r="Y54" s="14">
        <v>0</v>
      </c>
      <c r="Z54" s="14">
        <v>26</v>
      </c>
      <c r="AA54" s="14">
        <f>Tabla13[[#This Row],[CheckList App]]+Tabla13[[#This Row],[CheckList Fisc]]</f>
        <v>26</v>
      </c>
      <c r="AB54" s="19">
        <f t="shared" si="0"/>
        <v>1</v>
      </c>
      <c r="AC54" s="14">
        <v>0</v>
      </c>
      <c r="AD54" s="14" t="s">
        <v>70</v>
      </c>
      <c r="AE54" s="15" t="str">
        <f>IFERROR((VLOOKUP(Tabla13[[#This Row],[ID]],[1]!Mtto_Pesv[[#Headers],[#Data],[Placa]:[Rutina]],2,FALSE)),"-")</f>
        <v>-</v>
      </c>
      <c r="AF54" s="14">
        <v>1</v>
      </c>
      <c r="AG54" s="20">
        <f>IFERROR((VLOOKUP(Tabla13[[#This Row],[ID]],[1]!Mtto_Pesv[[#Headers],[#Data],[Placa]:[Rutina]],3,FALSE)),0)</f>
        <v>0</v>
      </c>
      <c r="AH54" s="20">
        <f>IFERROR((VLOOKUP(Tabla13[[#This Row],[ID]],[1]!Mtto_Pesv[[#Headers],[#Data],[Placa]:[Rutina]],7,FALSE)),0)</f>
        <v>0</v>
      </c>
      <c r="AI54" s="20">
        <f>IFERROR((VLOOKUP(Tabla13[[#This Row],[ID]],[1]!Mtto_Pesv[[#Headers],[#Data],[Placa]:[Rutina]],8,FALSE)),0)</f>
        <v>0</v>
      </c>
      <c r="AJ54" s="20" t="str">
        <f>IFERROR((VLOOKUP(Tabla13[[#This Row],[ID]],[1]!Mtto_Pesv[[#Headers],[#Data],[Placa]:[Rutina]],9,FALSE)),"-")</f>
        <v>-</v>
      </c>
      <c r="AK54" s="20">
        <f>IFERROR((VLOOKUP(Tabla13[[#This Row],[ID]],[1]!Mtto_Pesv[[#Headers],[#Data],[Placa]:[Rutina]],10,FALSE)),0)</f>
        <v>0</v>
      </c>
      <c r="AL54" s="20">
        <f>IF(Tabla13[[#This Row],[Km Anterior]]=0,0,Tabla13[[#This Row],[Km Ejecut]]-Tabla13[[#This Row],[Km Anterior]])</f>
        <v>0</v>
      </c>
      <c r="AM54" s="20">
        <f>IFERROR((VLOOKUP(Tabla13[[#This Row],[ID]],[1]!Mtto_Pesv[[#Headers],[#Data],[Placa]:[Rutina]],4,FALSE)),0)</f>
        <v>0</v>
      </c>
      <c r="AN54" s="21">
        <f>IFERROR((VLOOKUP(Tabla13[[#This Row],[ID]],[1]!Mtto_Pesv[[#Headers],[#Data],[Placa]:[Rutina]],5,FALSE)),0)</f>
        <v>0</v>
      </c>
      <c r="AO54" s="21">
        <f>+Tabla13[[#This Row],[Km Fin]]-Tabla13[[#This Row],[Km Ini]]</f>
        <v>0</v>
      </c>
      <c r="AP54" s="20">
        <f>IFERROR((VLOOKUP(Tabla13[[#This Row],[ID]],[1]!Estilo_Conduccion[[#All],[Placa]:[Puntuacion]],15,FALSE)),0)</f>
        <v>473.29999999999995</v>
      </c>
      <c r="AQ54" s="15" t="s">
        <v>54</v>
      </c>
      <c r="AR54" s="15" t="s">
        <v>154</v>
      </c>
      <c r="AS54" s="20">
        <v>3900</v>
      </c>
      <c r="AT54" s="21">
        <v>0</v>
      </c>
      <c r="AU54" s="21">
        <f>(Tabla13[[#This Row],[Cap Vh]]*$AX$2)*0.56</f>
        <v>0</v>
      </c>
      <c r="AV54" s="36" t="e">
        <f>(Tabla13[[#This Row],[Cap Util (kg)]]/(Tabla13[[#This Row],[Cap Inst (Kg)]]))</f>
        <v>#DIV/0!</v>
      </c>
    </row>
    <row r="55" spans="1:48" x14ac:dyDescent="0.25">
      <c r="A55" s="13" t="s">
        <v>1068</v>
      </c>
      <c r="B55" s="14" t="s">
        <v>155</v>
      </c>
      <c r="C55" s="14" t="s">
        <v>44</v>
      </c>
      <c r="D55" s="14" t="s">
        <v>44</v>
      </c>
      <c r="E55" s="14" t="s">
        <v>85</v>
      </c>
      <c r="F55" s="14" t="s">
        <v>64</v>
      </c>
      <c r="G55" s="15" t="s">
        <v>128</v>
      </c>
      <c r="H55" s="16" t="s">
        <v>143</v>
      </c>
      <c r="I55" s="14" t="s">
        <v>49</v>
      </c>
      <c r="J55" s="14">
        <v>890903937</v>
      </c>
      <c r="K55" s="14" t="s">
        <v>138</v>
      </c>
      <c r="L55" s="14" t="s">
        <v>103</v>
      </c>
      <c r="M55" s="14" t="s">
        <v>104</v>
      </c>
      <c r="N55" s="14">
        <v>2019</v>
      </c>
      <c r="O55" s="14">
        <v>1</v>
      </c>
      <c r="P55" s="14" t="s">
        <v>105</v>
      </c>
      <c r="Q55" s="14">
        <v>1</v>
      </c>
      <c r="R55" s="14">
        <v>1</v>
      </c>
      <c r="S55" s="17">
        <v>44832.729733796303</v>
      </c>
      <c r="T55" s="18">
        <v>179.07000000000005</v>
      </c>
      <c r="U55" s="14">
        <v>30</v>
      </c>
      <c r="V55" s="19">
        <v>1</v>
      </c>
      <c r="W55" s="14">
        <v>0</v>
      </c>
      <c r="X55" s="14">
        <v>12</v>
      </c>
      <c r="Y55" s="14">
        <v>0</v>
      </c>
      <c r="Z55" s="14">
        <v>10</v>
      </c>
      <c r="AA55" s="14">
        <f>Tabla13[[#This Row],[CheckList App]]+Tabla13[[#This Row],[CheckList Fisc]]</f>
        <v>10</v>
      </c>
      <c r="AB55" s="19">
        <f t="shared" si="0"/>
        <v>0.83333333333333337</v>
      </c>
      <c r="AC55" s="14">
        <v>0</v>
      </c>
      <c r="AD55" s="14" t="s">
        <v>70</v>
      </c>
      <c r="AE55" s="15" t="str">
        <f>IFERROR((VLOOKUP(Tabla13[[#This Row],[ID]],[1]!Mtto_Pesv[[#Headers],[#Data],[Placa]:[Rutina]],2,FALSE)),"-")</f>
        <v>-</v>
      </c>
      <c r="AF55" s="14">
        <v>1</v>
      </c>
      <c r="AG55" s="20">
        <f>IFERROR((VLOOKUP(Tabla13[[#This Row],[ID]],[1]!Mtto_Pesv[[#Headers],[#Data],[Placa]:[Rutina]],3,FALSE)),0)</f>
        <v>0</v>
      </c>
      <c r="AH55" s="20">
        <f>IFERROR((VLOOKUP(Tabla13[[#This Row],[ID]],[1]!Mtto_Pesv[[#Headers],[#Data],[Placa]:[Rutina]],7,FALSE)),0)</f>
        <v>0</v>
      </c>
      <c r="AI55" s="20">
        <f>IFERROR((VLOOKUP(Tabla13[[#This Row],[ID]],[1]!Mtto_Pesv[[#Headers],[#Data],[Placa]:[Rutina]],8,FALSE)),0)</f>
        <v>0</v>
      </c>
      <c r="AJ55" s="20" t="str">
        <f>IFERROR((VLOOKUP(Tabla13[[#This Row],[ID]],[1]!Mtto_Pesv[[#Headers],[#Data],[Placa]:[Rutina]],9,FALSE)),"-")</f>
        <v>-</v>
      </c>
      <c r="AK55" s="20">
        <f>IFERROR((VLOOKUP(Tabla13[[#This Row],[ID]],[1]!Mtto_Pesv[[#Headers],[#Data],[Placa]:[Rutina]],10,FALSE)),0)</f>
        <v>0</v>
      </c>
      <c r="AL55" s="20">
        <f>IF(Tabla13[[#This Row],[Km Anterior]]=0,0,Tabla13[[#This Row],[Km Ejecut]]-Tabla13[[#This Row],[Km Anterior]])</f>
        <v>0</v>
      </c>
      <c r="AM55" s="20">
        <f>IFERROR((VLOOKUP(Tabla13[[#This Row],[ID]],[1]!Mtto_Pesv[[#Headers],[#Data],[Placa]:[Rutina]],4,FALSE)),0)</f>
        <v>0</v>
      </c>
      <c r="AN55" s="21">
        <f>IFERROR((VLOOKUP(Tabla13[[#This Row],[ID]],[1]!Mtto_Pesv[[#Headers],[#Data],[Placa]:[Rutina]],5,FALSE)),0)</f>
        <v>0</v>
      </c>
      <c r="AO55" s="21">
        <f>+Tabla13[[#This Row],[Km Fin]]-Tabla13[[#This Row],[Km Ini]]</f>
        <v>0</v>
      </c>
      <c r="AP55" s="20">
        <f>IFERROR((VLOOKUP(Tabla13[[#This Row],[ID]],[1]!Estilo_Conduccion[[#All],[Placa]:[Puntuacion]],15,FALSE)),0)</f>
        <v>669.30000000000007</v>
      </c>
      <c r="AQ55" s="15" t="s">
        <v>54</v>
      </c>
      <c r="AR55" s="15" t="s">
        <v>156</v>
      </c>
      <c r="AS55" s="20">
        <v>1650</v>
      </c>
      <c r="AT55" s="21">
        <v>0</v>
      </c>
      <c r="AU55" s="21">
        <f>(Tabla13[[#This Row],[Cap Vh]]*$AX$2)*0.56</f>
        <v>0</v>
      </c>
      <c r="AV55" s="36" t="e">
        <f>(Tabla13[[#This Row],[Cap Util (kg)]]/(Tabla13[[#This Row],[Cap Inst (Kg)]]))</f>
        <v>#DIV/0!</v>
      </c>
    </row>
    <row r="56" spans="1:48" x14ac:dyDescent="0.25">
      <c r="A56" s="13" t="s">
        <v>1068</v>
      </c>
      <c r="B56" s="14" t="s">
        <v>157</v>
      </c>
      <c r="C56" s="14" t="s">
        <v>44</v>
      </c>
      <c r="D56" s="14" t="s">
        <v>44</v>
      </c>
      <c r="E56" s="14" t="s">
        <v>58</v>
      </c>
      <c r="F56" s="14" t="s">
        <v>76</v>
      </c>
      <c r="G56" s="15" t="s">
        <v>128</v>
      </c>
      <c r="H56" s="16" t="s">
        <v>141</v>
      </c>
      <c r="I56" s="14" t="s">
        <v>49</v>
      </c>
      <c r="J56" s="14">
        <v>890903937</v>
      </c>
      <c r="K56" s="14" t="s">
        <v>138</v>
      </c>
      <c r="L56" s="14" t="s">
        <v>103</v>
      </c>
      <c r="M56" s="14" t="s">
        <v>121</v>
      </c>
      <c r="N56" s="14">
        <v>2019</v>
      </c>
      <c r="O56" s="14">
        <v>1</v>
      </c>
      <c r="P56" s="14" t="s">
        <v>105</v>
      </c>
      <c r="Q56" s="14">
        <v>1</v>
      </c>
      <c r="R56" s="14">
        <v>0</v>
      </c>
      <c r="S56" s="17" t="s">
        <v>54</v>
      </c>
      <c r="T56" s="18">
        <v>0</v>
      </c>
      <c r="U56" s="14">
        <v>0</v>
      </c>
      <c r="V56" s="19">
        <v>0</v>
      </c>
      <c r="W56" s="14">
        <v>0</v>
      </c>
      <c r="X56" s="14">
        <v>22</v>
      </c>
      <c r="Y56" s="14">
        <v>0</v>
      </c>
      <c r="Z56" s="14">
        <v>15</v>
      </c>
      <c r="AA56" s="14">
        <f>Tabla13[[#This Row],[CheckList App]]+Tabla13[[#This Row],[CheckList Fisc]]</f>
        <v>15</v>
      </c>
      <c r="AB56" s="19" t="str">
        <f t="shared" si="0"/>
        <v/>
      </c>
      <c r="AC56" s="14">
        <v>0</v>
      </c>
      <c r="AD56" s="14" t="s">
        <v>70</v>
      </c>
      <c r="AE56" s="15" t="str">
        <f>IFERROR((VLOOKUP(Tabla13[[#This Row],[ID]],[1]!Mtto_Pesv[[#Headers],[#Data],[Placa]:[Rutina]],2,FALSE)),"-")</f>
        <v>-</v>
      </c>
      <c r="AF56" s="14">
        <v>1</v>
      </c>
      <c r="AG56" s="20">
        <f>IFERROR((VLOOKUP(Tabla13[[#This Row],[ID]],[1]!Mtto_Pesv[[#Headers],[#Data],[Placa]:[Rutina]],3,FALSE)),0)</f>
        <v>0</v>
      </c>
      <c r="AH56" s="20">
        <f>IFERROR((VLOOKUP(Tabla13[[#This Row],[ID]],[1]!Mtto_Pesv[[#Headers],[#Data],[Placa]:[Rutina]],7,FALSE)),0)</f>
        <v>0</v>
      </c>
      <c r="AI56" s="20">
        <f>IFERROR((VLOOKUP(Tabla13[[#This Row],[ID]],[1]!Mtto_Pesv[[#Headers],[#Data],[Placa]:[Rutina]],8,FALSE)),0)</f>
        <v>0</v>
      </c>
      <c r="AJ56" s="20" t="str">
        <f>IFERROR((VLOOKUP(Tabla13[[#This Row],[ID]],[1]!Mtto_Pesv[[#Headers],[#Data],[Placa]:[Rutina]],9,FALSE)),"-")</f>
        <v>-</v>
      </c>
      <c r="AK56" s="20">
        <f>IFERROR((VLOOKUP(Tabla13[[#This Row],[ID]],[1]!Mtto_Pesv[[#Headers],[#Data],[Placa]:[Rutina]],10,FALSE)),0)</f>
        <v>0</v>
      </c>
      <c r="AL56" s="20">
        <f>IF(Tabla13[[#This Row],[Km Anterior]]=0,0,Tabla13[[#This Row],[Km Ejecut]]-Tabla13[[#This Row],[Km Anterior]])</f>
        <v>0</v>
      </c>
      <c r="AM56" s="20">
        <f>IFERROR((VLOOKUP(Tabla13[[#This Row],[ID]],[1]!Mtto_Pesv[[#Headers],[#Data],[Placa]:[Rutina]],4,FALSE)),0)</f>
        <v>0</v>
      </c>
      <c r="AN56" s="21">
        <f>IFERROR((VLOOKUP(Tabla13[[#This Row],[ID]],[1]!Mtto_Pesv[[#Headers],[#Data],[Placa]:[Rutina]],5,FALSE)),0)</f>
        <v>0</v>
      </c>
      <c r="AO56" s="21">
        <f>+Tabla13[[#This Row],[Km Fin]]-Tabla13[[#This Row],[Km Ini]]</f>
        <v>0</v>
      </c>
      <c r="AP56" s="20">
        <f>IFERROR((VLOOKUP(Tabla13[[#This Row],[ID]],[1]!Estilo_Conduccion[[#All],[Placa]:[Puntuacion]],15,FALSE)),0)</f>
        <v>210.5</v>
      </c>
      <c r="AQ56" s="15" t="s">
        <v>1078</v>
      </c>
      <c r="AR56" s="15" t="s">
        <v>1079</v>
      </c>
      <c r="AS56" s="20">
        <v>2350</v>
      </c>
      <c r="AT56" s="21">
        <v>4470</v>
      </c>
      <c r="AU56" s="21">
        <f>(Tabla13[[#This Row],[Cap Vh]]*$AX$2)*0.56</f>
        <v>0</v>
      </c>
      <c r="AV56" s="36" t="e">
        <f>(Tabla13[[#This Row],[Cap Util (kg)]]/(Tabla13[[#This Row],[Cap Inst (Kg)]]))</f>
        <v>#DIV/0!</v>
      </c>
    </row>
    <row r="57" spans="1:48" x14ac:dyDescent="0.25">
      <c r="A57" s="13" t="s">
        <v>1068</v>
      </c>
      <c r="B57" s="14" t="s">
        <v>158</v>
      </c>
      <c r="C57" s="14" t="s">
        <v>44</v>
      </c>
      <c r="D57" s="14" t="s">
        <v>44</v>
      </c>
      <c r="E57" s="14" t="s">
        <v>45</v>
      </c>
      <c r="F57" s="14" t="s">
        <v>64</v>
      </c>
      <c r="G57" s="15" t="s">
        <v>128</v>
      </c>
      <c r="H57" s="16" t="s">
        <v>143</v>
      </c>
      <c r="I57" s="14" t="s">
        <v>109</v>
      </c>
      <c r="J57" s="14">
        <v>890903937</v>
      </c>
      <c r="K57" s="14" t="s">
        <v>138</v>
      </c>
      <c r="L57" s="14" t="s">
        <v>103</v>
      </c>
      <c r="M57" s="14" t="s">
        <v>121</v>
      </c>
      <c r="N57" s="14">
        <v>2020</v>
      </c>
      <c r="O57" s="14">
        <v>0</v>
      </c>
      <c r="P57" s="14" t="s">
        <v>105</v>
      </c>
      <c r="Q57" s="14">
        <v>0</v>
      </c>
      <c r="R57" s="14">
        <v>1</v>
      </c>
      <c r="S57" s="17">
        <v>44832.32440972222</v>
      </c>
      <c r="T57" s="18">
        <v>53.732999999999997</v>
      </c>
      <c r="U57" s="14">
        <v>30</v>
      </c>
      <c r="V57" s="19">
        <v>1</v>
      </c>
      <c r="W57" s="14">
        <v>0</v>
      </c>
      <c r="X57" s="14">
        <v>14</v>
      </c>
      <c r="Y57" s="14">
        <v>0</v>
      </c>
      <c r="Z57" s="14">
        <v>3</v>
      </c>
      <c r="AA57" s="14">
        <f>Tabla13[[#This Row],[CheckList App]]+Tabla13[[#This Row],[CheckList Fisc]]</f>
        <v>3</v>
      </c>
      <c r="AB57" s="19">
        <f t="shared" si="0"/>
        <v>0.21428571428571427</v>
      </c>
      <c r="AC57" s="14">
        <v>0</v>
      </c>
      <c r="AD57" s="14" t="s">
        <v>70</v>
      </c>
      <c r="AE57" s="15" t="str">
        <f>IFERROR((VLOOKUP(Tabla13[[#This Row],[ID]],[1]!Mtto_Pesv[[#Headers],[#Data],[Placa]:[Rutina]],2,FALSE)),"-")</f>
        <v>-</v>
      </c>
      <c r="AF57" s="14">
        <v>1</v>
      </c>
      <c r="AG57" s="20">
        <f>IFERROR((VLOOKUP(Tabla13[[#This Row],[ID]],[1]!Mtto_Pesv[[#Headers],[#Data],[Placa]:[Rutina]],3,FALSE)),0)</f>
        <v>0</v>
      </c>
      <c r="AH57" s="20">
        <f>IFERROR((VLOOKUP(Tabla13[[#This Row],[ID]],[1]!Mtto_Pesv[[#Headers],[#Data],[Placa]:[Rutina]],7,FALSE)),0)</f>
        <v>0</v>
      </c>
      <c r="AI57" s="20">
        <f>IFERROR((VLOOKUP(Tabla13[[#This Row],[ID]],[1]!Mtto_Pesv[[#Headers],[#Data],[Placa]:[Rutina]],8,FALSE)),0)</f>
        <v>0</v>
      </c>
      <c r="AJ57" s="20" t="str">
        <f>IFERROR((VLOOKUP(Tabla13[[#This Row],[ID]],[1]!Mtto_Pesv[[#Headers],[#Data],[Placa]:[Rutina]],9,FALSE)),"-")</f>
        <v>-</v>
      </c>
      <c r="AK57" s="20">
        <f>IFERROR((VLOOKUP(Tabla13[[#This Row],[ID]],[1]!Mtto_Pesv[[#Headers],[#Data],[Placa]:[Rutina]],10,FALSE)),0)</f>
        <v>0</v>
      </c>
      <c r="AL57" s="20">
        <f>IF(Tabla13[[#This Row],[Km Anterior]]=0,0,Tabla13[[#This Row],[Km Ejecut]]-Tabla13[[#This Row],[Km Anterior]])</f>
        <v>0</v>
      </c>
      <c r="AM57" s="20">
        <f>IFERROR((VLOOKUP(Tabla13[[#This Row],[ID]],[1]!Mtto_Pesv[[#Headers],[#Data],[Placa]:[Rutina]],4,FALSE)),0)</f>
        <v>0</v>
      </c>
      <c r="AN57" s="21">
        <f>IFERROR((VLOOKUP(Tabla13[[#This Row],[ID]],[1]!Mtto_Pesv[[#Headers],[#Data],[Placa]:[Rutina]],5,FALSE)),0)</f>
        <v>0</v>
      </c>
      <c r="AO57" s="21">
        <f>+Tabla13[[#This Row],[Km Fin]]-Tabla13[[#This Row],[Km Ini]]</f>
        <v>0</v>
      </c>
      <c r="AP57" s="20">
        <f>IFERROR((VLOOKUP(Tabla13[[#This Row],[ID]],[1]!Estilo_Conduccion[[#All],[Placa]:[Puntuacion]],15,FALSE)),0)</f>
        <v>249.3</v>
      </c>
      <c r="AQ57" s="15" t="s">
        <v>54</v>
      </c>
      <c r="AR57" s="15" t="s">
        <v>283</v>
      </c>
      <c r="AS57" s="20">
        <v>2350</v>
      </c>
      <c r="AT57" s="21">
        <v>0</v>
      </c>
      <c r="AU57" s="21">
        <f>(Tabla13[[#This Row],[Cap Vh]]*$AX$2)*0.56</f>
        <v>0</v>
      </c>
      <c r="AV57" s="36" t="e">
        <f>(Tabla13[[#This Row],[Cap Util (kg)]]/(Tabla13[[#This Row],[Cap Inst (Kg)]]))</f>
        <v>#DIV/0!</v>
      </c>
    </row>
    <row r="58" spans="1:48" x14ac:dyDescent="0.25">
      <c r="A58" s="13" t="s">
        <v>1068</v>
      </c>
      <c r="B58" s="14" t="s">
        <v>160</v>
      </c>
      <c r="C58" s="14" t="s">
        <v>44</v>
      </c>
      <c r="D58" s="14" t="s">
        <v>44</v>
      </c>
      <c r="E58" s="14" t="s">
        <v>45</v>
      </c>
      <c r="F58" s="14" t="s">
        <v>64</v>
      </c>
      <c r="G58" s="15" t="s">
        <v>128</v>
      </c>
      <c r="H58" s="16" t="s">
        <v>143</v>
      </c>
      <c r="I58" s="14" t="s">
        <v>109</v>
      </c>
      <c r="J58" s="14">
        <v>890903937</v>
      </c>
      <c r="K58" s="14" t="s">
        <v>138</v>
      </c>
      <c r="L58" s="14" t="s">
        <v>103</v>
      </c>
      <c r="M58" s="14" t="s">
        <v>153</v>
      </c>
      <c r="N58" s="14">
        <v>2019</v>
      </c>
      <c r="O58" s="14">
        <v>1</v>
      </c>
      <c r="P58" s="14" t="s">
        <v>105</v>
      </c>
      <c r="Q58" s="14">
        <v>0</v>
      </c>
      <c r="R58" s="14">
        <v>1</v>
      </c>
      <c r="S58" s="17">
        <v>44834.733530092592</v>
      </c>
      <c r="T58" s="18">
        <v>219.58300000000003</v>
      </c>
      <c r="U58" s="14">
        <v>30</v>
      </c>
      <c r="V58" s="19">
        <v>1</v>
      </c>
      <c r="W58" s="14">
        <v>0</v>
      </c>
      <c r="X58" s="14">
        <v>25</v>
      </c>
      <c r="Y58" s="14">
        <v>0</v>
      </c>
      <c r="Z58" s="14">
        <v>25</v>
      </c>
      <c r="AA58" s="14">
        <f>Tabla13[[#This Row],[CheckList App]]+Tabla13[[#This Row],[CheckList Fisc]]</f>
        <v>25</v>
      </c>
      <c r="AB58" s="19">
        <f t="shared" si="0"/>
        <v>1</v>
      </c>
      <c r="AC58" s="14">
        <v>0</v>
      </c>
      <c r="AD58" s="14" t="s">
        <v>70</v>
      </c>
      <c r="AE58" s="15" t="str">
        <f>IFERROR((VLOOKUP(Tabla13[[#This Row],[ID]],[1]!Mtto_Pesv[[#Headers],[#Data],[Placa]:[Rutina]],2,FALSE)),"-")</f>
        <v>-</v>
      </c>
      <c r="AF58" s="14">
        <v>1</v>
      </c>
      <c r="AG58" s="20">
        <f>IFERROR((VLOOKUP(Tabla13[[#This Row],[ID]],[1]!Mtto_Pesv[[#Headers],[#Data],[Placa]:[Rutina]],3,FALSE)),0)</f>
        <v>0</v>
      </c>
      <c r="AH58" s="20">
        <f>IFERROR((VLOOKUP(Tabla13[[#This Row],[ID]],[1]!Mtto_Pesv[[#Headers],[#Data],[Placa]:[Rutina]],7,FALSE)),0)</f>
        <v>0</v>
      </c>
      <c r="AI58" s="20">
        <f>IFERROR((VLOOKUP(Tabla13[[#This Row],[ID]],[1]!Mtto_Pesv[[#Headers],[#Data],[Placa]:[Rutina]],8,FALSE)),0)</f>
        <v>0</v>
      </c>
      <c r="AJ58" s="20" t="str">
        <f>IFERROR((VLOOKUP(Tabla13[[#This Row],[ID]],[1]!Mtto_Pesv[[#Headers],[#Data],[Placa]:[Rutina]],9,FALSE)),"-")</f>
        <v>-</v>
      </c>
      <c r="AK58" s="20">
        <f>IFERROR((VLOOKUP(Tabla13[[#This Row],[ID]],[1]!Mtto_Pesv[[#Headers],[#Data],[Placa]:[Rutina]],10,FALSE)),0)</f>
        <v>0</v>
      </c>
      <c r="AL58" s="20">
        <f>IF(Tabla13[[#This Row],[Km Anterior]]=0,0,Tabla13[[#This Row],[Km Ejecut]]-Tabla13[[#This Row],[Km Anterior]])</f>
        <v>0</v>
      </c>
      <c r="AM58" s="20">
        <f>IFERROR((VLOOKUP(Tabla13[[#This Row],[ID]],[1]!Mtto_Pesv[[#Headers],[#Data],[Placa]:[Rutina]],4,FALSE)),0)</f>
        <v>0</v>
      </c>
      <c r="AN58" s="21">
        <f>IFERROR((VLOOKUP(Tabla13[[#This Row],[ID]],[1]!Mtto_Pesv[[#Headers],[#Data],[Placa]:[Rutina]],5,FALSE)),0)</f>
        <v>0</v>
      </c>
      <c r="AO58" s="21">
        <f>+Tabla13[[#This Row],[Km Fin]]-Tabla13[[#This Row],[Km Ini]]</f>
        <v>0</v>
      </c>
      <c r="AP58" s="20">
        <f>IFERROR((VLOOKUP(Tabla13[[#This Row],[ID]],[1]!Estilo_Conduccion[[#All],[Placa]:[Puntuacion]],15,FALSE)),0)</f>
        <v>432.2</v>
      </c>
      <c r="AQ58" s="15" t="s">
        <v>54</v>
      </c>
      <c r="AR58" s="15" t="s">
        <v>161</v>
      </c>
      <c r="AS58" s="20">
        <v>3900</v>
      </c>
      <c r="AT58" s="21">
        <v>0</v>
      </c>
      <c r="AU58" s="21">
        <f>(Tabla13[[#This Row],[Cap Vh]]*$AX$2)*0.56</f>
        <v>0</v>
      </c>
      <c r="AV58" s="36" t="e">
        <f>(Tabla13[[#This Row],[Cap Util (kg)]]/(Tabla13[[#This Row],[Cap Inst (Kg)]]))</f>
        <v>#DIV/0!</v>
      </c>
    </row>
    <row r="59" spans="1:48" x14ac:dyDescent="0.25">
      <c r="A59" s="13" t="s">
        <v>1068</v>
      </c>
      <c r="B59" s="14" t="s">
        <v>162</v>
      </c>
      <c r="C59" s="14" t="s">
        <v>44</v>
      </c>
      <c r="D59" s="14" t="s">
        <v>44</v>
      </c>
      <c r="E59" s="14" t="s">
        <v>60</v>
      </c>
      <c r="F59" s="14" t="s">
        <v>64</v>
      </c>
      <c r="G59" s="15" t="s">
        <v>128</v>
      </c>
      <c r="H59" s="16" t="s">
        <v>143</v>
      </c>
      <c r="I59" s="14" t="s">
        <v>109</v>
      </c>
      <c r="J59" s="14">
        <v>890903937</v>
      </c>
      <c r="K59" s="14" t="s">
        <v>138</v>
      </c>
      <c r="L59" s="14" t="s">
        <v>103</v>
      </c>
      <c r="M59" s="14" t="s">
        <v>153</v>
      </c>
      <c r="N59" s="14">
        <v>2019</v>
      </c>
      <c r="O59" s="14">
        <v>1</v>
      </c>
      <c r="P59" s="14" t="s">
        <v>105</v>
      </c>
      <c r="Q59" s="14">
        <v>1</v>
      </c>
      <c r="R59" s="14">
        <v>1</v>
      </c>
      <c r="S59" s="17">
        <v>44834.744872685187</v>
      </c>
      <c r="T59" s="18">
        <v>555.49399999999991</v>
      </c>
      <c r="U59" s="14">
        <v>30</v>
      </c>
      <c r="V59" s="19">
        <v>1</v>
      </c>
      <c r="W59" s="14">
        <v>0</v>
      </c>
      <c r="X59" s="14">
        <v>23</v>
      </c>
      <c r="Y59" s="14">
        <v>0</v>
      </c>
      <c r="Z59" s="14">
        <v>22</v>
      </c>
      <c r="AA59" s="14">
        <f>Tabla13[[#This Row],[CheckList App]]+Tabla13[[#This Row],[CheckList Fisc]]</f>
        <v>22</v>
      </c>
      <c r="AB59" s="19">
        <f t="shared" si="0"/>
        <v>0.95652173913043481</v>
      </c>
      <c r="AC59" s="14">
        <v>0</v>
      </c>
      <c r="AD59" s="14" t="s">
        <v>70</v>
      </c>
      <c r="AE59" s="15" t="str">
        <f>IFERROR((VLOOKUP(Tabla13[[#This Row],[ID]],[1]!Mtto_Pesv[[#Headers],[#Data],[Placa]:[Rutina]],2,FALSE)),"-")</f>
        <v>-</v>
      </c>
      <c r="AF59" s="14">
        <v>1</v>
      </c>
      <c r="AG59" s="20">
        <f>IFERROR((VLOOKUP(Tabla13[[#This Row],[ID]],[1]!Mtto_Pesv[[#Headers],[#Data],[Placa]:[Rutina]],3,FALSE)),0)</f>
        <v>0</v>
      </c>
      <c r="AH59" s="20">
        <f>IFERROR((VLOOKUP(Tabla13[[#This Row],[ID]],[1]!Mtto_Pesv[[#Headers],[#Data],[Placa]:[Rutina]],7,FALSE)),0)</f>
        <v>0</v>
      </c>
      <c r="AI59" s="20">
        <f>IFERROR((VLOOKUP(Tabla13[[#This Row],[ID]],[1]!Mtto_Pesv[[#Headers],[#Data],[Placa]:[Rutina]],8,FALSE)),0)</f>
        <v>0</v>
      </c>
      <c r="AJ59" s="20" t="str">
        <f>IFERROR((VLOOKUP(Tabla13[[#This Row],[ID]],[1]!Mtto_Pesv[[#Headers],[#Data],[Placa]:[Rutina]],9,FALSE)),"-")</f>
        <v>-</v>
      </c>
      <c r="AK59" s="20">
        <f>IFERROR((VLOOKUP(Tabla13[[#This Row],[ID]],[1]!Mtto_Pesv[[#Headers],[#Data],[Placa]:[Rutina]],10,FALSE)),0)</f>
        <v>0</v>
      </c>
      <c r="AL59" s="20">
        <f>IF(Tabla13[[#This Row],[Km Anterior]]=0,0,Tabla13[[#This Row],[Km Ejecut]]-Tabla13[[#This Row],[Km Anterior]])</f>
        <v>0</v>
      </c>
      <c r="AM59" s="20">
        <f>IFERROR((VLOOKUP(Tabla13[[#This Row],[ID]],[1]!Mtto_Pesv[[#Headers],[#Data],[Placa]:[Rutina]],4,FALSE)),0)</f>
        <v>0</v>
      </c>
      <c r="AN59" s="21">
        <f>IFERROR((VLOOKUP(Tabla13[[#This Row],[ID]],[1]!Mtto_Pesv[[#Headers],[#Data],[Placa]:[Rutina]],5,FALSE)),0)</f>
        <v>0</v>
      </c>
      <c r="AO59" s="21">
        <f>+Tabla13[[#This Row],[Km Fin]]-Tabla13[[#This Row],[Km Ini]]</f>
        <v>0</v>
      </c>
      <c r="AP59" s="20">
        <f>IFERROR((VLOOKUP(Tabla13[[#This Row],[ID]],[1]!Estilo_Conduccion[[#All],[Placa]:[Puntuacion]],15,FALSE)),0)</f>
        <v>426.99999999999994</v>
      </c>
      <c r="AQ59" s="15" t="s">
        <v>54</v>
      </c>
      <c r="AR59" s="15" t="s">
        <v>163</v>
      </c>
      <c r="AS59" s="20">
        <v>3900</v>
      </c>
      <c r="AT59" s="21">
        <v>0</v>
      </c>
      <c r="AU59" s="21">
        <f>(Tabla13[[#This Row],[Cap Vh]]*$AX$2)*0.56</f>
        <v>0</v>
      </c>
      <c r="AV59" s="36" t="e">
        <f>(Tabla13[[#This Row],[Cap Util (kg)]]/(Tabla13[[#This Row],[Cap Inst (Kg)]]))</f>
        <v>#DIV/0!</v>
      </c>
    </row>
    <row r="60" spans="1:48" x14ac:dyDescent="0.25">
      <c r="A60" s="13" t="s">
        <v>1068</v>
      </c>
      <c r="B60" s="14" t="s">
        <v>164</v>
      </c>
      <c r="C60" s="14" t="s">
        <v>44</v>
      </c>
      <c r="D60" s="14" t="s">
        <v>44</v>
      </c>
      <c r="E60" s="14" t="s">
        <v>45</v>
      </c>
      <c r="F60" s="14" t="s">
        <v>76</v>
      </c>
      <c r="G60" s="15" t="s">
        <v>128</v>
      </c>
      <c r="H60" s="16" t="s">
        <v>141</v>
      </c>
      <c r="I60" s="14" t="s">
        <v>49</v>
      </c>
      <c r="J60" s="14">
        <v>890903937</v>
      </c>
      <c r="K60" s="14" t="s">
        <v>138</v>
      </c>
      <c r="L60" s="14" t="s">
        <v>103</v>
      </c>
      <c r="M60" s="14" t="s">
        <v>153</v>
      </c>
      <c r="N60" s="14">
        <v>2019</v>
      </c>
      <c r="O60" s="14">
        <v>1</v>
      </c>
      <c r="P60" s="14" t="s">
        <v>105</v>
      </c>
      <c r="Q60" s="14">
        <v>1</v>
      </c>
      <c r="R60" s="14">
        <v>0</v>
      </c>
      <c r="S60" s="17" t="s">
        <v>54</v>
      </c>
      <c r="T60" s="18">
        <v>0</v>
      </c>
      <c r="U60" s="14">
        <v>0</v>
      </c>
      <c r="V60" s="19">
        <v>0</v>
      </c>
      <c r="W60" s="14">
        <v>0</v>
      </c>
      <c r="X60" s="14">
        <v>17</v>
      </c>
      <c r="Y60" s="14">
        <v>0</v>
      </c>
      <c r="Z60" s="14">
        <v>0</v>
      </c>
      <c r="AA60" s="14">
        <f>Tabla13[[#This Row],[CheckList App]]+Tabla13[[#This Row],[CheckList Fisc]]</f>
        <v>0</v>
      </c>
      <c r="AB60" s="19" t="str">
        <f t="shared" si="0"/>
        <v/>
      </c>
      <c r="AC60" s="14">
        <v>0</v>
      </c>
      <c r="AD60" s="14" t="s">
        <v>70</v>
      </c>
      <c r="AE60" s="15" t="str">
        <f>IFERROR((VLOOKUP(Tabla13[[#This Row],[ID]],[1]!Mtto_Pesv[[#Headers],[#Data],[Placa]:[Rutina]],2,FALSE)),"-")</f>
        <v>-</v>
      </c>
      <c r="AF60" s="14">
        <v>1</v>
      </c>
      <c r="AG60" s="20">
        <f>IFERROR((VLOOKUP(Tabla13[[#This Row],[ID]],[1]!Mtto_Pesv[[#Headers],[#Data],[Placa]:[Rutina]],3,FALSE)),0)</f>
        <v>0</v>
      </c>
      <c r="AH60" s="20">
        <f>IFERROR((VLOOKUP(Tabla13[[#This Row],[ID]],[1]!Mtto_Pesv[[#Headers],[#Data],[Placa]:[Rutina]],7,FALSE)),0)</f>
        <v>0</v>
      </c>
      <c r="AI60" s="20">
        <f>IFERROR((VLOOKUP(Tabla13[[#This Row],[ID]],[1]!Mtto_Pesv[[#Headers],[#Data],[Placa]:[Rutina]],8,FALSE)),0)</f>
        <v>0</v>
      </c>
      <c r="AJ60" s="20" t="str">
        <f>IFERROR((VLOOKUP(Tabla13[[#This Row],[ID]],[1]!Mtto_Pesv[[#Headers],[#Data],[Placa]:[Rutina]],9,FALSE)),"-")</f>
        <v>-</v>
      </c>
      <c r="AK60" s="20">
        <f>IFERROR((VLOOKUP(Tabla13[[#This Row],[ID]],[1]!Mtto_Pesv[[#Headers],[#Data],[Placa]:[Rutina]],10,FALSE)),0)</f>
        <v>0</v>
      </c>
      <c r="AL60" s="20">
        <f>IF(Tabla13[[#This Row],[Km Anterior]]=0,0,Tabla13[[#This Row],[Km Ejecut]]-Tabla13[[#This Row],[Km Anterior]])</f>
        <v>0</v>
      </c>
      <c r="AM60" s="20">
        <f>IFERROR((VLOOKUP(Tabla13[[#This Row],[ID]],[1]!Mtto_Pesv[[#Headers],[#Data],[Placa]:[Rutina]],4,FALSE)),0)</f>
        <v>0</v>
      </c>
      <c r="AN60" s="21">
        <f>IFERROR((VLOOKUP(Tabla13[[#This Row],[ID]],[1]!Mtto_Pesv[[#Headers],[#Data],[Placa]:[Rutina]],5,FALSE)),0)</f>
        <v>0</v>
      </c>
      <c r="AO60" s="21">
        <f>+Tabla13[[#This Row],[Km Fin]]-Tabla13[[#This Row],[Km Ini]]</f>
        <v>0</v>
      </c>
      <c r="AP60" s="20">
        <f>IFERROR((VLOOKUP(Tabla13[[#This Row],[ID]],[1]!Estilo_Conduccion[[#All],[Placa]:[Puntuacion]],15,FALSE)),0)</f>
        <v>715</v>
      </c>
      <c r="AQ60" s="15" t="s">
        <v>1098</v>
      </c>
      <c r="AR60" s="15" t="s">
        <v>1099</v>
      </c>
      <c r="AS60" s="20">
        <v>3900</v>
      </c>
      <c r="AT60" s="21">
        <v>3975</v>
      </c>
      <c r="AU60" s="21">
        <f>(Tabla13[[#This Row],[Cap Vh]]*$AX$2)*0.56</f>
        <v>0</v>
      </c>
      <c r="AV60" s="36" t="e">
        <f>(Tabla13[[#This Row],[Cap Util (kg)]]/(Tabla13[[#This Row],[Cap Inst (Kg)]]))</f>
        <v>#DIV/0!</v>
      </c>
    </row>
    <row r="61" spans="1:48" x14ac:dyDescent="0.25">
      <c r="A61" s="13" t="s">
        <v>1068</v>
      </c>
      <c r="B61" s="14" t="s">
        <v>165</v>
      </c>
      <c r="C61" s="14" t="s">
        <v>44</v>
      </c>
      <c r="D61" s="14" t="s">
        <v>44</v>
      </c>
      <c r="E61" s="14" t="s">
        <v>127</v>
      </c>
      <c r="F61" s="14" t="s">
        <v>64</v>
      </c>
      <c r="G61" s="15" t="s">
        <v>128</v>
      </c>
      <c r="H61" s="16" t="s">
        <v>143</v>
      </c>
      <c r="I61" s="14" t="s">
        <v>109</v>
      </c>
      <c r="J61" s="14">
        <v>890903937</v>
      </c>
      <c r="K61" s="14" t="s">
        <v>138</v>
      </c>
      <c r="L61" s="14" t="s">
        <v>103</v>
      </c>
      <c r="M61" s="14" t="s">
        <v>153</v>
      </c>
      <c r="N61" s="14">
        <v>2019</v>
      </c>
      <c r="O61" s="14">
        <v>1</v>
      </c>
      <c r="P61" s="14" t="s">
        <v>105</v>
      </c>
      <c r="Q61" s="14">
        <v>1</v>
      </c>
      <c r="R61" s="14">
        <v>1</v>
      </c>
      <c r="S61" s="17">
        <v>44834.274548611109</v>
      </c>
      <c r="T61" s="18">
        <v>208.33900000000003</v>
      </c>
      <c r="U61" s="14">
        <v>30</v>
      </c>
      <c r="V61" s="19">
        <v>1</v>
      </c>
      <c r="W61" s="14">
        <v>0</v>
      </c>
      <c r="X61" s="14">
        <v>19</v>
      </c>
      <c r="Y61" s="14">
        <v>0</v>
      </c>
      <c r="Z61" s="14">
        <v>13</v>
      </c>
      <c r="AA61" s="14">
        <f>Tabla13[[#This Row],[CheckList App]]+Tabla13[[#This Row],[CheckList Fisc]]</f>
        <v>13</v>
      </c>
      <c r="AB61" s="19">
        <f t="shared" si="0"/>
        <v>0.68421052631578949</v>
      </c>
      <c r="AC61" s="14">
        <v>0</v>
      </c>
      <c r="AD61" s="14" t="s">
        <v>70</v>
      </c>
      <c r="AE61" s="15" t="str">
        <f>IFERROR((VLOOKUP(Tabla13[[#This Row],[ID]],[1]!Mtto_Pesv[[#Headers],[#Data],[Placa]:[Rutina]],2,FALSE)),"-")</f>
        <v>-</v>
      </c>
      <c r="AF61" s="14">
        <v>1</v>
      </c>
      <c r="AG61" s="20">
        <f>IFERROR((VLOOKUP(Tabla13[[#This Row],[ID]],[1]!Mtto_Pesv[[#Headers],[#Data],[Placa]:[Rutina]],3,FALSE)),0)</f>
        <v>0</v>
      </c>
      <c r="AH61" s="20">
        <f>IFERROR((VLOOKUP(Tabla13[[#This Row],[ID]],[1]!Mtto_Pesv[[#Headers],[#Data],[Placa]:[Rutina]],7,FALSE)),0)</f>
        <v>0</v>
      </c>
      <c r="AI61" s="20">
        <f>IFERROR((VLOOKUP(Tabla13[[#This Row],[ID]],[1]!Mtto_Pesv[[#Headers],[#Data],[Placa]:[Rutina]],8,FALSE)),0)</f>
        <v>0</v>
      </c>
      <c r="AJ61" s="20" t="str">
        <f>IFERROR((VLOOKUP(Tabla13[[#This Row],[ID]],[1]!Mtto_Pesv[[#Headers],[#Data],[Placa]:[Rutina]],9,FALSE)),"-")</f>
        <v>-</v>
      </c>
      <c r="AK61" s="20">
        <f>IFERROR((VLOOKUP(Tabla13[[#This Row],[ID]],[1]!Mtto_Pesv[[#Headers],[#Data],[Placa]:[Rutina]],10,FALSE)),0)</f>
        <v>0</v>
      </c>
      <c r="AL61" s="20">
        <f>IF(Tabla13[[#This Row],[Km Anterior]]=0,0,Tabla13[[#This Row],[Km Ejecut]]-Tabla13[[#This Row],[Km Anterior]])</f>
        <v>0</v>
      </c>
      <c r="AM61" s="20">
        <f>IFERROR((VLOOKUP(Tabla13[[#This Row],[ID]],[1]!Mtto_Pesv[[#Headers],[#Data],[Placa]:[Rutina]],4,FALSE)),0)</f>
        <v>0</v>
      </c>
      <c r="AN61" s="21">
        <f>IFERROR((VLOOKUP(Tabla13[[#This Row],[ID]],[1]!Mtto_Pesv[[#Headers],[#Data],[Placa]:[Rutina]],5,FALSE)),0)</f>
        <v>0</v>
      </c>
      <c r="AO61" s="21">
        <f>+Tabla13[[#This Row],[Km Fin]]-Tabla13[[#This Row],[Km Ini]]</f>
        <v>0</v>
      </c>
      <c r="AP61" s="20">
        <f>IFERROR((VLOOKUP(Tabla13[[#This Row],[ID]],[1]!Estilo_Conduccion[[#All],[Placa]:[Puntuacion]],15,FALSE)),0)</f>
        <v>727.09999999999991</v>
      </c>
      <c r="AQ61" s="15" t="s">
        <v>54</v>
      </c>
      <c r="AR61" s="15" t="s">
        <v>166</v>
      </c>
      <c r="AS61" s="20">
        <v>3900</v>
      </c>
      <c r="AT61" s="21">
        <v>0</v>
      </c>
      <c r="AU61" s="21">
        <f>(Tabla13[[#This Row],[Cap Vh]]*$AX$2)*0.56</f>
        <v>0</v>
      </c>
      <c r="AV61" s="36" t="e">
        <f>(Tabla13[[#This Row],[Cap Util (kg)]]/(Tabla13[[#This Row],[Cap Inst (Kg)]]))</f>
        <v>#DIV/0!</v>
      </c>
    </row>
    <row r="62" spans="1:48" x14ac:dyDescent="0.25">
      <c r="A62" s="13" t="s">
        <v>1068</v>
      </c>
      <c r="B62" s="14" t="s">
        <v>167</v>
      </c>
      <c r="C62" s="14" t="s">
        <v>44</v>
      </c>
      <c r="D62" s="14" t="s">
        <v>44</v>
      </c>
      <c r="E62" s="14" t="s">
        <v>45</v>
      </c>
      <c r="F62" s="14" t="s">
        <v>64</v>
      </c>
      <c r="G62" s="15" t="s">
        <v>128</v>
      </c>
      <c r="H62" s="16" t="s">
        <v>143</v>
      </c>
      <c r="I62" s="14" t="s">
        <v>109</v>
      </c>
      <c r="J62" s="14">
        <v>890903937</v>
      </c>
      <c r="K62" s="14" t="s">
        <v>138</v>
      </c>
      <c r="L62" s="14" t="s">
        <v>103</v>
      </c>
      <c r="M62" s="14" t="s">
        <v>153</v>
      </c>
      <c r="N62" s="14">
        <v>2019</v>
      </c>
      <c r="O62" s="14">
        <v>1</v>
      </c>
      <c r="P62" s="14" t="s">
        <v>105</v>
      </c>
      <c r="Q62" s="14">
        <v>0</v>
      </c>
      <c r="R62" s="14">
        <v>1</v>
      </c>
      <c r="S62" s="17">
        <v>44830.260069444441</v>
      </c>
      <c r="T62" s="18">
        <v>150</v>
      </c>
      <c r="U62" s="14">
        <v>30</v>
      </c>
      <c r="V62" s="19">
        <v>1</v>
      </c>
      <c r="W62" s="14">
        <v>0</v>
      </c>
      <c r="X62" s="14">
        <v>26</v>
      </c>
      <c r="Y62" s="14">
        <v>0</v>
      </c>
      <c r="Z62" s="14">
        <v>21</v>
      </c>
      <c r="AA62" s="14">
        <f>Tabla13[[#This Row],[CheckList App]]+Tabla13[[#This Row],[CheckList Fisc]]</f>
        <v>21</v>
      </c>
      <c r="AB62" s="19">
        <f t="shared" si="0"/>
        <v>0.80769230769230771</v>
      </c>
      <c r="AC62" s="14">
        <v>0</v>
      </c>
      <c r="AD62" s="14" t="s">
        <v>70</v>
      </c>
      <c r="AE62" s="15" t="str">
        <f>IFERROR((VLOOKUP(Tabla13[[#This Row],[ID]],[1]!Mtto_Pesv[[#Headers],[#Data],[Placa]:[Rutina]],2,FALSE)),"-")</f>
        <v>-</v>
      </c>
      <c r="AF62" s="14">
        <v>1</v>
      </c>
      <c r="AG62" s="20">
        <f>IFERROR((VLOOKUP(Tabla13[[#This Row],[ID]],[1]!Mtto_Pesv[[#Headers],[#Data],[Placa]:[Rutina]],3,FALSE)),0)</f>
        <v>0</v>
      </c>
      <c r="AH62" s="20">
        <f>IFERROR((VLOOKUP(Tabla13[[#This Row],[ID]],[1]!Mtto_Pesv[[#Headers],[#Data],[Placa]:[Rutina]],7,FALSE)),0)</f>
        <v>0</v>
      </c>
      <c r="AI62" s="20">
        <f>IFERROR((VLOOKUP(Tabla13[[#This Row],[ID]],[1]!Mtto_Pesv[[#Headers],[#Data],[Placa]:[Rutina]],8,FALSE)),0)</f>
        <v>0</v>
      </c>
      <c r="AJ62" s="20" t="str">
        <f>IFERROR((VLOOKUP(Tabla13[[#This Row],[ID]],[1]!Mtto_Pesv[[#Headers],[#Data],[Placa]:[Rutina]],9,FALSE)),"-")</f>
        <v>-</v>
      </c>
      <c r="AK62" s="20">
        <f>IFERROR((VLOOKUP(Tabla13[[#This Row],[ID]],[1]!Mtto_Pesv[[#Headers],[#Data],[Placa]:[Rutina]],10,FALSE)),0)</f>
        <v>0</v>
      </c>
      <c r="AL62" s="20">
        <f>IF(Tabla13[[#This Row],[Km Anterior]]=0,0,Tabla13[[#This Row],[Km Ejecut]]-Tabla13[[#This Row],[Km Anterior]])</f>
        <v>0</v>
      </c>
      <c r="AM62" s="20">
        <f>IFERROR((VLOOKUP(Tabla13[[#This Row],[ID]],[1]!Mtto_Pesv[[#Headers],[#Data],[Placa]:[Rutina]],4,FALSE)),0)</f>
        <v>0</v>
      </c>
      <c r="AN62" s="21">
        <f>IFERROR((VLOOKUP(Tabla13[[#This Row],[ID]],[1]!Mtto_Pesv[[#Headers],[#Data],[Placa]:[Rutina]],5,FALSE)),0)</f>
        <v>0</v>
      </c>
      <c r="AO62" s="21">
        <f>+Tabla13[[#This Row],[Km Fin]]-Tabla13[[#This Row],[Km Ini]]</f>
        <v>0</v>
      </c>
      <c r="AP62" s="20">
        <f>IFERROR((VLOOKUP(Tabla13[[#This Row],[ID]],[1]!Estilo_Conduccion[[#All],[Placa]:[Puntuacion]],15,FALSE)),0)</f>
        <v>841.29999999999984</v>
      </c>
      <c r="AQ62" s="15" t="s">
        <v>54</v>
      </c>
      <c r="AR62" s="15" t="s">
        <v>159</v>
      </c>
      <c r="AS62" s="20">
        <v>3900</v>
      </c>
      <c r="AT62" s="21">
        <v>0</v>
      </c>
      <c r="AU62" s="21">
        <f>(Tabla13[[#This Row],[Cap Vh]]*$AX$2)*0.56</f>
        <v>0</v>
      </c>
      <c r="AV62" s="36" t="e">
        <f>(Tabla13[[#This Row],[Cap Util (kg)]]/(Tabla13[[#This Row],[Cap Inst (Kg)]]))</f>
        <v>#DIV/0!</v>
      </c>
    </row>
    <row r="63" spans="1:48" x14ac:dyDescent="0.25">
      <c r="A63" s="13" t="s">
        <v>1068</v>
      </c>
      <c r="B63" s="14" t="s">
        <v>168</v>
      </c>
      <c r="C63" s="14" t="s">
        <v>44</v>
      </c>
      <c r="D63" s="14" t="s">
        <v>44</v>
      </c>
      <c r="E63" s="14" t="s">
        <v>60</v>
      </c>
      <c r="F63" s="14" t="s">
        <v>46</v>
      </c>
      <c r="G63" s="15" t="s">
        <v>47</v>
      </c>
      <c r="H63" s="16" t="s">
        <v>48</v>
      </c>
      <c r="I63" s="14" t="s">
        <v>49</v>
      </c>
      <c r="J63" s="14">
        <v>830064700</v>
      </c>
      <c r="K63" s="14" t="s">
        <v>50</v>
      </c>
      <c r="L63" s="14" t="s">
        <v>99</v>
      </c>
      <c r="M63" s="14" t="s">
        <v>169</v>
      </c>
      <c r="N63" s="14">
        <v>2018</v>
      </c>
      <c r="O63" s="14">
        <v>2</v>
      </c>
      <c r="P63" s="14" t="s">
        <v>105</v>
      </c>
      <c r="Q63" s="14">
        <v>0</v>
      </c>
      <c r="R63" s="14">
        <v>0</v>
      </c>
      <c r="S63" s="17" t="s">
        <v>54</v>
      </c>
      <c r="T63" s="18">
        <v>0</v>
      </c>
      <c r="U63" s="14">
        <v>0</v>
      </c>
      <c r="V63" s="19">
        <v>0</v>
      </c>
      <c r="W63" s="14">
        <v>0</v>
      </c>
      <c r="X63" s="14">
        <v>0</v>
      </c>
      <c r="Y63" s="14">
        <v>0</v>
      </c>
      <c r="Z63" s="14">
        <v>0</v>
      </c>
      <c r="AA63" s="14">
        <f>Tabla13[[#This Row],[CheckList App]]+Tabla13[[#This Row],[CheckList Fisc]]</f>
        <v>0</v>
      </c>
      <c r="AB63" s="19" t="str">
        <f t="shared" si="0"/>
        <v/>
      </c>
      <c r="AC63" s="14">
        <v>0</v>
      </c>
      <c r="AD63" s="14" t="s">
        <v>55</v>
      </c>
      <c r="AE63" s="15" t="str">
        <f>IFERROR((VLOOKUP(Tabla13[[#This Row],[ID]],[1]!Mtto_Pesv[[#Headers],[#Data],[Placa]:[Rutina]],2,FALSE)),"-")</f>
        <v>-</v>
      </c>
      <c r="AF63" s="14">
        <v>0</v>
      </c>
      <c r="AG63" s="20">
        <f>IFERROR((VLOOKUP(Tabla13[[#This Row],[ID]],[1]!Mtto_Pesv[[#Headers],[#Data],[Placa]:[Rutina]],3,FALSE)),0)</f>
        <v>0</v>
      </c>
      <c r="AH63" s="20">
        <f>IFERROR((VLOOKUP(Tabla13[[#This Row],[ID]],[1]!Mtto_Pesv[[#Headers],[#Data],[Placa]:[Rutina]],7,FALSE)),0)</f>
        <v>0</v>
      </c>
      <c r="AI63" s="20">
        <f>IFERROR((VLOOKUP(Tabla13[[#This Row],[ID]],[1]!Mtto_Pesv[[#Headers],[#Data],[Placa]:[Rutina]],8,FALSE)),0)</f>
        <v>0</v>
      </c>
      <c r="AJ63" s="20" t="str">
        <f>IFERROR((VLOOKUP(Tabla13[[#This Row],[ID]],[1]!Mtto_Pesv[[#Headers],[#Data],[Placa]:[Rutina]],9,FALSE)),"-")</f>
        <v>-</v>
      </c>
      <c r="AK63" s="20">
        <f>IFERROR((VLOOKUP(Tabla13[[#This Row],[ID]],[1]!Mtto_Pesv[[#Headers],[#Data],[Placa]:[Rutina]],10,FALSE)),0)</f>
        <v>0</v>
      </c>
      <c r="AL63" s="20">
        <f>IF(Tabla13[[#This Row],[Km Anterior]]=0,0,Tabla13[[#This Row],[Km Ejecut]]-Tabla13[[#This Row],[Km Anterior]])</f>
        <v>0</v>
      </c>
      <c r="AM63" s="20">
        <f>IFERROR((VLOOKUP(Tabla13[[#This Row],[ID]],[1]!Mtto_Pesv[[#Headers],[#Data],[Placa]:[Rutina]],4,FALSE)),0)</f>
        <v>0</v>
      </c>
      <c r="AN63" s="21">
        <f>IFERROR((VLOOKUP(Tabla13[[#This Row],[ID]],[1]!Mtto_Pesv[[#Headers],[#Data],[Placa]:[Rutina]],5,FALSE)),0)</f>
        <v>0</v>
      </c>
      <c r="AO63" s="21">
        <f>+Tabla13[[#This Row],[Km Fin]]-Tabla13[[#This Row],[Km Ini]]</f>
        <v>0</v>
      </c>
      <c r="AP63" s="20">
        <f>IFERROR((VLOOKUP(Tabla13[[#This Row],[ID]],[1]!Estilo_Conduccion[[#All],[Placa]:[Puntuacion]],15,FALSE)),0)</f>
        <v>0</v>
      </c>
      <c r="AQ63" s="15" t="s">
        <v>1082</v>
      </c>
      <c r="AR63" s="15" t="s">
        <v>1083</v>
      </c>
      <c r="AS63" s="20">
        <v>200</v>
      </c>
      <c r="AT63" s="21">
        <v>2634.1875</v>
      </c>
      <c r="AU63" s="21">
        <f>(Tabla13[[#This Row],[Cap Vh]]*$AX$2)*0.56</f>
        <v>0</v>
      </c>
      <c r="AV63" s="36" t="e">
        <f>(Tabla13[[#This Row],[Cap Util (kg)]]/(Tabla13[[#This Row],[Cap Inst (Kg)]]))</f>
        <v>#DIV/0!</v>
      </c>
    </row>
    <row r="64" spans="1:48" x14ac:dyDescent="0.25">
      <c r="A64" s="13" t="s">
        <v>1068</v>
      </c>
      <c r="B64" s="14" t="s">
        <v>170</v>
      </c>
      <c r="C64" s="14" t="s">
        <v>44</v>
      </c>
      <c r="D64" s="14" t="s">
        <v>44</v>
      </c>
      <c r="E64" s="14" t="s">
        <v>60</v>
      </c>
      <c r="F64" s="14" t="s">
        <v>46</v>
      </c>
      <c r="G64" s="15" t="s">
        <v>47</v>
      </c>
      <c r="H64" s="16" t="s">
        <v>48</v>
      </c>
      <c r="I64" s="14" t="s">
        <v>49</v>
      </c>
      <c r="J64" s="14">
        <v>830064700</v>
      </c>
      <c r="K64" s="14" t="s">
        <v>50</v>
      </c>
      <c r="L64" s="14" t="s">
        <v>99</v>
      </c>
      <c r="M64" s="14" t="s">
        <v>169</v>
      </c>
      <c r="N64" s="14">
        <v>2018</v>
      </c>
      <c r="O64" s="14">
        <v>2</v>
      </c>
      <c r="P64" s="14" t="s">
        <v>105</v>
      </c>
      <c r="Q64" s="14">
        <v>0</v>
      </c>
      <c r="R64" s="14">
        <v>0</v>
      </c>
      <c r="S64" s="17" t="s">
        <v>54</v>
      </c>
      <c r="T64" s="18">
        <v>0</v>
      </c>
      <c r="U64" s="14">
        <v>0</v>
      </c>
      <c r="V64" s="19">
        <v>0</v>
      </c>
      <c r="W64" s="14">
        <v>0</v>
      </c>
      <c r="X64" s="14">
        <v>0</v>
      </c>
      <c r="Y64" s="14">
        <v>0</v>
      </c>
      <c r="Z64" s="14">
        <v>0</v>
      </c>
      <c r="AA64" s="14">
        <f>Tabla13[[#This Row],[CheckList App]]+Tabla13[[#This Row],[CheckList Fisc]]</f>
        <v>0</v>
      </c>
      <c r="AB64" s="19" t="str">
        <f t="shared" si="0"/>
        <v/>
      </c>
      <c r="AC64" s="14">
        <v>0</v>
      </c>
      <c r="AD64" s="14" t="s">
        <v>55</v>
      </c>
      <c r="AE64" s="15" t="str">
        <f>IFERROR((VLOOKUP(Tabla13[[#This Row],[ID]],[1]!Mtto_Pesv[[#Headers],[#Data],[Placa]:[Rutina]],2,FALSE)),"-")</f>
        <v>-</v>
      </c>
      <c r="AF64" s="14">
        <v>0</v>
      </c>
      <c r="AG64" s="20">
        <f>IFERROR((VLOOKUP(Tabla13[[#This Row],[ID]],[1]!Mtto_Pesv[[#Headers],[#Data],[Placa]:[Rutina]],3,FALSE)),0)</f>
        <v>0</v>
      </c>
      <c r="AH64" s="20">
        <f>IFERROR((VLOOKUP(Tabla13[[#This Row],[ID]],[1]!Mtto_Pesv[[#Headers],[#Data],[Placa]:[Rutina]],7,FALSE)),0)</f>
        <v>0</v>
      </c>
      <c r="AI64" s="20">
        <f>IFERROR((VLOOKUP(Tabla13[[#This Row],[ID]],[1]!Mtto_Pesv[[#Headers],[#Data],[Placa]:[Rutina]],8,FALSE)),0)</f>
        <v>0</v>
      </c>
      <c r="AJ64" s="20" t="str">
        <f>IFERROR((VLOOKUP(Tabla13[[#This Row],[ID]],[1]!Mtto_Pesv[[#Headers],[#Data],[Placa]:[Rutina]],9,FALSE)),"-")</f>
        <v>-</v>
      </c>
      <c r="AK64" s="20">
        <f>IFERROR((VLOOKUP(Tabla13[[#This Row],[ID]],[1]!Mtto_Pesv[[#Headers],[#Data],[Placa]:[Rutina]],10,FALSE)),0)</f>
        <v>0</v>
      </c>
      <c r="AL64" s="20">
        <f>IF(Tabla13[[#This Row],[Km Anterior]]=0,0,Tabla13[[#This Row],[Km Ejecut]]-Tabla13[[#This Row],[Km Anterior]])</f>
        <v>0</v>
      </c>
      <c r="AM64" s="20">
        <f>IFERROR((VLOOKUP(Tabla13[[#This Row],[ID]],[1]!Mtto_Pesv[[#Headers],[#Data],[Placa]:[Rutina]],4,FALSE)),0)</f>
        <v>0</v>
      </c>
      <c r="AN64" s="21">
        <f>IFERROR((VLOOKUP(Tabla13[[#This Row],[ID]],[1]!Mtto_Pesv[[#Headers],[#Data],[Placa]:[Rutina]],5,FALSE)),0)</f>
        <v>0</v>
      </c>
      <c r="AO64" s="21">
        <f>+Tabla13[[#This Row],[Km Fin]]-Tabla13[[#This Row],[Km Ini]]</f>
        <v>0</v>
      </c>
      <c r="AP64" s="20">
        <f>IFERROR((VLOOKUP(Tabla13[[#This Row],[ID]],[1]!Estilo_Conduccion[[#All],[Placa]:[Puntuacion]],15,FALSE)),0)</f>
        <v>0</v>
      </c>
      <c r="AQ64" s="15" t="s">
        <v>1082</v>
      </c>
      <c r="AR64" s="15" t="s">
        <v>1083</v>
      </c>
      <c r="AS64" s="20">
        <v>200</v>
      </c>
      <c r="AT64" s="21">
        <v>2634.1875</v>
      </c>
      <c r="AU64" s="21">
        <f>(Tabla13[[#This Row],[Cap Vh]]*$AX$2)*0.56</f>
        <v>0</v>
      </c>
      <c r="AV64" s="36" t="e">
        <f>(Tabla13[[#This Row],[Cap Util (kg)]]/(Tabla13[[#This Row],[Cap Inst (Kg)]]))</f>
        <v>#DIV/0!</v>
      </c>
    </row>
    <row r="65" spans="1:48" x14ac:dyDescent="0.25">
      <c r="A65" s="13" t="s">
        <v>1068</v>
      </c>
      <c r="B65" s="14" t="s">
        <v>171</v>
      </c>
      <c r="C65" s="14" t="s">
        <v>44</v>
      </c>
      <c r="D65" s="14" t="s">
        <v>44</v>
      </c>
      <c r="E65" s="14" t="s">
        <v>45</v>
      </c>
      <c r="F65" s="14" t="s">
        <v>46</v>
      </c>
      <c r="G65" s="15" t="s">
        <v>47</v>
      </c>
      <c r="H65" s="16" t="s">
        <v>48</v>
      </c>
      <c r="I65" s="14" t="s">
        <v>49</v>
      </c>
      <c r="J65" s="14">
        <v>830064700</v>
      </c>
      <c r="K65" s="14" t="s">
        <v>50</v>
      </c>
      <c r="L65" s="14" t="s">
        <v>96</v>
      </c>
      <c r="M65" s="14" t="s">
        <v>172</v>
      </c>
      <c r="N65" s="14">
        <v>2008</v>
      </c>
      <c r="O65" s="14">
        <v>12</v>
      </c>
      <c r="P65" s="14" t="s">
        <v>173</v>
      </c>
      <c r="Q65" s="14">
        <v>0</v>
      </c>
      <c r="R65" s="14">
        <v>0</v>
      </c>
      <c r="S65" s="17" t="s">
        <v>54</v>
      </c>
      <c r="T65" s="18">
        <v>0</v>
      </c>
      <c r="U65" s="14">
        <v>0</v>
      </c>
      <c r="V65" s="19">
        <v>0</v>
      </c>
      <c r="W65" s="14">
        <v>0</v>
      </c>
      <c r="X65" s="14">
        <v>0</v>
      </c>
      <c r="Y65" s="14">
        <v>0</v>
      </c>
      <c r="Z65" s="14">
        <v>0</v>
      </c>
      <c r="AA65" s="14">
        <f>Tabla13[[#This Row],[CheckList App]]+Tabla13[[#This Row],[CheckList Fisc]]</f>
        <v>0</v>
      </c>
      <c r="AB65" s="19" t="str">
        <f t="shared" si="0"/>
        <v/>
      </c>
      <c r="AC65" s="14">
        <v>0</v>
      </c>
      <c r="AD65" s="14" t="s">
        <v>55</v>
      </c>
      <c r="AE65" s="15" t="str">
        <f>IFERROR((VLOOKUP(Tabla13[[#This Row],[ID]],[1]!Mtto_Pesv[[#Headers],[#Data],[Placa]:[Rutina]],2,FALSE)),"-")</f>
        <v>-</v>
      </c>
      <c r="AF65" s="14">
        <v>0</v>
      </c>
      <c r="AG65" s="20">
        <f>IFERROR((VLOOKUP(Tabla13[[#This Row],[ID]],[1]!Mtto_Pesv[[#Headers],[#Data],[Placa]:[Rutina]],3,FALSE)),0)</f>
        <v>0</v>
      </c>
      <c r="AH65" s="20">
        <f>IFERROR((VLOOKUP(Tabla13[[#This Row],[ID]],[1]!Mtto_Pesv[[#Headers],[#Data],[Placa]:[Rutina]],7,FALSE)),0)</f>
        <v>0</v>
      </c>
      <c r="AI65" s="20">
        <f>IFERROR((VLOOKUP(Tabla13[[#This Row],[ID]],[1]!Mtto_Pesv[[#Headers],[#Data],[Placa]:[Rutina]],8,FALSE)),0)</f>
        <v>0</v>
      </c>
      <c r="AJ65" s="20" t="str">
        <f>IFERROR((VLOOKUP(Tabla13[[#This Row],[ID]],[1]!Mtto_Pesv[[#Headers],[#Data],[Placa]:[Rutina]],9,FALSE)),"-")</f>
        <v>-</v>
      </c>
      <c r="AK65" s="20">
        <f>IFERROR((VLOOKUP(Tabla13[[#This Row],[ID]],[1]!Mtto_Pesv[[#Headers],[#Data],[Placa]:[Rutina]],10,FALSE)),0)</f>
        <v>0</v>
      </c>
      <c r="AL65" s="20">
        <f>IF(Tabla13[[#This Row],[Km Anterior]]=0,0,Tabla13[[#This Row],[Km Ejecut]]-Tabla13[[#This Row],[Km Anterior]])</f>
        <v>0</v>
      </c>
      <c r="AM65" s="20">
        <f>IFERROR((VLOOKUP(Tabla13[[#This Row],[ID]],[1]!Mtto_Pesv[[#Headers],[#Data],[Placa]:[Rutina]],4,FALSE)),0)</f>
        <v>0</v>
      </c>
      <c r="AN65" s="21">
        <f>IFERROR((VLOOKUP(Tabla13[[#This Row],[ID]],[1]!Mtto_Pesv[[#Headers],[#Data],[Placa]:[Rutina]],5,FALSE)),0)</f>
        <v>0</v>
      </c>
      <c r="AO65" s="21">
        <f>+Tabla13[[#This Row],[Km Fin]]-Tabla13[[#This Row],[Km Ini]]</f>
        <v>0</v>
      </c>
      <c r="AP65" s="20">
        <f>IFERROR((VLOOKUP(Tabla13[[#This Row],[ID]],[1]!Estilo_Conduccion[[#All],[Placa]:[Puntuacion]],15,FALSE)),0)</f>
        <v>0</v>
      </c>
      <c r="AQ65" s="15" t="s">
        <v>1069</v>
      </c>
      <c r="AR65" s="15" t="s">
        <v>174</v>
      </c>
      <c r="AS65" s="20">
        <v>200</v>
      </c>
      <c r="AT65" s="21">
        <v>0</v>
      </c>
      <c r="AU65" s="21">
        <f>(Tabla13[[#This Row],[Cap Vh]]*$AX$2)*0.56</f>
        <v>0</v>
      </c>
      <c r="AV65" s="36" t="e">
        <f>(Tabla13[[#This Row],[Cap Util (kg)]]/(Tabla13[[#This Row],[Cap Inst (Kg)]]))</f>
        <v>#DIV/0!</v>
      </c>
    </row>
    <row r="66" spans="1:48" x14ac:dyDescent="0.25">
      <c r="A66" s="13" t="s">
        <v>1068</v>
      </c>
      <c r="B66" s="14" t="s">
        <v>175</v>
      </c>
      <c r="C66" s="14" t="s">
        <v>44</v>
      </c>
      <c r="D66" s="14" t="s">
        <v>44</v>
      </c>
      <c r="E66" s="14" t="s">
        <v>60</v>
      </c>
      <c r="F66" s="14" t="s">
        <v>46</v>
      </c>
      <c r="G66" s="15" t="s">
        <v>47</v>
      </c>
      <c r="H66" s="16" t="s">
        <v>48</v>
      </c>
      <c r="I66" s="14" t="s">
        <v>49</v>
      </c>
      <c r="J66" s="14">
        <v>830064700</v>
      </c>
      <c r="K66" s="14" t="s">
        <v>50</v>
      </c>
      <c r="L66" s="14" t="s">
        <v>99</v>
      </c>
      <c r="M66" s="14" t="s">
        <v>169</v>
      </c>
      <c r="N66" s="14">
        <v>2017</v>
      </c>
      <c r="O66" s="14">
        <v>3</v>
      </c>
      <c r="P66" s="14" t="s">
        <v>105</v>
      </c>
      <c r="Q66" s="14">
        <v>0</v>
      </c>
      <c r="R66" s="14">
        <v>0</v>
      </c>
      <c r="S66" s="17" t="s">
        <v>54</v>
      </c>
      <c r="T66" s="18">
        <v>0</v>
      </c>
      <c r="U66" s="14">
        <v>0</v>
      </c>
      <c r="V66" s="19">
        <v>0</v>
      </c>
      <c r="W66" s="14">
        <v>0</v>
      </c>
      <c r="X66" s="14">
        <v>0</v>
      </c>
      <c r="Y66" s="14">
        <v>0</v>
      </c>
      <c r="Z66" s="14">
        <v>0</v>
      </c>
      <c r="AA66" s="14">
        <f>Tabla13[[#This Row],[CheckList App]]+Tabla13[[#This Row],[CheckList Fisc]]</f>
        <v>0</v>
      </c>
      <c r="AB66" s="19" t="str">
        <f t="shared" ref="AB66:AB129" si="1">IF(U66=0,"",(IFERROR((AA66/X66),0)))</f>
        <v/>
      </c>
      <c r="AC66" s="14">
        <v>0</v>
      </c>
      <c r="AD66" s="14" t="s">
        <v>55</v>
      </c>
      <c r="AE66" s="15" t="str">
        <f>IFERROR((VLOOKUP(Tabla13[[#This Row],[ID]],[1]!Mtto_Pesv[[#Headers],[#Data],[Placa]:[Rutina]],2,FALSE)),"-")</f>
        <v>-</v>
      </c>
      <c r="AF66" s="14">
        <v>0</v>
      </c>
      <c r="AG66" s="20">
        <f>IFERROR((VLOOKUP(Tabla13[[#This Row],[ID]],[1]!Mtto_Pesv[[#Headers],[#Data],[Placa]:[Rutina]],3,FALSE)),0)</f>
        <v>0</v>
      </c>
      <c r="AH66" s="20">
        <f>IFERROR((VLOOKUP(Tabla13[[#This Row],[ID]],[1]!Mtto_Pesv[[#Headers],[#Data],[Placa]:[Rutina]],7,FALSE)),0)</f>
        <v>0</v>
      </c>
      <c r="AI66" s="20">
        <f>IFERROR((VLOOKUP(Tabla13[[#This Row],[ID]],[1]!Mtto_Pesv[[#Headers],[#Data],[Placa]:[Rutina]],8,FALSE)),0)</f>
        <v>0</v>
      </c>
      <c r="AJ66" s="20" t="str">
        <f>IFERROR((VLOOKUP(Tabla13[[#This Row],[ID]],[1]!Mtto_Pesv[[#Headers],[#Data],[Placa]:[Rutina]],9,FALSE)),"-")</f>
        <v>-</v>
      </c>
      <c r="AK66" s="20">
        <f>IFERROR((VLOOKUP(Tabla13[[#This Row],[ID]],[1]!Mtto_Pesv[[#Headers],[#Data],[Placa]:[Rutina]],10,FALSE)),0)</f>
        <v>0</v>
      </c>
      <c r="AL66" s="20">
        <f>IF(Tabla13[[#This Row],[Km Anterior]]=0,0,Tabla13[[#This Row],[Km Ejecut]]-Tabla13[[#This Row],[Km Anterior]])</f>
        <v>0</v>
      </c>
      <c r="AM66" s="20">
        <f>IFERROR((VLOOKUP(Tabla13[[#This Row],[ID]],[1]!Mtto_Pesv[[#Headers],[#Data],[Placa]:[Rutina]],4,FALSE)),0)</f>
        <v>0</v>
      </c>
      <c r="AN66" s="21">
        <f>IFERROR((VLOOKUP(Tabla13[[#This Row],[ID]],[1]!Mtto_Pesv[[#Headers],[#Data],[Placa]:[Rutina]],5,FALSE)),0)</f>
        <v>0</v>
      </c>
      <c r="AO66" s="21">
        <f>+Tabla13[[#This Row],[Km Fin]]-Tabla13[[#This Row],[Km Ini]]</f>
        <v>0</v>
      </c>
      <c r="AP66" s="20">
        <f>IFERROR((VLOOKUP(Tabla13[[#This Row],[ID]],[1]!Estilo_Conduccion[[#All],[Placa]:[Puntuacion]],15,FALSE)),0)</f>
        <v>0</v>
      </c>
      <c r="AQ66" s="15" t="s">
        <v>1082</v>
      </c>
      <c r="AR66" s="15" t="s">
        <v>1083</v>
      </c>
      <c r="AS66" s="20">
        <v>200</v>
      </c>
      <c r="AT66" s="21">
        <v>2634.1875</v>
      </c>
      <c r="AU66" s="21">
        <f>(Tabla13[[#This Row],[Cap Vh]]*$AX$2)*0.56</f>
        <v>0</v>
      </c>
      <c r="AV66" s="36" t="e">
        <f>(Tabla13[[#This Row],[Cap Util (kg)]]/(Tabla13[[#This Row],[Cap Inst (Kg)]]))</f>
        <v>#DIV/0!</v>
      </c>
    </row>
    <row r="67" spans="1:48" x14ac:dyDescent="0.25">
      <c r="A67" s="13" t="s">
        <v>1068</v>
      </c>
      <c r="B67" s="14" t="s">
        <v>176</v>
      </c>
      <c r="C67" s="14" t="s">
        <v>44</v>
      </c>
      <c r="D67" s="14" t="s">
        <v>44</v>
      </c>
      <c r="E67" s="14" t="s">
        <v>63</v>
      </c>
      <c r="F67" s="14" t="s">
        <v>64</v>
      </c>
      <c r="G67" s="15" t="s">
        <v>128</v>
      </c>
      <c r="H67" s="16" t="s">
        <v>143</v>
      </c>
      <c r="I67" s="14" t="s">
        <v>177</v>
      </c>
      <c r="J67" s="14">
        <v>830064700</v>
      </c>
      <c r="K67" s="14" t="s">
        <v>50</v>
      </c>
      <c r="L67" s="14" t="s">
        <v>103</v>
      </c>
      <c r="M67" s="14" t="s">
        <v>132</v>
      </c>
      <c r="N67" s="14">
        <v>2020</v>
      </c>
      <c r="O67" s="14">
        <v>1</v>
      </c>
      <c r="P67" s="14" t="s">
        <v>105</v>
      </c>
      <c r="Q67" s="14">
        <v>1</v>
      </c>
      <c r="R67" s="14">
        <v>1</v>
      </c>
      <c r="S67" s="17">
        <v>44825.409594907411</v>
      </c>
      <c r="T67" s="18">
        <v>381.892</v>
      </c>
      <c r="U67" s="14">
        <v>30</v>
      </c>
      <c r="V67" s="19">
        <v>1</v>
      </c>
      <c r="W67" s="14">
        <v>0</v>
      </c>
      <c r="X67" s="14">
        <v>12</v>
      </c>
      <c r="Y67" s="14">
        <v>0</v>
      </c>
      <c r="Z67" s="14">
        <v>9</v>
      </c>
      <c r="AA67" s="14">
        <f>Tabla13[[#This Row],[CheckList App]]+Tabla13[[#This Row],[CheckList Fisc]]</f>
        <v>9</v>
      </c>
      <c r="AB67" s="19">
        <f t="shared" si="1"/>
        <v>0.75</v>
      </c>
      <c r="AC67" s="14">
        <v>0</v>
      </c>
      <c r="AD67" s="14" t="s">
        <v>70</v>
      </c>
      <c r="AE67" s="15" t="str">
        <f>IFERROR((VLOOKUP(Tabla13[[#This Row],[ID]],[1]!Mtto_Pesv[[#Headers],[#Data],[Placa]:[Rutina]],2,FALSE)),"-")</f>
        <v>-</v>
      </c>
      <c r="AF67" s="14">
        <v>0</v>
      </c>
      <c r="AG67" s="20">
        <f>IFERROR((VLOOKUP(Tabla13[[#This Row],[ID]],[1]!Mtto_Pesv[[#Headers],[#Data],[Placa]:[Rutina]],3,FALSE)),0)</f>
        <v>0</v>
      </c>
      <c r="AH67" s="20">
        <f>IFERROR((VLOOKUP(Tabla13[[#This Row],[ID]],[1]!Mtto_Pesv[[#Headers],[#Data],[Placa]:[Rutina]],7,FALSE)),0)</f>
        <v>0</v>
      </c>
      <c r="AI67" s="20">
        <f>IFERROR((VLOOKUP(Tabla13[[#This Row],[ID]],[1]!Mtto_Pesv[[#Headers],[#Data],[Placa]:[Rutina]],8,FALSE)),0)</f>
        <v>0</v>
      </c>
      <c r="AJ67" s="20" t="str">
        <f>IFERROR((VLOOKUP(Tabla13[[#This Row],[ID]],[1]!Mtto_Pesv[[#Headers],[#Data],[Placa]:[Rutina]],9,FALSE)),"-")</f>
        <v>-</v>
      </c>
      <c r="AK67" s="20">
        <f>IFERROR((VLOOKUP(Tabla13[[#This Row],[ID]],[1]!Mtto_Pesv[[#Headers],[#Data],[Placa]:[Rutina]],10,FALSE)),0)</f>
        <v>0</v>
      </c>
      <c r="AL67" s="20">
        <f>IF(Tabla13[[#This Row],[Km Anterior]]=0,0,Tabla13[[#This Row],[Km Ejecut]]-Tabla13[[#This Row],[Km Anterior]])</f>
        <v>0</v>
      </c>
      <c r="AM67" s="20">
        <f>IFERROR((VLOOKUP(Tabla13[[#This Row],[ID]],[1]!Mtto_Pesv[[#Headers],[#Data],[Placa]:[Rutina]],4,FALSE)),0)</f>
        <v>0</v>
      </c>
      <c r="AN67" s="21">
        <f>IFERROR((VLOOKUP(Tabla13[[#This Row],[ID]],[1]!Mtto_Pesv[[#Headers],[#Data],[Placa]:[Rutina]],5,FALSE)),0)</f>
        <v>0</v>
      </c>
      <c r="AO67" s="21">
        <f>+Tabla13[[#This Row],[Km Fin]]-Tabla13[[#This Row],[Km Ini]]</f>
        <v>0</v>
      </c>
      <c r="AP67" s="20">
        <f>IFERROR((VLOOKUP(Tabla13[[#This Row],[ID]],[1]!Estilo_Conduccion[[#All],[Placa]:[Puntuacion]],15,FALSE)),0)</f>
        <v>33.800000000000004</v>
      </c>
      <c r="AQ67" s="15" t="s">
        <v>54</v>
      </c>
      <c r="AR67" s="15" t="s">
        <v>1107</v>
      </c>
      <c r="AS67" s="20">
        <v>10505</v>
      </c>
      <c r="AT67" s="21">
        <v>0</v>
      </c>
      <c r="AU67" s="21">
        <f>(Tabla13[[#This Row],[Cap Vh]]*$AX$2)*0.56</f>
        <v>0</v>
      </c>
      <c r="AV67" s="36" t="e">
        <f>(Tabla13[[#This Row],[Cap Util (kg)]]/(Tabla13[[#This Row],[Cap Inst (Kg)]]))</f>
        <v>#DIV/0!</v>
      </c>
    </row>
    <row r="68" spans="1:48" x14ac:dyDescent="0.25">
      <c r="A68" s="13" t="s">
        <v>1068</v>
      </c>
      <c r="B68" s="14" t="s">
        <v>178</v>
      </c>
      <c r="C68" s="14" t="s">
        <v>44</v>
      </c>
      <c r="D68" s="14" t="s">
        <v>44</v>
      </c>
      <c r="E68" s="14" t="s">
        <v>85</v>
      </c>
      <c r="F68" s="14" t="s">
        <v>64</v>
      </c>
      <c r="G68" s="15" t="s">
        <v>128</v>
      </c>
      <c r="H68" s="16" t="s">
        <v>143</v>
      </c>
      <c r="I68" s="14" t="s">
        <v>177</v>
      </c>
      <c r="J68" s="14">
        <v>830064700</v>
      </c>
      <c r="K68" s="14" t="s">
        <v>50</v>
      </c>
      <c r="L68" s="14" t="s">
        <v>103</v>
      </c>
      <c r="M68" s="14" t="s">
        <v>132</v>
      </c>
      <c r="N68" s="14">
        <v>2020</v>
      </c>
      <c r="O68" s="14">
        <v>1</v>
      </c>
      <c r="P68" s="14" t="s">
        <v>105</v>
      </c>
      <c r="Q68" s="14">
        <v>1</v>
      </c>
      <c r="R68" s="14">
        <v>1</v>
      </c>
      <c r="S68" s="17">
        <v>44834.218773148154</v>
      </c>
      <c r="T68" s="18">
        <v>646.25800000000004</v>
      </c>
      <c r="U68" s="14">
        <v>29</v>
      </c>
      <c r="V68" s="19">
        <v>0.96666666666666667</v>
      </c>
      <c r="W68" s="14">
        <v>0</v>
      </c>
      <c r="X68" s="14">
        <v>25</v>
      </c>
      <c r="Y68" s="14">
        <v>0</v>
      </c>
      <c r="Z68" s="14">
        <v>22</v>
      </c>
      <c r="AA68" s="14">
        <f>Tabla13[[#This Row],[CheckList App]]+Tabla13[[#This Row],[CheckList Fisc]]</f>
        <v>22</v>
      </c>
      <c r="AB68" s="19">
        <f t="shared" si="1"/>
        <v>0.88</v>
      </c>
      <c r="AC68" s="14">
        <v>0</v>
      </c>
      <c r="AD68" s="14" t="s">
        <v>70</v>
      </c>
      <c r="AE68" s="15" t="str">
        <f>IFERROR((VLOOKUP(Tabla13[[#This Row],[ID]],[1]!Mtto_Pesv[[#Headers],[#Data],[Placa]:[Rutina]],2,FALSE)),"-")</f>
        <v>-</v>
      </c>
      <c r="AF68" s="14">
        <v>0</v>
      </c>
      <c r="AG68" s="20">
        <f>IFERROR((VLOOKUP(Tabla13[[#This Row],[ID]],[1]!Mtto_Pesv[[#Headers],[#Data],[Placa]:[Rutina]],3,FALSE)),0)</f>
        <v>0</v>
      </c>
      <c r="AH68" s="20">
        <f>IFERROR((VLOOKUP(Tabla13[[#This Row],[ID]],[1]!Mtto_Pesv[[#Headers],[#Data],[Placa]:[Rutina]],7,FALSE)),0)</f>
        <v>0</v>
      </c>
      <c r="AI68" s="20">
        <f>IFERROR((VLOOKUP(Tabla13[[#This Row],[ID]],[1]!Mtto_Pesv[[#Headers],[#Data],[Placa]:[Rutina]],8,FALSE)),0)</f>
        <v>0</v>
      </c>
      <c r="AJ68" s="20" t="str">
        <f>IFERROR((VLOOKUP(Tabla13[[#This Row],[ID]],[1]!Mtto_Pesv[[#Headers],[#Data],[Placa]:[Rutina]],9,FALSE)),"-")</f>
        <v>-</v>
      </c>
      <c r="AK68" s="20">
        <f>IFERROR((VLOOKUP(Tabla13[[#This Row],[ID]],[1]!Mtto_Pesv[[#Headers],[#Data],[Placa]:[Rutina]],10,FALSE)),0)</f>
        <v>0</v>
      </c>
      <c r="AL68" s="20">
        <f>IF(Tabla13[[#This Row],[Km Anterior]]=0,0,Tabla13[[#This Row],[Km Ejecut]]-Tabla13[[#This Row],[Km Anterior]])</f>
        <v>0</v>
      </c>
      <c r="AM68" s="20">
        <f>IFERROR((VLOOKUP(Tabla13[[#This Row],[ID]],[1]!Mtto_Pesv[[#Headers],[#Data],[Placa]:[Rutina]],4,FALSE)),0)</f>
        <v>0</v>
      </c>
      <c r="AN68" s="21">
        <f>IFERROR((VLOOKUP(Tabla13[[#This Row],[ID]],[1]!Mtto_Pesv[[#Headers],[#Data],[Placa]:[Rutina]],5,FALSE)),0)</f>
        <v>0</v>
      </c>
      <c r="AO68" s="21">
        <f>+Tabla13[[#This Row],[Km Fin]]-Tabla13[[#This Row],[Km Ini]]</f>
        <v>0</v>
      </c>
      <c r="AP68" s="20">
        <f>IFERROR((VLOOKUP(Tabla13[[#This Row],[ID]],[1]!Estilo_Conduccion[[#All],[Placa]:[Puntuacion]],15,FALSE)),0)</f>
        <v>4787.5000000000009</v>
      </c>
      <c r="AQ68" s="15" t="s">
        <v>54</v>
      </c>
      <c r="AR68" s="15" t="s">
        <v>1108</v>
      </c>
      <c r="AS68" s="20">
        <v>10505</v>
      </c>
      <c r="AT68" s="21">
        <v>0</v>
      </c>
      <c r="AU68" s="21">
        <f>(Tabla13[[#This Row],[Cap Vh]]*$AX$2)*0.56</f>
        <v>0</v>
      </c>
      <c r="AV68" s="36" t="e">
        <f>(Tabla13[[#This Row],[Cap Util (kg)]]/(Tabla13[[#This Row],[Cap Inst (Kg)]]))</f>
        <v>#DIV/0!</v>
      </c>
    </row>
    <row r="69" spans="1:48" x14ac:dyDescent="0.25">
      <c r="A69" s="13" t="s">
        <v>1068</v>
      </c>
      <c r="B69" s="14" t="s">
        <v>179</v>
      </c>
      <c r="C69" s="14" t="s">
        <v>44</v>
      </c>
      <c r="D69" s="14" t="s">
        <v>44</v>
      </c>
      <c r="E69" s="14" t="s">
        <v>45</v>
      </c>
      <c r="F69" s="14" t="s">
        <v>64</v>
      </c>
      <c r="G69" s="15" t="s">
        <v>128</v>
      </c>
      <c r="H69" s="16" t="s">
        <v>143</v>
      </c>
      <c r="I69" s="14" t="s">
        <v>177</v>
      </c>
      <c r="J69" s="14">
        <v>900335279</v>
      </c>
      <c r="K69" s="14" t="s">
        <v>77</v>
      </c>
      <c r="L69" s="14" t="s">
        <v>103</v>
      </c>
      <c r="M69" s="14" t="s">
        <v>132</v>
      </c>
      <c r="N69" s="14">
        <v>2020</v>
      </c>
      <c r="O69" s="14">
        <v>0</v>
      </c>
      <c r="P69" s="14" t="s">
        <v>105</v>
      </c>
      <c r="Q69" s="14">
        <v>1</v>
      </c>
      <c r="R69" s="14">
        <v>1</v>
      </c>
      <c r="S69" s="17">
        <v>44833.540219907409</v>
      </c>
      <c r="T69" s="18">
        <v>702.33100000000002</v>
      </c>
      <c r="U69" s="14">
        <v>30</v>
      </c>
      <c r="V69" s="19">
        <v>1</v>
      </c>
      <c r="W69" s="14">
        <v>0</v>
      </c>
      <c r="X69" s="14">
        <v>21</v>
      </c>
      <c r="Y69" s="14">
        <v>0</v>
      </c>
      <c r="Z69" s="14">
        <v>10</v>
      </c>
      <c r="AA69" s="14">
        <f>Tabla13[[#This Row],[CheckList App]]+Tabla13[[#This Row],[CheckList Fisc]]</f>
        <v>10</v>
      </c>
      <c r="AB69" s="19">
        <f t="shared" si="1"/>
        <v>0.47619047619047616</v>
      </c>
      <c r="AC69" s="14">
        <v>0</v>
      </c>
      <c r="AD69" s="14" t="s">
        <v>70</v>
      </c>
      <c r="AE69" s="15" t="str">
        <f>IFERROR((VLOOKUP(Tabla13[[#This Row],[ID]],[1]!Mtto_Pesv[[#Headers],[#Data],[Placa]:[Rutina]],2,FALSE)),"-")</f>
        <v>-</v>
      </c>
      <c r="AF69" s="14">
        <v>0</v>
      </c>
      <c r="AG69" s="20">
        <f>IFERROR((VLOOKUP(Tabla13[[#This Row],[ID]],[1]!Mtto_Pesv[[#Headers],[#Data],[Placa]:[Rutina]],3,FALSE)),0)</f>
        <v>0</v>
      </c>
      <c r="AH69" s="20">
        <f>IFERROR((VLOOKUP(Tabla13[[#This Row],[ID]],[1]!Mtto_Pesv[[#Headers],[#Data],[Placa]:[Rutina]],7,FALSE)),0)</f>
        <v>0</v>
      </c>
      <c r="AI69" s="20">
        <f>IFERROR((VLOOKUP(Tabla13[[#This Row],[ID]],[1]!Mtto_Pesv[[#Headers],[#Data],[Placa]:[Rutina]],8,FALSE)),0)</f>
        <v>0</v>
      </c>
      <c r="AJ69" s="20" t="str">
        <f>IFERROR((VLOOKUP(Tabla13[[#This Row],[ID]],[1]!Mtto_Pesv[[#Headers],[#Data],[Placa]:[Rutina]],9,FALSE)),"-")</f>
        <v>-</v>
      </c>
      <c r="AK69" s="20">
        <f>IFERROR((VLOOKUP(Tabla13[[#This Row],[ID]],[1]!Mtto_Pesv[[#Headers],[#Data],[Placa]:[Rutina]],10,FALSE)),0)</f>
        <v>0</v>
      </c>
      <c r="AL69" s="20">
        <f>IF(Tabla13[[#This Row],[Km Anterior]]=0,0,Tabla13[[#This Row],[Km Ejecut]]-Tabla13[[#This Row],[Km Anterior]])</f>
        <v>0</v>
      </c>
      <c r="AM69" s="20">
        <f>IFERROR((VLOOKUP(Tabla13[[#This Row],[ID]],[1]!Mtto_Pesv[[#Headers],[#Data],[Placa]:[Rutina]],4,FALSE)),0)</f>
        <v>0</v>
      </c>
      <c r="AN69" s="21">
        <f>IFERROR((VLOOKUP(Tabla13[[#This Row],[ID]],[1]!Mtto_Pesv[[#Headers],[#Data],[Placa]:[Rutina]],5,FALSE)),0)</f>
        <v>0</v>
      </c>
      <c r="AO69" s="21">
        <f>+Tabla13[[#This Row],[Km Fin]]-Tabla13[[#This Row],[Km Ini]]</f>
        <v>0</v>
      </c>
      <c r="AP69" s="20">
        <f>IFERROR((VLOOKUP(Tabla13[[#This Row],[ID]],[1]!Estilo_Conduccion[[#All],[Placa]:[Puntuacion]],15,FALSE)),0)</f>
        <v>414.2</v>
      </c>
      <c r="AQ69" s="15" t="s">
        <v>54</v>
      </c>
      <c r="AR69" s="15" t="s">
        <v>1109</v>
      </c>
      <c r="AS69" s="20">
        <v>10505</v>
      </c>
      <c r="AT69" s="21">
        <v>0</v>
      </c>
      <c r="AU69" s="21">
        <f>(Tabla13[[#This Row],[Cap Vh]]*$AX$2)*0.56</f>
        <v>0</v>
      </c>
      <c r="AV69" s="36" t="e">
        <f>(Tabla13[[#This Row],[Cap Util (kg)]]/(Tabla13[[#This Row],[Cap Inst (Kg)]]))</f>
        <v>#DIV/0!</v>
      </c>
    </row>
    <row r="70" spans="1:48" x14ac:dyDescent="0.25">
      <c r="A70" s="13" t="s">
        <v>1068</v>
      </c>
      <c r="B70" s="14" t="s">
        <v>180</v>
      </c>
      <c r="C70" s="14" t="s">
        <v>44</v>
      </c>
      <c r="D70" s="14" t="s">
        <v>44</v>
      </c>
      <c r="E70" s="14" t="s">
        <v>45</v>
      </c>
      <c r="F70" s="14" t="s">
        <v>64</v>
      </c>
      <c r="G70" s="15" t="s">
        <v>128</v>
      </c>
      <c r="H70" s="16" t="s">
        <v>143</v>
      </c>
      <c r="I70" s="14" t="s">
        <v>177</v>
      </c>
      <c r="J70" s="14">
        <v>900335279</v>
      </c>
      <c r="K70" s="14" t="s">
        <v>77</v>
      </c>
      <c r="L70" s="14" t="s">
        <v>103</v>
      </c>
      <c r="M70" s="14" t="s">
        <v>132</v>
      </c>
      <c r="N70" s="14">
        <v>2021</v>
      </c>
      <c r="O70" s="14">
        <v>1</v>
      </c>
      <c r="P70" s="14" t="s">
        <v>105</v>
      </c>
      <c r="Q70" s="14">
        <v>1</v>
      </c>
      <c r="R70" s="14">
        <v>1</v>
      </c>
      <c r="S70" s="17">
        <v>44834.669027777767</v>
      </c>
      <c r="T70" s="18">
        <v>473.42800000000005</v>
      </c>
      <c r="U70" s="14">
        <v>30</v>
      </c>
      <c r="V70" s="19">
        <v>1</v>
      </c>
      <c r="W70" s="14">
        <v>0</v>
      </c>
      <c r="X70" s="14">
        <v>25</v>
      </c>
      <c r="Y70" s="14">
        <v>0</v>
      </c>
      <c r="Z70" s="14">
        <v>23</v>
      </c>
      <c r="AA70" s="14">
        <f>Tabla13[[#This Row],[CheckList App]]+Tabla13[[#This Row],[CheckList Fisc]]</f>
        <v>23</v>
      </c>
      <c r="AB70" s="19">
        <f t="shared" si="1"/>
        <v>0.92</v>
      </c>
      <c r="AC70" s="14">
        <v>0</v>
      </c>
      <c r="AD70" s="14" t="s">
        <v>70</v>
      </c>
      <c r="AE70" s="15" t="str">
        <f>IFERROR((VLOOKUP(Tabla13[[#This Row],[ID]],[1]!Mtto_Pesv[[#Headers],[#Data],[Placa]:[Rutina]],2,FALSE)),"-")</f>
        <v>-</v>
      </c>
      <c r="AF70" s="14">
        <v>0</v>
      </c>
      <c r="AG70" s="20">
        <f>IFERROR((VLOOKUP(Tabla13[[#This Row],[ID]],[1]!Mtto_Pesv[[#Headers],[#Data],[Placa]:[Rutina]],3,FALSE)),0)</f>
        <v>0</v>
      </c>
      <c r="AH70" s="20">
        <f>IFERROR((VLOOKUP(Tabla13[[#This Row],[ID]],[1]!Mtto_Pesv[[#Headers],[#Data],[Placa]:[Rutina]],7,FALSE)),0)</f>
        <v>0</v>
      </c>
      <c r="AI70" s="20">
        <f>IFERROR((VLOOKUP(Tabla13[[#This Row],[ID]],[1]!Mtto_Pesv[[#Headers],[#Data],[Placa]:[Rutina]],8,FALSE)),0)</f>
        <v>0</v>
      </c>
      <c r="AJ70" s="20" t="str">
        <f>IFERROR((VLOOKUP(Tabla13[[#This Row],[ID]],[1]!Mtto_Pesv[[#Headers],[#Data],[Placa]:[Rutina]],9,FALSE)),"-")</f>
        <v>-</v>
      </c>
      <c r="AK70" s="20">
        <f>IFERROR((VLOOKUP(Tabla13[[#This Row],[ID]],[1]!Mtto_Pesv[[#Headers],[#Data],[Placa]:[Rutina]],10,FALSE)),0)</f>
        <v>0</v>
      </c>
      <c r="AL70" s="20">
        <f>IF(Tabla13[[#This Row],[Km Anterior]]=0,0,Tabla13[[#This Row],[Km Ejecut]]-Tabla13[[#This Row],[Km Anterior]])</f>
        <v>0</v>
      </c>
      <c r="AM70" s="20">
        <f>IFERROR((VLOOKUP(Tabla13[[#This Row],[ID]],[1]!Mtto_Pesv[[#Headers],[#Data],[Placa]:[Rutina]],4,FALSE)),0)</f>
        <v>0</v>
      </c>
      <c r="AN70" s="21">
        <f>IFERROR((VLOOKUP(Tabla13[[#This Row],[ID]],[1]!Mtto_Pesv[[#Headers],[#Data],[Placa]:[Rutina]],5,FALSE)),0)</f>
        <v>0</v>
      </c>
      <c r="AO70" s="21">
        <f>+Tabla13[[#This Row],[Km Fin]]-Tabla13[[#This Row],[Km Ini]]</f>
        <v>0</v>
      </c>
      <c r="AP70" s="20">
        <f>IFERROR((VLOOKUP(Tabla13[[#This Row],[ID]],[1]!Estilo_Conduccion[[#All],[Placa]:[Puntuacion]],15,FALSE)),0)</f>
        <v>1840</v>
      </c>
      <c r="AQ70" s="15" t="s">
        <v>54</v>
      </c>
      <c r="AR70" s="15" t="s">
        <v>1110</v>
      </c>
      <c r="AS70" s="20">
        <v>10505</v>
      </c>
      <c r="AT70" s="21">
        <v>0</v>
      </c>
      <c r="AU70" s="21">
        <f>(Tabla13[[#This Row],[Cap Vh]]*$AX$2)*0.56</f>
        <v>0</v>
      </c>
      <c r="AV70" s="36" t="e">
        <f>(Tabla13[[#This Row],[Cap Util (kg)]]/(Tabla13[[#This Row],[Cap Inst (Kg)]]))</f>
        <v>#DIV/0!</v>
      </c>
    </row>
    <row r="71" spans="1:48" x14ac:dyDescent="0.25">
      <c r="A71" s="13" t="s">
        <v>1068</v>
      </c>
      <c r="B71" s="14" t="s">
        <v>181</v>
      </c>
      <c r="C71" s="14" t="s">
        <v>44</v>
      </c>
      <c r="D71" s="14" t="s">
        <v>44</v>
      </c>
      <c r="E71" s="14" t="s">
        <v>45</v>
      </c>
      <c r="F71" s="14" t="s">
        <v>64</v>
      </c>
      <c r="G71" s="15" t="s">
        <v>182</v>
      </c>
      <c r="H71" s="13" t="s">
        <v>183</v>
      </c>
      <c r="I71" s="14" t="s">
        <v>184</v>
      </c>
      <c r="J71" s="14">
        <v>901253015</v>
      </c>
      <c r="K71" s="14" t="s">
        <v>185</v>
      </c>
      <c r="L71" s="14" t="s">
        <v>186</v>
      </c>
      <c r="M71" s="14" t="s">
        <v>187</v>
      </c>
      <c r="N71" s="14">
        <v>2021</v>
      </c>
      <c r="O71" s="14">
        <v>0</v>
      </c>
      <c r="P71" s="14" t="s">
        <v>105</v>
      </c>
      <c r="Q71" s="14">
        <v>1</v>
      </c>
      <c r="R71" s="14">
        <v>1</v>
      </c>
      <c r="S71" s="17">
        <v>44834.389166666668</v>
      </c>
      <c r="T71" s="18">
        <v>81.971000000000004</v>
      </c>
      <c r="U71" s="37">
        <v>30</v>
      </c>
      <c r="V71" s="19">
        <v>1</v>
      </c>
      <c r="W71" s="14">
        <v>0</v>
      </c>
      <c r="X71" s="14">
        <v>16</v>
      </c>
      <c r="Y71" s="14">
        <v>12</v>
      </c>
      <c r="Z71" s="14">
        <v>0</v>
      </c>
      <c r="AA71" s="14">
        <f>Tabla13[[#This Row],[CheckList App]]+Tabla13[[#This Row],[CheckList Fisc]]</f>
        <v>12</v>
      </c>
      <c r="AB71" s="19">
        <f t="shared" si="1"/>
        <v>0.75</v>
      </c>
      <c r="AC71" s="14">
        <v>0</v>
      </c>
      <c r="AD71" s="14" t="s">
        <v>70</v>
      </c>
      <c r="AE71" s="15" t="str">
        <f>IFERROR((VLOOKUP(Tabla13[[#This Row],[ID]],[1]!Mtto_Pesv[[#Headers],[#Data],[Placa]:[Rutina]],2,FALSE)),"-")</f>
        <v>-</v>
      </c>
      <c r="AF71" s="14">
        <v>0</v>
      </c>
      <c r="AG71" s="20">
        <f>IFERROR((VLOOKUP(Tabla13[[#This Row],[ID]],[1]!Mtto_Pesv[[#Headers],[#Data],[Placa]:[Rutina]],3,FALSE)),0)</f>
        <v>0</v>
      </c>
      <c r="AH71" s="20">
        <f>IFERROR((VLOOKUP(Tabla13[[#This Row],[ID]],[1]!Mtto_Pesv[[#Headers],[#Data],[Placa]:[Rutina]],7,FALSE)),0)</f>
        <v>0</v>
      </c>
      <c r="AI71" s="20">
        <f>IFERROR((VLOOKUP(Tabla13[[#This Row],[ID]],[1]!Mtto_Pesv[[#Headers],[#Data],[Placa]:[Rutina]],8,FALSE)),0)</f>
        <v>0</v>
      </c>
      <c r="AJ71" s="20" t="str">
        <f>IFERROR((VLOOKUP(Tabla13[[#This Row],[ID]],[1]!Mtto_Pesv[[#Headers],[#Data],[Placa]:[Rutina]],9,FALSE)),"-")</f>
        <v>-</v>
      </c>
      <c r="AK71" s="20">
        <f>IFERROR((VLOOKUP(Tabla13[[#This Row],[ID]],[1]!Mtto_Pesv[[#Headers],[#Data],[Placa]:[Rutina]],10,FALSE)),0)</f>
        <v>0</v>
      </c>
      <c r="AL71" s="20">
        <f>IF(Tabla13[[#This Row],[Km Anterior]]=0,0,Tabla13[[#This Row],[Km Ejecut]]-Tabla13[[#This Row],[Km Anterior]])</f>
        <v>0</v>
      </c>
      <c r="AM71" s="20">
        <f>IFERROR((VLOOKUP(Tabla13[[#This Row],[ID]],[1]!Mtto_Pesv[[#Headers],[#Data],[Placa]:[Rutina]],4,FALSE)),0)</f>
        <v>0</v>
      </c>
      <c r="AN71" s="21">
        <f>IFERROR((VLOOKUP(Tabla13[[#This Row],[ID]],[1]!Mtto_Pesv[[#Headers],[#Data],[Placa]:[Rutina]],5,FALSE)),0)</f>
        <v>0</v>
      </c>
      <c r="AO71" s="21">
        <f>+Tabla13[[#This Row],[Km Fin]]-Tabla13[[#This Row],[Km Ini]]</f>
        <v>0</v>
      </c>
      <c r="AP71" s="20">
        <f>IFERROR((VLOOKUP(Tabla13[[#This Row],[ID]],[1]!Estilo_Conduccion[[#All],[Placa]:[Puntuacion]],15,FALSE)),0)</f>
        <v>299.7</v>
      </c>
      <c r="AQ71" s="15" t="s">
        <v>54</v>
      </c>
      <c r="AR71" s="15" t="s">
        <v>1111</v>
      </c>
      <c r="AS71" s="20">
        <v>1000</v>
      </c>
      <c r="AT71" s="21">
        <v>0</v>
      </c>
      <c r="AU71" s="21">
        <f>(Tabla13[[#This Row],[Cap Vh]]*$AX$2)*0.56</f>
        <v>0</v>
      </c>
      <c r="AV71" s="36" t="e">
        <f>(Tabla13[[#This Row],[Cap Util (kg)]]/(Tabla13[[#This Row],[Cap Inst (Kg)]]))</f>
        <v>#DIV/0!</v>
      </c>
    </row>
    <row r="72" spans="1:48" x14ac:dyDescent="0.25">
      <c r="A72" s="13" t="s">
        <v>1068</v>
      </c>
      <c r="B72" s="14" t="s">
        <v>188</v>
      </c>
      <c r="C72" s="14" t="s">
        <v>44</v>
      </c>
      <c r="D72" s="14" t="s">
        <v>44</v>
      </c>
      <c r="E72" s="14" t="s">
        <v>45</v>
      </c>
      <c r="F72" s="14" t="s">
        <v>64</v>
      </c>
      <c r="G72" s="15" t="s">
        <v>182</v>
      </c>
      <c r="H72" s="13" t="s">
        <v>183</v>
      </c>
      <c r="I72" s="14" t="s">
        <v>184</v>
      </c>
      <c r="J72" s="14">
        <v>901253015</v>
      </c>
      <c r="K72" s="14" t="s">
        <v>185</v>
      </c>
      <c r="L72" s="14" t="s">
        <v>186</v>
      </c>
      <c r="M72" s="14" t="s">
        <v>187</v>
      </c>
      <c r="N72" s="14">
        <v>2021</v>
      </c>
      <c r="O72" s="14">
        <v>0</v>
      </c>
      <c r="P72" s="14" t="s">
        <v>105</v>
      </c>
      <c r="Q72" s="14">
        <v>1</v>
      </c>
      <c r="R72" s="14">
        <v>1</v>
      </c>
      <c r="S72" s="17">
        <v>44822.638483796298</v>
      </c>
      <c r="T72" s="18">
        <v>74.539000000000001</v>
      </c>
      <c r="U72" s="37">
        <v>30</v>
      </c>
      <c r="V72" s="19">
        <v>1</v>
      </c>
      <c r="W72" s="14">
        <v>0</v>
      </c>
      <c r="X72" s="14">
        <v>19</v>
      </c>
      <c r="Y72" s="14">
        <v>13</v>
      </c>
      <c r="Z72" s="14">
        <v>0</v>
      </c>
      <c r="AA72" s="14">
        <f>Tabla13[[#This Row],[CheckList App]]+Tabla13[[#This Row],[CheckList Fisc]]</f>
        <v>13</v>
      </c>
      <c r="AB72" s="19">
        <f t="shared" si="1"/>
        <v>0.68421052631578949</v>
      </c>
      <c r="AC72" s="14">
        <v>0</v>
      </c>
      <c r="AD72" s="14" t="s">
        <v>70</v>
      </c>
      <c r="AE72" s="15" t="str">
        <f>IFERROR((VLOOKUP(Tabla13[[#This Row],[ID]],[1]!Mtto_Pesv[[#Headers],[#Data],[Placa]:[Rutina]],2,FALSE)),"-")</f>
        <v>-</v>
      </c>
      <c r="AF72" s="14">
        <v>0</v>
      </c>
      <c r="AG72" s="20">
        <f>IFERROR((VLOOKUP(Tabla13[[#This Row],[ID]],[1]!Mtto_Pesv[[#Headers],[#Data],[Placa]:[Rutina]],3,FALSE)),0)</f>
        <v>0</v>
      </c>
      <c r="AH72" s="20">
        <f>IFERROR((VLOOKUP(Tabla13[[#This Row],[ID]],[1]!Mtto_Pesv[[#Headers],[#Data],[Placa]:[Rutina]],7,FALSE)),0)</f>
        <v>0</v>
      </c>
      <c r="AI72" s="20">
        <f>IFERROR((VLOOKUP(Tabla13[[#This Row],[ID]],[1]!Mtto_Pesv[[#Headers],[#Data],[Placa]:[Rutina]],8,FALSE)),0)</f>
        <v>0</v>
      </c>
      <c r="AJ72" s="20" t="str">
        <f>IFERROR((VLOOKUP(Tabla13[[#This Row],[ID]],[1]!Mtto_Pesv[[#Headers],[#Data],[Placa]:[Rutina]],9,FALSE)),"-")</f>
        <v>-</v>
      </c>
      <c r="AK72" s="20">
        <f>IFERROR((VLOOKUP(Tabla13[[#This Row],[ID]],[1]!Mtto_Pesv[[#Headers],[#Data],[Placa]:[Rutina]],10,FALSE)),0)</f>
        <v>0</v>
      </c>
      <c r="AL72" s="20">
        <f>IF(Tabla13[[#This Row],[Km Anterior]]=0,0,Tabla13[[#This Row],[Km Ejecut]]-Tabla13[[#This Row],[Km Anterior]])</f>
        <v>0</v>
      </c>
      <c r="AM72" s="20">
        <f>IFERROR((VLOOKUP(Tabla13[[#This Row],[ID]],[1]!Mtto_Pesv[[#Headers],[#Data],[Placa]:[Rutina]],4,FALSE)),0)</f>
        <v>0</v>
      </c>
      <c r="AN72" s="21">
        <f>IFERROR((VLOOKUP(Tabla13[[#This Row],[ID]],[1]!Mtto_Pesv[[#Headers],[#Data],[Placa]:[Rutina]],5,FALSE)),0)</f>
        <v>0</v>
      </c>
      <c r="AO72" s="21">
        <f>+Tabla13[[#This Row],[Km Fin]]-Tabla13[[#This Row],[Km Ini]]</f>
        <v>0</v>
      </c>
      <c r="AP72" s="20">
        <f>IFERROR((VLOOKUP(Tabla13[[#This Row],[ID]],[1]!Estilo_Conduccion[[#All],[Placa]:[Puntuacion]],15,FALSE)),0)</f>
        <v>311.10000000000008</v>
      </c>
      <c r="AQ72" s="15" t="s">
        <v>54</v>
      </c>
      <c r="AR72" s="15" t="s">
        <v>1111</v>
      </c>
      <c r="AS72" s="20">
        <v>1000</v>
      </c>
      <c r="AT72" s="21">
        <v>0</v>
      </c>
      <c r="AU72" s="21">
        <f>(Tabla13[[#This Row],[Cap Vh]]*$AX$2)*0.56</f>
        <v>0</v>
      </c>
      <c r="AV72" s="36" t="e">
        <f>(Tabla13[[#This Row],[Cap Util (kg)]]/(Tabla13[[#This Row],[Cap Inst (Kg)]]))</f>
        <v>#DIV/0!</v>
      </c>
    </row>
    <row r="73" spans="1:48" x14ac:dyDescent="0.25">
      <c r="A73" s="13" t="s">
        <v>1068</v>
      </c>
      <c r="B73" s="14" t="s">
        <v>189</v>
      </c>
      <c r="C73" s="14" t="s">
        <v>44</v>
      </c>
      <c r="D73" s="14" t="s">
        <v>44</v>
      </c>
      <c r="E73" s="14" t="s">
        <v>45</v>
      </c>
      <c r="F73" s="14" t="s">
        <v>64</v>
      </c>
      <c r="G73" s="15" t="s">
        <v>182</v>
      </c>
      <c r="H73" s="13" t="s">
        <v>183</v>
      </c>
      <c r="I73" s="14" t="s">
        <v>184</v>
      </c>
      <c r="J73" s="14">
        <v>901253015</v>
      </c>
      <c r="K73" s="14" t="s">
        <v>185</v>
      </c>
      <c r="L73" s="14" t="s">
        <v>186</v>
      </c>
      <c r="M73" s="14" t="s">
        <v>187</v>
      </c>
      <c r="N73" s="14">
        <v>2021</v>
      </c>
      <c r="O73" s="14">
        <v>0</v>
      </c>
      <c r="P73" s="14" t="s">
        <v>105</v>
      </c>
      <c r="Q73" s="14">
        <v>1</v>
      </c>
      <c r="R73" s="14">
        <v>1</v>
      </c>
      <c r="S73" s="17">
        <v>44834.441516203697</v>
      </c>
      <c r="T73" s="18">
        <v>120.96300000000001</v>
      </c>
      <c r="U73" s="37">
        <v>24</v>
      </c>
      <c r="V73" s="19">
        <v>0.8</v>
      </c>
      <c r="W73" s="14">
        <v>0</v>
      </c>
      <c r="X73" s="14">
        <v>21</v>
      </c>
      <c r="Y73" s="14">
        <v>17</v>
      </c>
      <c r="Z73" s="14">
        <v>0</v>
      </c>
      <c r="AA73" s="14">
        <f>Tabla13[[#This Row],[CheckList App]]+Tabla13[[#This Row],[CheckList Fisc]]</f>
        <v>17</v>
      </c>
      <c r="AB73" s="19">
        <f t="shared" si="1"/>
        <v>0.80952380952380953</v>
      </c>
      <c r="AC73" s="14">
        <v>0</v>
      </c>
      <c r="AD73" s="14" t="s">
        <v>70</v>
      </c>
      <c r="AE73" s="15" t="str">
        <f>IFERROR((VLOOKUP(Tabla13[[#This Row],[ID]],[1]!Mtto_Pesv[[#Headers],[#Data],[Placa]:[Rutina]],2,FALSE)),"-")</f>
        <v>-</v>
      </c>
      <c r="AF73" s="14">
        <v>0</v>
      </c>
      <c r="AG73" s="20">
        <f>IFERROR((VLOOKUP(Tabla13[[#This Row],[ID]],[1]!Mtto_Pesv[[#Headers],[#Data],[Placa]:[Rutina]],3,FALSE)),0)</f>
        <v>0</v>
      </c>
      <c r="AH73" s="20">
        <f>IFERROR((VLOOKUP(Tabla13[[#This Row],[ID]],[1]!Mtto_Pesv[[#Headers],[#Data],[Placa]:[Rutina]],7,FALSE)),0)</f>
        <v>0</v>
      </c>
      <c r="AI73" s="20">
        <f>IFERROR((VLOOKUP(Tabla13[[#This Row],[ID]],[1]!Mtto_Pesv[[#Headers],[#Data],[Placa]:[Rutina]],8,FALSE)),0)</f>
        <v>0</v>
      </c>
      <c r="AJ73" s="20" t="str">
        <f>IFERROR((VLOOKUP(Tabla13[[#This Row],[ID]],[1]!Mtto_Pesv[[#Headers],[#Data],[Placa]:[Rutina]],9,FALSE)),"-")</f>
        <v>-</v>
      </c>
      <c r="AK73" s="20">
        <f>IFERROR((VLOOKUP(Tabla13[[#This Row],[ID]],[1]!Mtto_Pesv[[#Headers],[#Data],[Placa]:[Rutina]],10,FALSE)),0)</f>
        <v>0</v>
      </c>
      <c r="AL73" s="20">
        <f>IF(Tabla13[[#This Row],[Km Anterior]]=0,0,Tabla13[[#This Row],[Km Ejecut]]-Tabla13[[#This Row],[Km Anterior]])</f>
        <v>0</v>
      </c>
      <c r="AM73" s="20">
        <f>IFERROR((VLOOKUP(Tabla13[[#This Row],[ID]],[1]!Mtto_Pesv[[#Headers],[#Data],[Placa]:[Rutina]],4,FALSE)),0)</f>
        <v>0</v>
      </c>
      <c r="AN73" s="21">
        <f>IFERROR((VLOOKUP(Tabla13[[#This Row],[ID]],[1]!Mtto_Pesv[[#Headers],[#Data],[Placa]:[Rutina]],5,FALSE)),0)</f>
        <v>0</v>
      </c>
      <c r="AO73" s="21">
        <f>+Tabla13[[#This Row],[Km Fin]]-Tabla13[[#This Row],[Km Ini]]</f>
        <v>0</v>
      </c>
      <c r="AP73" s="20">
        <f>IFERROR((VLOOKUP(Tabla13[[#This Row],[ID]],[1]!Estilo_Conduccion[[#All],[Placa]:[Puntuacion]],15,FALSE)),0)</f>
        <v>164.49999999999994</v>
      </c>
      <c r="AQ73" s="15" t="s">
        <v>54</v>
      </c>
      <c r="AR73" s="15" t="s">
        <v>190</v>
      </c>
      <c r="AS73" s="20">
        <v>1000</v>
      </c>
      <c r="AT73" s="21">
        <v>0</v>
      </c>
      <c r="AU73" s="21">
        <f>(Tabla13[[#This Row],[Cap Vh]]*$AX$2)*0.56</f>
        <v>0</v>
      </c>
      <c r="AV73" s="36" t="e">
        <f>(Tabla13[[#This Row],[Cap Util (kg)]]/(Tabla13[[#This Row],[Cap Inst (Kg)]]))</f>
        <v>#DIV/0!</v>
      </c>
    </row>
    <row r="74" spans="1:48" x14ac:dyDescent="0.25">
      <c r="A74" s="13" t="s">
        <v>1068</v>
      </c>
      <c r="B74" s="14" t="s">
        <v>191</v>
      </c>
      <c r="C74" s="14" t="s">
        <v>44</v>
      </c>
      <c r="D74" s="14" t="s">
        <v>44</v>
      </c>
      <c r="E74" s="14" t="s">
        <v>45</v>
      </c>
      <c r="F74" s="14" t="s">
        <v>64</v>
      </c>
      <c r="G74" s="15" t="s">
        <v>182</v>
      </c>
      <c r="H74" s="13" t="s">
        <v>183</v>
      </c>
      <c r="I74" s="14" t="s">
        <v>184</v>
      </c>
      <c r="J74" s="14">
        <v>901253015</v>
      </c>
      <c r="K74" s="14" t="s">
        <v>185</v>
      </c>
      <c r="L74" s="14" t="s">
        <v>186</v>
      </c>
      <c r="M74" s="14" t="s">
        <v>187</v>
      </c>
      <c r="N74" s="14">
        <v>2021</v>
      </c>
      <c r="O74" s="14">
        <v>0</v>
      </c>
      <c r="P74" s="14" t="s">
        <v>105</v>
      </c>
      <c r="Q74" s="14">
        <v>1</v>
      </c>
      <c r="R74" s="14">
        <v>1</v>
      </c>
      <c r="S74" s="17">
        <v>44831.461481481478</v>
      </c>
      <c r="T74" s="18">
        <v>110.786</v>
      </c>
      <c r="U74" s="37">
        <v>30</v>
      </c>
      <c r="V74" s="19">
        <v>1</v>
      </c>
      <c r="W74" s="14">
        <v>0</v>
      </c>
      <c r="X74" s="14">
        <v>23</v>
      </c>
      <c r="Y74" s="14">
        <v>23</v>
      </c>
      <c r="Z74" s="14">
        <v>0</v>
      </c>
      <c r="AA74" s="14">
        <f>Tabla13[[#This Row],[CheckList App]]+Tabla13[[#This Row],[CheckList Fisc]]</f>
        <v>23</v>
      </c>
      <c r="AB74" s="19">
        <f t="shared" si="1"/>
        <v>1</v>
      </c>
      <c r="AC74" s="14">
        <v>1</v>
      </c>
      <c r="AD74" s="14" t="s">
        <v>70</v>
      </c>
      <c r="AE74" s="15" t="str">
        <f>IFERROR((VLOOKUP(Tabla13[[#This Row],[ID]],[1]!Mtto_Pesv[[#Headers],[#Data],[Placa]:[Rutina]],2,FALSE)),"-")</f>
        <v>-</v>
      </c>
      <c r="AF74" s="14">
        <v>0</v>
      </c>
      <c r="AG74" s="20">
        <f>IFERROR((VLOOKUP(Tabla13[[#This Row],[ID]],[1]!Mtto_Pesv[[#Headers],[#Data],[Placa]:[Rutina]],3,FALSE)),0)</f>
        <v>0</v>
      </c>
      <c r="AH74" s="20">
        <f>IFERROR((VLOOKUP(Tabla13[[#This Row],[ID]],[1]!Mtto_Pesv[[#Headers],[#Data],[Placa]:[Rutina]],7,FALSE)),0)</f>
        <v>0</v>
      </c>
      <c r="AI74" s="20">
        <f>IFERROR((VLOOKUP(Tabla13[[#This Row],[ID]],[1]!Mtto_Pesv[[#Headers],[#Data],[Placa]:[Rutina]],8,FALSE)),0)</f>
        <v>0</v>
      </c>
      <c r="AJ74" s="20" t="str">
        <f>IFERROR((VLOOKUP(Tabla13[[#This Row],[ID]],[1]!Mtto_Pesv[[#Headers],[#Data],[Placa]:[Rutina]],9,FALSE)),"-")</f>
        <v>-</v>
      </c>
      <c r="AK74" s="20">
        <f>IFERROR((VLOOKUP(Tabla13[[#This Row],[ID]],[1]!Mtto_Pesv[[#Headers],[#Data],[Placa]:[Rutina]],10,FALSE)),0)</f>
        <v>0</v>
      </c>
      <c r="AL74" s="20">
        <f>IF(Tabla13[[#This Row],[Km Anterior]]=0,0,Tabla13[[#This Row],[Km Ejecut]]-Tabla13[[#This Row],[Km Anterior]])</f>
        <v>0</v>
      </c>
      <c r="AM74" s="20">
        <f>IFERROR((VLOOKUP(Tabla13[[#This Row],[ID]],[1]!Mtto_Pesv[[#Headers],[#Data],[Placa]:[Rutina]],4,FALSE)),0)</f>
        <v>0</v>
      </c>
      <c r="AN74" s="21">
        <f>IFERROR((VLOOKUP(Tabla13[[#This Row],[ID]],[1]!Mtto_Pesv[[#Headers],[#Data],[Placa]:[Rutina]],5,FALSE)),0)</f>
        <v>0</v>
      </c>
      <c r="AO74" s="21">
        <f>+Tabla13[[#This Row],[Km Fin]]-Tabla13[[#This Row],[Km Ini]]</f>
        <v>0</v>
      </c>
      <c r="AP74" s="20">
        <f>IFERROR((VLOOKUP(Tabla13[[#This Row],[ID]],[1]!Estilo_Conduccion[[#All],[Placa]:[Puntuacion]],15,FALSE)),0)</f>
        <v>465.80000000000013</v>
      </c>
      <c r="AQ74" s="15" t="s">
        <v>54</v>
      </c>
      <c r="AR74" s="15" t="s">
        <v>192</v>
      </c>
      <c r="AS74" s="20">
        <v>1000</v>
      </c>
      <c r="AT74" s="21">
        <v>0</v>
      </c>
      <c r="AU74" s="21">
        <f>(Tabla13[[#This Row],[Cap Vh]]*$AX$2)*0.56</f>
        <v>0</v>
      </c>
      <c r="AV74" s="36" t="e">
        <f>(Tabla13[[#This Row],[Cap Util (kg)]]/(Tabla13[[#This Row],[Cap Inst (Kg)]]))</f>
        <v>#DIV/0!</v>
      </c>
    </row>
    <row r="75" spans="1:48" x14ac:dyDescent="0.25">
      <c r="A75" s="13" t="s">
        <v>1068</v>
      </c>
      <c r="B75" s="14" t="s">
        <v>193</v>
      </c>
      <c r="C75" s="14" t="s">
        <v>44</v>
      </c>
      <c r="D75" s="14" t="s">
        <v>44</v>
      </c>
      <c r="E75" s="14" t="s">
        <v>85</v>
      </c>
      <c r="F75" s="14" t="s">
        <v>64</v>
      </c>
      <c r="G75" s="15" t="s">
        <v>182</v>
      </c>
      <c r="H75" s="13" t="s">
        <v>183</v>
      </c>
      <c r="I75" s="14" t="s">
        <v>184</v>
      </c>
      <c r="J75" s="14">
        <v>901253015</v>
      </c>
      <c r="K75" s="14" t="s">
        <v>185</v>
      </c>
      <c r="L75" s="14" t="s">
        <v>186</v>
      </c>
      <c r="M75" s="14" t="s">
        <v>187</v>
      </c>
      <c r="N75" s="14">
        <v>2021</v>
      </c>
      <c r="O75" s="14">
        <v>0</v>
      </c>
      <c r="P75" s="14" t="s">
        <v>105</v>
      </c>
      <c r="Q75" s="14">
        <v>1</v>
      </c>
      <c r="R75" s="14">
        <v>1</v>
      </c>
      <c r="S75" s="17">
        <v>44829.597175925926</v>
      </c>
      <c r="T75" s="18">
        <v>47.231999999999999</v>
      </c>
      <c r="U75" s="37">
        <v>30</v>
      </c>
      <c r="V75" s="19">
        <v>1</v>
      </c>
      <c r="W75" s="14">
        <v>0</v>
      </c>
      <c r="X75" s="14">
        <v>22</v>
      </c>
      <c r="Y75" s="14">
        <v>20</v>
      </c>
      <c r="Z75" s="14">
        <v>0</v>
      </c>
      <c r="AA75" s="14">
        <f>Tabla13[[#This Row],[CheckList App]]+Tabla13[[#This Row],[CheckList Fisc]]</f>
        <v>20</v>
      </c>
      <c r="AB75" s="19">
        <f t="shared" si="1"/>
        <v>0.90909090909090906</v>
      </c>
      <c r="AC75" s="14">
        <v>6</v>
      </c>
      <c r="AD75" s="14" t="s">
        <v>70</v>
      </c>
      <c r="AE75" s="15" t="str">
        <f>IFERROR((VLOOKUP(Tabla13[[#This Row],[ID]],[1]!Mtto_Pesv[[#Headers],[#Data],[Placa]:[Rutina]],2,FALSE)),"-")</f>
        <v>-</v>
      </c>
      <c r="AF75" s="14">
        <v>0</v>
      </c>
      <c r="AG75" s="20">
        <f>IFERROR((VLOOKUP(Tabla13[[#This Row],[ID]],[1]!Mtto_Pesv[[#Headers],[#Data],[Placa]:[Rutina]],3,FALSE)),0)</f>
        <v>0</v>
      </c>
      <c r="AH75" s="20">
        <f>IFERROR((VLOOKUP(Tabla13[[#This Row],[ID]],[1]!Mtto_Pesv[[#Headers],[#Data],[Placa]:[Rutina]],7,FALSE)),0)</f>
        <v>0</v>
      </c>
      <c r="AI75" s="20">
        <f>IFERROR((VLOOKUP(Tabla13[[#This Row],[ID]],[1]!Mtto_Pesv[[#Headers],[#Data],[Placa]:[Rutina]],8,FALSE)),0)</f>
        <v>0</v>
      </c>
      <c r="AJ75" s="20" t="str">
        <f>IFERROR((VLOOKUP(Tabla13[[#This Row],[ID]],[1]!Mtto_Pesv[[#Headers],[#Data],[Placa]:[Rutina]],9,FALSE)),"-")</f>
        <v>-</v>
      </c>
      <c r="AK75" s="20">
        <f>IFERROR((VLOOKUP(Tabla13[[#This Row],[ID]],[1]!Mtto_Pesv[[#Headers],[#Data],[Placa]:[Rutina]],10,FALSE)),0)</f>
        <v>0</v>
      </c>
      <c r="AL75" s="20">
        <f>IF(Tabla13[[#This Row],[Km Anterior]]=0,0,Tabla13[[#This Row],[Km Ejecut]]-Tabla13[[#This Row],[Km Anterior]])</f>
        <v>0</v>
      </c>
      <c r="AM75" s="20">
        <f>IFERROR((VLOOKUP(Tabla13[[#This Row],[ID]],[1]!Mtto_Pesv[[#Headers],[#Data],[Placa]:[Rutina]],4,FALSE)),0)</f>
        <v>0</v>
      </c>
      <c r="AN75" s="21">
        <f>IFERROR((VLOOKUP(Tabla13[[#This Row],[ID]],[1]!Mtto_Pesv[[#Headers],[#Data],[Placa]:[Rutina]],5,FALSE)),0)</f>
        <v>0</v>
      </c>
      <c r="AO75" s="21">
        <f>+Tabla13[[#This Row],[Km Fin]]-Tabla13[[#This Row],[Km Ini]]</f>
        <v>0</v>
      </c>
      <c r="AP75" s="20">
        <f>IFERROR((VLOOKUP(Tabla13[[#This Row],[ID]],[1]!Estilo_Conduccion[[#All],[Placa]:[Puntuacion]],15,FALSE)),0)</f>
        <v>207.7</v>
      </c>
      <c r="AQ75" s="15" t="s">
        <v>54</v>
      </c>
      <c r="AR75" s="15" t="s">
        <v>1112</v>
      </c>
      <c r="AS75" s="20">
        <v>1000</v>
      </c>
      <c r="AT75" s="21">
        <v>0</v>
      </c>
      <c r="AU75" s="21">
        <f>(Tabla13[[#This Row],[Cap Vh]]*$AX$2)*0.56</f>
        <v>0</v>
      </c>
      <c r="AV75" s="36" t="e">
        <f>(Tabla13[[#This Row],[Cap Util (kg)]]/(Tabla13[[#This Row],[Cap Inst (Kg)]]))</f>
        <v>#DIV/0!</v>
      </c>
    </row>
    <row r="76" spans="1:48" x14ac:dyDescent="0.25">
      <c r="A76" s="13" t="s">
        <v>1068</v>
      </c>
      <c r="B76" s="14" t="s">
        <v>194</v>
      </c>
      <c r="C76" s="14" t="s">
        <v>44</v>
      </c>
      <c r="D76" s="14" t="s">
        <v>44</v>
      </c>
      <c r="E76" s="14" t="s">
        <v>45</v>
      </c>
      <c r="F76" s="14" t="s">
        <v>64</v>
      </c>
      <c r="G76" s="15" t="s">
        <v>182</v>
      </c>
      <c r="H76" s="13" t="s">
        <v>183</v>
      </c>
      <c r="I76" s="14" t="s">
        <v>184</v>
      </c>
      <c r="J76" s="14">
        <v>901253015</v>
      </c>
      <c r="K76" s="14" t="s">
        <v>185</v>
      </c>
      <c r="L76" s="14" t="s">
        <v>186</v>
      </c>
      <c r="M76" s="14" t="s">
        <v>187</v>
      </c>
      <c r="N76" s="14">
        <v>2021</v>
      </c>
      <c r="O76" s="14">
        <v>0</v>
      </c>
      <c r="P76" s="14" t="s">
        <v>105</v>
      </c>
      <c r="Q76" s="14">
        <v>1</v>
      </c>
      <c r="R76" s="14">
        <v>1</v>
      </c>
      <c r="S76" s="17">
        <v>44834.85361111111</v>
      </c>
      <c r="T76" s="18">
        <v>83.908999999999992</v>
      </c>
      <c r="U76" s="37">
        <v>30</v>
      </c>
      <c r="V76" s="19">
        <v>1</v>
      </c>
      <c r="W76" s="14">
        <v>0</v>
      </c>
      <c r="X76" s="14">
        <v>23</v>
      </c>
      <c r="Y76" s="14">
        <v>23</v>
      </c>
      <c r="Z76" s="14">
        <v>0</v>
      </c>
      <c r="AA76" s="14">
        <f>Tabla13[[#This Row],[CheckList App]]+Tabla13[[#This Row],[CheckList Fisc]]</f>
        <v>23</v>
      </c>
      <c r="AB76" s="19">
        <f t="shared" si="1"/>
        <v>1</v>
      </c>
      <c r="AC76" s="14">
        <v>0</v>
      </c>
      <c r="AD76" s="14" t="s">
        <v>70</v>
      </c>
      <c r="AE76" s="15" t="str">
        <f>IFERROR((VLOOKUP(Tabla13[[#This Row],[ID]],[1]!Mtto_Pesv[[#Headers],[#Data],[Placa]:[Rutina]],2,FALSE)),"-")</f>
        <v>-</v>
      </c>
      <c r="AF76" s="14">
        <v>0</v>
      </c>
      <c r="AG76" s="20">
        <f>IFERROR((VLOOKUP(Tabla13[[#This Row],[ID]],[1]!Mtto_Pesv[[#Headers],[#Data],[Placa]:[Rutina]],3,FALSE)),0)</f>
        <v>0</v>
      </c>
      <c r="AH76" s="20">
        <f>IFERROR((VLOOKUP(Tabla13[[#This Row],[ID]],[1]!Mtto_Pesv[[#Headers],[#Data],[Placa]:[Rutina]],7,FALSE)),0)</f>
        <v>0</v>
      </c>
      <c r="AI76" s="20">
        <f>IFERROR((VLOOKUP(Tabla13[[#This Row],[ID]],[1]!Mtto_Pesv[[#Headers],[#Data],[Placa]:[Rutina]],8,FALSE)),0)</f>
        <v>0</v>
      </c>
      <c r="AJ76" s="20" t="str">
        <f>IFERROR((VLOOKUP(Tabla13[[#This Row],[ID]],[1]!Mtto_Pesv[[#Headers],[#Data],[Placa]:[Rutina]],9,FALSE)),"-")</f>
        <v>-</v>
      </c>
      <c r="AK76" s="20">
        <f>IFERROR((VLOOKUP(Tabla13[[#This Row],[ID]],[1]!Mtto_Pesv[[#Headers],[#Data],[Placa]:[Rutina]],10,FALSE)),0)</f>
        <v>0</v>
      </c>
      <c r="AL76" s="20">
        <f>IF(Tabla13[[#This Row],[Km Anterior]]=0,0,Tabla13[[#This Row],[Km Ejecut]]-Tabla13[[#This Row],[Km Anterior]])</f>
        <v>0</v>
      </c>
      <c r="AM76" s="20">
        <f>IFERROR((VLOOKUP(Tabla13[[#This Row],[ID]],[1]!Mtto_Pesv[[#Headers],[#Data],[Placa]:[Rutina]],4,FALSE)),0)</f>
        <v>0</v>
      </c>
      <c r="AN76" s="21">
        <f>IFERROR((VLOOKUP(Tabla13[[#This Row],[ID]],[1]!Mtto_Pesv[[#Headers],[#Data],[Placa]:[Rutina]],5,FALSE)),0)</f>
        <v>0</v>
      </c>
      <c r="AO76" s="21">
        <f>+Tabla13[[#This Row],[Km Fin]]-Tabla13[[#This Row],[Km Ini]]</f>
        <v>0</v>
      </c>
      <c r="AP76" s="20">
        <f>IFERROR((VLOOKUP(Tabla13[[#This Row],[ID]],[1]!Estilo_Conduccion[[#All],[Placa]:[Puntuacion]],15,FALSE)),0)</f>
        <v>332.59999999999997</v>
      </c>
      <c r="AQ76" s="15" t="s">
        <v>54</v>
      </c>
      <c r="AR76" s="15" t="s">
        <v>195</v>
      </c>
      <c r="AS76" s="20">
        <v>1000</v>
      </c>
      <c r="AT76" s="21">
        <v>0</v>
      </c>
      <c r="AU76" s="21">
        <f>(Tabla13[[#This Row],[Cap Vh]]*$AX$2)*0.56</f>
        <v>0</v>
      </c>
      <c r="AV76" s="36" t="e">
        <f>(Tabla13[[#This Row],[Cap Util (kg)]]/(Tabla13[[#This Row],[Cap Inst (Kg)]]))</f>
        <v>#DIV/0!</v>
      </c>
    </row>
    <row r="77" spans="1:48" x14ac:dyDescent="0.25">
      <c r="A77" s="13" t="s">
        <v>1068</v>
      </c>
      <c r="B77" s="14" t="s">
        <v>196</v>
      </c>
      <c r="C77" s="14" t="s">
        <v>44</v>
      </c>
      <c r="D77" s="14" t="s">
        <v>44</v>
      </c>
      <c r="E77" s="14" t="s">
        <v>45</v>
      </c>
      <c r="F77" s="14" t="s">
        <v>64</v>
      </c>
      <c r="G77" s="15" t="s">
        <v>182</v>
      </c>
      <c r="H77" s="13" t="s">
        <v>183</v>
      </c>
      <c r="I77" s="14" t="s">
        <v>49</v>
      </c>
      <c r="J77" s="14">
        <v>901253015</v>
      </c>
      <c r="K77" s="14" t="s">
        <v>185</v>
      </c>
      <c r="L77" s="14" t="s">
        <v>103</v>
      </c>
      <c r="M77" s="15" t="s">
        <v>104</v>
      </c>
      <c r="N77" s="14">
        <v>2021</v>
      </c>
      <c r="O77" s="14">
        <v>0</v>
      </c>
      <c r="P77" s="14" t="s">
        <v>105</v>
      </c>
      <c r="Q77" s="14">
        <v>1</v>
      </c>
      <c r="R77" s="14">
        <v>1</v>
      </c>
      <c r="S77" s="17">
        <v>44833.364745370367</v>
      </c>
      <c r="T77" s="18">
        <v>142.626</v>
      </c>
      <c r="U77" s="37">
        <v>30</v>
      </c>
      <c r="V77" s="19">
        <v>1</v>
      </c>
      <c r="W77" s="14">
        <v>0</v>
      </c>
      <c r="X77" s="14">
        <v>29</v>
      </c>
      <c r="Y77" s="14">
        <v>29</v>
      </c>
      <c r="Z77" s="14">
        <v>0</v>
      </c>
      <c r="AA77" s="14">
        <f>Tabla13[[#This Row],[CheckList App]]+Tabla13[[#This Row],[CheckList Fisc]]</f>
        <v>29</v>
      </c>
      <c r="AB77" s="19">
        <f t="shared" si="1"/>
        <v>1</v>
      </c>
      <c r="AC77" s="14">
        <v>44</v>
      </c>
      <c r="AD77" s="14" t="s">
        <v>70</v>
      </c>
      <c r="AE77" s="15" t="str">
        <f>IFERROR((VLOOKUP(Tabla13[[#This Row],[ID]],[1]!Mtto_Pesv[[#Headers],[#Data],[Placa]:[Rutina]],2,FALSE)),"-")</f>
        <v>-</v>
      </c>
      <c r="AF77" s="14">
        <v>0</v>
      </c>
      <c r="AG77" s="20">
        <f>IFERROR((VLOOKUP(Tabla13[[#This Row],[ID]],[1]!Mtto_Pesv[[#Headers],[#Data],[Placa]:[Rutina]],3,FALSE)),0)</f>
        <v>0</v>
      </c>
      <c r="AH77" s="20">
        <f>IFERROR((VLOOKUP(Tabla13[[#This Row],[ID]],[1]!Mtto_Pesv[[#Headers],[#Data],[Placa]:[Rutina]],7,FALSE)),0)</f>
        <v>0</v>
      </c>
      <c r="AI77" s="20">
        <f>IFERROR((VLOOKUP(Tabla13[[#This Row],[ID]],[1]!Mtto_Pesv[[#Headers],[#Data],[Placa]:[Rutina]],8,FALSE)),0)</f>
        <v>0</v>
      </c>
      <c r="AJ77" s="20" t="str">
        <f>IFERROR((VLOOKUP(Tabla13[[#This Row],[ID]],[1]!Mtto_Pesv[[#Headers],[#Data],[Placa]:[Rutina]],9,FALSE)),"-")</f>
        <v>-</v>
      </c>
      <c r="AK77" s="20">
        <f>IFERROR((VLOOKUP(Tabla13[[#This Row],[ID]],[1]!Mtto_Pesv[[#Headers],[#Data],[Placa]:[Rutina]],10,FALSE)),0)</f>
        <v>0</v>
      </c>
      <c r="AL77" s="20">
        <f>IF(Tabla13[[#This Row],[Km Anterior]]=0,0,Tabla13[[#This Row],[Km Ejecut]]-Tabla13[[#This Row],[Km Anterior]])</f>
        <v>0</v>
      </c>
      <c r="AM77" s="20">
        <f>IFERROR((VLOOKUP(Tabla13[[#This Row],[ID]],[1]!Mtto_Pesv[[#Headers],[#Data],[Placa]:[Rutina]],4,FALSE)),0)</f>
        <v>0</v>
      </c>
      <c r="AN77" s="21">
        <f>IFERROR((VLOOKUP(Tabla13[[#This Row],[ID]],[1]!Mtto_Pesv[[#Headers],[#Data],[Placa]:[Rutina]],5,FALSE)),0)</f>
        <v>0</v>
      </c>
      <c r="AO77" s="21">
        <f>+Tabla13[[#This Row],[Km Fin]]-Tabla13[[#This Row],[Km Ini]]</f>
        <v>0</v>
      </c>
      <c r="AP77" s="20">
        <f>IFERROR((VLOOKUP(Tabla13[[#This Row],[ID]],[1]!Estilo_Conduccion[[#All],[Placa]:[Puntuacion]],15,FALSE)),0)</f>
        <v>407.90000000000003</v>
      </c>
      <c r="AQ77" s="15" t="s">
        <v>54</v>
      </c>
      <c r="AR77" s="15" t="s">
        <v>197</v>
      </c>
      <c r="AS77" s="20">
        <v>1650</v>
      </c>
      <c r="AT77" s="21">
        <v>0</v>
      </c>
      <c r="AU77" s="21">
        <f>(Tabla13[[#This Row],[Cap Vh]]*$AX$2)*0.56</f>
        <v>0</v>
      </c>
      <c r="AV77" s="36" t="e">
        <f>(Tabla13[[#This Row],[Cap Util (kg)]]/(Tabla13[[#This Row],[Cap Inst (Kg)]]))</f>
        <v>#DIV/0!</v>
      </c>
    </row>
    <row r="78" spans="1:48" x14ac:dyDescent="0.25">
      <c r="A78" s="13" t="s">
        <v>1068</v>
      </c>
      <c r="B78" s="14" t="s">
        <v>198</v>
      </c>
      <c r="C78" s="14" t="s">
        <v>44</v>
      </c>
      <c r="D78" s="14" t="s">
        <v>44</v>
      </c>
      <c r="E78" s="14" t="s">
        <v>45</v>
      </c>
      <c r="F78" s="14" t="s">
        <v>64</v>
      </c>
      <c r="G78" s="15" t="s">
        <v>182</v>
      </c>
      <c r="H78" s="13" t="s">
        <v>199</v>
      </c>
      <c r="I78" s="14" t="s">
        <v>49</v>
      </c>
      <c r="J78" s="14">
        <v>901253015</v>
      </c>
      <c r="K78" s="14" t="s">
        <v>185</v>
      </c>
      <c r="L78" s="14" t="s">
        <v>103</v>
      </c>
      <c r="M78" s="15" t="s">
        <v>104</v>
      </c>
      <c r="N78" s="14">
        <v>2021</v>
      </c>
      <c r="O78" s="14">
        <v>0</v>
      </c>
      <c r="P78" s="14" t="s">
        <v>105</v>
      </c>
      <c r="Q78" s="14">
        <v>1</v>
      </c>
      <c r="R78" s="14">
        <v>0</v>
      </c>
      <c r="S78" s="17" t="s">
        <v>54</v>
      </c>
      <c r="T78" s="18">
        <v>0</v>
      </c>
      <c r="U78" s="37">
        <v>30</v>
      </c>
      <c r="V78" s="19">
        <v>1</v>
      </c>
      <c r="W78" s="14">
        <v>0</v>
      </c>
      <c r="X78" s="14">
        <v>25</v>
      </c>
      <c r="Y78" s="14">
        <v>25</v>
      </c>
      <c r="Z78" s="14">
        <v>0</v>
      </c>
      <c r="AA78" s="14">
        <f>Tabla13[[#This Row],[CheckList App]]+Tabla13[[#This Row],[CheckList Fisc]]</f>
        <v>25</v>
      </c>
      <c r="AB78" s="19">
        <f t="shared" si="1"/>
        <v>1</v>
      </c>
      <c r="AC78" s="14">
        <v>6</v>
      </c>
      <c r="AD78" s="14" t="s">
        <v>70</v>
      </c>
      <c r="AE78" s="15" t="str">
        <f>IFERROR((VLOOKUP(Tabla13[[#This Row],[ID]],[1]!Mtto_Pesv[[#Headers],[#Data],[Placa]:[Rutina]],2,FALSE)),"-")</f>
        <v>-</v>
      </c>
      <c r="AF78" s="14">
        <v>0</v>
      </c>
      <c r="AG78" s="20">
        <f>IFERROR((VLOOKUP(Tabla13[[#This Row],[ID]],[1]!Mtto_Pesv[[#Headers],[#Data],[Placa]:[Rutina]],3,FALSE)),0)</f>
        <v>0</v>
      </c>
      <c r="AH78" s="20">
        <f>IFERROR((VLOOKUP(Tabla13[[#This Row],[ID]],[1]!Mtto_Pesv[[#Headers],[#Data],[Placa]:[Rutina]],7,FALSE)),0)</f>
        <v>0</v>
      </c>
      <c r="AI78" s="20">
        <f>IFERROR((VLOOKUP(Tabla13[[#This Row],[ID]],[1]!Mtto_Pesv[[#Headers],[#Data],[Placa]:[Rutina]],8,FALSE)),0)</f>
        <v>0</v>
      </c>
      <c r="AJ78" s="20" t="str">
        <f>IFERROR((VLOOKUP(Tabla13[[#This Row],[ID]],[1]!Mtto_Pesv[[#Headers],[#Data],[Placa]:[Rutina]],9,FALSE)),"-")</f>
        <v>-</v>
      </c>
      <c r="AK78" s="20">
        <f>IFERROR((VLOOKUP(Tabla13[[#This Row],[ID]],[1]!Mtto_Pesv[[#Headers],[#Data],[Placa]:[Rutina]],10,FALSE)),0)</f>
        <v>0</v>
      </c>
      <c r="AL78" s="20">
        <f>IF(Tabla13[[#This Row],[Km Anterior]]=0,0,Tabla13[[#This Row],[Km Ejecut]]-Tabla13[[#This Row],[Km Anterior]])</f>
        <v>0</v>
      </c>
      <c r="AM78" s="20">
        <f>IFERROR((VLOOKUP(Tabla13[[#This Row],[ID]],[1]!Mtto_Pesv[[#Headers],[#Data],[Placa]:[Rutina]],4,FALSE)),0)</f>
        <v>0</v>
      </c>
      <c r="AN78" s="21">
        <f>IFERROR((VLOOKUP(Tabla13[[#This Row],[ID]],[1]!Mtto_Pesv[[#Headers],[#Data],[Placa]:[Rutina]],5,FALSE)),0)</f>
        <v>0</v>
      </c>
      <c r="AO78" s="21">
        <f>+Tabla13[[#This Row],[Km Fin]]-Tabla13[[#This Row],[Km Ini]]</f>
        <v>0</v>
      </c>
      <c r="AP78" s="20">
        <f>IFERROR((VLOOKUP(Tabla13[[#This Row],[ID]],[1]!Estilo_Conduccion[[#All],[Placa]:[Puntuacion]],15,FALSE)),0)</f>
        <v>210</v>
      </c>
      <c r="AQ78" s="15" t="s">
        <v>1113</v>
      </c>
      <c r="AR78" s="15" t="s">
        <v>1114</v>
      </c>
      <c r="AS78" s="20">
        <v>1650</v>
      </c>
      <c r="AT78" s="21">
        <v>5247</v>
      </c>
      <c r="AU78" s="21">
        <f>(Tabla13[[#This Row],[Cap Vh]]*$AX$2)*0.56</f>
        <v>0</v>
      </c>
      <c r="AV78" s="36" t="e">
        <f>(Tabla13[[#This Row],[Cap Util (kg)]]/(Tabla13[[#This Row],[Cap Inst (Kg)]]))</f>
        <v>#DIV/0!</v>
      </c>
    </row>
    <row r="79" spans="1:48" x14ac:dyDescent="0.25">
      <c r="A79" s="13" t="s">
        <v>1068</v>
      </c>
      <c r="B79" s="14" t="s">
        <v>200</v>
      </c>
      <c r="C79" s="14" t="s">
        <v>44</v>
      </c>
      <c r="D79" s="14" t="s">
        <v>44</v>
      </c>
      <c r="E79" s="14" t="s">
        <v>45</v>
      </c>
      <c r="F79" s="14" t="s">
        <v>64</v>
      </c>
      <c r="G79" s="15" t="s">
        <v>182</v>
      </c>
      <c r="H79" s="13" t="s">
        <v>199</v>
      </c>
      <c r="I79" s="14" t="s">
        <v>49</v>
      </c>
      <c r="J79" s="14">
        <v>901253015</v>
      </c>
      <c r="K79" s="14" t="s">
        <v>185</v>
      </c>
      <c r="L79" s="14" t="s">
        <v>103</v>
      </c>
      <c r="M79" s="15" t="s">
        <v>104</v>
      </c>
      <c r="N79" s="14">
        <v>2021</v>
      </c>
      <c r="O79" s="14">
        <v>0</v>
      </c>
      <c r="P79" s="14" t="s">
        <v>105</v>
      </c>
      <c r="Q79" s="14">
        <v>1</v>
      </c>
      <c r="R79" s="14">
        <v>0</v>
      </c>
      <c r="S79" s="17" t="s">
        <v>54</v>
      </c>
      <c r="T79" s="18">
        <v>0</v>
      </c>
      <c r="U79" s="37">
        <v>30</v>
      </c>
      <c r="V79" s="19">
        <v>1</v>
      </c>
      <c r="W79" s="14">
        <v>0</v>
      </c>
      <c r="X79" s="14">
        <v>25</v>
      </c>
      <c r="Y79" s="14">
        <v>20</v>
      </c>
      <c r="Z79" s="14">
        <v>0</v>
      </c>
      <c r="AA79" s="14">
        <f>Tabla13[[#This Row],[CheckList App]]+Tabla13[[#This Row],[CheckList Fisc]]</f>
        <v>20</v>
      </c>
      <c r="AB79" s="19">
        <f t="shared" si="1"/>
        <v>0.8</v>
      </c>
      <c r="AC79" s="14">
        <v>0</v>
      </c>
      <c r="AD79" s="14" t="s">
        <v>70</v>
      </c>
      <c r="AE79" s="15" t="str">
        <f>IFERROR((VLOOKUP(Tabla13[[#This Row],[ID]],[1]!Mtto_Pesv[[#Headers],[#Data],[Placa]:[Rutina]],2,FALSE)),"-")</f>
        <v>-</v>
      </c>
      <c r="AF79" s="14">
        <v>0</v>
      </c>
      <c r="AG79" s="20">
        <f>IFERROR((VLOOKUP(Tabla13[[#This Row],[ID]],[1]!Mtto_Pesv[[#Headers],[#Data],[Placa]:[Rutina]],3,FALSE)),0)</f>
        <v>0</v>
      </c>
      <c r="AH79" s="20">
        <f>IFERROR((VLOOKUP(Tabla13[[#This Row],[ID]],[1]!Mtto_Pesv[[#Headers],[#Data],[Placa]:[Rutina]],7,FALSE)),0)</f>
        <v>0</v>
      </c>
      <c r="AI79" s="20">
        <f>IFERROR((VLOOKUP(Tabla13[[#This Row],[ID]],[1]!Mtto_Pesv[[#Headers],[#Data],[Placa]:[Rutina]],8,FALSE)),0)</f>
        <v>0</v>
      </c>
      <c r="AJ79" s="20" t="str">
        <f>IFERROR((VLOOKUP(Tabla13[[#This Row],[ID]],[1]!Mtto_Pesv[[#Headers],[#Data],[Placa]:[Rutina]],9,FALSE)),"-")</f>
        <v>-</v>
      </c>
      <c r="AK79" s="20">
        <f>IFERROR((VLOOKUP(Tabla13[[#This Row],[ID]],[1]!Mtto_Pesv[[#Headers],[#Data],[Placa]:[Rutina]],10,FALSE)),0)</f>
        <v>0</v>
      </c>
      <c r="AL79" s="20">
        <f>IF(Tabla13[[#This Row],[Km Anterior]]=0,0,Tabla13[[#This Row],[Km Ejecut]]-Tabla13[[#This Row],[Km Anterior]])</f>
        <v>0</v>
      </c>
      <c r="AM79" s="20">
        <f>IFERROR((VLOOKUP(Tabla13[[#This Row],[ID]],[1]!Mtto_Pesv[[#Headers],[#Data],[Placa]:[Rutina]],4,FALSE)),0)</f>
        <v>0</v>
      </c>
      <c r="AN79" s="21">
        <f>IFERROR((VLOOKUP(Tabla13[[#This Row],[ID]],[1]!Mtto_Pesv[[#Headers],[#Data],[Placa]:[Rutina]],5,FALSE)),0)</f>
        <v>0</v>
      </c>
      <c r="AO79" s="21">
        <f>+Tabla13[[#This Row],[Km Fin]]-Tabla13[[#This Row],[Km Ini]]</f>
        <v>0</v>
      </c>
      <c r="AP79" s="20">
        <f>IFERROR((VLOOKUP(Tabla13[[#This Row],[ID]],[1]!Estilo_Conduccion[[#All],[Placa]:[Puntuacion]],15,FALSE)),0)</f>
        <v>201</v>
      </c>
      <c r="AQ79" s="15" t="s">
        <v>1115</v>
      </c>
      <c r="AR79" s="15" t="s">
        <v>1116</v>
      </c>
      <c r="AS79" s="20">
        <v>1650</v>
      </c>
      <c r="AT79" s="21">
        <v>5985</v>
      </c>
      <c r="AU79" s="21">
        <f>(Tabla13[[#This Row],[Cap Vh]]*$AX$2)*0.56</f>
        <v>0</v>
      </c>
      <c r="AV79" s="36" t="e">
        <f>(Tabla13[[#This Row],[Cap Util (kg)]]/(Tabla13[[#This Row],[Cap Inst (Kg)]]))</f>
        <v>#DIV/0!</v>
      </c>
    </row>
    <row r="80" spans="1:48" x14ac:dyDescent="0.25">
      <c r="A80" s="13" t="s">
        <v>1068</v>
      </c>
      <c r="B80" s="14" t="s">
        <v>201</v>
      </c>
      <c r="C80" s="14" t="s">
        <v>44</v>
      </c>
      <c r="D80" s="14" t="s">
        <v>44</v>
      </c>
      <c r="E80" s="14" t="s">
        <v>58</v>
      </c>
      <c r="F80" s="14" t="s">
        <v>64</v>
      </c>
      <c r="G80" s="15" t="s">
        <v>182</v>
      </c>
      <c r="H80" s="13" t="s">
        <v>199</v>
      </c>
      <c r="I80" s="14" t="s">
        <v>49</v>
      </c>
      <c r="J80" s="14">
        <v>901253015</v>
      </c>
      <c r="K80" s="14" t="s">
        <v>185</v>
      </c>
      <c r="L80" s="14" t="s">
        <v>103</v>
      </c>
      <c r="M80" s="15" t="s">
        <v>104</v>
      </c>
      <c r="N80" s="14">
        <v>2021</v>
      </c>
      <c r="O80" s="14">
        <v>0</v>
      </c>
      <c r="P80" s="14" t="s">
        <v>105</v>
      </c>
      <c r="Q80" s="14">
        <v>1</v>
      </c>
      <c r="R80" s="14">
        <v>0</v>
      </c>
      <c r="S80" s="17" t="s">
        <v>54</v>
      </c>
      <c r="T80" s="18">
        <v>0</v>
      </c>
      <c r="U80" s="37">
        <v>30</v>
      </c>
      <c r="V80" s="19">
        <v>1</v>
      </c>
      <c r="W80" s="14">
        <v>0</v>
      </c>
      <c r="X80" s="14">
        <v>29</v>
      </c>
      <c r="Y80" s="14">
        <v>29</v>
      </c>
      <c r="Z80" s="14">
        <v>0</v>
      </c>
      <c r="AA80" s="14">
        <f>Tabla13[[#This Row],[CheckList App]]+Tabla13[[#This Row],[CheckList Fisc]]</f>
        <v>29</v>
      </c>
      <c r="AB80" s="19">
        <f t="shared" si="1"/>
        <v>1</v>
      </c>
      <c r="AC80" s="14">
        <v>0</v>
      </c>
      <c r="AD80" s="14" t="s">
        <v>70</v>
      </c>
      <c r="AE80" s="15" t="str">
        <f>IFERROR((VLOOKUP(Tabla13[[#This Row],[ID]],[1]!Mtto_Pesv[[#Headers],[#Data],[Placa]:[Rutina]],2,FALSE)),"-")</f>
        <v>-</v>
      </c>
      <c r="AF80" s="14">
        <v>0</v>
      </c>
      <c r="AG80" s="20">
        <f>IFERROR((VLOOKUP(Tabla13[[#This Row],[ID]],[1]!Mtto_Pesv[[#Headers],[#Data],[Placa]:[Rutina]],3,FALSE)),0)</f>
        <v>0</v>
      </c>
      <c r="AH80" s="20">
        <f>IFERROR((VLOOKUP(Tabla13[[#This Row],[ID]],[1]!Mtto_Pesv[[#Headers],[#Data],[Placa]:[Rutina]],7,FALSE)),0)</f>
        <v>0</v>
      </c>
      <c r="AI80" s="20">
        <f>IFERROR((VLOOKUP(Tabla13[[#This Row],[ID]],[1]!Mtto_Pesv[[#Headers],[#Data],[Placa]:[Rutina]],8,FALSE)),0)</f>
        <v>0</v>
      </c>
      <c r="AJ80" s="20" t="str">
        <f>IFERROR((VLOOKUP(Tabla13[[#This Row],[ID]],[1]!Mtto_Pesv[[#Headers],[#Data],[Placa]:[Rutina]],9,FALSE)),"-")</f>
        <v>-</v>
      </c>
      <c r="AK80" s="20">
        <f>IFERROR((VLOOKUP(Tabla13[[#This Row],[ID]],[1]!Mtto_Pesv[[#Headers],[#Data],[Placa]:[Rutina]],10,FALSE)),0)</f>
        <v>0</v>
      </c>
      <c r="AL80" s="20">
        <f>IF(Tabla13[[#This Row],[Km Anterior]]=0,0,Tabla13[[#This Row],[Km Ejecut]]-Tabla13[[#This Row],[Km Anterior]])</f>
        <v>0</v>
      </c>
      <c r="AM80" s="20">
        <f>IFERROR((VLOOKUP(Tabla13[[#This Row],[ID]],[1]!Mtto_Pesv[[#Headers],[#Data],[Placa]:[Rutina]],4,FALSE)),0)</f>
        <v>0</v>
      </c>
      <c r="AN80" s="21">
        <f>IFERROR((VLOOKUP(Tabla13[[#This Row],[ID]],[1]!Mtto_Pesv[[#Headers],[#Data],[Placa]:[Rutina]],5,FALSE)),0)</f>
        <v>0</v>
      </c>
      <c r="AO80" s="21">
        <f>+Tabla13[[#This Row],[Km Fin]]-Tabla13[[#This Row],[Km Ini]]</f>
        <v>0</v>
      </c>
      <c r="AP80" s="20">
        <f>IFERROR((VLOOKUP(Tabla13[[#This Row],[ID]],[1]!Estilo_Conduccion[[#All],[Placa]:[Puntuacion]],15,FALSE)),0)</f>
        <v>149.79999999999998</v>
      </c>
      <c r="AQ80" s="15" t="s">
        <v>1117</v>
      </c>
      <c r="AR80" s="15" t="s">
        <v>1118</v>
      </c>
      <c r="AS80" s="20">
        <v>1650</v>
      </c>
      <c r="AT80" s="21">
        <v>6550</v>
      </c>
      <c r="AU80" s="21">
        <f>(Tabla13[[#This Row],[Cap Vh]]*$AX$2)*0.56</f>
        <v>0</v>
      </c>
      <c r="AV80" s="36" t="e">
        <f>(Tabla13[[#This Row],[Cap Util (kg)]]/(Tabla13[[#This Row],[Cap Inst (Kg)]]))</f>
        <v>#DIV/0!</v>
      </c>
    </row>
    <row r="81" spans="1:48" x14ac:dyDescent="0.25">
      <c r="A81" s="13" t="s">
        <v>1068</v>
      </c>
      <c r="B81" s="14" t="s">
        <v>202</v>
      </c>
      <c r="C81" s="14" t="s">
        <v>44</v>
      </c>
      <c r="D81" s="14" t="s">
        <v>44</v>
      </c>
      <c r="E81" s="14" t="s">
        <v>69</v>
      </c>
      <c r="F81" s="14" t="s">
        <v>64</v>
      </c>
      <c r="G81" s="15" t="s">
        <v>182</v>
      </c>
      <c r="H81" s="13" t="s">
        <v>199</v>
      </c>
      <c r="I81" s="14" t="s">
        <v>203</v>
      </c>
      <c r="J81" s="14">
        <v>901253015</v>
      </c>
      <c r="K81" s="14" t="s">
        <v>185</v>
      </c>
      <c r="L81" s="14" t="s">
        <v>103</v>
      </c>
      <c r="M81" s="15" t="s">
        <v>104</v>
      </c>
      <c r="N81" s="14">
        <v>2021</v>
      </c>
      <c r="O81" s="14">
        <v>0</v>
      </c>
      <c r="P81" s="14" t="s">
        <v>105</v>
      </c>
      <c r="Q81" s="14">
        <v>1</v>
      </c>
      <c r="R81" s="14">
        <v>0</v>
      </c>
      <c r="S81" s="17" t="s">
        <v>54</v>
      </c>
      <c r="T81" s="18">
        <v>0</v>
      </c>
      <c r="U81" s="37">
        <v>30</v>
      </c>
      <c r="V81" s="19">
        <v>1</v>
      </c>
      <c r="W81" s="14">
        <v>0</v>
      </c>
      <c r="X81" s="14">
        <v>26</v>
      </c>
      <c r="Y81" s="14">
        <v>25</v>
      </c>
      <c r="Z81" s="14">
        <v>0</v>
      </c>
      <c r="AA81" s="14">
        <f>Tabla13[[#This Row],[CheckList App]]+Tabla13[[#This Row],[CheckList Fisc]]</f>
        <v>25</v>
      </c>
      <c r="AB81" s="19">
        <f t="shared" si="1"/>
        <v>0.96153846153846156</v>
      </c>
      <c r="AC81" s="14">
        <v>0</v>
      </c>
      <c r="AD81" s="14" t="s">
        <v>70</v>
      </c>
      <c r="AE81" s="15" t="str">
        <f>IFERROR((VLOOKUP(Tabla13[[#This Row],[ID]],[1]!Mtto_Pesv[[#Headers],[#Data],[Placa]:[Rutina]],2,FALSE)),"-")</f>
        <v>-</v>
      </c>
      <c r="AF81" s="14">
        <v>0</v>
      </c>
      <c r="AG81" s="20">
        <f>IFERROR((VLOOKUP(Tabla13[[#This Row],[ID]],[1]!Mtto_Pesv[[#Headers],[#Data],[Placa]:[Rutina]],3,FALSE)),0)</f>
        <v>0</v>
      </c>
      <c r="AH81" s="20">
        <f>IFERROR((VLOOKUP(Tabla13[[#This Row],[ID]],[1]!Mtto_Pesv[[#Headers],[#Data],[Placa]:[Rutina]],7,FALSE)),0)</f>
        <v>0</v>
      </c>
      <c r="AI81" s="20">
        <f>IFERROR((VLOOKUP(Tabla13[[#This Row],[ID]],[1]!Mtto_Pesv[[#Headers],[#Data],[Placa]:[Rutina]],8,FALSE)),0)</f>
        <v>0</v>
      </c>
      <c r="AJ81" s="20" t="str">
        <f>IFERROR((VLOOKUP(Tabla13[[#This Row],[ID]],[1]!Mtto_Pesv[[#Headers],[#Data],[Placa]:[Rutina]],9,FALSE)),"-")</f>
        <v>-</v>
      </c>
      <c r="AK81" s="20">
        <f>IFERROR((VLOOKUP(Tabla13[[#This Row],[ID]],[1]!Mtto_Pesv[[#Headers],[#Data],[Placa]:[Rutina]],10,FALSE)),0)</f>
        <v>0</v>
      </c>
      <c r="AL81" s="20">
        <f>IF(Tabla13[[#This Row],[Km Anterior]]=0,0,Tabla13[[#This Row],[Km Ejecut]]-Tabla13[[#This Row],[Km Anterior]])</f>
        <v>0</v>
      </c>
      <c r="AM81" s="20">
        <f>IFERROR((VLOOKUP(Tabla13[[#This Row],[ID]],[1]!Mtto_Pesv[[#Headers],[#Data],[Placa]:[Rutina]],4,FALSE)),0)</f>
        <v>0</v>
      </c>
      <c r="AN81" s="21">
        <f>IFERROR((VLOOKUP(Tabla13[[#This Row],[ID]],[1]!Mtto_Pesv[[#Headers],[#Data],[Placa]:[Rutina]],5,FALSE)),0)</f>
        <v>0</v>
      </c>
      <c r="AO81" s="21">
        <f>+Tabla13[[#This Row],[Km Fin]]-Tabla13[[#This Row],[Km Ini]]</f>
        <v>0</v>
      </c>
      <c r="AP81" s="20">
        <f>IFERROR((VLOOKUP(Tabla13[[#This Row],[ID]],[1]!Estilo_Conduccion[[#All],[Placa]:[Puntuacion]],15,FALSE)),0)</f>
        <v>116</v>
      </c>
      <c r="AQ81" s="15" t="s">
        <v>1119</v>
      </c>
      <c r="AR81" s="15" t="s">
        <v>1120</v>
      </c>
      <c r="AS81" s="20">
        <v>1650</v>
      </c>
      <c r="AT81" s="21">
        <v>4140</v>
      </c>
      <c r="AU81" s="21">
        <f>(Tabla13[[#This Row],[Cap Vh]]*$AX$2)*0.56</f>
        <v>0</v>
      </c>
      <c r="AV81" s="36" t="e">
        <f>(Tabla13[[#This Row],[Cap Util (kg)]]/(Tabla13[[#This Row],[Cap Inst (Kg)]]))</f>
        <v>#DIV/0!</v>
      </c>
    </row>
    <row r="82" spans="1:48" x14ac:dyDescent="0.25">
      <c r="A82" s="13" t="s">
        <v>1068</v>
      </c>
      <c r="B82" s="14" t="s">
        <v>204</v>
      </c>
      <c r="C82" s="14" t="s">
        <v>44</v>
      </c>
      <c r="D82" s="14" t="s">
        <v>44</v>
      </c>
      <c r="E82" s="14" t="s">
        <v>45</v>
      </c>
      <c r="F82" s="14" t="s">
        <v>64</v>
      </c>
      <c r="G82" s="15" t="s">
        <v>182</v>
      </c>
      <c r="H82" s="13" t="s">
        <v>183</v>
      </c>
      <c r="I82" s="14" t="s">
        <v>49</v>
      </c>
      <c r="J82" s="14">
        <v>901253015</v>
      </c>
      <c r="K82" s="14" t="s">
        <v>185</v>
      </c>
      <c r="L82" s="14" t="s">
        <v>103</v>
      </c>
      <c r="M82" s="15" t="s">
        <v>104</v>
      </c>
      <c r="N82" s="14">
        <v>2021</v>
      </c>
      <c r="O82" s="14">
        <v>0</v>
      </c>
      <c r="P82" s="14" t="s">
        <v>105</v>
      </c>
      <c r="Q82" s="14">
        <v>1</v>
      </c>
      <c r="R82" s="14">
        <v>0</v>
      </c>
      <c r="S82" s="17" t="s">
        <v>54</v>
      </c>
      <c r="T82" s="18">
        <v>0</v>
      </c>
      <c r="U82" s="37">
        <v>30</v>
      </c>
      <c r="V82" s="19">
        <v>1</v>
      </c>
      <c r="W82" s="14">
        <v>0</v>
      </c>
      <c r="X82" s="14">
        <v>7</v>
      </c>
      <c r="Y82" s="14">
        <v>6</v>
      </c>
      <c r="Z82" s="14">
        <v>0</v>
      </c>
      <c r="AA82" s="14">
        <f>Tabla13[[#This Row],[CheckList App]]+Tabla13[[#This Row],[CheckList Fisc]]</f>
        <v>6</v>
      </c>
      <c r="AB82" s="19">
        <f t="shared" si="1"/>
        <v>0.8571428571428571</v>
      </c>
      <c r="AC82" s="14">
        <v>0</v>
      </c>
      <c r="AD82" s="14" t="s">
        <v>70</v>
      </c>
      <c r="AE82" s="15" t="str">
        <f>IFERROR((VLOOKUP(Tabla13[[#This Row],[ID]],[1]!Mtto_Pesv[[#Headers],[#Data],[Placa]:[Rutina]],2,FALSE)),"-")</f>
        <v>-</v>
      </c>
      <c r="AF82" s="14">
        <v>0</v>
      </c>
      <c r="AG82" s="20">
        <f>IFERROR((VLOOKUP(Tabla13[[#This Row],[ID]],[1]!Mtto_Pesv[[#Headers],[#Data],[Placa]:[Rutina]],3,FALSE)),0)</f>
        <v>0</v>
      </c>
      <c r="AH82" s="20">
        <f>IFERROR((VLOOKUP(Tabla13[[#This Row],[ID]],[1]!Mtto_Pesv[[#Headers],[#Data],[Placa]:[Rutina]],7,FALSE)),0)</f>
        <v>0</v>
      </c>
      <c r="AI82" s="20">
        <f>IFERROR((VLOOKUP(Tabla13[[#This Row],[ID]],[1]!Mtto_Pesv[[#Headers],[#Data],[Placa]:[Rutina]],8,FALSE)),0)</f>
        <v>0</v>
      </c>
      <c r="AJ82" s="20" t="str">
        <f>IFERROR((VLOOKUP(Tabla13[[#This Row],[ID]],[1]!Mtto_Pesv[[#Headers],[#Data],[Placa]:[Rutina]],9,FALSE)),"-")</f>
        <v>-</v>
      </c>
      <c r="AK82" s="20">
        <f>IFERROR((VLOOKUP(Tabla13[[#This Row],[ID]],[1]!Mtto_Pesv[[#Headers],[#Data],[Placa]:[Rutina]],10,FALSE)),0)</f>
        <v>0</v>
      </c>
      <c r="AL82" s="20">
        <f>IF(Tabla13[[#This Row],[Km Anterior]]=0,0,Tabla13[[#This Row],[Km Ejecut]]-Tabla13[[#This Row],[Km Anterior]])</f>
        <v>0</v>
      </c>
      <c r="AM82" s="20">
        <f>IFERROR((VLOOKUP(Tabla13[[#This Row],[ID]],[1]!Mtto_Pesv[[#Headers],[#Data],[Placa]:[Rutina]],4,FALSE)),0)</f>
        <v>0</v>
      </c>
      <c r="AN82" s="21">
        <f>IFERROR((VLOOKUP(Tabla13[[#This Row],[ID]],[1]!Mtto_Pesv[[#Headers],[#Data],[Placa]:[Rutina]],5,FALSE)),0)</f>
        <v>0</v>
      </c>
      <c r="AO82" s="21">
        <f>+Tabla13[[#This Row],[Km Fin]]-Tabla13[[#This Row],[Km Ini]]</f>
        <v>0</v>
      </c>
      <c r="AP82" s="20">
        <f>IFERROR((VLOOKUP(Tabla13[[#This Row],[ID]],[1]!Estilo_Conduccion[[#All],[Placa]:[Puntuacion]],15,FALSE)),0)</f>
        <v>4017.3999999999996</v>
      </c>
      <c r="AQ82" s="15" t="s">
        <v>54</v>
      </c>
      <c r="AR82" s="15" t="s">
        <v>1121</v>
      </c>
      <c r="AS82" s="20">
        <v>1650</v>
      </c>
      <c r="AT82" s="21">
        <v>0</v>
      </c>
      <c r="AU82" s="21">
        <f>(Tabla13[[#This Row],[Cap Vh]]*$AX$2)*0.56</f>
        <v>0</v>
      </c>
      <c r="AV82" s="36" t="e">
        <f>(Tabla13[[#This Row],[Cap Util (kg)]]/(Tabla13[[#This Row],[Cap Inst (Kg)]]))</f>
        <v>#DIV/0!</v>
      </c>
    </row>
    <row r="83" spans="1:48" x14ac:dyDescent="0.25">
      <c r="A83" s="13" t="s">
        <v>1068</v>
      </c>
      <c r="B83" s="14" t="s">
        <v>205</v>
      </c>
      <c r="C83" s="14" t="s">
        <v>44</v>
      </c>
      <c r="D83" s="14" t="s">
        <v>44</v>
      </c>
      <c r="E83" s="15" t="s">
        <v>127</v>
      </c>
      <c r="F83" s="14" t="s">
        <v>64</v>
      </c>
      <c r="G83" s="15" t="s">
        <v>182</v>
      </c>
      <c r="H83" s="13" t="s">
        <v>199</v>
      </c>
      <c r="I83" s="14" t="s">
        <v>49</v>
      </c>
      <c r="J83" s="14">
        <v>901253015</v>
      </c>
      <c r="K83" s="14" t="s">
        <v>185</v>
      </c>
      <c r="L83" s="14" t="s">
        <v>103</v>
      </c>
      <c r="M83" s="15" t="s">
        <v>104</v>
      </c>
      <c r="N83" s="14">
        <v>2021</v>
      </c>
      <c r="O83" s="14">
        <v>0</v>
      </c>
      <c r="P83" s="14" t="s">
        <v>105</v>
      </c>
      <c r="Q83" s="14">
        <v>1</v>
      </c>
      <c r="R83" s="14">
        <v>0</v>
      </c>
      <c r="S83" s="17" t="s">
        <v>54</v>
      </c>
      <c r="T83" s="18">
        <v>0</v>
      </c>
      <c r="U83" s="37">
        <v>30</v>
      </c>
      <c r="V83" s="19">
        <v>1</v>
      </c>
      <c r="W83" s="14">
        <v>0</v>
      </c>
      <c r="X83" s="14">
        <v>22</v>
      </c>
      <c r="Y83" s="14">
        <v>22</v>
      </c>
      <c r="Z83" s="14">
        <v>0</v>
      </c>
      <c r="AA83" s="14">
        <f>Tabla13[[#This Row],[CheckList App]]+Tabla13[[#This Row],[CheckList Fisc]]</f>
        <v>22</v>
      </c>
      <c r="AB83" s="19">
        <f t="shared" si="1"/>
        <v>1</v>
      </c>
      <c r="AC83" s="14">
        <v>1</v>
      </c>
      <c r="AD83" s="14" t="s">
        <v>70</v>
      </c>
      <c r="AE83" s="15" t="str">
        <f>IFERROR((VLOOKUP(Tabla13[[#This Row],[ID]],[1]!Mtto_Pesv[[#Headers],[#Data],[Placa]:[Rutina]],2,FALSE)),"-")</f>
        <v>-</v>
      </c>
      <c r="AF83" s="14">
        <v>0</v>
      </c>
      <c r="AG83" s="20">
        <f>IFERROR((VLOOKUP(Tabla13[[#This Row],[ID]],[1]!Mtto_Pesv[[#Headers],[#Data],[Placa]:[Rutina]],3,FALSE)),0)</f>
        <v>0</v>
      </c>
      <c r="AH83" s="20">
        <f>IFERROR((VLOOKUP(Tabla13[[#This Row],[ID]],[1]!Mtto_Pesv[[#Headers],[#Data],[Placa]:[Rutina]],7,FALSE)),0)</f>
        <v>0</v>
      </c>
      <c r="AI83" s="20">
        <f>IFERROR((VLOOKUP(Tabla13[[#This Row],[ID]],[1]!Mtto_Pesv[[#Headers],[#Data],[Placa]:[Rutina]],8,FALSE)),0)</f>
        <v>0</v>
      </c>
      <c r="AJ83" s="20" t="str">
        <f>IFERROR((VLOOKUP(Tabla13[[#This Row],[ID]],[1]!Mtto_Pesv[[#Headers],[#Data],[Placa]:[Rutina]],9,FALSE)),"-")</f>
        <v>-</v>
      </c>
      <c r="AK83" s="20">
        <f>IFERROR((VLOOKUP(Tabla13[[#This Row],[ID]],[1]!Mtto_Pesv[[#Headers],[#Data],[Placa]:[Rutina]],10,FALSE)),0)</f>
        <v>0</v>
      </c>
      <c r="AL83" s="20">
        <f>IF(Tabla13[[#This Row],[Km Anterior]]=0,0,Tabla13[[#This Row],[Km Ejecut]]-Tabla13[[#This Row],[Km Anterior]])</f>
        <v>0</v>
      </c>
      <c r="AM83" s="20">
        <f>IFERROR((VLOOKUP(Tabla13[[#This Row],[ID]],[1]!Mtto_Pesv[[#Headers],[#Data],[Placa]:[Rutina]],4,FALSE)),0)</f>
        <v>0</v>
      </c>
      <c r="AN83" s="21">
        <f>IFERROR((VLOOKUP(Tabla13[[#This Row],[ID]],[1]!Mtto_Pesv[[#Headers],[#Data],[Placa]:[Rutina]],5,FALSE)),0)</f>
        <v>0</v>
      </c>
      <c r="AO83" s="21">
        <f>+Tabla13[[#This Row],[Km Fin]]-Tabla13[[#This Row],[Km Ini]]</f>
        <v>0</v>
      </c>
      <c r="AP83" s="20">
        <f>IFERROR((VLOOKUP(Tabla13[[#This Row],[ID]],[1]!Estilo_Conduccion[[#All],[Placa]:[Puntuacion]],15,FALSE)),0)</f>
        <v>187.5</v>
      </c>
      <c r="AQ83" s="15" t="s">
        <v>1122</v>
      </c>
      <c r="AR83" s="15" t="s">
        <v>1123</v>
      </c>
      <c r="AS83" s="20">
        <v>1650</v>
      </c>
      <c r="AT83" s="21">
        <v>4515</v>
      </c>
      <c r="AU83" s="21">
        <f>(Tabla13[[#This Row],[Cap Vh]]*$AX$2)*0.56</f>
        <v>0</v>
      </c>
      <c r="AV83" s="36" t="e">
        <f>(Tabla13[[#This Row],[Cap Util (kg)]]/(Tabla13[[#This Row],[Cap Inst (Kg)]]))</f>
        <v>#DIV/0!</v>
      </c>
    </row>
    <row r="84" spans="1:48" x14ac:dyDescent="0.25">
      <c r="A84" s="13" t="s">
        <v>1068</v>
      </c>
      <c r="B84" s="14" t="s">
        <v>206</v>
      </c>
      <c r="C84" s="14" t="s">
        <v>44</v>
      </c>
      <c r="D84" s="14" t="s">
        <v>44</v>
      </c>
      <c r="E84" s="15" t="s">
        <v>63</v>
      </c>
      <c r="F84" s="14" t="s">
        <v>64</v>
      </c>
      <c r="G84" s="15" t="s">
        <v>182</v>
      </c>
      <c r="H84" s="13" t="s">
        <v>199</v>
      </c>
      <c r="I84" s="14" t="s">
        <v>49</v>
      </c>
      <c r="J84" s="14">
        <v>901253015</v>
      </c>
      <c r="K84" s="14" t="s">
        <v>185</v>
      </c>
      <c r="L84" s="14" t="s">
        <v>103</v>
      </c>
      <c r="M84" s="15" t="s">
        <v>104</v>
      </c>
      <c r="N84" s="14">
        <v>2021</v>
      </c>
      <c r="O84" s="14">
        <v>0</v>
      </c>
      <c r="P84" s="14" t="s">
        <v>105</v>
      </c>
      <c r="Q84" s="14">
        <v>1</v>
      </c>
      <c r="R84" s="14">
        <v>0</v>
      </c>
      <c r="S84" s="17" t="s">
        <v>54</v>
      </c>
      <c r="T84" s="18">
        <v>0</v>
      </c>
      <c r="U84" s="37">
        <v>30</v>
      </c>
      <c r="V84" s="19">
        <v>1</v>
      </c>
      <c r="W84" s="14">
        <v>0</v>
      </c>
      <c r="X84" s="14">
        <v>23</v>
      </c>
      <c r="Y84" s="14">
        <v>14</v>
      </c>
      <c r="Z84" s="14">
        <v>0</v>
      </c>
      <c r="AA84" s="14">
        <f>Tabla13[[#This Row],[CheckList App]]+Tabla13[[#This Row],[CheckList Fisc]]</f>
        <v>14</v>
      </c>
      <c r="AB84" s="19">
        <f t="shared" si="1"/>
        <v>0.60869565217391308</v>
      </c>
      <c r="AC84" s="14">
        <v>0</v>
      </c>
      <c r="AD84" s="14" t="s">
        <v>70</v>
      </c>
      <c r="AE84" s="15" t="str">
        <f>IFERROR((VLOOKUP(Tabla13[[#This Row],[ID]],[1]!Mtto_Pesv[[#Headers],[#Data],[Placa]:[Rutina]],2,FALSE)),"-")</f>
        <v>-</v>
      </c>
      <c r="AF84" s="14">
        <v>0</v>
      </c>
      <c r="AG84" s="20">
        <f>IFERROR((VLOOKUP(Tabla13[[#This Row],[ID]],[1]!Mtto_Pesv[[#Headers],[#Data],[Placa]:[Rutina]],3,FALSE)),0)</f>
        <v>0</v>
      </c>
      <c r="AH84" s="20">
        <f>IFERROR((VLOOKUP(Tabla13[[#This Row],[ID]],[1]!Mtto_Pesv[[#Headers],[#Data],[Placa]:[Rutina]],7,FALSE)),0)</f>
        <v>0</v>
      </c>
      <c r="AI84" s="20">
        <f>IFERROR((VLOOKUP(Tabla13[[#This Row],[ID]],[1]!Mtto_Pesv[[#Headers],[#Data],[Placa]:[Rutina]],8,FALSE)),0)</f>
        <v>0</v>
      </c>
      <c r="AJ84" s="20" t="str">
        <f>IFERROR((VLOOKUP(Tabla13[[#This Row],[ID]],[1]!Mtto_Pesv[[#Headers],[#Data],[Placa]:[Rutina]],9,FALSE)),"-")</f>
        <v>-</v>
      </c>
      <c r="AK84" s="20">
        <f>IFERROR((VLOOKUP(Tabla13[[#This Row],[ID]],[1]!Mtto_Pesv[[#Headers],[#Data],[Placa]:[Rutina]],10,FALSE)),0)</f>
        <v>0</v>
      </c>
      <c r="AL84" s="20">
        <f>IF(Tabla13[[#This Row],[Km Anterior]]=0,0,Tabla13[[#This Row],[Km Ejecut]]-Tabla13[[#This Row],[Km Anterior]])</f>
        <v>0</v>
      </c>
      <c r="AM84" s="20">
        <f>IFERROR((VLOOKUP(Tabla13[[#This Row],[ID]],[1]!Mtto_Pesv[[#Headers],[#Data],[Placa]:[Rutina]],4,FALSE)),0)</f>
        <v>0</v>
      </c>
      <c r="AN84" s="21">
        <f>IFERROR((VLOOKUP(Tabla13[[#This Row],[ID]],[1]!Mtto_Pesv[[#Headers],[#Data],[Placa]:[Rutina]],5,FALSE)),0)</f>
        <v>0</v>
      </c>
      <c r="AO84" s="21">
        <f>+Tabla13[[#This Row],[Km Fin]]-Tabla13[[#This Row],[Km Ini]]</f>
        <v>0</v>
      </c>
      <c r="AP84" s="20">
        <f>IFERROR((VLOOKUP(Tabla13[[#This Row],[ID]],[1]!Estilo_Conduccion[[#All],[Placa]:[Puntuacion]],15,FALSE)),0)</f>
        <v>106.10000000000001</v>
      </c>
      <c r="AQ84" s="15" t="s">
        <v>1124</v>
      </c>
      <c r="AR84" s="15" t="s">
        <v>1125</v>
      </c>
      <c r="AS84" s="20">
        <v>1650</v>
      </c>
      <c r="AT84" s="21">
        <v>11548.5</v>
      </c>
      <c r="AU84" s="21">
        <f>(Tabla13[[#This Row],[Cap Vh]]*$AX$2)*0.56</f>
        <v>0</v>
      </c>
      <c r="AV84" s="36" t="e">
        <f>(Tabla13[[#This Row],[Cap Util (kg)]]/(Tabla13[[#This Row],[Cap Inst (Kg)]]))</f>
        <v>#DIV/0!</v>
      </c>
    </row>
    <row r="85" spans="1:48" x14ac:dyDescent="0.25">
      <c r="A85" s="13" t="s">
        <v>1068</v>
      </c>
      <c r="B85" s="14" t="s">
        <v>207</v>
      </c>
      <c r="C85" s="14" t="s">
        <v>44</v>
      </c>
      <c r="D85" s="14" t="s">
        <v>44</v>
      </c>
      <c r="E85" s="14" t="s">
        <v>69</v>
      </c>
      <c r="F85" s="14" t="s">
        <v>64</v>
      </c>
      <c r="G85" s="15" t="s">
        <v>182</v>
      </c>
      <c r="H85" s="13" t="s">
        <v>183</v>
      </c>
      <c r="I85" s="14" t="s">
        <v>49</v>
      </c>
      <c r="J85" s="14">
        <v>901253015</v>
      </c>
      <c r="K85" s="14" t="s">
        <v>185</v>
      </c>
      <c r="L85" s="14" t="s">
        <v>103</v>
      </c>
      <c r="M85" s="15" t="s">
        <v>104</v>
      </c>
      <c r="N85" s="14">
        <v>2021</v>
      </c>
      <c r="O85" s="14">
        <v>0</v>
      </c>
      <c r="P85" s="14" t="s">
        <v>105</v>
      </c>
      <c r="Q85" s="14">
        <v>1</v>
      </c>
      <c r="R85" s="14">
        <v>1</v>
      </c>
      <c r="S85" s="17">
        <v>44828.522314814807</v>
      </c>
      <c r="T85" s="18">
        <v>49.534000000000006</v>
      </c>
      <c r="U85" s="37">
        <v>30</v>
      </c>
      <c r="V85" s="19">
        <v>1</v>
      </c>
      <c r="W85" s="14">
        <v>0</v>
      </c>
      <c r="X85" s="14">
        <v>28</v>
      </c>
      <c r="Y85" s="14">
        <v>28</v>
      </c>
      <c r="Z85" s="14">
        <v>0</v>
      </c>
      <c r="AA85" s="14">
        <f>Tabla13[[#This Row],[CheckList App]]+Tabla13[[#This Row],[CheckList Fisc]]</f>
        <v>28</v>
      </c>
      <c r="AB85" s="19">
        <f t="shared" si="1"/>
        <v>1</v>
      </c>
      <c r="AC85" s="14">
        <v>1</v>
      </c>
      <c r="AD85" s="14" t="s">
        <v>70</v>
      </c>
      <c r="AE85" s="15" t="str">
        <f>IFERROR((VLOOKUP(Tabla13[[#This Row],[ID]],[1]!Mtto_Pesv[[#Headers],[#Data],[Placa]:[Rutina]],2,FALSE)),"-")</f>
        <v>-</v>
      </c>
      <c r="AF85" s="14">
        <v>0</v>
      </c>
      <c r="AG85" s="20">
        <f>IFERROR((VLOOKUP(Tabla13[[#This Row],[ID]],[1]!Mtto_Pesv[[#Headers],[#Data],[Placa]:[Rutina]],3,FALSE)),0)</f>
        <v>0</v>
      </c>
      <c r="AH85" s="20">
        <f>IFERROR((VLOOKUP(Tabla13[[#This Row],[ID]],[1]!Mtto_Pesv[[#Headers],[#Data],[Placa]:[Rutina]],7,FALSE)),0)</f>
        <v>0</v>
      </c>
      <c r="AI85" s="20">
        <f>IFERROR((VLOOKUP(Tabla13[[#This Row],[ID]],[1]!Mtto_Pesv[[#Headers],[#Data],[Placa]:[Rutina]],8,FALSE)),0)</f>
        <v>0</v>
      </c>
      <c r="AJ85" s="20" t="str">
        <f>IFERROR((VLOOKUP(Tabla13[[#This Row],[ID]],[1]!Mtto_Pesv[[#Headers],[#Data],[Placa]:[Rutina]],9,FALSE)),"-")</f>
        <v>-</v>
      </c>
      <c r="AK85" s="20">
        <f>IFERROR((VLOOKUP(Tabla13[[#This Row],[ID]],[1]!Mtto_Pesv[[#Headers],[#Data],[Placa]:[Rutina]],10,FALSE)),0)</f>
        <v>0</v>
      </c>
      <c r="AL85" s="20">
        <f>IF(Tabla13[[#This Row],[Km Anterior]]=0,0,Tabla13[[#This Row],[Km Ejecut]]-Tabla13[[#This Row],[Km Anterior]])</f>
        <v>0</v>
      </c>
      <c r="AM85" s="20">
        <f>IFERROR((VLOOKUP(Tabla13[[#This Row],[ID]],[1]!Mtto_Pesv[[#Headers],[#Data],[Placa]:[Rutina]],4,FALSE)),0)</f>
        <v>0</v>
      </c>
      <c r="AN85" s="21">
        <f>IFERROR((VLOOKUP(Tabla13[[#This Row],[ID]],[1]!Mtto_Pesv[[#Headers],[#Data],[Placa]:[Rutina]],5,FALSE)),0)</f>
        <v>0</v>
      </c>
      <c r="AO85" s="21">
        <f>+Tabla13[[#This Row],[Km Fin]]-Tabla13[[#This Row],[Km Ini]]</f>
        <v>0</v>
      </c>
      <c r="AP85" s="20">
        <f>IFERROR((VLOOKUP(Tabla13[[#This Row],[ID]],[1]!Estilo_Conduccion[[#All],[Placa]:[Puntuacion]],15,FALSE)),0)</f>
        <v>108.2</v>
      </c>
      <c r="AQ85" s="15" t="s">
        <v>54</v>
      </c>
      <c r="AR85" s="15" t="s">
        <v>149</v>
      </c>
      <c r="AS85" s="20">
        <v>1650</v>
      </c>
      <c r="AT85" s="21">
        <v>0</v>
      </c>
      <c r="AU85" s="21">
        <f>(Tabla13[[#This Row],[Cap Vh]]*$AX$2)*0.56</f>
        <v>0</v>
      </c>
      <c r="AV85" s="36" t="e">
        <f>(Tabla13[[#This Row],[Cap Util (kg)]]/(Tabla13[[#This Row],[Cap Inst (Kg)]]))</f>
        <v>#DIV/0!</v>
      </c>
    </row>
    <row r="86" spans="1:48" x14ac:dyDescent="0.25">
      <c r="A86" s="13" t="s">
        <v>1068</v>
      </c>
      <c r="B86" s="14" t="s">
        <v>208</v>
      </c>
      <c r="C86" s="14" t="s">
        <v>44</v>
      </c>
      <c r="D86" s="14" t="s">
        <v>44</v>
      </c>
      <c r="E86" s="14" t="s">
        <v>85</v>
      </c>
      <c r="F86" s="14" t="s">
        <v>64</v>
      </c>
      <c r="G86" s="15" t="s">
        <v>182</v>
      </c>
      <c r="H86" s="13" t="s">
        <v>183</v>
      </c>
      <c r="I86" s="14" t="s">
        <v>49</v>
      </c>
      <c r="J86" s="14">
        <v>901253015</v>
      </c>
      <c r="K86" s="14" t="s">
        <v>185</v>
      </c>
      <c r="L86" s="14" t="s">
        <v>186</v>
      </c>
      <c r="M86" s="14" t="s">
        <v>187</v>
      </c>
      <c r="N86" s="14">
        <v>2021</v>
      </c>
      <c r="O86" s="14">
        <v>0</v>
      </c>
      <c r="P86" s="14" t="s">
        <v>105</v>
      </c>
      <c r="Q86" s="14">
        <v>1</v>
      </c>
      <c r="R86" s="14">
        <v>0</v>
      </c>
      <c r="S86" s="17" t="s">
        <v>54</v>
      </c>
      <c r="T86" s="18">
        <v>0</v>
      </c>
      <c r="U86" s="37">
        <v>30</v>
      </c>
      <c r="V86" s="19">
        <v>1</v>
      </c>
      <c r="W86" s="14">
        <v>0</v>
      </c>
      <c r="X86" s="14">
        <v>26</v>
      </c>
      <c r="Y86" s="14">
        <v>21</v>
      </c>
      <c r="Z86" s="14">
        <v>0</v>
      </c>
      <c r="AA86" s="14">
        <f>Tabla13[[#This Row],[CheckList App]]+Tabla13[[#This Row],[CheckList Fisc]]</f>
        <v>21</v>
      </c>
      <c r="AB86" s="19">
        <f t="shared" si="1"/>
        <v>0.80769230769230771</v>
      </c>
      <c r="AC86" s="14">
        <v>0</v>
      </c>
      <c r="AD86" s="14" t="s">
        <v>70</v>
      </c>
      <c r="AE86" s="15" t="str">
        <f>IFERROR((VLOOKUP(Tabla13[[#This Row],[ID]],[1]!Mtto_Pesv[[#Headers],[#Data],[Placa]:[Rutina]],2,FALSE)),"-")</f>
        <v>-</v>
      </c>
      <c r="AF86" s="14">
        <v>0</v>
      </c>
      <c r="AG86" s="20">
        <f>IFERROR((VLOOKUP(Tabla13[[#This Row],[ID]],[1]!Mtto_Pesv[[#Headers],[#Data],[Placa]:[Rutina]],3,FALSE)),0)</f>
        <v>0</v>
      </c>
      <c r="AH86" s="20">
        <f>IFERROR((VLOOKUP(Tabla13[[#This Row],[ID]],[1]!Mtto_Pesv[[#Headers],[#Data],[Placa]:[Rutina]],7,FALSE)),0)</f>
        <v>0</v>
      </c>
      <c r="AI86" s="20">
        <f>IFERROR((VLOOKUP(Tabla13[[#This Row],[ID]],[1]!Mtto_Pesv[[#Headers],[#Data],[Placa]:[Rutina]],8,FALSE)),0)</f>
        <v>0</v>
      </c>
      <c r="AJ86" s="20" t="str">
        <f>IFERROR((VLOOKUP(Tabla13[[#This Row],[ID]],[1]!Mtto_Pesv[[#Headers],[#Data],[Placa]:[Rutina]],9,FALSE)),"-")</f>
        <v>-</v>
      </c>
      <c r="AK86" s="20">
        <f>IFERROR((VLOOKUP(Tabla13[[#This Row],[ID]],[1]!Mtto_Pesv[[#Headers],[#Data],[Placa]:[Rutina]],10,FALSE)),0)</f>
        <v>0</v>
      </c>
      <c r="AL86" s="20">
        <f>IF(Tabla13[[#This Row],[Km Anterior]]=0,0,Tabla13[[#This Row],[Km Ejecut]]-Tabla13[[#This Row],[Km Anterior]])</f>
        <v>0</v>
      </c>
      <c r="AM86" s="20">
        <f>IFERROR((VLOOKUP(Tabla13[[#This Row],[ID]],[1]!Mtto_Pesv[[#Headers],[#Data],[Placa]:[Rutina]],4,FALSE)),0)</f>
        <v>0</v>
      </c>
      <c r="AN86" s="21">
        <f>IFERROR((VLOOKUP(Tabla13[[#This Row],[ID]],[1]!Mtto_Pesv[[#Headers],[#Data],[Placa]:[Rutina]],5,FALSE)),0)</f>
        <v>0</v>
      </c>
      <c r="AO86" s="21">
        <f>+Tabla13[[#This Row],[Km Fin]]-Tabla13[[#This Row],[Km Ini]]</f>
        <v>0</v>
      </c>
      <c r="AP86" s="20">
        <f>IFERROR((VLOOKUP(Tabla13[[#This Row],[ID]],[1]!Estilo_Conduccion[[#All],[Placa]:[Puntuacion]],15,FALSE)),0)</f>
        <v>286.10000000000002</v>
      </c>
      <c r="AQ86" s="15" t="s">
        <v>54</v>
      </c>
      <c r="AR86" s="15" t="s">
        <v>209</v>
      </c>
      <c r="AS86" s="20">
        <v>1000</v>
      </c>
      <c r="AT86" s="21">
        <v>0</v>
      </c>
      <c r="AU86" s="21">
        <f>(Tabla13[[#This Row],[Cap Vh]]*$AX$2)*0.56</f>
        <v>0</v>
      </c>
      <c r="AV86" s="36" t="e">
        <f>(Tabla13[[#This Row],[Cap Util (kg)]]/(Tabla13[[#This Row],[Cap Inst (Kg)]]))</f>
        <v>#DIV/0!</v>
      </c>
    </row>
    <row r="87" spans="1:48" x14ac:dyDescent="0.25">
      <c r="A87" s="13" t="s">
        <v>1068</v>
      </c>
      <c r="B87" s="14" t="s">
        <v>210</v>
      </c>
      <c r="C87" s="14" t="s">
        <v>44</v>
      </c>
      <c r="D87" s="14" t="s">
        <v>44</v>
      </c>
      <c r="E87" s="14" t="s">
        <v>45</v>
      </c>
      <c r="F87" s="14" t="s">
        <v>64</v>
      </c>
      <c r="G87" s="15" t="s">
        <v>182</v>
      </c>
      <c r="H87" s="13" t="s">
        <v>183</v>
      </c>
      <c r="I87" s="14" t="s">
        <v>184</v>
      </c>
      <c r="J87" s="14">
        <v>901253015</v>
      </c>
      <c r="K87" s="14" t="s">
        <v>185</v>
      </c>
      <c r="L87" s="14" t="s">
        <v>103</v>
      </c>
      <c r="M87" s="14" t="s">
        <v>104</v>
      </c>
      <c r="N87" s="14">
        <v>2021</v>
      </c>
      <c r="O87" s="14">
        <v>1</v>
      </c>
      <c r="P87" s="14" t="s">
        <v>105</v>
      </c>
      <c r="Q87" s="14">
        <v>1</v>
      </c>
      <c r="R87" s="14">
        <v>1</v>
      </c>
      <c r="S87" s="17">
        <v>44834.358761574083</v>
      </c>
      <c r="T87" s="18">
        <v>97.516999999999982</v>
      </c>
      <c r="U87" s="37">
        <v>30</v>
      </c>
      <c r="V87" s="19">
        <v>1</v>
      </c>
      <c r="W87" s="14">
        <v>0</v>
      </c>
      <c r="X87" s="14">
        <v>23</v>
      </c>
      <c r="Y87" s="14">
        <v>23</v>
      </c>
      <c r="Z87" s="14">
        <v>0</v>
      </c>
      <c r="AA87" s="14">
        <f>Tabla13[[#This Row],[CheckList App]]+Tabla13[[#This Row],[CheckList Fisc]]</f>
        <v>23</v>
      </c>
      <c r="AB87" s="19">
        <f t="shared" si="1"/>
        <v>1</v>
      </c>
      <c r="AC87" s="14">
        <v>0</v>
      </c>
      <c r="AD87" s="14" t="s">
        <v>70</v>
      </c>
      <c r="AE87" s="15" t="str">
        <f>IFERROR((VLOOKUP(Tabla13[[#This Row],[ID]],[1]!Mtto_Pesv[[#Headers],[#Data],[Placa]:[Rutina]],2,FALSE)),"-")</f>
        <v>-</v>
      </c>
      <c r="AF87" s="14">
        <v>0</v>
      </c>
      <c r="AG87" s="20">
        <f>IFERROR((VLOOKUP(Tabla13[[#This Row],[ID]],[1]!Mtto_Pesv[[#Headers],[#Data],[Placa]:[Rutina]],3,FALSE)),0)</f>
        <v>0</v>
      </c>
      <c r="AH87" s="20">
        <f>IFERROR((VLOOKUP(Tabla13[[#This Row],[ID]],[1]!Mtto_Pesv[[#Headers],[#Data],[Placa]:[Rutina]],7,FALSE)),0)</f>
        <v>0</v>
      </c>
      <c r="AI87" s="20">
        <f>IFERROR((VLOOKUP(Tabla13[[#This Row],[ID]],[1]!Mtto_Pesv[[#Headers],[#Data],[Placa]:[Rutina]],8,FALSE)),0)</f>
        <v>0</v>
      </c>
      <c r="AJ87" s="20" t="str">
        <f>IFERROR((VLOOKUP(Tabla13[[#This Row],[ID]],[1]!Mtto_Pesv[[#Headers],[#Data],[Placa]:[Rutina]],9,FALSE)),"-")</f>
        <v>-</v>
      </c>
      <c r="AK87" s="20">
        <f>IFERROR((VLOOKUP(Tabla13[[#This Row],[ID]],[1]!Mtto_Pesv[[#Headers],[#Data],[Placa]:[Rutina]],10,FALSE)),0)</f>
        <v>0</v>
      </c>
      <c r="AL87" s="20">
        <f>IF(Tabla13[[#This Row],[Km Anterior]]=0,0,Tabla13[[#This Row],[Km Ejecut]]-Tabla13[[#This Row],[Km Anterior]])</f>
        <v>0</v>
      </c>
      <c r="AM87" s="20">
        <f>IFERROR((VLOOKUP(Tabla13[[#This Row],[ID]],[1]!Mtto_Pesv[[#Headers],[#Data],[Placa]:[Rutina]],4,FALSE)),0)</f>
        <v>0</v>
      </c>
      <c r="AN87" s="21">
        <f>IFERROR((VLOOKUP(Tabla13[[#This Row],[ID]],[1]!Mtto_Pesv[[#Headers],[#Data],[Placa]:[Rutina]],5,FALSE)),0)</f>
        <v>0</v>
      </c>
      <c r="AO87" s="21">
        <f>+Tabla13[[#This Row],[Km Fin]]-Tabla13[[#This Row],[Km Ini]]</f>
        <v>0</v>
      </c>
      <c r="AP87" s="20">
        <f>IFERROR((VLOOKUP(Tabla13[[#This Row],[ID]],[1]!Estilo_Conduccion[[#All],[Placa]:[Puntuacion]],15,FALSE)),0)</f>
        <v>15248.3</v>
      </c>
      <c r="AQ87" s="15" t="s">
        <v>54</v>
      </c>
      <c r="AR87" s="15" t="s">
        <v>1126</v>
      </c>
      <c r="AS87" s="20">
        <v>1650</v>
      </c>
      <c r="AT87" s="21">
        <v>0</v>
      </c>
      <c r="AU87" s="21">
        <f>(Tabla13[[#This Row],[Cap Vh]]*$AX$2)*0.56</f>
        <v>0</v>
      </c>
      <c r="AV87" s="36" t="e">
        <f>(Tabla13[[#This Row],[Cap Util (kg)]]/(Tabla13[[#This Row],[Cap Inst (Kg)]]))</f>
        <v>#DIV/0!</v>
      </c>
    </row>
    <row r="88" spans="1:48" x14ac:dyDescent="0.25">
      <c r="A88" s="13" t="s">
        <v>1068</v>
      </c>
      <c r="B88" s="14" t="s">
        <v>211</v>
      </c>
      <c r="C88" s="14" t="s">
        <v>44</v>
      </c>
      <c r="D88" s="14" t="s">
        <v>44</v>
      </c>
      <c r="E88" s="14" t="s">
        <v>127</v>
      </c>
      <c r="F88" s="14" t="s">
        <v>64</v>
      </c>
      <c r="G88" s="15" t="s">
        <v>182</v>
      </c>
      <c r="H88" s="13" t="s">
        <v>199</v>
      </c>
      <c r="I88" s="14" t="s">
        <v>49</v>
      </c>
      <c r="J88" s="14">
        <v>901253015</v>
      </c>
      <c r="K88" s="14" t="s">
        <v>185</v>
      </c>
      <c r="L88" s="14" t="s">
        <v>103</v>
      </c>
      <c r="M88" s="14" t="s">
        <v>121</v>
      </c>
      <c r="N88" s="14">
        <v>2021</v>
      </c>
      <c r="O88" s="14">
        <v>1</v>
      </c>
      <c r="P88" s="14" t="s">
        <v>105</v>
      </c>
      <c r="Q88" s="14">
        <v>1</v>
      </c>
      <c r="R88" s="14">
        <v>0</v>
      </c>
      <c r="S88" s="17" t="s">
        <v>54</v>
      </c>
      <c r="T88" s="18">
        <v>0</v>
      </c>
      <c r="U88" s="37">
        <v>30</v>
      </c>
      <c r="V88" s="19">
        <v>1</v>
      </c>
      <c r="W88" s="14">
        <v>0</v>
      </c>
      <c r="X88" s="14">
        <v>1</v>
      </c>
      <c r="Y88" s="14">
        <v>0</v>
      </c>
      <c r="Z88" s="14">
        <v>0</v>
      </c>
      <c r="AA88" s="14">
        <f>Tabla13[[#This Row],[CheckList App]]+Tabla13[[#This Row],[CheckList Fisc]]</f>
        <v>0</v>
      </c>
      <c r="AB88" s="19">
        <f t="shared" si="1"/>
        <v>0</v>
      </c>
      <c r="AC88" s="14">
        <v>6</v>
      </c>
      <c r="AD88" s="14" t="s">
        <v>54</v>
      </c>
      <c r="AE88" s="15" t="str">
        <f>IFERROR((VLOOKUP(Tabla13[[#This Row],[ID]],[1]!Mtto_Pesv[[#Headers],[#Data],[Placa]:[Rutina]],2,FALSE)),"-")</f>
        <v>-</v>
      </c>
      <c r="AF88" s="14">
        <v>0</v>
      </c>
      <c r="AG88" s="20">
        <f>IFERROR((VLOOKUP(Tabla13[[#This Row],[ID]],[1]!Mtto_Pesv[[#Headers],[#Data],[Placa]:[Rutina]],3,FALSE)),0)</f>
        <v>0</v>
      </c>
      <c r="AH88" s="20">
        <f>IFERROR((VLOOKUP(Tabla13[[#This Row],[ID]],[1]!Mtto_Pesv[[#Headers],[#Data],[Placa]:[Rutina]],7,FALSE)),0)</f>
        <v>0</v>
      </c>
      <c r="AI88" s="20">
        <f>IFERROR((VLOOKUP(Tabla13[[#This Row],[ID]],[1]!Mtto_Pesv[[#Headers],[#Data],[Placa]:[Rutina]],8,FALSE)),0)</f>
        <v>0</v>
      </c>
      <c r="AJ88" s="20" t="str">
        <f>IFERROR((VLOOKUP(Tabla13[[#This Row],[ID]],[1]!Mtto_Pesv[[#Headers],[#Data],[Placa]:[Rutina]],9,FALSE)),"-")</f>
        <v>-</v>
      </c>
      <c r="AK88" s="20">
        <f>IFERROR((VLOOKUP(Tabla13[[#This Row],[ID]],[1]!Mtto_Pesv[[#Headers],[#Data],[Placa]:[Rutina]],10,FALSE)),0)</f>
        <v>0</v>
      </c>
      <c r="AL88" s="20">
        <f>IF(Tabla13[[#This Row],[Km Anterior]]=0,0,Tabla13[[#This Row],[Km Ejecut]]-Tabla13[[#This Row],[Km Anterior]])</f>
        <v>0</v>
      </c>
      <c r="AM88" s="20">
        <f>IFERROR((VLOOKUP(Tabla13[[#This Row],[ID]],[1]!Mtto_Pesv[[#Headers],[#Data],[Placa]:[Rutina]],4,FALSE)),0)</f>
        <v>0</v>
      </c>
      <c r="AN88" s="21">
        <f>IFERROR((VLOOKUP(Tabla13[[#This Row],[ID]],[1]!Mtto_Pesv[[#Headers],[#Data],[Placa]:[Rutina]],5,FALSE)),0)</f>
        <v>0</v>
      </c>
      <c r="AO88" s="21">
        <f>+Tabla13[[#This Row],[Km Fin]]-Tabla13[[#This Row],[Km Ini]]</f>
        <v>0</v>
      </c>
      <c r="AP88" s="20">
        <f>IFERROR((VLOOKUP(Tabla13[[#This Row],[ID]],[1]!Estilo_Conduccion[[#All],[Placa]:[Puntuacion]],15,FALSE)),0)</f>
        <v>4</v>
      </c>
      <c r="AQ88" s="15" t="s">
        <v>1127</v>
      </c>
      <c r="AR88" s="15" t="s">
        <v>1128</v>
      </c>
      <c r="AS88" s="20">
        <v>2350</v>
      </c>
      <c r="AT88" s="21">
        <v>6282</v>
      </c>
      <c r="AU88" s="21">
        <f>(Tabla13[[#This Row],[Cap Vh]]*$AX$2)*0.56</f>
        <v>0</v>
      </c>
      <c r="AV88" s="36" t="e">
        <f>(Tabla13[[#This Row],[Cap Util (kg)]]/(Tabla13[[#This Row],[Cap Inst (Kg)]]))</f>
        <v>#DIV/0!</v>
      </c>
    </row>
    <row r="89" spans="1:48" x14ac:dyDescent="0.25">
      <c r="A89" s="13" t="s">
        <v>1068</v>
      </c>
      <c r="B89" s="14" t="s">
        <v>212</v>
      </c>
      <c r="C89" s="14" t="s">
        <v>44</v>
      </c>
      <c r="D89" s="14" t="s">
        <v>44</v>
      </c>
      <c r="E89" s="14" t="s">
        <v>69</v>
      </c>
      <c r="F89" s="14" t="s">
        <v>64</v>
      </c>
      <c r="G89" s="15" t="s">
        <v>182</v>
      </c>
      <c r="H89" s="13" t="s">
        <v>199</v>
      </c>
      <c r="I89" s="14" t="s">
        <v>49</v>
      </c>
      <c r="J89" s="14">
        <v>901253015</v>
      </c>
      <c r="K89" s="14" t="s">
        <v>185</v>
      </c>
      <c r="L89" s="14" t="s">
        <v>103</v>
      </c>
      <c r="M89" s="14" t="s">
        <v>121</v>
      </c>
      <c r="N89" s="14">
        <v>2022</v>
      </c>
      <c r="O89" s="14">
        <v>1</v>
      </c>
      <c r="P89" s="14" t="s">
        <v>105</v>
      </c>
      <c r="Q89" s="14">
        <v>1</v>
      </c>
      <c r="R89" s="14">
        <v>0</v>
      </c>
      <c r="S89" s="17" t="s">
        <v>54</v>
      </c>
      <c r="T89" s="18">
        <v>0</v>
      </c>
      <c r="U89" s="37">
        <v>30</v>
      </c>
      <c r="V89" s="19">
        <v>1</v>
      </c>
      <c r="W89" s="14">
        <v>0</v>
      </c>
      <c r="X89" s="14">
        <v>26</v>
      </c>
      <c r="Y89" s="14">
        <v>26</v>
      </c>
      <c r="Z89" s="14">
        <v>0</v>
      </c>
      <c r="AA89" s="14">
        <f>Tabla13[[#This Row],[CheckList App]]+Tabla13[[#This Row],[CheckList Fisc]]</f>
        <v>26</v>
      </c>
      <c r="AB89" s="19">
        <f t="shared" si="1"/>
        <v>1</v>
      </c>
      <c r="AC89" s="14">
        <v>0</v>
      </c>
      <c r="AD89" s="14" t="s">
        <v>54</v>
      </c>
      <c r="AE89" s="15" t="str">
        <f>IFERROR((VLOOKUP(Tabla13[[#This Row],[ID]],[1]!Mtto_Pesv[[#Headers],[#Data],[Placa]:[Rutina]],2,FALSE)),"-")</f>
        <v>-</v>
      </c>
      <c r="AF89" s="14">
        <v>0</v>
      </c>
      <c r="AG89" s="20">
        <f>IFERROR((VLOOKUP(Tabla13[[#This Row],[ID]],[1]!Mtto_Pesv[[#Headers],[#Data],[Placa]:[Rutina]],3,FALSE)),0)</f>
        <v>0</v>
      </c>
      <c r="AH89" s="20">
        <f>IFERROR((VLOOKUP(Tabla13[[#This Row],[ID]],[1]!Mtto_Pesv[[#Headers],[#Data],[Placa]:[Rutina]],7,FALSE)),0)</f>
        <v>0</v>
      </c>
      <c r="AI89" s="20">
        <f>IFERROR((VLOOKUP(Tabla13[[#This Row],[ID]],[1]!Mtto_Pesv[[#Headers],[#Data],[Placa]:[Rutina]],8,FALSE)),0)</f>
        <v>0</v>
      </c>
      <c r="AJ89" s="20" t="str">
        <f>IFERROR((VLOOKUP(Tabla13[[#This Row],[ID]],[1]!Mtto_Pesv[[#Headers],[#Data],[Placa]:[Rutina]],9,FALSE)),"-")</f>
        <v>-</v>
      </c>
      <c r="AK89" s="20">
        <f>IFERROR((VLOOKUP(Tabla13[[#This Row],[ID]],[1]!Mtto_Pesv[[#Headers],[#Data],[Placa]:[Rutina]],10,FALSE)),0)</f>
        <v>0</v>
      </c>
      <c r="AL89" s="20">
        <f>IF(Tabla13[[#This Row],[Km Anterior]]=0,0,Tabla13[[#This Row],[Km Ejecut]]-Tabla13[[#This Row],[Km Anterior]])</f>
        <v>0</v>
      </c>
      <c r="AM89" s="20">
        <f>IFERROR((VLOOKUP(Tabla13[[#This Row],[ID]],[1]!Mtto_Pesv[[#Headers],[#Data],[Placa]:[Rutina]],4,FALSE)),0)</f>
        <v>0</v>
      </c>
      <c r="AN89" s="21">
        <f>IFERROR((VLOOKUP(Tabla13[[#This Row],[ID]],[1]!Mtto_Pesv[[#Headers],[#Data],[Placa]:[Rutina]],5,FALSE)),0)</f>
        <v>0</v>
      </c>
      <c r="AO89" s="21">
        <f>+Tabla13[[#This Row],[Km Fin]]-Tabla13[[#This Row],[Km Ini]]</f>
        <v>0</v>
      </c>
      <c r="AP89" s="20">
        <f>IFERROR((VLOOKUP(Tabla13[[#This Row],[ID]],[1]!Estilo_Conduccion[[#All],[Placa]:[Puntuacion]],15,FALSE)),0)</f>
        <v>6222.1</v>
      </c>
      <c r="AQ89" s="15" t="s">
        <v>1129</v>
      </c>
      <c r="AR89" s="15" t="s">
        <v>1130</v>
      </c>
      <c r="AS89" s="20">
        <v>2350</v>
      </c>
      <c r="AT89" s="21">
        <v>12180</v>
      </c>
      <c r="AU89" s="21">
        <f>(Tabla13[[#This Row],[Cap Vh]]*$AX$2)*0.56</f>
        <v>0</v>
      </c>
      <c r="AV89" s="36" t="e">
        <f>(Tabla13[[#This Row],[Cap Util (kg)]]/(Tabla13[[#This Row],[Cap Inst (Kg)]]))</f>
        <v>#DIV/0!</v>
      </c>
    </row>
    <row r="90" spans="1:48" x14ac:dyDescent="0.25">
      <c r="A90" s="13" t="s">
        <v>1068</v>
      </c>
      <c r="B90" s="14" t="s">
        <v>213</v>
      </c>
      <c r="C90" s="14" t="s">
        <v>44</v>
      </c>
      <c r="D90" s="14" t="s">
        <v>44</v>
      </c>
      <c r="E90" s="14" t="s">
        <v>127</v>
      </c>
      <c r="F90" s="14" t="s">
        <v>64</v>
      </c>
      <c r="G90" s="15" t="s">
        <v>182</v>
      </c>
      <c r="H90" s="13" t="s">
        <v>199</v>
      </c>
      <c r="I90" s="14" t="s">
        <v>49</v>
      </c>
      <c r="J90" s="14">
        <v>901253015</v>
      </c>
      <c r="K90" s="14" t="s">
        <v>185</v>
      </c>
      <c r="L90" s="14" t="s">
        <v>103</v>
      </c>
      <c r="M90" s="14" t="s">
        <v>121</v>
      </c>
      <c r="N90" s="14">
        <v>2022</v>
      </c>
      <c r="O90" s="14">
        <v>1</v>
      </c>
      <c r="P90" s="14" t="s">
        <v>105</v>
      </c>
      <c r="Q90" s="14">
        <v>1</v>
      </c>
      <c r="R90" s="14">
        <v>0</v>
      </c>
      <c r="S90" s="17" t="s">
        <v>54</v>
      </c>
      <c r="T90" s="18">
        <v>0</v>
      </c>
      <c r="U90" s="37">
        <v>30</v>
      </c>
      <c r="V90" s="19">
        <v>1</v>
      </c>
      <c r="W90" s="14">
        <v>0</v>
      </c>
      <c r="X90" s="14">
        <v>30</v>
      </c>
      <c r="Y90" s="14">
        <v>18</v>
      </c>
      <c r="Z90" s="14">
        <v>0</v>
      </c>
      <c r="AA90" s="14">
        <f>Tabla13[[#This Row],[CheckList App]]+Tabla13[[#This Row],[CheckList Fisc]]</f>
        <v>18</v>
      </c>
      <c r="AB90" s="19">
        <f t="shared" si="1"/>
        <v>0.6</v>
      </c>
      <c r="AC90" s="14">
        <v>0</v>
      </c>
      <c r="AD90" s="14" t="s">
        <v>54</v>
      </c>
      <c r="AE90" s="15" t="str">
        <f>IFERROR((VLOOKUP(Tabla13[[#This Row],[ID]],[1]!Mtto_Pesv[[#Headers],[#Data],[Placa]:[Rutina]],2,FALSE)),"-")</f>
        <v>-</v>
      </c>
      <c r="AF90" s="14">
        <v>0</v>
      </c>
      <c r="AG90" s="20">
        <f>IFERROR((VLOOKUP(Tabla13[[#This Row],[ID]],[1]!Mtto_Pesv[[#Headers],[#Data],[Placa]:[Rutina]],3,FALSE)),0)</f>
        <v>0</v>
      </c>
      <c r="AH90" s="20">
        <f>IFERROR((VLOOKUP(Tabla13[[#This Row],[ID]],[1]!Mtto_Pesv[[#Headers],[#Data],[Placa]:[Rutina]],7,FALSE)),0)</f>
        <v>0</v>
      </c>
      <c r="AI90" s="20">
        <f>IFERROR((VLOOKUP(Tabla13[[#This Row],[ID]],[1]!Mtto_Pesv[[#Headers],[#Data],[Placa]:[Rutina]],8,FALSE)),0)</f>
        <v>0</v>
      </c>
      <c r="AJ90" s="20" t="str">
        <f>IFERROR((VLOOKUP(Tabla13[[#This Row],[ID]],[1]!Mtto_Pesv[[#Headers],[#Data],[Placa]:[Rutina]],9,FALSE)),"-")</f>
        <v>-</v>
      </c>
      <c r="AK90" s="20">
        <f>IFERROR((VLOOKUP(Tabla13[[#This Row],[ID]],[1]!Mtto_Pesv[[#Headers],[#Data],[Placa]:[Rutina]],10,FALSE)),0)</f>
        <v>0</v>
      </c>
      <c r="AL90" s="20">
        <f>IF(Tabla13[[#This Row],[Km Anterior]]=0,0,Tabla13[[#This Row],[Km Ejecut]]-Tabla13[[#This Row],[Km Anterior]])</f>
        <v>0</v>
      </c>
      <c r="AM90" s="20">
        <f>IFERROR((VLOOKUP(Tabla13[[#This Row],[ID]],[1]!Mtto_Pesv[[#Headers],[#Data],[Placa]:[Rutina]],4,FALSE)),0)</f>
        <v>0</v>
      </c>
      <c r="AN90" s="21">
        <f>IFERROR((VLOOKUP(Tabla13[[#This Row],[ID]],[1]!Mtto_Pesv[[#Headers],[#Data],[Placa]:[Rutina]],5,FALSE)),0)</f>
        <v>0</v>
      </c>
      <c r="AO90" s="21">
        <f>+Tabla13[[#This Row],[Km Fin]]-Tabla13[[#This Row],[Km Ini]]</f>
        <v>0</v>
      </c>
      <c r="AP90" s="20">
        <f>IFERROR((VLOOKUP(Tabla13[[#This Row],[ID]],[1]!Estilo_Conduccion[[#All],[Placa]:[Puntuacion]],15,FALSE)),0)</f>
        <v>14758.699999999999</v>
      </c>
      <c r="AQ90" s="15" t="s">
        <v>1131</v>
      </c>
      <c r="AR90" s="15" t="s">
        <v>1132</v>
      </c>
      <c r="AS90" s="20">
        <v>2350</v>
      </c>
      <c r="AT90" s="21">
        <v>3514</v>
      </c>
      <c r="AU90" s="21">
        <f>(Tabla13[[#This Row],[Cap Vh]]*$AX$2)*0.56</f>
        <v>0</v>
      </c>
      <c r="AV90" s="36" t="e">
        <f>(Tabla13[[#This Row],[Cap Util (kg)]]/(Tabla13[[#This Row],[Cap Inst (Kg)]]))</f>
        <v>#DIV/0!</v>
      </c>
    </row>
    <row r="91" spans="1:48" x14ac:dyDescent="0.25">
      <c r="A91" s="13" t="s">
        <v>1068</v>
      </c>
      <c r="B91" s="14" t="s">
        <v>214</v>
      </c>
      <c r="C91" s="14" t="s">
        <v>44</v>
      </c>
      <c r="D91" s="14" t="s">
        <v>44</v>
      </c>
      <c r="E91" s="14" t="s">
        <v>60</v>
      </c>
      <c r="F91" s="14" t="s">
        <v>64</v>
      </c>
      <c r="G91" s="15" t="s">
        <v>182</v>
      </c>
      <c r="H91" s="13" t="s">
        <v>199</v>
      </c>
      <c r="I91" s="14" t="s">
        <v>49</v>
      </c>
      <c r="J91" s="14">
        <v>901253015</v>
      </c>
      <c r="K91" s="14" t="s">
        <v>185</v>
      </c>
      <c r="L91" s="14" t="s">
        <v>103</v>
      </c>
      <c r="M91" s="14" t="s">
        <v>121</v>
      </c>
      <c r="N91" s="14">
        <v>2022</v>
      </c>
      <c r="O91" s="14">
        <v>1</v>
      </c>
      <c r="P91" s="14" t="s">
        <v>105</v>
      </c>
      <c r="Q91" s="14">
        <v>1</v>
      </c>
      <c r="R91" s="14">
        <v>0</v>
      </c>
      <c r="S91" s="17" t="s">
        <v>54</v>
      </c>
      <c r="T91" s="18">
        <v>0</v>
      </c>
      <c r="U91" s="37">
        <v>30</v>
      </c>
      <c r="V91" s="19">
        <v>1</v>
      </c>
      <c r="W91" s="14">
        <v>0</v>
      </c>
      <c r="X91" s="14">
        <v>19</v>
      </c>
      <c r="Y91" s="14">
        <v>9</v>
      </c>
      <c r="Z91" s="14">
        <v>0</v>
      </c>
      <c r="AA91" s="14">
        <f>Tabla13[[#This Row],[CheckList App]]+Tabla13[[#This Row],[CheckList Fisc]]</f>
        <v>9</v>
      </c>
      <c r="AB91" s="19">
        <f t="shared" si="1"/>
        <v>0.47368421052631576</v>
      </c>
      <c r="AC91" s="14">
        <v>0</v>
      </c>
      <c r="AD91" s="14" t="s">
        <v>54</v>
      </c>
      <c r="AE91" s="15" t="str">
        <f>IFERROR((VLOOKUP(Tabla13[[#This Row],[ID]],[1]!Mtto_Pesv[[#Headers],[#Data],[Placa]:[Rutina]],2,FALSE)),"-")</f>
        <v>-</v>
      </c>
      <c r="AF91" s="14">
        <v>0</v>
      </c>
      <c r="AG91" s="20">
        <f>IFERROR((VLOOKUP(Tabla13[[#This Row],[ID]],[1]!Mtto_Pesv[[#Headers],[#Data],[Placa]:[Rutina]],3,FALSE)),0)</f>
        <v>0</v>
      </c>
      <c r="AH91" s="20">
        <f>IFERROR((VLOOKUP(Tabla13[[#This Row],[ID]],[1]!Mtto_Pesv[[#Headers],[#Data],[Placa]:[Rutina]],7,FALSE)),0)</f>
        <v>0</v>
      </c>
      <c r="AI91" s="20">
        <f>IFERROR((VLOOKUP(Tabla13[[#This Row],[ID]],[1]!Mtto_Pesv[[#Headers],[#Data],[Placa]:[Rutina]],8,FALSE)),0)</f>
        <v>0</v>
      </c>
      <c r="AJ91" s="20" t="str">
        <f>IFERROR((VLOOKUP(Tabla13[[#This Row],[ID]],[1]!Mtto_Pesv[[#Headers],[#Data],[Placa]:[Rutina]],9,FALSE)),"-")</f>
        <v>-</v>
      </c>
      <c r="AK91" s="20">
        <f>IFERROR((VLOOKUP(Tabla13[[#This Row],[ID]],[1]!Mtto_Pesv[[#Headers],[#Data],[Placa]:[Rutina]],10,FALSE)),0)</f>
        <v>0</v>
      </c>
      <c r="AL91" s="20">
        <f>IF(Tabla13[[#This Row],[Km Anterior]]=0,0,Tabla13[[#This Row],[Km Ejecut]]-Tabla13[[#This Row],[Km Anterior]])</f>
        <v>0</v>
      </c>
      <c r="AM91" s="20">
        <f>IFERROR((VLOOKUP(Tabla13[[#This Row],[ID]],[1]!Mtto_Pesv[[#Headers],[#Data],[Placa]:[Rutina]],4,FALSE)),0)</f>
        <v>0</v>
      </c>
      <c r="AN91" s="21">
        <f>IFERROR((VLOOKUP(Tabla13[[#This Row],[ID]],[1]!Mtto_Pesv[[#Headers],[#Data],[Placa]:[Rutina]],5,FALSE)),0)</f>
        <v>0</v>
      </c>
      <c r="AO91" s="21">
        <f>+Tabla13[[#This Row],[Km Fin]]-Tabla13[[#This Row],[Km Ini]]</f>
        <v>0</v>
      </c>
      <c r="AP91" s="20">
        <f>IFERROR((VLOOKUP(Tabla13[[#This Row],[ID]],[1]!Estilo_Conduccion[[#All],[Placa]:[Puntuacion]],15,FALSE)),0)</f>
        <v>1289.7</v>
      </c>
      <c r="AQ91" s="15" t="s">
        <v>1133</v>
      </c>
      <c r="AR91" s="15" t="s">
        <v>1134</v>
      </c>
      <c r="AS91" s="20">
        <v>2350</v>
      </c>
      <c r="AT91" s="21">
        <v>8964</v>
      </c>
      <c r="AU91" s="21">
        <f>(Tabla13[[#This Row],[Cap Vh]]*$AX$2)*0.56</f>
        <v>0</v>
      </c>
      <c r="AV91" s="36" t="e">
        <f>(Tabla13[[#This Row],[Cap Util (kg)]]/(Tabla13[[#This Row],[Cap Inst (Kg)]]))</f>
        <v>#DIV/0!</v>
      </c>
    </row>
    <row r="92" spans="1:48" x14ac:dyDescent="0.25">
      <c r="A92" s="13" t="s">
        <v>1068</v>
      </c>
      <c r="B92" s="14" t="s">
        <v>215</v>
      </c>
      <c r="C92" s="14" t="s">
        <v>44</v>
      </c>
      <c r="D92" s="14" t="s">
        <v>44</v>
      </c>
      <c r="E92" s="14" t="s">
        <v>127</v>
      </c>
      <c r="F92" s="14" t="s">
        <v>64</v>
      </c>
      <c r="G92" s="15" t="s">
        <v>182</v>
      </c>
      <c r="H92" s="13" t="s">
        <v>199</v>
      </c>
      <c r="I92" s="14" t="s">
        <v>49</v>
      </c>
      <c r="J92" s="14">
        <v>901253015</v>
      </c>
      <c r="K92" s="14" t="s">
        <v>185</v>
      </c>
      <c r="L92" s="14" t="s">
        <v>103</v>
      </c>
      <c r="M92" s="14" t="s">
        <v>121</v>
      </c>
      <c r="N92" s="14">
        <v>2022</v>
      </c>
      <c r="O92" s="14">
        <v>1</v>
      </c>
      <c r="P92" s="14" t="s">
        <v>105</v>
      </c>
      <c r="Q92" s="14">
        <v>1</v>
      </c>
      <c r="R92" s="14">
        <v>0</v>
      </c>
      <c r="S92" s="17" t="s">
        <v>54</v>
      </c>
      <c r="T92" s="18">
        <v>0</v>
      </c>
      <c r="U92" s="37">
        <v>30</v>
      </c>
      <c r="V92" s="19">
        <v>1</v>
      </c>
      <c r="W92" s="14">
        <v>0</v>
      </c>
      <c r="X92" s="14">
        <v>23</v>
      </c>
      <c r="Y92" s="14">
        <v>21</v>
      </c>
      <c r="Z92" s="14">
        <v>0</v>
      </c>
      <c r="AA92" s="14">
        <f>Tabla13[[#This Row],[CheckList App]]+Tabla13[[#This Row],[CheckList Fisc]]</f>
        <v>21</v>
      </c>
      <c r="AB92" s="19">
        <f t="shared" si="1"/>
        <v>0.91304347826086951</v>
      </c>
      <c r="AC92" s="14">
        <v>0</v>
      </c>
      <c r="AD92" s="14" t="s">
        <v>54</v>
      </c>
      <c r="AE92" s="15" t="str">
        <f>IFERROR((VLOOKUP(Tabla13[[#This Row],[ID]],[1]!Mtto_Pesv[[#Headers],[#Data],[Placa]:[Rutina]],2,FALSE)),"-")</f>
        <v>-</v>
      </c>
      <c r="AF92" s="14">
        <v>0</v>
      </c>
      <c r="AG92" s="20">
        <f>IFERROR((VLOOKUP(Tabla13[[#This Row],[ID]],[1]!Mtto_Pesv[[#Headers],[#Data],[Placa]:[Rutina]],3,FALSE)),0)</f>
        <v>0</v>
      </c>
      <c r="AH92" s="20">
        <f>IFERROR((VLOOKUP(Tabla13[[#This Row],[ID]],[1]!Mtto_Pesv[[#Headers],[#Data],[Placa]:[Rutina]],7,FALSE)),0)</f>
        <v>0</v>
      </c>
      <c r="AI92" s="20">
        <f>IFERROR((VLOOKUP(Tabla13[[#This Row],[ID]],[1]!Mtto_Pesv[[#Headers],[#Data],[Placa]:[Rutina]],8,FALSE)),0)</f>
        <v>0</v>
      </c>
      <c r="AJ92" s="20" t="str">
        <f>IFERROR((VLOOKUP(Tabla13[[#This Row],[ID]],[1]!Mtto_Pesv[[#Headers],[#Data],[Placa]:[Rutina]],9,FALSE)),"-")</f>
        <v>-</v>
      </c>
      <c r="AK92" s="20">
        <f>IFERROR((VLOOKUP(Tabla13[[#This Row],[ID]],[1]!Mtto_Pesv[[#Headers],[#Data],[Placa]:[Rutina]],10,FALSE)),0)</f>
        <v>0</v>
      </c>
      <c r="AL92" s="20">
        <f>IF(Tabla13[[#This Row],[Km Anterior]]=0,0,Tabla13[[#This Row],[Km Ejecut]]-Tabla13[[#This Row],[Km Anterior]])</f>
        <v>0</v>
      </c>
      <c r="AM92" s="20">
        <f>IFERROR((VLOOKUP(Tabla13[[#This Row],[ID]],[1]!Mtto_Pesv[[#Headers],[#Data],[Placa]:[Rutina]],4,FALSE)),0)</f>
        <v>0</v>
      </c>
      <c r="AN92" s="21">
        <f>IFERROR((VLOOKUP(Tabla13[[#This Row],[ID]],[1]!Mtto_Pesv[[#Headers],[#Data],[Placa]:[Rutina]],5,FALSE)),0)</f>
        <v>0</v>
      </c>
      <c r="AO92" s="21">
        <f>+Tabla13[[#This Row],[Km Fin]]-Tabla13[[#This Row],[Km Ini]]</f>
        <v>0</v>
      </c>
      <c r="AP92" s="20">
        <f>IFERROR((VLOOKUP(Tabla13[[#This Row],[ID]],[1]!Estilo_Conduccion[[#All],[Placa]:[Puntuacion]],15,FALSE)),0)</f>
        <v>1139.8</v>
      </c>
      <c r="AQ92" s="15" t="s">
        <v>1135</v>
      </c>
      <c r="AR92" s="15" t="s">
        <v>1136</v>
      </c>
      <c r="AS92" s="20">
        <v>2350</v>
      </c>
      <c r="AT92" s="21">
        <v>4962</v>
      </c>
      <c r="AU92" s="21">
        <f>(Tabla13[[#This Row],[Cap Vh]]*$AX$2)*0.56</f>
        <v>0</v>
      </c>
      <c r="AV92" s="36" t="e">
        <f>(Tabla13[[#This Row],[Cap Util (kg)]]/(Tabla13[[#This Row],[Cap Inst (Kg)]]))</f>
        <v>#DIV/0!</v>
      </c>
    </row>
    <row r="93" spans="1:48" x14ac:dyDescent="0.25">
      <c r="A93" s="13" t="s">
        <v>1068</v>
      </c>
      <c r="B93" s="14" t="s">
        <v>216</v>
      </c>
      <c r="C93" s="14" t="s">
        <v>44</v>
      </c>
      <c r="D93" s="14" t="s">
        <v>44</v>
      </c>
      <c r="E93" s="14" t="s">
        <v>45</v>
      </c>
      <c r="F93" s="14" t="s">
        <v>64</v>
      </c>
      <c r="G93" s="15" t="s">
        <v>182</v>
      </c>
      <c r="H93" s="13" t="s">
        <v>199</v>
      </c>
      <c r="I93" s="14" t="s">
        <v>49</v>
      </c>
      <c r="J93" s="14">
        <v>901253015</v>
      </c>
      <c r="K93" s="14" t="s">
        <v>185</v>
      </c>
      <c r="L93" s="14" t="s">
        <v>103</v>
      </c>
      <c r="M93" s="14" t="s">
        <v>104</v>
      </c>
      <c r="N93" s="14">
        <v>2022</v>
      </c>
      <c r="O93" s="14">
        <v>1</v>
      </c>
      <c r="P93" s="14" t="s">
        <v>105</v>
      </c>
      <c r="Q93" s="14">
        <v>1</v>
      </c>
      <c r="R93" s="14">
        <v>0</v>
      </c>
      <c r="S93" s="17" t="s">
        <v>54</v>
      </c>
      <c r="T93" s="18">
        <v>0</v>
      </c>
      <c r="U93" s="37">
        <v>30</v>
      </c>
      <c r="V93" s="19">
        <v>1</v>
      </c>
      <c r="W93" s="14">
        <v>0</v>
      </c>
      <c r="X93" s="14">
        <v>21</v>
      </c>
      <c r="Y93" s="14">
        <v>16</v>
      </c>
      <c r="Z93" s="14">
        <v>0</v>
      </c>
      <c r="AA93" s="14">
        <f>Tabla13[[#This Row],[CheckList App]]+Tabla13[[#This Row],[CheckList Fisc]]</f>
        <v>16</v>
      </c>
      <c r="AB93" s="19">
        <f t="shared" si="1"/>
        <v>0.76190476190476186</v>
      </c>
      <c r="AC93" s="14">
        <v>0</v>
      </c>
      <c r="AD93" s="14" t="s">
        <v>54</v>
      </c>
      <c r="AE93" s="15" t="str">
        <f>IFERROR((VLOOKUP(Tabla13[[#This Row],[ID]],[1]!Mtto_Pesv[[#Headers],[#Data],[Placa]:[Rutina]],2,FALSE)),"-")</f>
        <v>-</v>
      </c>
      <c r="AF93" s="14">
        <v>0</v>
      </c>
      <c r="AG93" s="20">
        <f>IFERROR((VLOOKUP(Tabla13[[#This Row],[ID]],[1]!Mtto_Pesv[[#Headers],[#Data],[Placa]:[Rutina]],3,FALSE)),0)</f>
        <v>0</v>
      </c>
      <c r="AH93" s="20">
        <f>IFERROR((VLOOKUP(Tabla13[[#This Row],[ID]],[1]!Mtto_Pesv[[#Headers],[#Data],[Placa]:[Rutina]],7,FALSE)),0)</f>
        <v>0</v>
      </c>
      <c r="AI93" s="20">
        <f>IFERROR((VLOOKUP(Tabla13[[#This Row],[ID]],[1]!Mtto_Pesv[[#Headers],[#Data],[Placa]:[Rutina]],8,FALSE)),0)</f>
        <v>0</v>
      </c>
      <c r="AJ93" s="20" t="str">
        <f>IFERROR((VLOOKUP(Tabla13[[#This Row],[ID]],[1]!Mtto_Pesv[[#Headers],[#Data],[Placa]:[Rutina]],9,FALSE)),"-")</f>
        <v>-</v>
      </c>
      <c r="AK93" s="20">
        <f>IFERROR((VLOOKUP(Tabla13[[#This Row],[ID]],[1]!Mtto_Pesv[[#Headers],[#Data],[Placa]:[Rutina]],10,FALSE)),0)</f>
        <v>0</v>
      </c>
      <c r="AL93" s="20">
        <f>IF(Tabla13[[#This Row],[Km Anterior]]=0,0,Tabla13[[#This Row],[Km Ejecut]]-Tabla13[[#This Row],[Km Anterior]])</f>
        <v>0</v>
      </c>
      <c r="AM93" s="20">
        <f>IFERROR((VLOOKUP(Tabla13[[#This Row],[ID]],[1]!Mtto_Pesv[[#Headers],[#Data],[Placa]:[Rutina]],4,FALSE)),0)</f>
        <v>0</v>
      </c>
      <c r="AN93" s="21">
        <f>IFERROR((VLOOKUP(Tabla13[[#This Row],[ID]],[1]!Mtto_Pesv[[#Headers],[#Data],[Placa]:[Rutina]],5,FALSE)),0)</f>
        <v>0</v>
      </c>
      <c r="AO93" s="21">
        <f>+Tabla13[[#This Row],[Km Fin]]-Tabla13[[#This Row],[Km Ini]]</f>
        <v>0</v>
      </c>
      <c r="AP93" s="20">
        <f>IFERROR((VLOOKUP(Tabla13[[#This Row],[ID]],[1]!Estilo_Conduccion[[#All],[Placa]:[Puntuacion]],15,FALSE)),0)</f>
        <v>3294.4</v>
      </c>
      <c r="AQ93" s="15" t="s">
        <v>1137</v>
      </c>
      <c r="AR93" s="15" t="s">
        <v>1138</v>
      </c>
      <c r="AS93" s="20">
        <v>1650</v>
      </c>
      <c r="AT93" s="21">
        <v>7317.75</v>
      </c>
      <c r="AU93" s="21">
        <f>(Tabla13[[#This Row],[Cap Vh]]*$AX$2)*0.56</f>
        <v>0</v>
      </c>
      <c r="AV93" s="36" t="e">
        <f>(Tabla13[[#This Row],[Cap Util (kg)]]/(Tabla13[[#This Row],[Cap Inst (Kg)]]))</f>
        <v>#DIV/0!</v>
      </c>
    </row>
    <row r="94" spans="1:48" x14ac:dyDescent="0.25">
      <c r="A94" s="13" t="s">
        <v>1068</v>
      </c>
      <c r="B94" s="14" t="s">
        <v>217</v>
      </c>
      <c r="C94" s="14" t="s">
        <v>44</v>
      </c>
      <c r="D94" s="14" t="s">
        <v>44</v>
      </c>
      <c r="E94" s="14" t="s">
        <v>45</v>
      </c>
      <c r="F94" s="14" t="s">
        <v>64</v>
      </c>
      <c r="G94" s="15" t="s">
        <v>182</v>
      </c>
      <c r="H94" s="13" t="s">
        <v>199</v>
      </c>
      <c r="I94" s="14" t="s">
        <v>49</v>
      </c>
      <c r="J94" s="14">
        <v>901253015</v>
      </c>
      <c r="K94" s="14" t="s">
        <v>185</v>
      </c>
      <c r="L94" s="14" t="s">
        <v>103</v>
      </c>
      <c r="M94" s="14" t="s">
        <v>104</v>
      </c>
      <c r="N94" s="14">
        <v>2022</v>
      </c>
      <c r="O94" s="14">
        <v>1</v>
      </c>
      <c r="P94" s="14" t="s">
        <v>105</v>
      </c>
      <c r="Q94" s="14">
        <v>1</v>
      </c>
      <c r="R94" s="14">
        <v>0</v>
      </c>
      <c r="S94" s="17" t="s">
        <v>54</v>
      </c>
      <c r="T94" s="18">
        <v>0</v>
      </c>
      <c r="U94" s="37">
        <v>30</v>
      </c>
      <c r="V94" s="19">
        <v>1</v>
      </c>
      <c r="W94" s="14">
        <v>0</v>
      </c>
      <c r="X94" s="14">
        <v>30</v>
      </c>
      <c r="Y94" s="14">
        <v>28</v>
      </c>
      <c r="Z94" s="14">
        <v>0</v>
      </c>
      <c r="AA94" s="14">
        <f>Tabla13[[#This Row],[CheckList App]]+Tabla13[[#This Row],[CheckList Fisc]]</f>
        <v>28</v>
      </c>
      <c r="AB94" s="19">
        <f t="shared" si="1"/>
        <v>0.93333333333333335</v>
      </c>
      <c r="AC94" s="14">
        <v>0</v>
      </c>
      <c r="AD94" s="14" t="s">
        <v>54</v>
      </c>
      <c r="AE94" s="15" t="str">
        <f>IFERROR((VLOOKUP(Tabla13[[#This Row],[ID]],[1]!Mtto_Pesv[[#Headers],[#Data],[Placa]:[Rutina]],2,FALSE)),"-")</f>
        <v>-</v>
      </c>
      <c r="AF94" s="14">
        <v>0</v>
      </c>
      <c r="AG94" s="20">
        <f>IFERROR((VLOOKUP(Tabla13[[#This Row],[ID]],[1]!Mtto_Pesv[[#Headers],[#Data],[Placa]:[Rutina]],3,FALSE)),0)</f>
        <v>0</v>
      </c>
      <c r="AH94" s="20">
        <f>IFERROR((VLOOKUP(Tabla13[[#This Row],[ID]],[1]!Mtto_Pesv[[#Headers],[#Data],[Placa]:[Rutina]],7,FALSE)),0)</f>
        <v>0</v>
      </c>
      <c r="AI94" s="20">
        <f>IFERROR((VLOOKUP(Tabla13[[#This Row],[ID]],[1]!Mtto_Pesv[[#Headers],[#Data],[Placa]:[Rutina]],8,FALSE)),0)</f>
        <v>0</v>
      </c>
      <c r="AJ94" s="20" t="str">
        <f>IFERROR((VLOOKUP(Tabla13[[#This Row],[ID]],[1]!Mtto_Pesv[[#Headers],[#Data],[Placa]:[Rutina]],9,FALSE)),"-")</f>
        <v>-</v>
      </c>
      <c r="AK94" s="20">
        <f>IFERROR((VLOOKUP(Tabla13[[#This Row],[ID]],[1]!Mtto_Pesv[[#Headers],[#Data],[Placa]:[Rutina]],10,FALSE)),0)</f>
        <v>0</v>
      </c>
      <c r="AL94" s="20">
        <f>IF(Tabla13[[#This Row],[Km Anterior]]=0,0,Tabla13[[#This Row],[Km Ejecut]]-Tabla13[[#This Row],[Km Anterior]])</f>
        <v>0</v>
      </c>
      <c r="AM94" s="20">
        <f>IFERROR((VLOOKUP(Tabla13[[#This Row],[ID]],[1]!Mtto_Pesv[[#Headers],[#Data],[Placa]:[Rutina]],4,FALSE)),0)</f>
        <v>0</v>
      </c>
      <c r="AN94" s="21">
        <f>IFERROR((VLOOKUP(Tabla13[[#This Row],[ID]],[1]!Mtto_Pesv[[#Headers],[#Data],[Placa]:[Rutina]],5,FALSE)),0)</f>
        <v>0</v>
      </c>
      <c r="AO94" s="21">
        <f>+Tabla13[[#This Row],[Km Fin]]-Tabla13[[#This Row],[Km Ini]]</f>
        <v>0</v>
      </c>
      <c r="AP94" s="20">
        <f>IFERROR((VLOOKUP(Tabla13[[#This Row],[ID]],[1]!Estilo_Conduccion[[#All],[Placa]:[Puntuacion]],15,FALSE)),0)</f>
        <v>1004.1</v>
      </c>
      <c r="AQ94" s="15" t="s">
        <v>1139</v>
      </c>
      <c r="AR94" s="15" t="s">
        <v>1140</v>
      </c>
      <c r="AS94" s="20">
        <v>1650</v>
      </c>
      <c r="AT94" s="21">
        <v>7728</v>
      </c>
      <c r="AU94" s="21">
        <f>(Tabla13[[#This Row],[Cap Vh]]*$AX$2)*0.56</f>
        <v>0</v>
      </c>
      <c r="AV94" s="36" t="e">
        <f>(Tabla13[[#This Row],[Cap Util (kg)]]/(Tabla13[[#This Row],[Cap Inst (Kg)]]))</f>
        <v>#DIV/0!</v>
      </c>
    </row>
    <row r="95" spans="1:48" x14ac:dyDescent="0.25">
      <c r="A95" s="13" t="s">
        <v>1068</v>
      </c>
      <c r="B95" s="14" t="s">
        <v>218</v>
      </c>
      <c r="C95" s="14" t="s">
        <v>44</v>
      </c>
      <c r="D95" s="14" t="s">
        <v>44</v>
      </c>
      <c r="E95" s="14" t="s">
        <v>45</v>
      </c>
      <c r="F95" s="14" t="s">
        <v>64</v>
      </c>
      <c r="G95" s="15" t="s">
        <v>182</v>
      </c>
      <c r="H95" s="13" t="s">
        <v>199</v>
      </c>
      <c r="I95" s="14" t="s">
        <v>49</v>
      </c>
      <c r="J95" s="14">
        <v>901253015</v>
      </c>
      <c r="K95" s="14" t="s">
        <v>185</v>
      </c>
      <c r="L95" s="14" t="s">
        <v>103</v>
      </c>
      <c r="M95" s="14" t="s">
        <v>104</v>
      </c>
      <c r="N95" s="14">
        <v>2022</v>
      </c>
      <c r="O95" s="14">
        <v>1</v>
      </c>
      <c r="P95" s="14" t="s">
        <v>105</v>
      </c>
      <c r="Q95" s="14">
        <v>1</v>
      </c>
      <c r="R95" s="14">
        <v>0</v>
      </c>
      <c r="S95" s="17" t="s">
        <v>54</v>
      </c>
      <c r="T95" s="18">
        <v>0</v>
      </c>
      <c r="U95" s="37">
        <v>30</v>
      </c>
      <c r="V95" s="19">
        <v>1</v>
      </c>
      <c r="W95" s="14">
        <v>0</v>
      </c>
      <c r="X95" s="14">
        <v>27</v>
      </c>
      <c r="Y95" s="14">
        <v>12</v>
      </c>
      <c r="Z95" s="14">
        <v>0</v>
      </c>
      <c r="AA95" s="14">
        <f>Tabla13[[#This Row],[CheckList App]]+Tabla13[[#This Row],[CheckList Fisc]]</f>
        <v>12</v>
      </c>
      <c r="AB95" s="19">
        <f t="shared" si="1"/>
        <v>0.44444444444444442</v>
      </c>
      <c r="AC95" s="14">
        <v>0</v>
      </c>
      <c r="AD95" s="14" t="s">
        <v>54</v>
      </c>
      <c r="AE95" s="15" t="str">
        <f>IFERROR((VLOOKUP(Tabla13[[#This Row],[ID]],[1]!Mtto_Pesv[[#Headers],[#Data],[Placa]:[Rutina]],2,FALSE)),"-")</f>
        <v>-</v>
      </c>
      <c r="AF95" s="14">
        <v>0</v>
      </c>
      <c r="AG95" s="20">
        <f>IFERROR((VLOOKUP(Tabla13[[#This Row],[ID]],[1]!Mtto_Pesv[[#Headers],[#Data],[Placa]:[Rutina]],3,FALSE)),0)</f>
        <v>0</v>
      </c>
      <c r="AH95" s="20">
        <f>IFERROR((VLOOKUP(Tabla13[[#This Row],[ID]],[1]!Mtto_Pesv[[#Headers],[#Data],[Placa]:[Rutina]],7,FALSE)),0)</f>
        <v>0</v>
      </c>
      <c r="AI95" s="20">
        <f>IFERROR((VLOOKUP(Tabla13[[#This Row],[ID]],[1]!Mtto_Pesv[[#Headers],[#Data],[Placa]:[Rutina]],8,FALSE)),0)</f>
        <v>0</v>
      </c>
      <c r="AJ95" s="20" t="str">
        <f>IFERROR((VLOOKUP(Tabla13[[#This Row],[ID]],[1]!Mtto_Pesv[[#Headers],[#Data],[Placa]:[Rutina]],9,FALSE)),"-")</f>
        <v>-</v>
      </c>
      <c r="AK95" s="20">
        <f>IFERROR((VLOOKUP(Tabla13[[#This Row],[ID]],[1]!Mtto_Pesv[[#Headers],[#Data],[Placa]:[Rutina]],10,FALSE)),0)</f>
        <v>0</v>
      </c>
      <c r="AL95" s="20">
        <f>IF(Tabla13[[#This Row],[Km Anterior]]=0,0,Tabla13[[#This Row],[Km Ejecut]]-Tabla13[[#This Row],[Km Anterior]])</f>
        <v>0</v>
      </c>
      <c r="AM95" s="20">
        <f>IFERROR((VLOOKUP(Tabla13[[#This Row],[ID]],[1]!Mtto_Pesv[[#Headers],[#Data],[Placa]:[Rutina]],4,FALSE)),0)</f>
        <v>0</v>
      </c>
      <c r="AN95" s="21">
        <f>IFERROR((VLOOKUP(Tabla13[[#This Row],[ID]],[1]!Mtto_Pesv[[#Headers],[#Data],[Placa]:[Rutina]],5,FALSE)),0)</f>
        <v>0</v>
      </c>
      <c r="AO95" s="21">
        <f>+Tabla13[[#This Row],[Km Fin]]-Tabla13[[#This Row],[Km Ini]]</f>
        <v>0</v>
      </c>
      <c r="AP95" s="20">
        <f>IFERROR((VLOOKUP(Tabla13[[#This Row],[ID]],[1]!Estilo_Conduccion[[#All],[Placa]:[Puntuacion]],15,FALSE)),0)</f>
        <v>1928.6000000000001</v>
      </c>
      <c r="AQ95" s="15" t="s">
        <v>1141</v>
      </c>
      <c r="AR95" s="15" t="s">
        <v>1142</v>
      </c>
      <c r="AS95" s="20">
        <v>1650</v>
      </c>
      <c r="AT95" s="21">
        <v>525.75</v>
      </c>
      <c r="AU95" s="21">
        <f>(Tabla13[[#This Row],[Cap Vh]]*$AX$2)*0.56</f>
        <v>0</v>
      </c>
      <c r="AV95" s="36" t="e">
        <f>(Tabla13[[#This Row],[Cap Util (kg)]]/(Tabla13[[#This Row],[Cap Inst (Kg)]]))</f>
        <v>#DIV/0!</v>
      </c>
    </row>
    <row r="96" spans="1:48" x14ac:dyDescent="0.25">
      <c r="A96" s="13" t="s">
        <v>1068</v>
      </c>
      <c r="B96" s="14" t="s">
        <v>219</v>
      </c>
      <c r="C96" s="14" t="s">
        <v>44</v>
      </c>
      <c r="D96" s="14" t="s">
        <v>44</v>
      </c>
      <c r="E96" s="14" t="s">
        <v>45</v>
      </c>
      <c r="F96" s="14" t="s">
        <v>64</v>
      </c>
      <c r="G96" s="15" t="s">
        <v>182</v>
      </c>
      <c r="H96" s="13" t="s">
        <v>199</v>
      </c>
      <c r="I96" s="14" t="s">
        <v>49</v>
      </c>
      <c r="J96" s="14">
        <v>901253015</v>
      </c>
      <c r="K96" s="14" t="s">
        <v>185</v>
      </c>
      <c r="L96" s="14" t="s">
        <v>103</v>
      </c>
      <c r="M96" s="14" t="s">
        <v>104</v>
      </c>
      <c r="N96" s="14">
        <v>2022</v>
      </c>
      <c r="O96" s="14">
        <v>1</v>
      </c>
      <c r="P96" s="14" t="s">
        <v>105</v>
      </c>
      <c r="Q96" s="14">
        <v>1</v>
      </c>
      <c r="R96" s="14">
        <v>0</v>
      </c>
      <c r="S96" s="17" t="s">
        <v>54</v>
      </c>
      <c r="T96" s="18">
        <v>0</v>
      </c>
      <c r="U96" s="37">
        <v>30</v>
      </c>
      <c r="V96" s="19">
        <v>1</v>
      </c>
      <c r="W96" s="14">
        <v>0</v>
      </c>
      <c r="X96" s="14">
        <v>9</v>
      </c>
      <c r="Y96" s="14">
        <v>6</v>
      </c>
      <c r="Z96" s="14">
        <v>0</v>
      </c>
      <c r="AA96" s="14">
        <f>Tabla13[[#This Row],[CheckList App]]+Tabla13[[#This Row],[CheckList Fisc]]</f>
        <v>6</v>
      </c>
      <c r="AB96" s="19">
        <f t="shared" si="1"/>
        <v>0.66666666666666663</v>
      </c>
      <c r="AC96" s="14">
        <v>0</v>
      </c>
      <c r="AD96" s="14" t="s">
        <v>54</v>
      </c>
      <c r="AE96" s="15" t="str">
        <f>IFERROR((VLOOKUP(Tabla13[[#This Row],[ID]],[1]!Mtto_Pesv[[#Headers],[#Data],[Placa]:[Rutina]],2,FALSE)),"-")</f>
        <v>-</v>
      </c>
      <c r="AF96" s="14">
        <v>0</v>
      </c>
      <c r="AG96" s="20">
        <f>IFERROR((VLOOKUP(Tabla13[[#This Row],[ID]],[1]!Mtto_Pesv[[#Headers],[#Data],[Placa]:[Rutina]],3,FALSE)),0)</f>
        <v>0</v>
      </c>
      <c r="AH96" s="20">
        <f>IFERROR((VLOOKUP(Tabla13[[#This Row],[ID]],[1]!Mtto_Pesv[[#Headers],[#Data],[Placa]:[Rutina]],7,FALSE)),0)</f>
        <v>0</v>
      </c>
      <c r="AI96" s="20">
        <f>IFERROR((VLOOKUP(Tabla13[[#This Row],[ID]],[1]!Mtto_Pesv[[#Headers],[#Data],[Placa]:[Rutina]],8,FALSE)),0)</f>
        <v>0</v>
      </c>
      <c r="AJ96" s="20" t="str">
        <f>IFERROR((VLOOKUP(Tabla13[[#This Row],[ID]],[1]!Mtto_Pesv[[#Headers],[#Data],[Placa]:[Rutina]],9,FALSE)),"-")</f>
        <v>-</v>
      </c>
      <c r="AK96" s="20">
        <f>IFERROR((VLOOKUP(Tabla13[[#This Row],[ID]],[1]!Mtto_Pesv[[#Headers],[#Data],[Placa]:[Rutina]],10,FALSE)),0)</f>
        <v>0</v>
      </c>
      <c r="AL96" s="20">
        <f>IF(Tabla13[[#This Row],[Km Anterior]]=0,0,Tabla13[[#This Row],[Km Ejecut]]-Tabla13[[#This Row],[Km Anterior]])</f>
        <v>0</v>
      </c>
      <c r="AM96" s="20">
        <f>IFERROR((VLOOKUP(Tabla13[[#This Row],[ID]],[1]!Mtto_Pesv[[#Headers],[#Data],[Placa]:[Rutina]],4,FALSE)),0)</f>
        <v>0</v>
      </c>
      <c r="AN96" s="21">
        <f>IFERROR((VLOOKUP(Tabla13[[#This Row],[ID]],[1]!Mtto_Pesv[[#Headers],[#Data],[Placa]:[Rutina]],5,FALSE)),0)</f>
        <v>0</v>
      </c>
      <c r="AO96" s="21">
        <f>+Tabla13[[#This Row],[Km Fin]]-Tabla13[[#This Row],[Km Ini]]</f>
        <v>0</v>
      </c>
      <c r="AP96" s="20">
        <f>IFERROR((VLOOKUP(Tabla13[[#This Row],[ID]],[1]!Estilo_Conduccion[[#All],[Placa]:[Puntuacion]],15,FALSE)),0)</f>
        <v>1126.5999999999999</v>
      </c>
      <c r="AQ96" s="15" t="s">
        <v>1137</v>
      </c>
      <c r="AR96" s="15" t="s">
        <v>1138</v>
      </c>
      <c r="AS96" s="20">
        <v>1650</v>
      </c>
      <c r="AT96" s="21">
        <v>7317.75</v>
      </c>
      <c r="AU96" s="21">
        <f>(Tabla13[[#This Row],[Cap Vh]]*$AX$2)*0.56</f>
        <v>0</v>
      </c>
      <c r="AV96" s="36" t="e">
        <f>(Tabla13[[#This Row],[Cap Util (kg)]]/(Tabla13[[#This Row],[Cap Inst (Kg)]]))</f>
        <v>#DIV/0!</v>
      </c>
    </row>
    <row r="97" spans="1:48" x14ac:dyDescent="0.25">
      <c r="A97" s="13" t="s">
        <v>1068</v>
      </c>
      <c r="B97" s="14" t="s">
        <v>220</v>
      </c>
      <c r="C97" s="14" t="s">
        <v>44</v>
      </c>
      <c r="D97" s="14" t="s">
        <v>44</v>
      </c>
      <c r="E97" s="14" t="s">
        <v>69</v>
      </c>
      <c r="F97" s="14" t="s">
        <v>64</v>
      </c>
      <c r="G97" s="15" t="s">
        <v>182</v>
      </c>
      <c r="H97" s="13" t="s">
        <v>199</v>
      </c>
      <c r="I97" s="14" t="s">
        <v>49</v>
      </c>
      <c r="J97" s="14">
        <v>901253015</v>
      </c>
      <c r="K97" s="14" t="s">
        <v>185</v>
      </c>
      <c r="L97" s="14" t="s">
        <v>103</v>
      </c>
      <c r="M97" s="14" t="s">
        <v>104</v>
      </c>
      <c r="N97" s="14">
        <v>2022</v>
      </c>
      <c r="O97" s="14">
        <v>1</v>
      </c>
      <c r="P97" s="14" t="s">
        <v>105</v>
      </c>
      <c r="Q97" s="14">
        <v>1</v>
      </c>
      <c r="R97" s="14">
        <v>0</v>
      </c>
      <c r="S97" s="17" t="s">
        <v>54</v>
      </c>
      <c r="T97" s="18">
        <v>0</v>
      </c>
      <c r="U97" s="37">
        <v>30</v>
      </c>
      <c r="V97" s="19">
        <v>1</v>
      </c>
      <c r="W97" s="14">
        <v>0</v>
      </c>
      <c r="X97" s="14">
        <v>25</v>
      </c>
      <c r="Y97" s="14">
        <v>25</v>
      </c>
      <c r="Z97" s="14">
        <v>0</v>
      </c>
      <c r="AA97" s="14">
        <f>Tabla13[[#This Row],[CheckList App]]+Tabla13[[#This Row],[CheckList Fisc]]</f>
        <v>25</v>
      </c>
      <c r="AB97" s="19">
        <f t="shared" si="1"/>
        <v>1</v>
      </c>
      <c r="AC97" s="14">
        <v>0</v>
      </c>
      <c r="AD97" s="14" t="s">
        <v>54</v>
      </c>
      <c r="AE97" s="15" t="str">
        <f>IFERROR((VLOOKUP(Tabla13[[#This Row],[ID]],[1]!Mtto_Pesv[[#Headers],[#Data],[Placa]:[Rutina]],2,FALSE)),"-")</f>
        <v>-</v>
      </c>
      <c r="AF97" s="14">
        <v>0</v>
      </c>
      <c r="AG97" s="20">
        <f>IFERROR((VLOOKUP(Tabla13[[#This Row],[ID]],[1]!Mtto_Pesv[[#Headers],[#Data],[Placa]:[Rutina]],3,FALSE)),0)</f>
        <v>0</v>
      </c>
      <c r="AH97" s="20">
        <f>IFERROR((VLOOKUP(Tabla13[[#This Row],[ID]],[1]!Mtto_Pesv[[#Headers],[#Data],[Placa]:[Rutina]],7,FALSE)),0)</f>
        <v>0</v>
      </c>
      <c r="AI97" s="20">
        <f>IFERROR((VLOOKUP(Tabla13[[#This Row],[ID]],[1]!Mtto_Pesv[[#Headers],[#Data],[Placa]:[Rutina]],8,FALSE)),0)</f>
        <v>0</v>
      </c>
      <c r="AJ97" s="20" t="str">
        <f>IFERROR((VLOOKUP(Tabla13[[#This Row],[ID]],[1]!Mtto_Pesv[[#Headers],[#Data],[Placa]:[Rutina]],9,FALSE)),"-")</f>
        <v>-</v>
      </c>
      <c r="AK97" s="20">
        <f>IFERROR((VLOOKUP(Tabla13[[#This Row],[ID]],[1]!Mtto_Pesv[[#Headers],[#Data],[Placa]:[Rutina]],10,FALSE)),0)</f>
        <v>0</v>
      </c>
      <c r="AL97" s="20">
        <f>IF(Tabla13[[#This Row],[Km Anterior]]=0,0,Tabla13[[#This Row],[Km Ejecut]]-Tabla13[[#This Row],[Km Anterior]])</f>
        <v>0</v>
      </c>
      <c r="AM97" s="20">
        <f>IFERROR((VLOOKUP(Tabla13[[#This Row],[ID]],[1]!Mtto_Pesv[[#Headers],[#Data],[Placa]:[Rutina]],4,FALSE)),0)</f>
        <v>0</v>
      </c>
      <c r="AN97" s="21">
        <f>IFERROR((VLOOKUP(Tabla13[[#This Row],[ID]],[1]!Mtto_Pesv[[#Headers],[#Data],[Placa]:[Rutina]],5,FALSE)),0)</f>
        <v>0</v>
      </c>
      <c r="AO97" s="21">
        <f>+Tabla13[[#This Row],[Km Fin]]-Tabla13[[#This Row],[Km Ini]]</f>
        <v>0</v>
      </c>
      <c r="AP97" s="20">
        <f>IFERROR((VLOOKUP(Tabla13[[#This Row],[ID]],[1]!Estilo_Conduccion[[#All],[Placa]:[Puntuacion]],15,FALSE)),0)</f>
        <v>492.9</v>
      </c>
      <c r="AQ97" s="15" t="s">
        <v>1143</v>
      </c>
      <c r="AR97" s="15" t="s">
        <v>1144</v>
      </c>
      <c r="AS97" s="20">
        <v>1650</v>
      </c>
      <c r="AT97" s="21">
        <v>11328</v>
      </c>
      <c r="AU97" s="21">
        <f>(Tabla13[[#This Row],[Cap Vh]]*$AX$2)*0.56</f>
        <v>0</v>
      </c>
      <c r="AV97" s="36" t="e">
        <f>(Tabla13[[#This Row],[Cap Util (kg)]]/(Tabla13[[#This Row],[Cap Inst (Kg)]]))</f>
        <v>#DIV/0!</v>
      </c>
    </row>
    <row r="98" spans="1:48" x14ac:dyDescent="0.25">
      <c r="A98" s="13" t="s">
        <v>1068</v>
      </c>
      <c r="B98" s="14" t="s">
        <v>221</v>
      </c>
      <c r="C98" s="14" t="s">
        <v>44</v>
      </c>
      <c r="D98" s="14" t="s">
        <v>44</v>
      </c>
      <c r="E98" s="14" t="s">
        <v>69</v>
      </c>
      <c r="F98" s="14" t="s">
        <v>64</v>
      </c>
      <c r="G98" s="15" t="s">
        <v>182</v>
      </c>
      <c r="H98" s="13" t="s">
        <v>199</v>
      </c>
      <c r="I98" s="14" t="s">
        <v>49</v>
      </c>
      <c r="J98" s="14">
        <v>901253015</v>
      </c>
      <c r="K98" s="14" t="s">
        <v>185</v>
      </c>
      <c r="L98" s="14" t="s">
        <v>103</v>
      </c>
      <c r="M98" s="14" t="s">
        <v>104</v>
      </c>
      <c r="N98" s="14">
        <v>2022</v>
      </c>
      <c r="O98" s="14">
        <v>1</v>
      </c>
      <c r="P98" s="14" t="s">
        <v>105</v>
      </c>
      <c r="Q98" s="14">
        <v>1</v>
      </c>
      <c r="R98" s="14">
        <v>0</v>
      </c>
      <c r="S98" s="17" t="s">
        <v>54</v>
      </c>
      <c r="T98" s="18">
        <v>0</v>
      </c>
      <c r="U98" s="37">
        <v>30</v>
      </c>
      <c r="V98" s="19">
        <v>1</v>
      </c>
      <c r="W98" s="14">
        <v>0</v>
      </c>
      <c r="X98" s="14">
        <v>28</v>
      </c>
      <c r="Y98" s="14">
        <v>22</v>
      </c>
      <c r="Z98" s="14">
        <v>0</v>
      </c>
      <c r="AA98" s="14">
        <f>Tabla13[[#This Row],[CheckList App]]+Tabla13[[#This Row],[CheckList Fisc]]</f>
        <v>22</v>
      </c>
      <c r="AB98" s="19">
        <f t="shared" si="1"/>
        <v>0.7857142857142857</v>
      </c>
      <c r="AC98" s="14">
        <v>0</v>
      </c>
      <c r="AD98" s="14" t="s">
        <v>54</v>
      </c>
      <c r="AE98" s="15" t="str">
        <f>IFERROR((VLOOKUP(Tabla13[[#This Row],[ID]],[1]!Mtto_Pesv[[#Headers],[#Data],[Placa]:[Rutina]],2,FALSE)),"-")</f>
        <v>-</v>
      </c>
      <c r="AF98" s="14">
        <v>0</v>
      </c>
      <c r="AG98" s="20">
        <f>IFERROR((VLOOKUP(Tabla13[[#This Row],[ID]],[1]!Mtto_Pesv[[#Headers],[#Data],[Placa]:[Rutina]],3,FALSE)),0)</f>
        <v>0</v>
      </c>
      <c r="AH98" s="20">
        <f>IFERROR((VLOOKUP(Tabla13[[#This Row],[ID]],[1]!Mtto_Pesv[[#Headers],[#Data],[Placa]:[Rutina]],7,FALSE)),0)</f>
        <v>0</v>
      </c>
      <c r="AI98" s="20">
        <f>IFERROR((VLOOKUP(Tabla13[[#This Row],[ID]],[1]!Mtto_Pesv[[#Headers],[#Data],[Placa]:[Rutina]],8,FALSE)),0)</f>
        <v>0</v>
      </c>
      <c r="AJ98" s="20" t="str">
        <f>IFERROR((VLOOKUP(Tabla13[[#This Row],[ID]],[1]!Mtto_Pesv[[#Headers],[#Data],[Placa]:[Rutina]],9,FALSE)),"-")</f>
        <v>-</v>
      </c>
      <c r="AK98" s="20">
        <f>IFERROR((VLOOKUP(Tabla13[[#This Row],[ID]],[1]!Mtto_Pesv[[#Headers],[#Data],[Placa]:[Rutina]],10,FALSE)),0)</f>
        <v>0</v>
      </c>
      <c r="AL98" s="20">
        <f>IF(Tabla13[[#This Row],[Km Anterior]]=0,0,Tabla13[[#This Row],[Km Ejecut]]-Tabla13[[#This Row],[Km Anterior]])</f>
        <v>0</v>
      </c>
      <c r="AM98" s="20">
        <f>IFERROR((VLOOKUP(Tabla13[[#This Row],[ID]],[1]!Mtto_Pesv[[#Headers],[#Data],[Placa]:[Rutina]],4,FALSE)),0)</f>
        <v>0</v>
      </c>
      <c r="AN98" s="21">
        <f>IFERROR((VLOOKUP(Tabla13[[#This Row],[ID]],[1]!Mtto_Pesv[[#Headers],[#Data],[Placa]:[Rutina]],5,FALSE)),0)</f>
        <v>0</v>
      </c>
      <c r="AO98" s="21">
        <f>+Tabla13[[#This Row],[Km Fin]]-Tabla13[[#This Row],[Km Ini]]</f>
        <v>0</v>
      </c>
      <c r="AP98" s="20">
        <f>IFERROR((VLOOKUP(Tabla13[[#This Row],[ID]],[1]!Estilo_Conduccion[[#All],[Placa]:[Puntuacion]],15,FALSE)),0)</f>
        <v>1216</v>
      </c>
      <c r="AQ98" s="15" t="s">
        <v>1145</v>
      </c>
      <c r="AR98" s="15" t="s">
        <v>1146</v>
      </c>
      <c r="AS98" s="20">
        <v>1650</v>
      </c>
      <c r="AT98" s="21">
        <v>4626</v>
      </c>
      <c r="AU98" s="21">
        <f>(Tabla13[[#This Row],[Cap Vh]]*$AX$2)*0.56</f>
        <v>0</v>
      </c>
      <c r="AV98" s="36" t="e">
        <f>(Tabla13[[#This Row],[Cap Util (kg)]]/(Tabla13[[#This Row],[Cap Inst (Kg)]]))</f>
        <v>#DIV/0!</v>
      </c>
    </row>
    <row r="99" spans="1:48" x14ac:dyDescent="0.25">
      <c r="A99" s="13" t="s">
        <v>1068</v>
      </c>
      <c r="B99" s="14" t="s">
        <v>222</v>
      </c>
      <c r="C99" s="14" t="s">
        <v>44</v>
      </c>
      <c r="D99" s="14" t="s">
        <v>44</v>
      </c>
      <c r="E99" s="14" t="s">
        <v>60</v>
      </c>
      <c r="F99" s="14" t="s">
        <v>46</v>
      </c>
      <c r="G99" s="15" t="s">
        <v>47</v>
      </c>
      <c r="H99" s="16" t="s">
        <v>48</v>
      </c>
      <c r="I99" s="14" t="s">
        <v>49</v>
      </c>
      <c r="J99" s="14">
        <v>830064700</v>
      </c>
      <c r="K99" s="14" t="s">
        <v>50</v>
      </c>
      <c r="L99" s="14" t="s">
        <v>96</v>
      </c>
      <c r="M99" s="14" t="s">
        <v>97</v>
      </c>
      <c r="N99" s="14">
        <v>2012</v>
      </c>
      <c r="O99" s="14">
        <v>8</v>
      </c>
      <c r="P99" s="14" t="s">
        <v>53</v>
      </c>
      <c r="Q99" s="14">
        <v>0</v>
      </c>
      <c r="R99" s="14">
        <v>0</v>
      </c>
      <c r="S99" s="17" t="s">
        <v>54</v>
      </c>
      <c r="T99" s="18">
        <v>0</v>
      </c>
      <c r="U99" s="14">
        <v>0</v>
      </c>
      <c r="V99" s="19">
        <v>0</v>
      </c>
      <c r="W99" s="14">
        <v>0</v>
      </c>
      <c r="X99" s="14">
        <v>0</v>
      </c>
      <c r="Y99" s="14">
        <v>0</v>
      </c>
      <c r="Z99" s="14">
        <v>0</v>
      </c>
      <c r="AA99" s="14">
        <f>Tabla13[[#This Row],[CheckList App]]+Tabla13[[#This Row],[CheckList Fisc]]</f>
        <v>0</v>
      </c>
      <c r="AB99" s="19" t="str">
        <f t="shared" si="1"/>
        <v/>
      </c>
      <c r="AC99" s="14">
        <v>0</v>
      </c>
      <c r="AD99" s="14" t="s">
        <v>55</v>
      </c>
      <c r="AE99" s="15" t="str">
        <f>IFERROR((VLOOKUP(Tabla13[[#This Row],[ID]],[1]!Mtto_Pesv[[#Headers],[#Data],[Placa]:[Rutina]],2,FALSE)),"-")</f>
        <v>-</v>
      </c>
      <c r="AF99" s="14">
        <v>0</v>
      </c>
      <c r="AG99" s="20">
        <f>IFERROR((VLOOKUP(Tabla13[[#This Row],[ID]],[1]!Mtto_Pesv[[#Headers],[#Data],[Placa]:[Rutina]],3,FALSE)),0)</f>
        <v>0</v>
      </c>
      <c r="AH99" s="20">
        <f>IFERROR((VLOOKUP(Tabla13[[#This Row],[ID]],[1]!Mtto_Pesv[[#Headers],[#Data],[Placa]:[Rutina]],7,FALSE)),0)</f>
        <v>0</v>
      </c>
      <c r="AI99" s="20">
        <f>IFERROR((VLOOKUP(Tabla13[[#This Row],[ID]],[1]!Mtto_Pesv[[#Headers],[#Data],[Placa]:[Rutina]],8,FALSE)),0)</f>
        <v>0</v>
      </c>
      <c r="AJ99" s="20" t="str">
        <f>IFERROR((VLOOKUP(Tabla13[[#This Row],[ID]],[1]!Mtto_Pesv[[#Headers],[#Data],[Placa]:[Rutina]],9,FALSE)),"-")</f>
        <v>-</v>
      </c>
      <c r="AK99" s="20">
        <f>IFERROR((VLOOKUP(Tabla13[[#This Row],[ID]],[1]!Mtto_Pesv[[#Headers],[#Data],[Placa]:[Rutina]],10,FALSE)),0)</f>
        <v>0</v>
      </c>
      <c r="AL99" s="20">
        <f>IF(Tabla13[[#This Row],[Km Anterior]]=0,0,Tabla13[[#This Row],[Km Ejecut]]-Tabla13[[#This Row],[Km Anterior]])</f>
        <v>0</v>
      </c>
      <c r="AM99" s="20">
        <f>IFERROR((VLOOKUP(Tabla13[[#This Row],[ID]],[1]!Mtto_Pesv[[#Headers],[#Data],[Placa]:[Rutina]],4,FALSE)),0)</f>
        <v>0</v>
      </c>
      <c r="AN99" s="21">
        <f>IFERROR((VLOOKUP(Tabla13[[#This Row],[ID]],[1]!Mtto_Pesv[[#Headers],[#Data],[Placa]:[Rutina]],5,FALSE)),0)</f>
        <v>0</v>
      </c>
      <c r="AO99" s="21">
        <f>+Tabla13[[#This Row],[Km Fin]]-Tabla13[[#This Row],[Km Ini]]</f>
        <v>0</v>
      </c>
      <c r="AP99" s="20">
        <f>IFERROR((VLOOKUP(Tabla13[[#This Row],[ID]],[1]!Estilo_Conduccion[[#All],[Placa]:[Puntuacion]],15,FALSE)),0)</f>
        <v>0</v>
      </c>
      <c r="AQ99" s="15" t="s">
        <v>1082</v>
      </c>
      <c r="AR99" s="15" t="s">
        <v>1083</v>
      </c>
      <c r="AS99" s="20">
        <v>200</v>
      </c>
      <c r="AT99" s="21">
        <v>2634.1875</v>
      </c>
      <c r="AU99" s="21">
        <f>(Tabla13[[#This Row],[Cap Vh]]*$AX$2)*0.56</f>
        <v>0</v>
      </c>
      <c r="AV99" s="36" t="e">
        <f>(Tabla13[[#This Row],[Cap Util (kg)]]/(Tabla13[[#This Row],[Cap Inst (Kg)]]))</f>
        <v>#DIV/0!</v>
      </c>
    </row>
    <row r="100" spans="1:48" x14ac:dyDescent="0.25">
      <c r="A100" s="13" t="s">
        <v>1068</v>
      </c>
      <c r="B100" s="14" t="s">
        <v>223</v>
      </c>
      <c r="C100" s="14" t="s">
        <v>44</v>
      </c>
      <c r="D100" s="14" t="s">
        <v>44</v>
      </c>
      <c r="E100" s="14" t="s">
        <v>127</v>
      </c>
      <c r="F100" s="14" t="s">
        <v>64</v>
      </c>
      <c r="G100" s="15" t="s">
        <v>119</v>
      </c>
      <c r="H100" s="16" t="s">
        <v>120</v>
      </c>
      <c r="I100" s="14" t="s">
        <v>49</v>
      </c>
      <c r="J100" s="14">
        <v>830064700</v>
      </c>
      <c r="K100" s="14" t="s">
        <v>50</v>
      </c>
      <c r="L100" s="14" t="s">
        <v>96</v>
      </c>
      <c r="M100" s="14" t="s">
        <v>97</v>
      </c>
      <c r="N100" s="14">
        <v>2012</v>
      </c>
      <c r="O100" s="14">
        <v>8</v>
      </c>
      <c r="P100" s="14" t="s">
        <v>53</v>
      </c>
      <c r="Q100" s="14">
        <v>0</v>
      </c>
      <c r="R100" s="14">
        <v>0</v>
      </c>
      <c r="S100" s="17" t="s">
        <v>54</v>
      </c>
      <c r="T100" s="18">
        <v>0</v>
      </c>
      <c r="U100" s="14">
        <v>0</v>
      </c>
      <c r="V100" s="19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f>Tabla13[[#This Row],[CheckList App]]+Tabla13[[#This Row],[CheckList Fisc]]</f>
        <v>0</v>
      </c>
      <c r="AB100" s="19" t="str">
        <f t="shared" si="1"/>
        <v/>
      </c>
      <c r="AC100" s="14">
        <v>0</v>
      </c>
      <c r="AD100" s="14" t="s">
        <v>70</v>
      </c>
      <c r="AE100" s="15" t="str">
        <f>IFERROR((VLOOKUP(Tabla13[[#This Row],[ID]],[1]!Mtto_Pesv[[#Headers],[#Data],[Placa]:[Rutina]],2,FALSE)),"-")</f>
        <v>-</v>
      </c>
      <c r="AF100" s="14">
        <v>1</v>
      </c>
      <c r="AG100" s="20">
        <f>IFERROR((VLOOKUP(Tabla13[[#This Row],[ID]],[1]!Mtto_Pesv[[#Headers],[#Data],[Placa]:[Rutina]],3,FALSE)),0)</f>
        <v>0</v>
      </c>
      <c r="AH100" s="20">
        <f>IFERROR((VLOOKUP(Tabla13[[#This Row],[ID]],[1]!Mtto_Pesv[[#Headers],[#Data],[Placa]:[Rutina]],7,FALSE)),0)</f>
        <v>0</v>
      </c>
      <c r="AI100" s="20">
        <f>IFERROR((VLOOKUP(Tabla13[[#This Row],[ID]],[1]!Mtto_Pesv[[#Headers],[#Data],[Placa]:[Rutina]],8,FALSE)),0)</f>
        <v>0</v>
      </c>
      <c r="AJ100" s="20" t="str">
        <f>IFERROR((VLOOKUP(Tabla13[[#This Row],[ID]],[1]!Mtto_Pesv[[#Headers],[#Data],[Placa]:[Rutina]],9,FALSE)),"-")</f>
        <v>-</v>
      </c>
      <c r="AK100" s="20">
        <f>IFERROR((VLOOKUP(Tabla13[[#This Row],[ID]],[1]!Mtto_Pesv[[#Headers],[#Data],[Placa]:[Rutina]],10,FALSE)),0)</f>
        <v>0</v>
      </c>
      <c r="AL100" s="20">
        <f>IF(Tabla13[[#This Row],[Km Anterior]]=0,0,Tabla13[[#This Row],[Km Ejecut]]-Tabla13[[#This Row],[Km Anterior]])</f>
        <v>0</v>
      </c>
      <c r="AM100" s="20">
        <f>IFERROR((VLOOKUP(Tabla13[[#This Row],[ID]],[1]!Mtto_Pesv[[#Headers],[#Data],[Placa]:[Rutina]],4,FALSE)),0)</f>
        <v>0</v>
      </c>
      <c r="AN100" s="21">
        <f>IFERROR((VLOOKUP(Tabla13[[#This Row],[ID]],[1]!Mtto_Pesv[[#Headers],[#Data],[Placa]:[Rutina]],5,FALSE)),0)</f>
        <v>0</v>
      </c>
      <c r="AO100" s="21">
        <f>+Tabla13[[#This Row],[Km Fin]]-Tabla13[[#This Row],[Km Ini]]</f>
        <v>0</v>
      </c>
      <c r="AP100" s="20">
        <f>IFERROR((VLOOKUP(Tabla13[[#This Row],[ID]],[1]!Estilo_Conduccion[[#All],[Placa]:[Puntuacion]],15,FALSE)),0)</f>
        <v>0</v>
      </c>
      <c r="AQ100" s="15" t="s">
        <v>54</v>
      </c>
      <c r="AR100" s="15" t="s">
        <v>54</v>
      </c>
      <c r="AS100" s="20">
        <v>200</v>
      </c>
      <c r="AT100" s="21">
        <v>0</v>
      </c>
      <c r="AU100" s="21">
        <f>(Tabla13[[#This Row],[Cap Vh]]*$AX$2)*0.56</f>
        <v>0</v>
      </c>
      <c r="AV100" s="36" t="e">
        <f>(Tabla13[[#This Row],[Cap Util (kg)]]/(Tabla13[[#This Row],[Cap Inst (Kg)]]))</f>
        <v>#DIV/0!</v>
      </c>
    </row>
    <row r="101" spans="1:48" x14ac:dyDescent="0.25">
      <c r="A101" s="13" t="s">
        <v>1068</v>
      </c>
      <c r="B101" s="14" t="s">
        <v>224</v>
      </c>
      <c r="C101" s="14" t="s">
        <v>44</v>
      </c>
      <c r="D101" s="14" t="s">
        <v>44</v>
      </c>
      <c r="E101" s="14" t="s">
        <v>45</v>
      </c>
      <c r="F101" s="14" t="s">
        <v>64</v>
      </c>
      <c r="G101" s="15" t="s">
        <v>119</v>
      </c>
      <c r="H101" s="16" t="s">
        <v>120</v>
      </c>
      <c r="I101" s="14" t="s">
        <v>184</v>
      </c>
      <c r="J101" s="14">
        <v>830064700</v>
      </c>
      <c r="K101" s="14" t="s">
        <v>50</v>
      </c>
      <c r="L101" s="14" t="s">
        <v>103</v>
      </c>
      <c r="M101" s="14" t="s">
        <v>225</v>
      </c>
      <c r="N101" s="14">
        <v>1990</v>
      </c>
      <c r="O101" s="14">
        <v>30</v>
      </c>
      <c r="P101" s="14" t="s">
        <v>173</v>
      </c>
      <c r="Q101" s="14">
        <v>0</v>
      </c>
      <c r="R101" s="14">
        <v>0</v>
      </c>
      <c r="S101" s="17" t="s">
        <v>54</v>
      </c>
      <c r="T101" s="18">
        <v>0</v>
      </c>
      <c r="U101" s="14">
        <v>0</v>
      </c>
      <c r="V101" s="19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f>Tabla13[[#This Row],[CheckList App]]+Tabla13[[#This Row],[CheckList Fisc]]</f>
        <v>0</v>
      </c>
      <c r="AB101" s="19" t="str">
        <f t="shared" si="1"/>
        <v/>
      </c>
      <c r="AC101" s="14">
        <v>0</v>
      </c>
      <c r="AD101" s="14" t="s">
        <v>70</v>
      </c>
      <c r="AE101" s="15" t="str">
        <f>IFERROR((VLOOKUP(Tabla13[[#This Row],[ID]],[1]!Mtto_Pesv[[#Headers],[#Data],[Placa]:[Rutina]],2,FALSE)),"-")</f>
        <v>-</v>
      </c>
      <c r="AF101" s="14">
        <v>1</v>
      </c>
      <c r="AG101" s="20">
        <f>IFERROR((VLOOKUP(Tabla13[[#This Row],[ID]],[1]!Mtto_Pesv[[#Headers],[#Data],[Placa]:[Rutina]],3,FALSE)),0)</f>
        <v>0</v>
      </c>
      <c r="AH101" s="20">
        <f>IFERROR((VLOOKUP(Tabla13[[#This Row],[ID]],[1]!Mtto_Pesv[[#Headers],[#Data],[Placa]:[Rutina]],7,FALSE)),0)</f>
        <v>0</v>
      </c>
      <c r="AI101" s="20">
        <f>IFERROR((VLOOKUP(Tabla13[[#This Row],[ID]],[1]!Mtto_Pesv[[#Headers],[#Data],[Placa]:[Rutina]],8,FALSE)),0)</f>
        <v>0</v>
      </c>
      <c r="AJ101" s="20" t="str">
        <f>IFERROR((VLOOKUP(Tabla13[[#This Row],[ID]],[1]!Mtto_Pesv[[#Headers],[#Data],[Placa]:[Rutina]],9,FALSE)),"-")</f>
        <v>-</v>
      </c>
      <c r="AK101" s="20">
        <f>IFERROR((VLOOKUP(Tabla13[[#This Row],[ID]],[1]!Mtto_Pesv[[#Headers],[#Data],[Placa]:[Rutina]],10,FALSE)),0)</f>
        <v>0</v>
      </c>
      <c r="AL101" s="20">
        <f>IF(Tabla13[[#This Row],[Km Anterior]]=0,0,Tabla13[[#This Row],[Km Ejecut]]-Tabla13[[#This Row],[Km Anterior]])</f>
        <v>0</v>
      </c>
      <c r="AM101" s="20">
        <f>IFERROR((VLOOKUP(Tabla13[[#This Row],[ID]],[1]!Mtto_Pesv[[#Headers],[#Data],[Placa]:[Rutina]],4,FALSE)),0)</f>
        <v>0</v>
      </c>
      <c r="AN101" s="21">
        <f>IFERROR((VLOOKUP(Tabla13[[#This Row],[ID]],[1]!Mtto_Pesv[[#Headers],[#Data],[Placa]:[Rutina]],5,FALSE)),0)</f>
        <v>0</v>
      </c>
      <c r="AO101" s="21">
        <f>+Tabla13[[#This Row],[Km Fin]]-Tabla13[[#This Row],[Km Ini]]</f>
        <v>0</v>
      </c>
      <c r="AP101" s="20">
        <f>IFERROR((VLOOKUP(Tabla13[[#This Row],[ID]],[1]!Estilo_Conduccion[[#All],[Placa]:[Puntuacion]],15,FALSE)),0)</f>
        <v>0</v>
      </c>
      <c r="AQ101" s="15" t="s">
        <v>54</v>
      </c>
      <c r="AR101" s="15" t="s">
        <v>54</v>
      </c>
      <c r="AS101" s="20">
        <v>7000</v>
      </c>
      <c r="AT101" s="21">
        <v>0</v>
      </c>
      <c r="AU101" s="21">
        <f>(Tabla13[[#This Row],[Cap Vh]]*$AX$2)*0.56</f>
        <v>0</v>
      </c>
      <c r="AV101" s="36" t="e">
        <f>(Tabla13[[#This Row],[Cap Util (kg)]]/(Tabla13[[#This Row],[Cap Inst (Kg)]]))</f>
        <v>#DIV/0!</v>
      </c>
    </row>
    <row r="102" spans="1:48" x14ac:dyDescent="0.25">
      <c r="A102" s="13" t="s">
        <v>1068</v>
      </c>
      <c r="B102" s="14" t="s">
        <v>226</v>
      </c>
      <c r="C102" s="14" t="s">
        <v>44</v>
      </c>
      <c r="D102" s="14" t="s">
        <v>44</v>
      </c>
      <c r="E102" s="14" t="s">
        <v>45</v>
      </c>
      <c r="F102" s="14" t="s">
        <v>64</v>
      </c>
      <c r="G102" s="15" t="s">
        <v>119</v>
      </c>
      <c r="H102" s="16" t="s">
        <v>120</v>
      </c>
      <c r="I102" s="14" t="s">
        <v>177</v>
      </c>
      <c r="J102" s="14">
        <v>830064700</v>
      </c>
      <c r="K102" s="14" t="s">
        <v>50</v>
      </c>
      <c r="L102" s="14" t="s">
        <v>103</v>
      </c>
      <c r="M102" s="14" t="s">
        <v>225</v>
      </c>
      <c r="N102" s="14">
        <v>1993</v>
      </c>
      <c r="O102" s="14">
        <v>27</v>
      </c>
      <c r="P102" s="14" t="s">
        <v>173</v>
      </c>
      <c r="Q102" s="14">
        <v>1</v>
      </c>
      <c r="R102" s="14">
        <v>1</v>
      </c>
      <c r="S102" s="17">
        <v>44834.327800925923</v>
      </c>
      <c r="T102" s="18">
        <v>261.06300000000005</v>
      </c>
      <c r="U102" s="14">
        <v>0</v>
      </c>
      <c r="V102" s="19">
        <v>0.6333333333333333</v>
      </c>
      <c r="W102" s="14">
        <v>0</v>
      </c>
      <c r="X102" s="14">
        <v>26</v>
      </c>
      <c r="Y102" s="14">
        <v>16</v>
      </c>
      <c r="Z102" s="14">
        <v>0</v>
      </c>
      <c r="AA102" s="14">
        <f>Tabla13[[#This Row],[CheckList App]]+Tabla13[[#This Row],[CheckList Fisc]]</f>
        <v>16</v>
      </c>
      <c r="AB102" s="19" t="str">
        <f t="shared" si="1"/>
        <v/>
      </c>
      <c r="AC102" s="14">
        <v>0</v>
      </c>
      <c r="AD102" s="14" t="s">
        <v>70</v>
      </c>
      <c r="AE102" s="22" t="str">
        <f>IFERROR((VLOOKUP(Tabla13[[#This Row],[ID]],[1]!Mtto_Pesv[[#Headers],[#Data],[Placa]:[Rutina]],2,FALSE)),"-")</f>
        <v>-</v>
      </c>
      <c r="AF102" s="14">
        <v>1</v>
      </c>
      <c r="AG102" s="20">
        <f>IFERROR((VLOOKUP(Tabla13[[#This Row],[ID]],[1]!Mtto_Pesv[[#Headers],[#Data],[Placa]:[Rutina]],3,FALSE)),0)</f>
        <v>0</v>
      </c>
      <c r="AH102" s="20">
        <f>IFERROR((VLOOKUP(Tabla13[[#This Row],[ID]],[1]!Mtto_Pesv[[#Headers],[#Data],[Placa]:[Rutina]],7,FALSE)),0)</f>
        <v>0</v>
      </c>
      <c r="AI102" s="20">
        <f>IFERROR((VLOOKUP(Tabla13[[#This Row],[ID]],[1]!Mtto_Pesv[[#Headers],[#Data],[Placa]:[Rutina]],8,FALSE)),0)</f>
        <v>0</v>
      </c>
      <c r="AJ102" s="20" t="str">
        <f>IFERROR((VLOOKUP(Tabla13[[#This Row],[ID]],[1]!Mtto_Pesv[[#Headers],[#Data],[Placa]:[Rutina]],9,FALSE)),"-")</f>
        <v>-</v>
      </c>
      <c r="AK102" s="20">
        <f>IFERROR((VLOOKUP(Tabla13[[#This Row],[ID]],[1]!Mtto_Pesv[[#Headers],[#Data],[Placa]:[Rutina]],10,FALSE)),0)</f>
        <v>0</v>
      </c>
      <c r="AL102" s="20">
        <f>IF(Tabla13[[#This Row],[Km Anterior]]=0,0,Tabla13[[#This Row],[Km Ejecut]]-Tabla13[[#This Row],[Km Anterior]])</f>
        <v>0</v>
      </c>
      <c r="AM102" s="20">
        <f>IFERROR((VLOOKUP(Tabla13[[#This Row],[ID]],[1]!Mtto_Pesv[[#Headers],[#Data],[Placa]:[Rutina]],4,FALSE)),0)</f>
        <v>0</v>
      </c>
      <c r="AN102" s="21">
        <f>IFERROR((VLOOKUP(Tabla13[[#This Row],[ID]],[1]!Mtto_Pesv[[#Headers],[#Data],[Placa]:[Rutina]],5,FALSE)),0)</f>
        <v>0</v>
      </c>
      <c r="AO102" s="21">
        <f>+Tabla13[[#This Row],[Km Fin]]-Tabla13[[#This Row],[Km Ini]]</f>
        <v>0</v>
      </c>
      <c r="AP102" s="20">
        <f>IFERROR((VLOOKUP(Tabla13[[#This Row],[ID]],[1]!Estilo_Conduccion[[#All],[Placa]:[Puntuacion]],15,FALSE)),0)</f>
        <v>17.599999999999998</v>
      </c>
      <c r="AQ102" s="15" t="s">
        <v>54</v>
      </c>
      <c r="AR102" s="15" t="s">
        <v>54</v>
      </c>
      <c r="AS102" s="20">
        <v>8000</v>
      </c>
      <c r="AT102" s="21">
        <v>0</v>
      </c>
      <c r="AU102" s="21">
        <f>(Tabla13[[#This Row],[Cap Vh]]*$AX$2)*0.56</f>
        <v>0</v>
      </c>
      <c r="AV102" s="36" t="e">
        <f>(Tabla13[[#This Row],[Cap Util (kg)]]/(Tabla13[[#This Row],[Cap Inst (Kg)]]))</f>
        <v>#DIV/0!</v>
      </c>
    </row>
    <row r="103" spans="1:48" x14ac:dyDescent="0.25">
      <c r="A103" s="13" t="s">
        <v>1068</v>
      </c>
      <c r="B103" s="14" t="s">
        <v>227</v>
      </c>
      <c r="C103" s="14" t="s">
        <v>44</v>
      </c>
      <c r="D103" s="14" t="s">
        <v>44</v>
      </c>
      <c r="E103" s="14" t="s">
        <v>45</v>
      </c>
      <c r="F103" s="14" t="s">
        <v>76</v>
      </c>
      <c r="G103" s="15" t="s">
        <v>89</v>
      </c>
      <c r="H103" s="16" t="s">
        <v>90</v>
      </c>
      <c r="I103" s="14" t="s">
        <v>109</v>
      </c>
      <c r="J103" s="14">
        <v>830064700</v>
      </c>
      <c r="K103" s="14" t="s">
        <v>50</v>
      </c>
      <c r="L103" s="14" t="s">
        <v>103</v>
      </c>
      <c r="M103" s="14" t="s">
        <v>153</v>
      </c>
      <c r="N103" s="14">
        <v>2009</v>
      </c>
      <c r="O103" s="14">
        <v>11</v>
      </c>
      <c r="P103" s="14" t="s">
        <v>53</v>
      </c>
      <c r="Q103" s="14">
        <v>0</v>
      </c>
      <c r="R103" s="14">
        <v>0</v>
      </c>
      <c r="S103" s="17" t="s">
        <v>54</v>
      </c>
      <c r="T103" s="18">
        <v>0</v>
      </c>
      <c r="U103" s="14">
        <v>0</v>
      </c>
      <c r="V103" s="19">
        <v>0</v>
      </c>
      <c r="W103" s="14">
        <v>0</v>
      </c>
      <c r="X103" s="14">
        <v>26</v>
      </c>
      <c r="Y103" s="14">
        <v>11</v>
      </c>
      <c r="Z103" s="14">
        <v>0</v>
      </c>
      <c r="AA103" s="14">
        <f>Tabla13[[#This Row],[CheckList App]]+Tabla13[[#This Row],[CheckList Fisc]]</f>
        <v>11</v>
      </c>
      <c r="AB103" s="19" t="str">
        <f t="shared" si="1"/>
        <v/>
      </c>
      <c r="AC103" s="14">
        <v>0</v>
      </c>
      <c r="AD103" s="14" t="s">
        <v>70</v>
      </c>
      <c r="AE103" s="15" t="str">
        <f>IFERROR((VLOOKUP(Tabla13[[#This Row],[ID]],[1]!Mtto_Pesv[[#Headers],[#Data],[Placa]:[Rutina]],2,FALSE)),"-")</f>
        <v>-</v>
      </c>
      <c r="AF103" s="14">
        <v>1</v>
      </c>
      <c r="AG103" s="20">
        <f>IFERROR((VLOOKUP(Tabla13[[#This Row],[ID]],[1]!Mtto_Pesv[[#Headers],[#Data],[Placa]:[Rutina]],3,FALSE)),0)</f>
        <v>0</v>
      </c>
      <c r="AH103" s="20">
        <f>IFERROR((VLOOKUP(Tabla13[[#This Row],[ID]],[1]!Mtto_Pesv[[#Headers],[#Data],[Placa]:[Rutina]],7,FALSE)),0)</f>
        <v>0</v>
      </c>
      <c r="AI103" s="20">
        <f>IFERROR((VLOOKUP(Tabla13[[#This Row],[ID]],[1]!Mtto_Pesv[[#Headers],[#Data],[Placa]:[Rutina]],8,FALSE)),0)</f>
        <v>0</v>
      </c>
      <c r="AJ103" s="20" t="str">
        <f>IFERROR((VLOOKUP(Tabla13[[#This Row],[ID]],[1]!Mtto_Pesv[[#Headers],[#Data],[Placa]:[Rutina]],9,FALSE)),"-")</f>
        <v>-</v>
      </c>
      <c r="AK103" s="20">
        <f>IFERROR((VLOOKUP(Tabla13[[#This Row],[ID]],[1]!Mtto_Pesv[[#Headers],[#Data],[Placa]:[Rutina]],10,FALSE)),0)</f>
        <v>0</v>
      </c>
      <c r="AL103" s="20">
        <f>IF(Tabla13[[#This Row],[Km Anterior]]=0,0,Tabla13[[#This Row],[Km Ejecut]]-Tabla13[[#This Row],[Km Anterior]])</f>
        <v>0</v>
      </c>
      <c r="AM103" s="20">
        <f>IFERROR((VLOOKUP(Tabla13[[#This Row],[ID]],[1]!Mtto_Pesv[[#Headers],[#Data],[Placa]:[Rutina]],4,FALSE)),0)</f>
        <v>0</v>
      </c>
      <c r="AN103" s="21">
        <f>IFERROR((VLOOKUP(Tabla13[[#This Row],[ID]],[1]!Mtto_Pesv[[#Headers],[#Data],[Placa]:[Rutina]],5,FALSE)),0)</f>
        <v>0</v>
      </c>
      <c r="AO103" s="21">
        <f>+Tabla13[[#This Row],[Km Fin]]-Tabla13[[#This Row],[Km Ini]]</f>
        <v>0</v>
      </c>
      <c r="AP103" s="20">
        <f>IFERROR((VLOOKUP(Tabla13[[#This Row],[ID]],[1]!Estilo_Conduccion[[#All],[Placa]:[Puntuacion]],15,FALSE)),0)</f>
        <v>0</v>
      </c>
      <c r="AQ103" s="15" t="s">
        <v>1084</v>
      </c>
      <c r="AR103" s="15" t="s">
        <v>1085</v>
      </c>
      <c r="AS103" s="20">
        <v>4500</v>
      </c>
      <c r="AT103" s="21">
        <v>4974.8571428571431</v>
      </c>
      <c r="AU103" s="21">
        <f>(Tabla13[[#This Row],[Cap Vh]]*$AX$2)*0.56</f>
        <v>0</v>
      </c>
      <c r="AV103" s="36" t="e">
        <f>(Tabla13[[#This Row],[Cap Util (kg)]]/(Tabla13[[#This Row],[Cap Inst (Kg)]]))</f>
        <v>#DIV/0!</v>
      </c>
    </row>
    <row r="104" spans="1:48" x14ac:dyDescent="0.25">
      <c r="A104" s="13" t="s">
        <v>1068</v>
      </c>
      <c r="B104" s="14" t="s">
        <v>228</v>
      </c>
      <c r="C104" s="14" t="s">
        <v>44</v>
      </c>
      <c r="D104" s="14" t="s">
        <v>44</v>
      </c>
      <c r="E104" s="14" t="s">
        <v>63</v>
      </c>
      <c r="F104" s="14" t="s">
        <v>46</v>
      </c>
      <c r="G104" s="15" t="s">
        <v>47</v>
      </c>
      <c r="H104" s="16" t="s">
        <v>48</v>
      </c>
      <c r="I104" s="14" t="s">
        <v>49</v>
      </c>
      <c r="J104" s="14">
        <v>830064700</v>
      </c>
      <c r="K104" s="14" t="s">
        <v>50</v>
      </c>
      <c r="L104" s="14" t="s">
        <v>103</v>
      </c>
      <c r="M104" s="14" t="s">
        <v>104</v>
      </c>
      <c r="N104" s="14">
        <v>2009</v>
      </c>
      <c r="O104" s="14">
        <v>11</v>
      </c>
      <c r="P104" s="14" t="s">
        <v>53</v>
      </c>
      <c r="Q104" s="14">
        <v>0</v>
      </c>
      <c r="R104" s="14">
        <v>0</v>
      </c>
      <c r="S104" s="17" t="s">
        <v>54</v>
      </c>
      <c r="T104" s="18">
        <v>0</v>
      </c>
      <c r="U104" s="14">
        <v>0</v>
      </c>
      <c r="V104" s="19">
        <v>1</v>
      </c>
      <c r="W104" s="14">
        <v>0</v>
      </c>
      <c r="X104" s="14">
        <v>0</v>
      </c>
      <c r="Y104" s="14">
        <v>0</v>
      </c>
      <c r="Z104" s="14">
        <v>0</v>
      </c>
      <c r="AA104" s="14">
        <f>Tabla13[[#This Row],[CheckList App]]+Tabla13[[#This Row],[CheckList Fisc]]</f>
        <v>0</v>
      </c>
      <c r="AB104" s="19" t="str">
        <f t="shared" si="1"/>
        <v/>
      </c>
      <c r="AC104" s="14">
        <v>0</v>
      </c>
      <c r="AD104" s="14" t="s">
        <v>55</v>
      </c>
      <c r="AE104" s="15" t="str">
        <f>IFERROR((VLOOKUP(Tabla13[[#This Row],[ID]],[1]!Mtto_Pesv[[#Headers],[#Data],[Placa]:[Rutina]],2,FALSE)),"-")</f>
        <v>-</v>
      </c>
      <c r="AF104" s="14">
        <v>0</v>
      </c>
      <c r="AG104" s="20">
        <f>IFERROR((VLOOKUP(Tabla13[[#This Row],[ID]],[1]!Mtto_Pesv[[#Headers],[#Data],[Placa]:[Rutina]],3,FALSE)),0)</f>
        <v>0</v>
      </c>
      <c r="AH104" s="20">
        <f>IFERROR((VLOOKUP(Tabla13[[#This Row],[ID]],[1]!Mtto_Pesv[[#Headers],[#Data],[Placa]:[Rutina]],7,FALSE)),0)</f>
        <v>0</v>
      </c>
      <c r="AI104" s="20">
        <f>IFERROR((VLOOKUP(Tabla13[[#This Row],[ID]],[1]!Mtto_Pesv[[#Headers],[#Data],[Placa]:[Rutina]],8,FALSE)),0)</f>
        <v>0</v>
      </c>
      <c r="AJ104" s="20" t="str">
        <f>IFERROR((VLOOKUP(Tabla13[[#This Row],[ID]],[1]!Mtto_Pesv[[#Headers],[#Data],[Placa]:[Rutina]],9,FALSE)),"-")</f>
        <v>-</v>
      </c>
      <c r="AK104" s="20">
        <f>IFERROR((VLOOKUP(Tabla13[[#This Row],[ID]],[1]!Mtto_Pesv[[#Headers],[#Data],[Placa]:[Rutina]],10,FALSE)),0)</f>
        <v>0</v>
      </c>
      <c r="AL104" s="20">
        <f>IF(Tabla13[[#This Row],[Km Anterior]]=0,0,Tabla13[[#This Row],[Km Ejecut]]-Tabla13[[#This Row],[Km Anterior]])</f>
        <v>0</v>
      </c>
      <c r="AM104" s="20">
        <f>IFERROR((VLOOKUP(Tabla13[[#This Row],[ID]],[1]!Mtto_Pesv[[#Headers],[#Data],[Placa]:[Rutina]],4,FALSE)),0)</f>
        <v>0</v>
      </c>
      <c r="AN104" s="21">
        <f>IFERROR((VLOOKUP(Tabla13[[#This Row],[ID]],[1]!Mtto_Pesv[[#Headers],[#Data],[Placa]:[Rutina]],5,FALSE)),0)</f>
        <v>0</v>
      </c>
      <c r="AO104" s="21">
        <f>+Tabla13[[#This Row],[Km Fin]]-Tabla13[[#This Row],[Km Ini]]</f>
        <v>0</v>
      </c>
      <c r="AP104" s="20">
        <f>IFERROR((VLOOKUP(Tabla13[[#This Row],[ID]],[1]!Estilo_Conduccion[[#All],[Placa]:[Puntuacion]],15,FALSE)),0)</f>
        <v>0</v>
      </c>
      <c r="AQ104" s="15" t="s">
        <v>1147</v>
      </c>
      <c r="AR104" s="15" t="s">
        <v>1148</v>
      </c>
      <c r="AS104" s="20">
        <v>1600</v>
      </c>
      <c r="AT104" s="21">
        <v>3595.5</v>
      </c>
      <c r="AU104" s="21">
        <f>(Tabla13[[#This Row],[Cap Vh]]*$AX$2)*0.56</f>
        <v>0</v>
      </c>
      <c r="AV104" s="36" t="e">
        <f>(Tabla13[[#This Row],[Cap Util (kg)]]/(Tabla13[[#This Row],[Cap Inst (Kg)]]))</f>
        <v>#DIV/0!</v>
      </c>
    </row>
    <row r="105" spans="1:48" x14ac:dyDescent="0.25">
      <c r="A105" s="13" t="s">
        <v>1068</v>
      </c>
      <c r="B105" s="14" t="s">
        <v>229</v>
      </c>
      <c r="C105" s="14" t="s">
        <v>44</v>
      </c>
      <c r="D105" s="14" t="s">
        <v>44</v>
      </c>
      <c r="E105" s="14" t="s">
        <v>58</v>
      </c>
      <c r="F105" s="14" t="s">
        <v>46</v>
      </c>
      <c r="G105" s="15" t="s">
        <v>47</v>
      </c>
      <c r="H105" s="16" t="s">
        <v>48</v>
      </c>
      <c r="I105" s="14" t="s">
        <v>49</v>
      </c>
      <c r="J105" s="14">
        <v>830064700</v>
      </c>
      <c r="K105" s="14" t="s">
        <v>50</v>
      </c>
      <c r="L105" s="14" t="s">
        <v>103</v>
      </c>
      <c r="M105" s="14" t="s">
        <v>104</v>
      </c>
      <c r="N105" s="14">
        <v>2009</v>
      </c>
      <c r="O105" s="14">
        <v>11</v>
      </c>
      <c r="P105" s="14" t="s">
        <v>53</v>
      </c>
      <c r="Q105" s="14">
        <v>0</v>
      </c>
      <c r="R105" s="14">
        <v>0</v>
      </c>
      <c r="S105" s="17" t="s">
        <v>54</v>
      </c>
      <c r="T105" s="18">
        <v>0</v>
      </c>
      <c r="U105" s="14">
        <v>0</v>
      </c>
      <c r="V105" s="19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f>Tabla13[[#This Row],[CheckList App]]+Tabla13[[#This Row],[CheckList Fisc]]</f>
        <v>0</v>
      </c>
      <c r="AB105" s="19" t="str">
        <f t="shared" si="1"/>
        <v/>
      </c>
      <c r="AC105" s="14">
        <v>0</v>
      </c>
      <c r="AD105" s="14" t="s">
        <v>55</v>
      </c>
      <c r="AE105" s="15" t="str">
        <f>IFERROR((VLOOKUP(Tabla13[[#This Row],[ID]],[1]!Mtto_Pesv[[#Headers],[#Data],[Placa]:[Rutina]],2,FALSE)),"-")</f>
        <v>-</v>
      </c>
      <c r="AF105" s="14">
        <v>0</v>
      </c>
      <c r="AG105" s="20">
        <f>IFERROR((VLOOKUP(Tabla13[[#This Row],[ID]],[1]!Mtto_Pesv[[#Headers],[#Data],[Placa]:[Rutina]],3,FALSE)),0)</f>
        <v>0</v>
      </c>
      <c r="AH105" s="20">
        <f>IFERROR((VLOOKUP(Tabla13[[#This Row],[ID]],[1]!Mtto_Pesv[[#Headers],[#Data],[Placa]:[Rutina]],7,FALSE)),0)</f>
        <v>0</v>
      </c>
      <c r="AI105" s="20">
        <f>IFERROR((VLOOKUP(Tabla13[[#This Row],[ID]],[1]!Mtto_Pesv[[#Headers],[#Data],[Placa]:[Rutina]],8,FALSE)),0)</f>
        <v>0</v>
      </c>
      <c r="AJ105" s="20" t="str">
        <f>IFERROR((VLOOKUP(Tabla13[[#This Row],[ID]],[1]!Mtto_Pesv[[#Headers],[#Data],[Placa]:[Rutina]],9,FALSE)),"-")</f>
        <v>-</v>
      </c>
      <c r="AK105" s="20">
        <f>IFERROR((VLOOKUP(Tabla13[[#This Row],[ID]],[1]!Mtto_Pesv[[#Headers],[#Data],[Placa]:[Rutina]],10,FALSE)),0)</f>
        <v>0</v>
      </c>
      <c r="AL105" s="20">
        <f>IF(Tabla13[[#This Row],[Km Anterior]]=0,0,Tabla13[[#This Row],[Km Ejecut]]-Tabla13[[#This Row],[Km Anterior]])</f>
        <v>0</v>
      </c>
      <c r="AM105" s="20">
        <f>IFERROR((VLOOKUP(Tabla13[[#This Row],[ID]],[1]!Mtto_Pesv[[#Headers],[#Data],[Placa]:[Rutina]],4,FALSE)),0)</f>
        <v>0</v>
      </c>
      <c r="AN105" s="21">
        <f>IFERROR((VLOOKUP(Tabla13[[#This Row],[ID]],[1]!Mtto_Pesv[[#Headers],[#Data],[Placa]:[Rutina]],5,FALSE)),0)</f>
        <v>0</v>
      </c>
      <c r="AO105" s="21">
        <f>+Tabla13[[#This Row],[Km Fin]]-Tabla13[[#This Row],[Km Ini]]</f>
        <v>0</v>
      </c>
      <c r="AP105" s="20">
        <f>IFERROR((VLOOKUP(Tabla13[[#This Row],[ID]],[1]!Estilo_Conduccion[[#All],[Placa]:[Puntuacion]],15,FALSE)),0)</f>
        <v>0</v>
      </c>
      <c r="AQ105" s="15" t="s">
        <v>1070</v>
      </c>
      <c r="AR105" s="15" t="s">
        <v>1071</v>
      </c>
      <c r="AS105" s="20">
        <v>1600</v>
      </c>
      <c r="AT105" s="21">
        <v>3775.4166666666665</v>
      </c>
      <c r="AU105" s="21">
        <f>(Tabla13[[#This Row],[Cap Vh]]*$AX$2)*0.56</f>
        <v>0</v>
      </c>
      <c r="AV105" s="36" t="e">
        <f>(Tabla13[[#This Row],[Cap Util (kg)]]/(Tabla13[[#This Row],[Cap Inst (Kg)]]))</f>
        <v>#DIV/0!</v>
      </c>
    </row>
    <row r="106" spans="1:48" x14ac:dyDescent="0.25">
      <c r="A106" s="13" t="s">
        <v>1068</v>
      </c>
      <c r="B106" s="14" t="s">
        <v>230</v>
      </c>
      <c r="C106" s="14" t="s">
        <v>44</v>
      </c>
      <c r="D106" s="14" t="s">
        <v>44</v>
      </c>
      <c r="E106" s="14" t="s">
        <v>45</v>
      </c>
      <c r="F106" s="14" t="s">
        <v>76</v>
      </c>
      <c r="G106" s="15" t="s">
        <v>89</v>
      </c>
      <c r="H106" s="16" t="s">
        <v>90</v>
      </c>
      <c r="I106" s="14" t="s">
        <v>49</v>
      </c>
      <c r="J106" s="14">
        <v>830064700</v>
      </c>
      <c r="K106" s="14" t="s">
        <v>50</v>
      </c>
      <c r="L106" s="14" t="s">
        <v>103</v>
      </c>
      <c r="M106" s="14" t="s">
        <v>231</v>
      </c>
      <c r="N106" s="14">
        <v>2009</v>
      </c>
      <c r="O106" s="14">
        <v>11</v>
      </c>
      <c r="P106" s="14" t="s">
        <v>53</v>
      </c>
      <c r="Q106" s="14">
        <v>0</v>
      </c>
      <c r="R106" s="14">
        <v>0</v>
      </c>
      <c r="S106" s="17" t="s">
        <v>54</v>
      </c>
      <c r="T106" s="18">
        <v>0</v>
      </c>
      <c r="U106" s="14">
        <v>0</v>
      </c>
      <c r="V106" s="19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f>Tabla13[[#This Row],[CheckList App]]+Tabla13[[#This Row],[CheckList Fisc]]</f>
        <v>0</v>
      </c>
      <c r="AB106" s="19" t="str">
        <f t="shared" si="1"/>
        <v/>
      </c>
      <c r="AC106" s="14">
        <v>0</v>
      </c>
      <c r="AD106" s="14" t="s">
        <v>55</v>
      </c>
      <c r="AE106" s="15" t="str">
        <f>IFERROR((VLOOKUP(Tabla13[[#This Row],[ID]],[1]!Mtto_Pesv[[#Headers],[#Data],[Placa]:[Rutina]],2,FALSE)),"-")</f>
        <v>-</v>
      </c>
      <c r="AF106" s="14">
        <v>0</v>
      </c>
      <c r="AG106" s="20">
        <f>IFERROR((VLOOKUP(Tabla13[[#This Row],[ID]],[1]!Mtto_Pesv[[#Headers],[#Data],[Placa]:[Rutina]],3,FALSE)),0)</f>
        <v>0</v>
      </c>
      <c r="AH106" s="20">
        <f>IFERROR((VLOOKUP(Tabla13[[#This Row],[ID]],[1]!Mtto_Pesv[[#Headers],[#Data],[Placa]:[Rutina]],7,FALSE)),0)</f>
        <v>0</v>
      </c>
      <c r="AI106" s="20">
        <f>IFERROR((VLOOKUP(Tabla13[[#This Row],[ID]],[1]!Mtto_Pesv[[#Headers],[#Data],[Placa]:[Rutina]],8,FALSE)),0)</f>
        <v>0</v>
      </c>
      <c r="AJ106" s="20" t="str">
        <f>IFERROR((VLOOKUP(Tabla13[[#This Row],[ID]],[1]!Mtto_Pesv[[#Headers],[#Data],[Placa]:[Rutina]],9,FALSE)),"-")</f>
        <v>-</v>
      </c>
      <c r="AK106" s="20">
        <f>IFERROR((VLOOKUP(Tabla13[[#This Row],[ID]],[1]!Mtto_Pesv[[#Headers],[#Data],[Placa]:[Rutina]],10,FALSE)),0)</f>
        <v>0</v>
      </c>
      <c r="AL106" s="20">
        <f>IF(Tabla13[[#This Row],[Km Anterior]]=0,0,Tabla13[[#This Row],[Km Ejecut]]-Tabla13[[#This Row],[Km Anterior]])</f>
        <v>0</v>
      </c>
      <c r="AM106" s="20">
        <f>IFERROR((VLOOKUP(Tabla13[[#This Row],[ID]],[1]!Mtto_Pesv[[#Headers],[#Data],[Placa]:[Rutina]],4,FALSE)),0)</f>
        <v>0</v>
      </c>
      <c r="AN106" s="21">
        <f>IFERROR((VLOOKUP(Tabla13[[#This Row],[ID]],[1]!Mtto_Pesv[[#Headers],[#Data],[Placa]:[Rutina]],5,FALSE)),0)</f>
        <v>0</v>
      </c>
      <c r="AO106" s="21">
        <f>+Tabla13[[#This Row],[Km Fin]]-Tabla13[[#This Row],[Km Ini]]</f>
        <v>0</v>
      </c>
      <c r="AP106" s="20">
        <f>IFERROR((VLOOKUP(Tabla13[[#This Row],[ID]],[1]!Estilo_Conduccion[[#All],[Placa]:[Puntuacion]],15,FALSE)),0)</f>
        <v>0</v>
      </c>
      <c r="AQ106" s="15" t="s">
        <v>1069</v>
      </c>
      <c r="AR106" s="15" t="s">
        <v>232</v>
      </c>
      <c r="AS106" s="20">
        <v>4130</v>
      </c>
      <c r="AT106" s="21">
        <v>0</v>
      </c>
      <c r="AU106" s="21">
        <f>(Tabla13[[#This Row],[Cap Vh]]*$AX$2)*0.56</f>
        <v>0</v>
      </c>
      <c r="AV106" s="36" t="e">
        <f>(Tabla13[[#This Row],[Cap Util (kg)]]/(Tabla13[[#This Row],[Cap Inst (Kg)]]))</f>
        <v>#DIV/0!</v>
      </c>
    </row>
    <row r="107" spans="1:48" x14ac:dyDescent="0.25">
      <c r="A107" s="13" t="s">
        <v>1068</v>
      </c>
      <c r="B107" s="14" t="s">
        <v>233</v>
      </c>
      <c r="C107" s="14" t="s">
        <v>44</v>
      </c>
      <c r="D107" s="14" t="s">
        <v>44</v>
      </c>
      <c r="E107" s="14" t="s">
        <v>45</v>
      </c>
      <c r="F107" s="14" t="s">
        <v>64</v>
      </c>
      <c r="G107" s="15" t="s">
        <v>119</v>
      </c>
      <c r="H107" s="16" t="s">
        <v>120</v>
      </c>
      <c r="I107" s="14" t="s">
        <v>177</v>
      </c>
      <c r="J107" s="14">
        <v>830064700</v>
      </c>
      <c r="K107" s="14" t="s">
        <v>50</v>
      </c>
      <c r="L107" s="14" t="s">
        <v>103</v>
      </c>
      <c r="M107" s="14" t="s">
        <v>231</v>
      </c>
      <c r="N107" s="14">
        <v>2009</v>
      </c>
      <c r="O107" s="14">
        <v>11</v>
      </c>
      <c r="P107" s="14" t="s">
        <v>53</v>
      </c>
      <c r="Q107" s="14">
        <v>1</v>
      </c>
      <c r="R107" s="14">
        <v>1</v>
      </c>
      <c r="S107" s="17">
        <v>44834.588738425933</v>
      </c>
      <c r="T107" s="18">
        <v>397.80499999999995</v>
      </c>
      <c r="U107" s="14">
        <v>0</v>
      </c>
      <c r="V107" s="19">
        <v>1</v>
      </c>
      <c r="W107" s="14">
        <v>0</v>
      </c>
      <c r="X107" s="14">
        <v>26</v>
      </c>
      <c r="Y107" s="14">
        <v>18</v>
      </c>
      <c r="Z107" s="14">
        <v>0</v>
      </c>
      <c r="AA107" s="14">
        <f>Tabla13[[#This Row],[CheckList App]]+Tabla13[[#This Row],[CheckList Fisc]]</f>
        <v>18</v>
      </c>
      <c r="AB107" s="19" t="str">
        <f t="shared" si="1"/>
        <v/>
      </c>
      <c r="AC107" s="14">
        <v>113</v>
      </c>
      <c r="AD107" s="14" t="s">
        <v>70</v>
      </c>
      <c r="AE107" s="22" t="str">
        <f>IFERROR((VLOOKUP(Tabla13[[#This Row],[ID]],[1]!Mtto_Pesv[[#Headers],[#Data],[Placa]:[Rutina]],2,FALSE)),"-")</f>
        <v>-</v>
      </c>
      <c r="AF107" s="14">
        <v>1</v>
      </c>
      <c r="AG107" s="20">
        <f>IFERROR((VLOOKUP(Tabla13[[#This Row],[ID]],[1]!Mtto_Pesv[[#Headers],[#Data],[Placa]:[Rutina]],3,FALSE)),0)</f>
        <v>0</v>
      </c>
      <c r="AH107" s="20">
        <f>IFERROR((VLOOKUP(Tabla13[[#This Row],[ID]],[1]!Mtto_Pesv[[#Headers],[#Data],[Placa]:[Rutina]],7,FALSE)),0)</f>
        <v>0</v>
      </c>
      <c r="AI107" s="20">
        <f>IFERROR((VLOOKUP(Tabla13[[#This Row],[ID]],[1]!Mtto_Pesv[[#Headers],[#Data],[Placa]:[Rutina]],8,FALSE)),0)</f>
        <v>0</v>
      </c>
      <c r="AJ107" s="20" t="str">
        <f>IFERROR((VLOOKUP(Tabla13[[#This Row],[ID]],[1]!Mtto_Pesv[[#Headers],[#Data],[Placa]:[Rutina]],9,FALSE)),"-")</f>
        <v>-</v>
      </c>
      <c r="AK107" s="20">
        <f>IFERROR((VLOOKUP(Tabla13[[#This Row],[ID]],[1]!Mtto_Pesv[[#Headers],[#Data],[Placa]:[Rutina]],10,FALSE)),0)</f>
        <v>0</v>
      </c>
      <c r="AL107" s="20">
        <f>IF(Tabla13[[#This Row],[Km Anterior]]=0,0,Tabla13[[#This Row],[Km Ejecut]]-Tabla13[[#This Row],[Km Anterior]])</f>
        <v>0</v>
      </c>
      <c r="AM107" s="20">
        <f>IFERROR((VLOOKUP(Tabla13[[#This Row],[ID]],[1]!Mtto_Pesv[[#Headers],[#Data],[Placa]:[Rutina]],4,FALSE)),0)</f>
        <v>0</v>
      </c>
      <c r="AN107" s="21">
        <f>IFERROR((VLOOKUP(Tabla13[[#This Row],[ID]],[1]!Mtto_Pesv[[#Headers],[#Data],[Placa]:[Rutina]],5,FALSE)),0)</f>
        <v>0</v>
      </c>
      <c r="AO107" s="21">
        <f>+Tabla13[[#This Row],[Km Fin]]-Tabla13[[#This Row],[Km Ini]]</f>
        <v>0</v>
      </c>
      <c r="AP107" s="20">
        <f>IFERROR((VLOOKUP(Tabla13[[#This Row],[ID]],[1]!Estilo_Conduccion[[#All],[Placa]:[Puntuacion]],15,FALSE)),0)</f>
        <v>391.7</v>
      </c>
      <c r="AQ107" s="15" t="s">
        <v>54</v>
      </c>
      <c r="AR107" s="15" t="s">
        <v>54</v>
      </c>
      <c r="AS107" s="20">
        <v>4410</v>
      </c>
      <c r="AT107" s="21">
        <v>0</v>
      </c>
      <c r="AU107" s="21">
        <f>(Tabla13[[#This Row],[Cap Vh]]*$AX$2)*0.56</f>
        <v>0</v>
      </c>
      <c r="AV107" s="36" t="e">
        <f>(Tabla13[[#This Row],[Cap Util (kg)]]/(Tabla13[[#This Row],[Cap Inst (Kg)]]))</f>
        <v>#DIV/0!</v>
      </c>
    </row>
    <row r="108" spans="1:48" x14ac:dyDescent="0.25">
      <c r="A108" s="13" t="s">
        <v>1068</v>
      </c>
      <c r="B108" s="14" t="s">
        <v>234</v>
      </c>
      <c r="C108" s="14" t="s">
        <v>44</v>
      </c>
      <c r="D108" s="14" t="s">
        <v>44</v>
      </c>
      <c r="E108" s="14" t="s">
        <v>45</v>
      </c>
      <c r="F108" s="14" t="s">
        <v>76</v>
      </c>
      <c r="G108" s="15" t="s">
        <v>89</v>
      </c>
      <c r="H108" s="16" t="s">
        <v>90</v>
      </c>
      <c r="I108" s="14" t="s">
        <v>49</v>
      </c>
      <c r="J108" s="14">
        <v>830064700</v>
      </c>
      <c r="K108" s="14" t="s">
        <v>50</v>
      </c>
      <c r="L108" s="14" t="s">
        <v>103</v>
      </c>
      <c r="M108" s="14" t="s">
        <v>153</v>
      </c>
      <c r="N108" s="14">
        <v>2009</v>
      </c>
      <c r="O108" s="14">
        <v>11</v>
      </c>
      <c r="P108" s="14" t="s">
        <v>53</v>
      </c>
      <c r="Q108" s="14">
        <v>0</v>
      </c>
      <c r="R108" s="14">
        <v>0</v>
      </c>
      <c r="S108" s="17" t="s">
        <v>54</v>
      </c>
      <c r="T108" s="18">
        <v>0</v>
      </c>
      <c r="U108" s="14">
        <v>0</v>
      </c>
      <c r="V108" s="19">
        <v>0</v>
      </c>
      <c r="W108" s="14">
        <v>0</v>
      </c>
      <c r="X108" s="14">
        <v>26</v>
      </c>
      <c r="Y108" s="14">
        <v>2</v>
      </c>
      <c r="Z108" s="14">
        <v>0</v>
      </c>
      <c r="AA108" s="14">
        <f>Tabla13[[#This Row],[CheckList App]]+Tabla13[[#This Row],[CheckList Fisc]]</f>
        <v>2</v>
      </c>
      <c r="AB108" s="19" t="str">
        <f t="shared" si="1"/>
        <v/>
      </c>
      <c r="AC108" s="14">
        <v>0</v>
      </c>
      <c r="AD108" s="14" t="s">
        <v>55</v>
      </c>
      <c r="AE108" s="15" t="str">
        <f>IFERROR((VLOOKUP(Tabla13[[#This Row],[ID]],[1]!Mtto_Pesv[[#Headers],[#Data],[Placa]:[Rutina]],2,FALSE)),"-")</f>
        <v>-</v>
      </c>
      <c r="AF108" s="14">
        <v>0</v>
      </c>
      <c r="AG108" s="20">
        <f>IFERROR((VLOOKUP(Tabla13[[#This Row],[ID]],[1]!Mtto_Pesv[[#Headers],[#Data],[Placa]:[Rutina]],3,FALSE)),0)</f>
        <v>0</v>
      </c>
      <c r="AH108" s="20">
        <f>IFERROR((VLOOKUP(Tabla13[[#This Row],[ID]],[1]!Mtto_Pesv[[#Headers],[#Data],[Placa]:[Rutina]],7,FALSE)),0)</f>
        <v>0</v>
      </c>
      <c r="AI108" s="20">
        <f>IFERROR((VLOOKUP(Tabla13[[#This Row],[ID]],[1]!Mtto_Pesv[[#Headers],[#Data],[Placa]:[Rutina]],8,FALSE)),0)</f>
        <v>0</v>
      </c>
      <c r="AJ108" s="20" t="str">
        <f>IFERROR((VLOOKUP(Tabla13[[#This Row],[ID]],[1]!Mtto_Pesv[[#Headers],[#Data],[Placa]:[Rutina]],9,FALSE)),"-")</f>
        <v>-</v>
      </c>
      <c r="AK108" s="20">
        <f>IFERROR((VLOOKUP(Tabla13[[#This Row],[ID]],[1]!Mtto_Pesv[[#Headers],[#Data],[Placa]:[Rutina]],10,FALSE)),0)</f>
        <v>0</v>
      </c>
      <c r="AL108" s="20">
        <f>IF(Tabla13[[#This Row],[Km Anterior]]=0,0,Tabla13[[#This Row],[Km Ejecut]]-Tabla13[[#This Row],[Km Anterior]])</f>
        <v>0</v>
      </c>
      <c r="AM108" s="20">
        <f>IFERROR((VLOOKUP(Tabla13[[#This Row],[ID]],[1]!Mtto_Pesv[[#Headers],[#Data],[Placa]:[Rutina]],4,FALSE)),0)</f>
        <v>0</v>
      </c>
      <c r="AN108" s="21">
        <f>IFERROR((VLOOKUP(Tabla13[[#This Row],[ID]],[1]!Mtto_Pesv[[#Headers],[#Data],[Placa]:[Rutina]],5,FALSE)),0)</f>
        <v>0</v>
      </c>
      <c r="AO108" s="21">
        <f>+Tabla13[[#This Row],[Km Fin]]-Tabla13[[#This Row],[Km Ini]]</f>
        <v>0</v>
      </c>
      <c r="AP108" s="20">
        <f>IFERROR((VLOOKUP(Tabla13[[#This Row],[ID]],[1]!Estilo_Conduccion[[#All],[Placa]:[Puntuacion]],15,FALSE)),0)</f>
        <v>0</v>
      </c>
      <c r="AQ108" s="15" t="s">
        <v>1149</v>
      </c>
      <c r="AR108" s="15" t="s">
        <v>1150</v>
      </c>
      <c r="AS108" s="20">
        <v>4410</v>
      </c>
      <c r="AT108" s="21">
        <v>5496</v>
      </c>
      <c r="AU108" s="21">
        <f>(Tabla13[[#This Row],[Cap Vh]]*$AX$2)*0.56</f>
        <v>0</v>
      </c>
      <c r="AV108" s="36" t="e">
        <f>(Tabla13[[#This Row],[Cap Util (kg)]]/(Tabla13[[#This Row],[Cap Inst (Kg)]]))</f>
        <v>#DIV/0!</v>
      </c>
    </row>
    <row r="109" spans="1:48" x14ac:dyDescent="0.25">
      <c r="A109" s="13" t="s">
        <v>1068</v>
      </c>
      <c r="B109" s="14" t="s">
        <v>235</v>
      </c>
      <c r="C109" s="14" t="s">
        <v>44</v>
      </c>
      <c r="D109" s="14" t="s">
        <v>44</v>
      </c>
      <c r="E109" s="14" t="s">
        <v>45</v>
      </c>
      <c r="F109" s="14" t="s">
        <v>64</v>
      </c>
      <c r="G109" s="15" t="s">
        <v>119</v>
      </c>
      <c r="H109" s="16" t="s">
        <v>120</v>
      </c>
      <c r="I109" s="14" t="s">
        <v>49</v>
      </c>
      <c r="J109" s="14">
        <v>830064700</v>
      </c>
      <c r="K109" s="14" t="s">
        <v>50</v>
      </c>
      <c r="L109" s="14" t="s">
        <v>103</v>
      </c>
      <c r="M109" s="14" t="s">
        <v>121</v>
      </c>
      <c r="N109" s="14">
        <v>2009</v>
      </c>
      <c r="O109" s="14">
        <v>11</v>
      </c>
      <c r="P109" s="14" t="s">
        <v>53</v>
      </c>
      <c r="Q109" s="14">
        <v>0</v>
      </c>
      <c r="R109" s="14">
        <v>0</v>
      </c>
      <c r="S109" s="17" t="s">
        <v>54</v>
      </c>
      <c r="T109" s="18">
        <v>0</v>
      </c>
      <c r="U109" s="14">
        <v>30</v>
      </c>
      <c r="V109" s="19">
        <v>1</v>
      </c>
      <c r="W109" s="14">
        <v>0</v>
      </c>
      <c r="X109" s="14">
        <v>0</v>
      </c>
      <c r="Y109" s="14">
        <v>0</v>
      </c>
      <c r="Z109" s="14">
        <v>0</v>
      </c>
      <c r="AA109" s="14">
        <f>Tabla13[[#This Row],[CheckList App]]+Tabla13[[#This Row],[CheckList Fisc]]</f>
        <v>0</v>
      </c>
      <c r="AB109" s="19">
        <f t="shared" si="1"/>
        <v>0</v>
      </c>
      <c r="AC109" s="14">
        <v>0</v>
      </c>
      <c r="AD109" s="14" t="s">
        <v>55</v>
      </c>
      <c r="AE109" s="15" t="str">
        <f>IFERROR((VLOOKUP(Tabla13[[#This Row],[ID]],[1]!Mtto_Pesv[[#Headers],[#Data],[Placa]:[Rutina]],2,FALSE)),"-")</f>
        <v>-</v>
      </c>
      <c r="AF109" s="14">
        <v>0</v>
      </c>
      <c r="AG109" s="20">
        <f>IFERROR((VLOOKUP(Tabla13[[#This Row],[ID]],[1]!Mtto_Pesv[[#Headers],[#Data],[Placa]:[Rutina]],3,FALSE)),0)</f>
        <v>0</v>
      </c>
      <c r="AH109" s="20">
        <f>IFERROR((VLOOKUP(Tabla13[[#This Row],[ID]],[1]!Mtto_Pesv[[#Headers],[#Data],[Placa]:[Rutina]],7,FALSE)),0)</f>
        <v>0</v>
      </c>
      <c r="AI109" s="20">
        <f>IFERROR((VLOOKUP(Tabla13[[#This Row],[ID]],[1]!Mtto_Pesv[[#Headers],[#Data],[Placa]:[Rutina]],8,FALSE)),0)</f>
        <v>0</v>
      </c>
      <c r="AJ109" s="20" t="str">
        <f>IFERROR((VLOOKUP(Tabla13[[#This Row],[ID]],[1]!Mtto_Pesv[[#Headers],[#Data],[Placa]:[Rutina]],9,FALSE)),"-")</f>
        <v>-</v>
      </c>
      <c r="AK109" s="20">
        <f>IFERROR((VLOOKUP(Tabla13[[#This Row],[ID]],[1]!Mtto_Pesv[[#Headers],[#Data],[Placa]:[Rutina]],10,FALSE)),0)</f>
        <v>0</v>
      </c>
      <c r="AL109" s="20">
        <f>IF(Tabla13[[#This Row],[Km Anterior]]=0,0,Tabla13[[#This Row],[Km Ejecut]]-Tabla13[[#This Row],[Km Anterior]])</f>
        <v>0</v>
      </c>
      <c r="AM109" s="20">
        <f>IFERROR((VLOOKUP(Tabla13[[#This Row],[ID]],[1]!Mtto_Pesv[[#Headers],[#Data],[Placa]:[Rutina]],4,FALSE)),0)</f>
        <v>0</v>
      </c>
      <c r="AN109" s="21">
        <f>IFERROR((VLOOKUP(Tabla13[[#This Row],[ID]],[1]!Mtto_Pesv[[#Headers],[#Data],[Placa]:[Rutina]],5,FALSE)),0)</f>
        <v>0</v>
      </c>
      <c r="AO109" s="21">
        <f>+Tabla13[[#This Row],[Km Fin]]-Tabla13[[#This Row],[Km Ini]]</f>
        <v>0</v>
      </c>
      <c r="AP109" s="20">
        <f>IFERROR((VLOOKUP(Tabla13[[#This Row],[ID]],[1]!Estilo_Conduccion[[#All],[Placa]:[Puntuacion]],15,FALSE)),0)</f>
        <v>0</v>
      </c>
      <c r="AQ109" s="15" t="s">
        <v>54</v>
      </c>
      <c r="AR109" s="15" t="s">
        <v>54</v>
      </c>
      <c r="AS109" s="20">
        <v>2700</v>
      </c>
      <c r="AT109" s="21">
        <v>0</v>
      </c>
      <c r="AU109" s="21">
        <f>(Tabla13[[#This Row],[Cap Vh]]*$AX$2)*0.56</f>
        <v>0</v>
      </c>
      <c r="AV109" s="36" t="e">
        <f>(Tabla13[[#This Row],[Cap Util (kg)]]/(Tabla13[[#This Row],[Cap Inst (Kg)]]))</f>
        <v>#DIV/0!</v>
      </c>
    </row>
    <row r="110" spans="1:48" x14ac:dyDescent="0.25">
      <c r="A110" s="13" t="s">
        <v>1068</v>
      </c>
      <c r="B110" s="14" t="s">
        <v>237</v>
      </c>
      <c r="C110" s="14" t="s">
        <v>44</v>
      </c>
      <c r="D110" s="14" t="s">
        <v>44</v>
      </c>
      <c r="E110" s="14" t="s">
        <v>45</v>
      </c>
      <c r="F110" s="14" t="s">
        <v>46</v>
      </c>
      <c r="G110" s="15" t="s">
        <v>47</v>
      </c>
      <c r="H110" s="16" t="s">
        <v>48</v>
      </c>
      <c r="I110" s="14" t="s">
        <v>49</v>
      </c>
      <c r="J110" s="14">
        <v>830064700</v>
      </c>
      <c r="K110" s="14" t="s">
        <v>50</v>
      </c>
      <c r="L110" s="14" t="s">
        <v>103</v>
      </c>
      <c r="M110" s="14" t="s">
        <v>121</v>
      </c>
      <c r="N110" s="14">
        <v>2009</v>
      </c>
      <c r="O110" s="14">
        <v>11</v>
      </c>
      <c r="P110" s="14" t="s">
        <v>53</v>
      </c>
      <c r="Q110" s="14">
        <v>0</v>
      </c>
      <c r="R110" s="14">
        <v>0</v>
      </c>
      <c r="S110" s="17" t="s">
        <v>54</v>
      </c>
      <c r="T110" s="18">
        <v>0</v>
      </c>
      <c r="U110" s="14">
        <v>0</v>
      </c>
      <c r="V110" s="19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f>Tabla13[[#This Row],[CheckList App]]+Tabla13[[#This Row],[CheckList Fisc]]</f>
        <v>0</v>
      </c>
      <c r="AB110" s="19" t="str">
        <f t="shared" si="1"/>
        <v/>
      </c>
      <c r="AC110" s="14">
        <v>0</v>
      </c>
      <c r="AD110" s="14" t="s">
        <v>55</v>
      </c>
      <c r="AE110" s="15" t="str">
        <f>IFERROR((VLOOKUP(Tabla13[[#This Row],[ID]],[1]!Mtto_Pesv[[#Headers],[#Data],[Placa]:[Rutina]],2,FALSE)),"-")</f>
        <v>-</v>
      </c>
      <c r="AF110" s="14">
        <v>0</v>
      </c>
      <c r="AG110" s="20">
        <f>IFERROR((VLOOKUP(Tabla13[[#This Row],[ID]],[1]!Mtto_Pesv[[#Headers],[#Data],[Placa]:[Rutina]],3,FALSE)),0)</f>
        <v>0</v>
      </c>
      <c r="AH110" s="20">
        <f>IFERROR((VLOOKUP(Tabla13[[#This Row],[ID]],[1]!Mtto_Pesv[[#Headers],[#Data],[Placa]:[Rutina]],7,FALSE)),0)</f>
        <v>0</v>
      </c>
      <c r="AI110" s="20">
        <f>IFERROR((VLOOKUP(Tabla13[[#This Row],[ID]],[1]!Mtto_Pesv[[#Headers],[#Data],[Placa]:[Rutina]],8,FALSE)),0)</f>
        <v>0</v>
      </c>
      <c r="AJ110" s="20" t="str">
        <f>IFERROR((VLOOKUP(Tabla13[[#This Row],[ID]],[1]!Mtto_Pesv[[#Headers],[#Data],[Placa]:[Rutina]],9,FALSE)),"-")</f>
        <v>-</v>
      </c>
      <c r="AK110" s="20">
        <f>IFERROR((VLOOKUP(Tabla13[[#This Row],[ID]],[1]!Mtto_Pesv[[#Headers],[#Data],[Placa]:[Rutina]],10,FALSE)),0)</f>
        <v>0</v>
      </c>
      <c r="AL110" s="20">
        <f>IF(Tabla13[[#This Row],[Km Anterior]]=0,0,Tabla13[[#This Row],[Km Ejecut]]-Tabla13[[#This Row],[Km Anterior]])</f>
        <v>0</v>
      </c>
      <c r="AM110" s="20">
        <f>IFERROR((VLOOKUP(Tabla13[[#This Row],[ID]],[1]!Mtto_Pesv[[#Headers],[#Data],[Placa]:[Rutina]],4,FALSE)),0)</f>
        <v>0</v>
      </c>
      <c r="AN110" s="21">
        <f>IFERROR((VLOOKUP(Tabla13[[#This Row],[ID]],[1]!Mtto_Pesv[[#Headers],[#Data],[Placa]:[Rutina]],5,FALSE)),0)</f>
        <v>0</v>
      </c>
      <c r="AO110" s="21">
        <f>+Tabla13[[#This Row],[Km Fin]]-Tabla13[[#This Row],[Km Ini]]</f>
        <v>0</v>
      </c>
      <c r="AP110" s="20">
        <f>IFERROR((VLOOKUP(Tabla13[[#This Row],[ID]],[1]!Estilo_Conduccion[[#All],[Placa]:[Puntuacion]],15,FALSE)),0)</f>
        <v>0</v>
      </c>
      <c r="AQ110" s="15" t="s">
        <v>1141</v>
      </c>
      <c r="AR110" s="15" t="s">
        <v>1142</v>
      </c>
      <c r="AS110" s="20">
        <v>2700</v>
      </c>
      <c r="AT110" s="21">
        <v>525.75</v>
      </c>
      <c r="AU110" s="21">
        <f>(Tabla13[[#This Row],[Cap Vh]]*$AX$2)*0.56</f>
        <v>0</v>
      </c>
      <c r="AV110" s="36" t="e">
        <f>(Tabla13[[#This Row],[Cap Util (kg)]]/(Tabla13[[#This Row],[Cap Inst (Kg)]]))</f>
        <v>#DIV/0!</v>
      </c>
    </row>
    <row r="111" spans="1:48" x14ac:dyDescent="0.25">
      <c r="A111" s="13" t="s">
        <v>1068</v>
      </c>
      <c r="B111" s="14" t="s">
        <v>238</v>
      </c>
      <c r="C111" s="14" t="s">
        <v>44</v>
      </c>
      <c r="D111" s="14" t="s">
        <v>44</v>
      </c>
      <c r="E111" s="14" t="s">
        <v>45</v>
      </c>
      <c r="F111" s="14" t="s">
        <v>46</v>
      </c>
      <c r="G111" s="15" t="s">
        <v>47</v>
      </c>
      <c r="H111" s="16" t="s">
        <v>48</v>
      </c>
      <c r="I111" s="14" t="s">
        <v>49</v>
      </c>
      <c r="J111" s="14">
        <v>830064700</v>
      </c>
      <c r="K111" s="14" t="s">
        <v>50</v>
      </c>
      <c r="L111" s="14" t="s">
        <v>103</v>
      </c>
      <c r="M111" s="14" t="s">
        <v>104</v>
      </c>
      <c r="N111" s="14">
        <v>2010</v>
      </c>
      <c r="O111" s="14">
        <v>10</v>
      </c>
      <c r="P111" s="14" t="s">
        <v>53</v>
      </c>
      <c r="Q111" s="14">
        <v>0</v>
      </c>
      <c r="R111" s="14">
        <v>0</v>
      </c>
      <c r="S111" s="17" t="s">
        <v>54</v>
      </c>
      <c r="T111" s="18">
        <v>0</v>
      </c>
      <c r="U111" s="14">
        <v>30</v>
      </c>
      <c r="V111" s="19">
        <v>1</v>
      </c>
      <c r="W111" s="14">
        <v>0</v>
      </c>
      <c r="X111" s="14">
        <v>0</v>
      </c>
      <c r="Y111" s="14">
        <v>0</v>
      </c>
      <c r="Z111" s="14">
        <v>0</v>
      </c>
      <c r="AA111" s="14">
        <f>Tabla13[[#This Row],[CheckList App]]+Tabla13[[#This Row],[CheckList Fisc]]</f>
        <v>0</v>
      </c>
      <c r="AB111" s="19">
        <f t="shared" si="1"/>
        <v>0</v>
      </c>
      <c r="AC111" s="14">
        <v>0</v>
      </c>
      <c r="AD111" s="14" t="s">
        <v>55</v>
      </c>
      <c r="AE111" s="15" t="str">
        <f>IFERROR((VLOOKUP(Tabla13[[#This Row],[ID]],[1]!Mtto_Pesv[[#Headers],[#Data],[Placa]:[Rutina]],2,FALSE)),"-")</f>
        <v>-</v>
      </c>
      <c r="AF111" s="14">
        <v>0</v>
      </c>
      <c r="AG111" s="20">
        <f>IFERROR((VLOOKUP(Tabla13[[#This Row],[ID]],[1]!Mtto_Pesv[[#Headers],[#Data],[Placa]:[Rutina]],3,FALSE)),0)</f>
        <v>0</v>
      </c>
      <c r="AH111" s="20">
        <f>IFERROR((VLOOKUP(Tabla13[[#This Row],[ID]],[1]!Mtto_Pesv[[#Headers],[#Data],[Placa]:[Rutina]],7,FALSE)),0)</f>
        <v>0</v>
      </c>
      <c r="AI111" s="20">
        <f>IFERROR((VLOOKUP(Tabla13[[#This Row],[ID]],[1]!Mtto_Pesv[[#Headers],[#Data],[Placa]:[Rutina]],8,FALSE)),0)</f>
        <v>0</v>
      </c>
      <c r="AJ111" s="20" t="str">
        <f>IFERROR((VLOOKUP(Tabla13[[#This Row],[ID]],[1]!Mtto_Pesv[[#Headers],[#Data],[Placa]:[Rutina]],9,FALSE)),"-")</f>
        <v>-</v>
      </c>
      <c r="AK111" s="20">
        <f>IFERROR((VLOOKUP(Tabla13[[#This Row],[ID]],[1]!Mtto_Pesv[[#Headers],[#Data],[Placa]:[Rutina]],10,FALSE)),0)</f>
        <v>0</v>
      </c>
      <c r="AL111" s="20">
        <f>IF(Tabla13[[#This Row],[Km Anterior]]=0,0,Tabla13[[#This Row],[Km Ejecut]]-Tabla13[[#This Row],[Km Anterior]])</f>
        <v>0</v>
      </c>
      <c r="AM111" s="20">
        <f>IFERROR((VLOOKUP(Tabla13[[#This Row],[ID]],[1]!Mtto_Pesv[[#Headers],[#Data],[Placa]:[Rutina]],4,FALSE)),0)</f>
        <v>0</v>
      </c>
      <c r="AN111" s="21">
        <f>IFERROR((VLOOKUP(Tabla13[[#This Row],[ID]],[1]!Mtto_Pesv[[#Headers],[#Data],[Placa]:[Rutina]],5,FALSE)),0)</f>
        <v>0</v>
      </c>
      <c r="AO111" s="21">
        <f>+Tabla13[[#This Row],[Km Fin]]-Tabla13[[#This Row],[Km Ini]]</f>
        <v>0</v>
      </c>
      <c r="AP111" s="20">
        <f>IFERROR((VLOOKUP(Tabla13[[#This Row],[ID]],[1]!Estilo_Conduccion[[#All],[Placa]:[Puntuacion]],15,FALSE)),0)</f>
        <v>0</v>
      </c>
      <c r="AQ111" s="15" t="s">
        <v>1069</v>
      </c>
      <c r="AR111" s="15" t="s">
        <v>1151</v>
      </c>
      <c r="AS111" s="20">
        <v>1600</v>
      </c>
      <c r="AT111" s="21">
        <v>0</v>
      </c>
      <c r="AU111" s="21">
        <f>(Tabla13[[#This Row],[Cap Vh]]*$AX$2)*0.56</f>
        <v>0</v>
      </c>
      <c r="AV111" s="36" t="e">
        <f>(Tabla13[[#This Row],[Cap Util (kg)]]/(Tabla13[[#This Row],[Cap Inst (Kg)]]))</f>
        <v>#DIV/0!</v>
      </c>
    </row>
    <row r="112" spans="1:48" x14ac:dyDescent="0.25">
      <c r="A112" s="13" t="s">
        <v>1068</v>
      </c>
      <c r="B112" s="14" t="s">
        <v>239</v>
      </c>
      <c r="C112" s="14" t="s">
        <v>44</v>
      </c>
      <c r="D112" s="14" t="s">
        <v>44</v>
      </c>
      <c r="E112" s="14" t="s">
        <v>45</v>
      </c>
      <c r="F112" s="14" t="s">
        <v>46</v>
      </c>
      <c r="G112" s="15" t="s">
        <v>47</v>
      </c>
      <c r="H112" s="16" t="s">
        <v>48</v>
      </c>
      <c r="I112" s="14" t="s">
        <v>49</v>
      </c>
      <c r="J112" s="14">
        <v>830064700</v>
      </c>
      <c r="K112" s="14" t="s">
        <v>50</v>
      </c>
      <c r="L112" s="14" t="s">
        <v>103</v>
      </c>
      <c r="M112" s="14" t="s">
        <v>104</v>
      </c>
      <c r="N112" s="14">
        <v>2010</v>
      </c>
      <c r="O112" s="14">
        <v>10</v>
      </c>
      <c r="P112" s="14" t="s">
        <v>53</v>
      </c>
      <c r="Q112" s="14">
        <v>0</v>
      </c>
      <c r="R112" s="14">
        <v>0</v>
      </c>
      <c r="S112" s="17" t="s">
        <v>54</v>
      </c>
      <c r="T112" s="18">
        <v>0</v>
      </c>
      <c r="U112" s="14">
        <v>0</v>
      </c>
      <c r="V112" s="19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f>Tabla13[[#This Row],[CheckList App]]+Tabla13[[#This Row],[CheckList Fisc]]</f>
        <v>0</v>
      </c>
      <c r="AB112" s="19" t="str">
        <f t="shared" si="1"/>
        <v/>
      </c>
      <c r="AC112" s="14">
        <v>0</v>
      </c>
      <c r="AD112" s="14" t="s">
        <v>55</v>
      </c>
      <c r="AE112" s="15" t="str">
        <f>IFERROR((VLOOKUP(Tabla13[[#This Row],[ID]],[1]!Mtto_Pesv[[#Headers],[#Data],[Placa]:[Rutina]],2,FALSE)),"-")</f>
        <v>-</v>
      </c>
      <c r="AF112" s="14">
        <v>0</v>
      </c>
      <c r="AG112" s="20">
        <f>IFERROR((VLOOKUP(Tabla13[[#This Row],[ID]],[1]!Mtto_Pesv[[#Headers],[#Data],[Placa]:[Rutina]],3,FALSE)),0)</f>
        <v>0</v>
      </c>
      <c r="AH112" s="20">
        <f>IFERROR((VLOOKUP(Tabla13[[#This Row],[ID]],[1]!Mtto_Pesv[[#Headers],[#Data],[Placa]:[Rutina]],7,FALSE)),0)</f>
        <v>0</v>
      </c>
      <c r="AI112" s="20">
        <f>IFERROR((VLOOKUP(Tabla13[[#This Row],[ID]],[1]!Mtto_Pesv[[#Headers],[#Data],[Placa]:[Rutina]],8,FALSE)),0)</f>
        <v>0</v>
      </c>
      <c r="AJ112" s="20" t="str">
        <f>IFERROR((VLOOKUP(Tabla13[[#This Row],[ID]],[1]!Mtto_Pesv[[#Headers],[#Data],[Placa]:[Rutina]],9,FALSE)),"-")</f>
        <v>-</v>
      </c>
      <c r="AK112" s="20">
        <f>IFERROR((VLOOKUP(Tabla13[[#This Row],[ID]],[1]!Mtto_Pesv[[#Headers],[#Data],[Placa]:[Rutina]],10,FALSE)),0)</f>
        <v>0</v>
      </c>
      <c r="AL112" s="20">
        <f>IF(Tabla13[[#This Row],[Km Anterior]]=0,0,Tabla13[[#This Row],[Km Ejecut]]-Tabla13[[#This Row],[Km Anterior]])</f>
        <v>0</v>
      </c>
      <c r="AM112" s="20">
        <f>IFERROR((VLOOKUP(Tabla13[[#This Row],[ID]],[1]!Mtto_Pesv[[#Headers],[#Data],[Placa]:[Rutina]],4,FALSE)),0)</f>
        <v>0</v>
      </c>
      <c r="AN112" s="21">
        <f>IFERROR((VLOOKUP(Tabla13[[#This Row],[ID]],[1]!Mtto_Pesv[[#Headers],[#Data],[Placa]:[Rutina]],5,FALSE)),0)</f>
        <v>0</v>
      </c>
      <c r="AO112" s="21">
        <f>+Tabla13[[#This Row],[Km Fin]]-Tabla13[[#This Row],[Km Ini]]</f>
        <v>0</v>
      </c>
      <c r="AP112" s="20">
        <f>IFERROR((VLOOKUP(Tabla13[[#This Row],[ID]],[1]!Estilo_Conduccion[[#All],[Placa]:[Puntuacion]],15,FALSE)),0)</f>
        <v>0</v>
      </c>
      <c r="AQ112" s="15" t="s">
        <v>1137</v>
      </c>
      <c r="AR112" s="15" t="s">
        <v>1138</v>
      </c>
      <c r="AS112" s="20">
        <v>1600</v>
      </c>
      <c r="AT112" s="21">
        <v>7317.75</v>
      </c>
      <c r="AU112" s="21">
        <f>(Tabla13[[#This Row],[Cap Vh]]*$AX$2)*0.56</f>
        <v>0</v>
      </c>
      <c r="AV112" s="36" t="e">
        <f>(Tabla13[[#This Row],[Cap Util (kg)]]/(Tabla13[[#This Row],[Cap Inst (Kg)]]))</f>
        <v>#DIV/0!</v>
      </c>
    </row>
    <row r="113" spans="1:48" x14ac:dyDescent="0.25">
      <c r="A113" s="13" t="s">
        <v>1068</v>
      </c>
      <c r="B113" s="14" t="s">
        <v>240</v>
      </c>
      <c r="C113" s="14" t="s">
        <v>44</v>
      </c>
      <c r="D113" s="14" t="s">
        <v>44</v>
      </c>
      <c r="E113" s="14" t="s">
        <v>45</v>
      </c>
      <c r="F113" s="14" t="s">
        <v>46</v>
      </c>
      <c r="G113" s="15" t="s">
        <v>47</v>
      </c>
      <c r="H113" s="16" t="s">
        <v>48</v>
      </c>
      <c r="I113" s="14" t="s">
        <v>49</v>
      </c>
      <c r="J113" s="14">
        <v>830064700</v>
      </c>
      <c r="K113" s="14" t="s">
        <v>50</v>
      </c>
      <c r="L113" s="14" t="s">
        <v>103</v>
      </c>
      <c r="M113" s="14" t="s">
        <v>104</v>
      </c>
      <c r="N113" s="14">
        <v>2010</v>
      </c>
      <c r="O113" s="14">
        <v>10</v>
      </c>
      <c r="P113" s="14" t="s">
        <v>53</v>
      </c>
      <c r="Q113" s="14">
        <v>0</v>
      </c>
      <c r="R113" s="14">
        <v>0</v>
      </c>
      <c r="S113" s="17" t="s">
        <v>54</v>
      </c>
      <c r="T113" s="18">
        <v>0</v>
      </c>
      <c r="U113" s="14">
        <v>30</v>
      </c>
      <c r="V113" s="19">
        <v>1</v>
      </c>
      <c r="W113" s="14">
        <v>0</v>
      </c>
      <c r="X113" s="14">
        <v>0</v>
      </c>
      <c r="Y113" s="14">
        <v>0</v>
      </c>
      <c r="Z113" s="14">
        <v>0</v>
      </c>
      <c r="AA113" s="14">
        <f>Tabla13[[#This Row],[CheckList App]]+Tabla13[[#This Row],[CheckList Fisc]]</f>
        <v>0</v>
      </c>
      <c r="AB113" s="19">
        <f t="shared" si="1"/>
        <v>0</v>
      </c>
      <c r="AC113" s="14">
        <v>0</v>
      </c>
      <c r="AD113" s="14" t="s">
        <v>55</v>
      </c>
      <c r="AE113" s="15" t="str">
        <f>IFERROR((VLOOKUP(Tabla13[[#This Row],[ID]],[1]!Mtto_Pesv[[#Headers],[#Data],[Placa]:[Rutina]],2,FALSE)),"-")</f>
        <v>-</v>
      </c>
      <c r="AF113" s="14">
        <v>0</v>
      </c>
      <c r="AG113" s="20">
        <f>IFERROR((VLOOKUP(Tabla13[[#This Row],[ID]],[1]!Mtto_Pesv[[#Headers],[#Data],[Placa]:[Rutina]],3,FALSE)),0)</f>
        <v>0</v>
      </c>
      <c r="AH113" s="20">
        <f>IFERROR((VLOOKUP(Tabla13[[#This Row],[ID]],[1]!Mtto_Pesv[[#Headers],[#Data],[Placa]:[Rutina]],7,FALSE)),0)</f>
        <v>0</v>
      </c>
      <c r="AI113" s="20">
        <f>IFERROR((VLOOKUP(Tabla13[[#This Row],[ID]],[1]!Mtto_Pesv[[#Headers],[#Data],[Placa]:[Rutina]],8,FALSE)),0)</f>
        <v>0</v>
      </c>
      <c r="AJ113" s="20" t="str">
        <f>IFERROR((VLOOKUP(Tabla13[[#This Row],[ID]],[1]!Mtto_Pesv[[#Headers],[#Data],[Placa]:[Rutina]],9,FALSE)),"-")</f>
        <v>-</v>
      </c>
      <c r="AK113" s="20">
        <f>IFERROR((VLOOKUP(Tabla13[[#This Row],[ID]],[1]!Mtto_Pesv[[#Headers],[#Data],[Placa]:[Rutina]],10,FALSE)),0)</f>
        <v>0</v>
      </c>
      <c r="AL113" s="20">
        <f>IF(Tabla13[[#This Row],[Km Anterior]]=0,0,Tabla13[[#This Row],[Km Ejecut]]-Tabla13[[#This Row],[Km Anterior]])</f>
        <v>0</v>
      </c>
      <c r="AM113" s="20">
        <f>IFERROR((VLOOKUP(Tabla13[[#This Row],[ID]],[1]!Mtto_Pesv[[#Headers],[#Data],[Placa]:[Rutina]],4,FALSE)),0)</f>
        <v>0</v>
      </c>
      <c r="AN113" s="21">
        <f>IFERROR((VLOOKUP(Tabla13[[#This Row],[ID]],[1]!Mtto_Pesv[[#Headers],[#Data],[Placa]:[Rutina]],5,FALSE)),0)</f>
        <v>0</v>
      </c>
      <c r="AO113" s="21">
        <f>+Tabla13[[#This Row],[Km Fin]]-Tabla13[[#This Row],[Km Ini]]</f>
        <v>0</v>
      </c>
      <c r="AP113" s="20">
        <f>IFERROR((VLOOKUP(Tabla13[[#This Row],[ID]],[1]!Estilo_Conduccion[[#All],[Placa]:[Puntuacion]],15,FALSE)),0)</f>
        <v>0</v>
      </c>
      <c r="AQ113" s="15" t="s">
        <v>1152</v>
      </c>
      <c r="AR113" s="15" t="s">
        <v>1153</v>
      </c>
      <c r="AS113" s="20">
        <v>1600</v>
      </c>
      <c r="AT113" s="21">
        <v>2407.5</v>
      </c>
      <c r="AU113" s="21">
        <f>(Tabla13[[#This Row],[Cap Vh]]*$AX$2)*0.56</f>
        <v>0</v>
      </c>
      <c r="AV113" s="36" t="e">
        <f>(Tabla13[[#This Row],[Cap Util (kg)]]/(Tabla13[[#This Row],[Cap Inst (Kg)]]))</f>
        <v>#DIV/0!</v>
      </c>
    </row>
    <row r="114" spans="1:48" x14ac:dyDescent="0.25">
      <c r="A114" s="13" t="s">
        <v>1068</v>
      </c>
      <c r="B114" s="14" t="s">
        <v>241</v>
      </c>
      <c r="C114" s="14" t="s">
        <v>44</v>
      </c>
      <c r="D114" s="14" t="s">
        <v>44</v>
      </c>
      <c r="E114" s="14" t="s">
        <v>45</v>
      </c>
      <c r="F114" s="14" t="s">
        <v>46</v>
      </c>
      <c r="G114" s="15" t="s">
        <v>47</v>
      </c>
      <c r="H114" s="16" t="s">
        <v>48</v>
      </c>
      <c r="I114" s="14" t="s">
        <v>49</v>
      </c>
      <c r="J114" s="14">
        <v>830064700</v>
      </c>
      <c r="K114" s="14" t="s">
        <v>50</v>
      </c>
      <c r="L114" s="14" t="s">
        <v>103</v>
      </c>
      <c r="M114" s="14" t="s">
        <v>104</v>
      </c>
      <c r="N114" s="14">
        <v>2010</v>
      </c>
      <c r="O114" s="14">
        <v>10</v>
      </c>
      <c r="P114" s="14" t="s">
        <v>53</v>
      </c>
      <c r="Q114" s="14">
        <v>0</v>
      </c>
      <c r="R114" s="14">
        <v>0</v>
      </c>
      <c r="S114" s="17" t="s">
        <v>54</v>
      </c>
      <c r="T114" s="18">
        <v>0</v>
      </c>
      <c r="U114" s="14">
        <v>30</v>
      </c>
      <c r="V114" s="19">
        <v>1</v>
      </c>
      <c r="W114" s="14">
        <v>0</v>
      </c>
      <c r="X114" s="14">
        <v>0</v>
      </c>
      <c r="Y114" s="14">
        <v>0</v>
      </c>
      <c r="Z114" s="14">
        <v>0</v>
      </c>
      <c r="AA114" s="14">
        <f>Tabla13[[#This Row],[CheckList App]]+Tabla13[[#This Row],[CheckList Fisc]]</f>
        <v>0</v>
      </c>
      <c r="AB114" s="19">
        <f t="shared" si="1"/>
        <v>0</v>
      </c>
      <c r="AC114" s="14">
        <v>0</v>
      </c>
      <c r="AD114" s="14" t="s">
        <v>55</v>
      </c>
      <c r="AE114" s="15" t="str">
        <f>IFERROR((VLOOKUP(Tabla13[[#This Row],[ID]],[1]!Mtto_Pesv[[#Headers],[#Data],[Placa]:[Rutina]],2,FALSE)),"-")</f>
        <v>-</v>
      </c>
      <c r="AF114" s="14">
        <v>0</v>
      </c>
      <c r="AG114" s="20">
        <f>IFERROR((VLOOKUP(Tabla13[[#This Row],[ID]],[1]!Mtto_Pesv[[#Headers],[#Data],[Placa]:[Rutina]],3,FALSE)),0)</f>
        <v>0</v>
      </c>
      <c r="AH114" s="20">
        <f>IFERROR((VLOOKUP(Tabla13[[#This Row],[ID]],[1]!Mtto_Pesv[[#Headers],[#Data],[Placa]:[Rutina]],7,FALSE)),0)</f>
        <v>0</v>
      </c>
      <c r="AI114" s="20">
        <f>IFERROR((VLOOKUP(Tabla13[[#This Row],[ID]],[1]!Mtto_Pesv[[#Headers],[#Data],[Placa]:[Rutina]],8,FALSE)),0)</f>
        <v>0</v>
      </c>
      <c r="AJ114" s="20" t="str">
        <f>IFERROR((VLOOKUP(Tabla13[[#This Row],[ID]],[1]!Mtto_Pesv[[#Headers],[#Data],[Placa]:[Rutina]],9,FALSE)),"-")</f>
        <v>-</v>
      </c>
      <c r="AK114" s="20">
        <f>IFERROR((VLOOKUP(Tabla13[[#This Row],[ID]],[1]!Mtto_Pesv[[#Headers],[#Data],[Placa]:[Rutina]],10,FALSE)),0)</f>
        <v>0</v>
      </c>
      <c r="AL114" s="20">
        <f>IF(Tabla13[[#This Row],[Km Anterior]]=0,0,Tabla13[[#This Row],[Km Ejecut]]-Tabla13[[#This Row],[Km Anterior]])</f>
        <v>0</v>
      </c>
      <c r="AM114" s="20">
        <f>IFERROR((VLOOKUP(Tabla13[[#This Row],[ID]],[1]!Mtto_Pesv[[#Headers],[#Data],[Placa]:[Rutina]],4,FALSE)),0)</f>
        <v>0</v>
      </c>
      <c r="AN114" s="21">
        <f>IFERROR((VLOOKUP(Tabla13[[#This Row],[ID]],[1]!Mtto_Pesv[[#Headers],[#Data],[Placa]:[Rutina]],5,FALSE)),0)</f>
        <v>0</v>
      </c>
      <c r="AO114" s="21">
        <f>+Tabla13[[#This Row],[Km Fin]]-Tabla13[[#This Row],[Km Ini]]</f>
        <v>0</v>
      </c>
      <c r="AP114" s="20">
        <f>IFERROR((VLOOKUP(Tabla13[[#This Row],[ID]],[1]!Estilo_Conduccion[[#All],[Placa]:[Puntuacion]],15,FALSE)),0)</f>
        <v>0</v>
      </c>
      <c r="AQ114" s="15" t="s">
        <v>1154</v>
      </c>
      <c r="AR114" s="15" t="s">
        <v>1155</v>
      </c>
      <c r="AS114" s="20">
        <v>1600</v>
      </c>
      <c r="AT114" s="21">
        <v>8127</v>
      </c>
      <c r="AU114" s="21">
        <f>(Tabla13[[#This Row],[Cap Vh]]*$AX$2)*0.56</f>
        <v>0</v>
      </c>
      <c r="AV114" s="36" t="e">
        <f>(Tabla13[[#This Row],[Cap Util (kg)]]/(Tabla13[[#This Row],[Cap Inst (Kg)]]))</f>
        <v>#DIV/0!</v>
      </c>
    </row>
    <row r="115" spans="1:48" x14ac:dyDescent="0.25">
      <c r="A115" s="13" t="s">
        <v>1068</v>
      </c>
      <c r="B115" s="14" t="s">
        <v>242</v>
      </c>
      <c r="C115" s="14" t="s">
        <v>44</v>
      </c>
      <c r="D115" s="14" t="s">
        <v>44</v>
      </c>
      <c r="E115" s="14" t="s">
        <v>85</v>
      </c>
      <c r="F115" s="14" t="s">
        <v>46</v>
      </c>
      <c r="G115" s="15" t="s">
        <v>47</v>
      </c>
      <c r="H115" s="16" t="s">
        <v>48</v>
      </c>
      <c r="I115" s="14" t="s">
        <v>49</v>
      </c>
      <c r="J115" s="14">
        <v>830064700</v>
      </c>
      <c r="K115" s="14" t="s">
        <v>50</v>
      </c>
      <c r="L115" s="14" t="s">
        <v>103</v>
      </c>
      <c r="M115" s="14" t="s">
        <v>104</v>
      </c>
      <c r="N115" s="14">
        <v>2010</v>
      </c>
      <c r="O115" s="14">
        <v>10</v>
      </c>
      <c r="P115" s="14" t="s">
        <v>53</v>
      </c>
      <c r="Q115" s="14">
        <v>0</v>
      </c>
      <c r="R115" s="14">
        <v>0</v>
      </c>
      <c r="S115" s="17" t="s">
        <v>54</v>
      </c>
      <c r="T115" s="18">
        <v>0</v>
      </c>
      <c r="U115" s="14">
        <v>30</v>
      </c>
      <c r="V115" s="19">
        <v>1</v>
      </c>
      <c r="W115" s="14">
        <v>0</v>
      </c>
      <c r="X115" s="14">
        <v>0</v>
      </c>
      <c r="Y115" s="14">
        <v>0</v>
      </c>
      <c r="Z115" s="14">
        <v>0</v>
      </c>
      <c r="AA115" s="14">
        <f>Tabla13[[#This Row],[CheckList App]]+Tabla13[[#This Row],[CheckList Fisc]]</f>
        <v>0</v>
      </c>
      <c r="AB115" s="19">
        <f t="shared" si="1"/>
        <v>0</v>
      </c>
      <c r="AC115" s="14">
        <v>0</v>
      </c>
      <c r="AD115" s="14" t="s">
        <v>55</v>
      </c>
      <c r="AE115" s="15" t="str">
        <f>IFERROR((VLOOKUP(Tabla13[[#This Row],[ID]],[1]!Mtto_Pesv[[#Headers],[#Data],[Placa]:[Rutina]],2,FALSE)),"-")</f>
        <v>-</v>
      </c>
      <c r="AF115" s="14">
        <v>0</v>
      </c>
      <c r="AG115" s="20">
        <f>IFERROR((VLOOKUP(Tabla13[[#This Row],[ID]],[1]!Mtto_Pesv[[#Headers],[#Data],[Placa]:[Rutina]],3,FALSE)),0)</f>
        <v>0</v>
      </c>
      <c r="AH115" s="20">
        <f>IFERROR((VLOOKUP(Tabla13[[#This Row],[ID]],[1]!Mtto_Pesv[[#Headers],[#Data],[Placa]:[Rutina]],7,FALSE)),0)</f>
        <v>0</v>
      </c>
      <c r="AI115" s="20">
        <f>IFERROR((VLOOKUP(Tabla13[[#This Row],[ID]],[1]!Mtto_Pesv[[#Headers],[#Data],[Placa]:[Rutina]],8,FALSE)),0)</f>
        <v>0</v>
      </c>
      <c r="AJ115" s="20" t="str">
        <f>IFERROR((VLOOKUP(Tabla13[[#This Row],[ID]],[1]!Mtto_Pesv[[#Headers],[#Data],[Placa]:[Rutina]],9,FALSE)),"-")</f>
        <v>-</v>
      </c>
      <c r="AK115" s="20">
        <f>IFERROR((VLOOKUP(Tabla13[[#This Row],[ID]],[1]!Mtto_Pesv[[#Headers],[#Data],[Placa]:[Rutina]],10,FALSE)),0)</f>
        <v>0</v>
      </c>
      <c r="AL115" s="20">
        <f>IF(Tabla13[[#This Row],[Km Anterior]]=0,0,Tabla13[[#This Row],[Km Ejecut]]-Tabla13[[#This Row],[Km Anterior]])</f>
        <v>0</v>
      </c>
      <c r="AM115" s="20">
        <f>IFERROR((VLOOKUP(Tabla13[[#This Row],[ID]],[1]!Mtto_Pesv[[#Headers],[#Data],[Placa]:[Rutina]],4,FALSE)),0)</f>
        <v>0</v>
      </c>
      <c r="AN115" s="21">
        <f>IFERROR((VLOOKUP(Tabla13[[#This Row],[ID]],[1]!Mtto_Pesv[[#Headers],[#Data],[Placa]:[Rutina]],5,FALSE)),0)</f>
        <v>0</v>
      </c>
      <c r="AO115" s="21">
        <f>+Tabla13[[#This Row],[Km Fin]]-Tabla13[[#This Row],[Km Ini]]</f>
        <v>0</v>
      </c>
      <c r="AP115" s="20">
        <f>IFERROR((VLOOKUP(Tabla13[[#This Row],[ID]],[1]!Estilo_Conduccion[[#All],[Placa]:[Puntuacion]],15,FALSE)),0)</f>
        <v>0</v>
      </c>
      <c r="AQ115" s="15" t="s">
        <v>1156</v>
      </c>
      <c r="AR115" s="15" t="s">
        <v>1157</v>
      </c>
      <c r="AS115" s="20">
        <v>1600</v>
      </c>
      <c r="AT115" s="21">
        <v>8329.5</v>
      </c>
      <c r="AU115" s="21">
        <f>(Tabla13[[#This Row],[Cap Vh]]*$AX$2)*0.56</f>
        <v>0</v>
      </c>
      <c r="AV115" s="36" t="e">
        <f>(Tabla13[[#This Row],[Cap Util (kg)]]/(Tabla13[[#This Row],[Cap Inst (Kg)]]))</f>
        <v>#DIV/0!</v>
      </c>
    </row>
    <row r="116" spans="1:48" x14ac:dyDescent="0.25">
      <c r="A116" s="13" t="s">
        <v>1068</v>
      </c>
      <c r="B116" s="14" t="s">
        <v>243</v>
      </c>
      <c r="C116" s="14" t="s">
        <v>44</v>
      </c>
      <c r="D116" s="14" t="s">
        <v>44</v>
      </c>
      <c r="E116" s="14" t="s">
        <v>45</v>
      </c>
      <c r="F116" s="14" t="s">
        <v>46</v>
      </c>
      <c r="G116" s="15" t="s">
        <v>47</v>
      </c>
      <c r="H116" s="16" t="s">
        <v>48</v>
      </c>
      <c r="I116" s="14" t="s">
        <v>49</v>
      </c>
      <c r="J116" s="14">
        <v>860503370</v>
      </c>
      <c r="K116" s="14" t="s">
        <v>244</v>
      </c>
      <c r="L116" s="14" t="s">
        <v>103</v>
      </c>
      <c r="M116" s="14" t="s">
        <v>104</v>
      </c>
      <c r="N116" s="14">
        <v>2010</v>
      </c>
      <c r="O116" s="14">
        <v>10</v>
      </c>
      <c r="P116" s="14" t="s">
        <v>53</v>
      </c>
      <c r="Q116" s="14">
        <v>0</v>
      </c>
      <c r="R116" s="14">
        <v>0</v>
      </c>
      <c r="S116" s="17" t="s">
        <v>54</v>
      </c>
      <c r="T116" s="18">
        <v>0</v>
      </c>
      <c r="U116" s="14">
        <v>30</v>
      </c>
      <c r="V116" s="19">
        <v>1</v>
      </c>
      <c r="W116" s="14">
        <v>0</v>
      </c>
      <c r="X116" s="14">
        <v>26</v>
      </c>
      <c r="Y116" s="14">
        <v>26</v>
      </c>
      <c r="Z116" s="14">
        <v>0</v>
      </c>
      <c r="AA116" s="14">
        <f>Tabla13[[#This Row],[CheckList App]]+Tabla13[[#This Row],[CheckList Fisc]]</f>
        <v>26</v>
      </c>
      <c r="AB116" s="19">
        <f t="shared" si="1"/>
        <v>1</v>
      </c>
      <c r="AC116" s="14">
        <v>0</v>
      </c>
      <c r="AD116" s="14" t="s">
        <v>70</v>
      </c>
      <c r="AE116" s="15" t="str">
        <f>IFERROR((VLOOKUP(Tabla13[[#This Row],[ID]],[1]!Mtto_Pesv[[#Headers],[#Data],[Placa]:[Rutina]],2,FALSE)),"-")</f>
        <v>-</v>
      </c>
      <c r="AF116" s="14">
        <v>1</v>
      </c>
      <c r="AG116" s="20">
        <f>IFERROR((VLOOKUP(Tabla13[[#This Row],[ID]],[1]!Mtto_Pesv[[#Headers],[#Data],[Placa]:[Rutina]],3,FALSE)),0)</f>
        <v>0</v>
      </c>
      <c r="AH116" s="20">
        <f>IFERROR((VLOOKUP(Tabla13[[#This Row],[ID]],[1]!Mtto_Pesv[[#Headers],[#Data],[Placa]:[Rutina]],7,FALSE)),0)</f>
        <v>0</v>
      </c>
      <c r="AI116" s="20">
        <f>IFERROR((VLOOKUP(Tabla13[[#This Row],[ID]],[1]!Mtto_Pesv[[#Headers],[#Data],[Placa]:[Rutina]],8,FALSE)),0)</f>
        <v>0</v>
      </c>
      <c r="AJ116" s="20" t="str">
        <f>IFERROR((VLOOKUP(Tabla13[[#This Row],[ID]],[1]!Mtto_Pesv[[#Headers],[#Data],[Placa]:[Rutina]],9,FALSE)),"-")</f>
        <v>-</v>
      </c>
      <c r="AK116" s="20">
        <f>IFERROR((VLOOKUP(Tabla13[[#This Row],[ID]],[1]!Mtto_Pesv[[#Headers],[#Data],[Placa]:[Rutina]],10,FALSE)),0)</f>
        <v>0</v>
      </c>
      <c r="AL116" s="20">
        <f>IF(Tabla13[[#This Row],[Km Anterior]]=0,0,Tabla13[[#This Row],[Km Ejecut]]-Tabla13[[#This Row],[Km Anterior]])</f>
        <v>0</v>
      </c>
      <c r="AM116" s="20">
        <f>IFERROR((VLOOKUP(Tabla13[[#This Row],[ID]],[1]!Mtto_Pesv[[#Headers],[#Data],[Placa]:[Rutina]],4,FALSE)),0)</f>
        <v>0</v>
      </c>
      <c r="AN116" s="21">
        <f>IFERROR((VLOOKUP(Tabla13[[#This Row],[ID]],[1]!Mtto_Pesv[[#Headers],[#Data],[Placa]:[Rutina]],5,FALSE)),0)</f>
        <v>0</v>
      </c>
      <c r="AO116" s="21">
        <f>+Tabla13[[#This Row],[Km Fin]]-Tabla13[[#This Row],[Km Ini]]</f>
        <v>0</v>
      </c>
      <c r="AP116" s="20">
        <f>IFERROR((VLOOKUP(Tabla13[[#This Row],[ID]],[1]!Estilo_Conduccion[[#All],[Placa]:[Puntuacion]],15,FALSE)),0)</f>
        <v>0</v>
      </c>
      <c r="AQ116" s="15" t="s">
        <v>1084</v>
      </c>
      <c r="AR116" s="15" t="s">
        <v>1085</v>
      </c>
      <c r="AS116" s="20">
        <v>1600</v>
      </c>
      <c r="AT116" s="21">
        <v>4974.8571428571431</v>
      </c>
      <c r="AU116" s="21">
        <f>(Tabla13[[#This Row],[Cap Vh]]*$AX$2)*0.56</f>
        <v>0</v>
      </c>
      <c r="AV116" s="36" t="e">
        <f>(Tabla13[[#This Row],[Cap Util (kg)]]/(Tabla13[[#This Row],[Cap Inst (Kg)]]))</f>
        <v>#DIV/0!</v>
      </c>
    </row>
    <row r="117" spans="1:48" x14ac:dyDescent="0.25">
      <c r="A117" s="13" t="s">
        <v>1068</v>
      </c>
      <c r="B117" s="14" t="s">
        <v>245</v>
      </c>
      <c r="C117" s="14" t="s">
        <v>44</v>
      </c>
      <c r="D117" s="14" t="s">
        <v>44</v>
      </c>
      <c r="E117" s="14" t="s">
        <v>69</v>
      </c>
      <c r="F117" s="14" t="s">
        <v>64</v>
      </c>
      <c r="G117" s="14" t="s">
        <v>65</v>
      </c>
      <c r="H117" s="16" t="s">
        <v>66</v>
      </c>
      <c r="I117" s="14" t="s">
        <v>49</v>
      </c>
      <c r="J117" s="14">
        <v>860503370</v>
      </c>
      <c r="K117" s="14" t="s">
        <v>244</v>
      </c>
      <c r="L117" s="14" t="s">
        <v>103</v>
      </c>
      <c r="M117" s="14" t="s">
        <v>104</v>
      </c>
      <c r="N117" s="14">
        <v>2010</v>
      </c>
      <c r="O117" s="14">
        <v>10</v>
      </c>
      <c r="P117" s="14" t="s">
        <v>53</v>
      </c>
      <c r="Q117" s="14">
        <v>0</v>
      </c>
      <c r="R117" s="14">
        <v>0</v>
      </c>
      <c r="S117" s="17" t="s">
        <v>54</v>
      </c>
      <c r="T117" s="18">
        <v>0</v>
      </c>
      <c r="U117" s="14">
        <v>0</v>
      </c>
      <c r="V117" s="19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f>Tabla13[[#This Row],[CheckList App]]+Tabla13[[#This Row],[CheckList Fisc]]</f>
        <v>0</v>
      </c>
      <c r="AB117" s="19" t="str">
        <f t="shared" si="1"/>
        <v/>
      </c>
      <c r="AC117" s="14">
        <v>0</v>
      </c>
      <c r="AD117" s="14" t="s">
        <v>55</v>
      </c>
      <c r="AE117" s="15" t="str">
        <f>IFERROR((VLOOKUP(Tabla13[[#This Row],[ID]],[1]!Mtto_Pesv[[#Headers],[#Data],[Placa]:[Rutina]],2,FALSE)),"-")</f>
        <v>-</v>
      </c>
      <c r="AF117" s="14">
        <v>0</v>
      </c>
      <c r="AG117" s="20">
        <f>IFERROR((VLOOKUP(Tabla13[[#This Row],[ID]],[1]!Mtto_Pesv[[#Headers],[#Data],[Placa]:[Rutina]],3,FALSE)),0)</f>
        <v>0</v>
      </c>
      <c r="AH117" s="20">
        <f>IFERROR((VLOOKUP(Tabla13[[#This Row],[ID]],[1]!Mtto_Pesv[[#Headers],[#Data],[Placa]:[Rutina]],7,FALSE)),0)</f>
        <v>0</v>
      </c>
      <c r="AI117" s="20">
        <f>IFERROR((VLOOKUP(Tabla13[[#This Row],[ID]],[1]!Mtto_Pesv[[#Headers],[#Data],[Placa]:[Rutina]],8,FALSE)),0)</f>
        <v>0</v>
      </c>
      <c r="AJ117" s="20" t="str">
        <f>IFERROR((VLOOKUP(Tabla13[[#This Row],[ID]],[1]!Mtto_Pesv[[#Headers],[#Data],[Placa]:[Rutina]],9,FALSE)),"-")</f>
        <v>-</v>
      </c>
      <c r="AK117" s="20">
        <f>IFERROR((VLOOKUP(Tabla13[[#This Row],[ID]],[1]!Mtto_Pesv[[#Headers],[#Data],[Placa]:[Rutina]],10,FALSE)),0)</f>
        <v>0</v>
      </c>
      <c r="AL117" s="20">
        <f>IF(Tabla13[[#This Row],[Km Anterior]]=0,0,Tabla13[[#This Row],[Km Ejecut]]-Tabla13[[#This Row],[Km Anterior]])</f>
        <v>0</v>
      </c>
      <c r="AM117" s="20">
        <f>IFERROR((VLOOKUP(Tabla13[[#This Row],[ID]],[1]!Mtto_Pesv[[#Headers],[#Data],[Placa]:[Rutina]],4,FALSE)),0)</f>
        <v>0</v>
      </c>
      <c r="AN117" s="21">
        <f>IFERROR((VLOOKUP(Tabla13[[#This Row],[ID]],[1]!Mtto_Pesv[[#Headers],[#Data],[Placa]:[Rutina]],5,FALSE)),0)</f>
        <v>0</v>
      </c>
      <c r="AO117" s="21">
        <f>+Tabla13[[#This Row],[Km Fin]]-Tabla13[[#This Row],[Km Ini]]</f>
        <v>0</v>
      </c>
      <c r="AP117" s="20">
        <f>IFERROR((VLOOKUP(Tabla13[[#This Row],[ID]],[1]!Estilo_Conduccion[[#All],[Placa]:[Puntuacion]],15,FALSE)),0)</f>
        <v>0</v>
      </c>
      <c r="AQ117" s="15" t="s">
        <v>54</v>
      </c>
      <c r="AR117" s="15" t="s">
        <v>54</v>
      </c>
      <c r="AS117" s="20">
        <v>1600</v>
      </c>
      <c r="AT117" s="21">
        <v>0</v>
      </c>
      <c r="AU117" s="21">
        <f>(Tabla13[[#This Row],[Cap Vh]]*$AX$2)*0.56</f>
        <v>0</v>
      </c>
      <c r="AV117" s="36" t="e">
        <f>(Tabla13[[#This Row],[Cap Util (kg)]]/(Tabla13[[#This Row],[Cap Inst (Kg)]]))</f>
        <v>#DIV/0!</v>
      </c>
    </row>
    <row r="118" spans="1:48" x14ac:dyDescent="0.25">
      <c r="A118" s="13" t="s">
        <v>1068</v>
      </c>
      <c r="B118" s="14" t="s">
        <v>246</v>
      </c>
      <c r="C118" s="14" t="s">
        <v>44</v>
      </c>
      <c r="D118" s="14" t="s">
        <v>44</v>
      </c>
      <c r="E118" s="14" t="s">
        <v>247</v>
      </c>
      <c r="F118" s="14" t="s">
        <v>46</v>
      </c>
      <c r="G118" s="15" t="s">
        <v>47</v>
      </c>
      <c r="H118" s="16" t="s">
        <v>48</v>
      </c>
      <c r="I118" s="14" t="s">
        <v>49</v>
      </c>
      <c r="J118" s="14">
        <v>830064700</v>
      </c>
      <c r="K118" s="14" t="s">
        <v>50</v>
      </c>
      <c r="L118" s="14" t="s">
        <v>103</v>
      </c>
      <c r="M118" s="14" t="s">
        <v>104</v>
      </c>
      <c r="N118" s="14">
        <v>2010</v>
      </c>
      <c r="O118" s="14">
        <v>10</v>
      </c>
      <c r="P118" s="14" t="s">
        <v>53</v>
      </c>
      <c r="Q118" s="14">
        <v>0</v>
      </c>
      <c r="R118" s="14">
        <v>0</v>
      </c>
      <c r="S118" s="17" t="s">
        <v>54</v>
      </c>
      <c r="T118" s="18">
        <v>0</v>
      </c>
      <c r="U118" s="14">
        <v>30</v>
      </c>
      <c r="V118" s="19">
        <v>1</v>
      </c>
      <c r="W118" s="14">
        <v>0</v>
      </c>
      <c r="X118" s="14">
        <v>0</v>
      </c>
      <c r="Y118" s="14">
        <v>0</v>
      </c>
      <c r="Z118" s="14">
        <v>0</v>
      </c>
      <c r="AA118" s="14">
        <f>Tabla13[[#This Row],[CheckList App]]+Tabla13[[#This Row],[CheckList Fisc]]</f>
        <v>0</v>
      </c>
      <c r="AB118" s="19">
        <f t="shared" si="1"/>
        <v>0</v>
      </c>
      <c r="AC118" s="14">
        <v>0</v>
      </c>
      <c r="AD118" s="14" t="s">
        <v>55</v>
      </c>
      <c r="AE118" s="15" t="str">
        <f>IFERROR((VLOOKUP(Tabla13[[#This Row],[ID]],[1]!Mtto_Pesv[[#Headers],[#Data],[Placa]:[Rutina]],2,FALSE)),"-")</f>
        <v>-</v>
      </c>
      <c r="AF118" s="14">
        <v>0</v>
      </c>
      <c r="AG118" s="20">
        <f>IFERROR((VLOOKUP(Tabla13[[#This Row],[ID]],[1]!Mtto_Pesv[[#Headers],[#Data],[Placa]:[Rutina]],3,FALSE)),0)</f>
        <v>0</v>
      </c>
      <c r="AH118" s="20">
        <f>IFERROR((VLOOKUP(Tabla13[[#This Row],[ID]],[1]!Mtto_Pesv[[#Headers],[#Data],[Placa]:[Rutina]],7,FALSE)),0)</f>
        <v>0</v>
      </c>
      <c r="AI118" s="20">
        <f>IFERROR((VLOOKUP(Tabla13[[#This Row],[ID]],[1]!Mtto_Pesv[[#Headers],[#Data],[Placa]:[Rutina]],8,FALSE)),0)</f>
        <v>0</v>
      </c>
      <c r="AJ118" s="20" t="str">
        <f>IFERROR((VLOOKUP(Tabla13[[#This Row],[ID]],[1]!Mtto_Pesv[[#Headers],[#Data],[Placa]:[Rutina]],9,FALSE)),"-")</f>
        <v>-</v>
      </c>
      <c r="AK118" s="20">
        <f>IFERROR((VLOOKUP(Tabla13[[#This Row],[ID]],[1]!Mtto_Pesv[[#Headers],[#Data],[Placa]:[Rutina]],10,FALSE)),0)</f>
        <v>0</v>
      </c>
      <c r="AL118" s="20">
        <f>IF(Tabla13[[#This Row],[Km Anterior]]=0,0,Tabla13[[#This Row],[Km Ejecut]]-Tabla13[[#This Row],[Km Anterior]])</f>
        <v>0</v>
      </c>
      <c r="AM118" s="20">
        <f>IFERROR((VLOOKUP(Tabla13[[#This Row],[ID]],[1]!Mtto_Pesv[[#Headers],[#Data],[Placa]:[Rutina]],4,FALSE)),0)</f>
        <v>0</v>
      </c>
      <c r="AN118" s="21">
        <f>IFERROR((VLOOKUP(Tabla13[[#This Row],[ID]],[1]!Mtto_Pesv[[#Headers],[#Data],[Placa]:[Rutina]],5,FALSE)),0)</f>
        <v>0</v>
      </c>
      <c r="AO118" s="21">
        <f>+Tabla13[[#This Row],[Km Fin]]-Tabla13[[#This Row],[Km Ini]]</f>
        <v>0</v>
      </c>
      <c r="AP118" s="20">
        <f>IFERROR((VLOOKUP(Tabla13[[#This Row],[ID]],[1]!Estilo_Conduccion[[#All],[Placa]:[Puntuacion]],15,FALSE)),0)</f>
        <v>0</v>
      </c>
      <c r="AQ118" s="15" t="s">
        <v>1158</v>
      </c>
      <c r="AR118" s="15" t="s">
        <v>1159</v>
      </c>
      <c r="AS118" s="20">
        <v>1600</v>
      </c>
      <c r="AT118" s="21">
        <v>2445</v>
      </c>
      <c r="AU118" s="21">
        <f>(Tabla13[[#This Row],[Cap Vh]]*$AX$2)*0.56</f>
        <v>0</v>
      </c>
      <c r="AV118" s="36" t="e">
        <f>(Tabla13[[#This Row],[Cap Util (kg)]]/(Tabla13[[#This Row],[Cap Inst (Kg)]]))</f>
        <v>#DIV/0!</v>
      </c>
    </row>
    <row r="119" spans="1:48" x14ac:dyDescent="0.25">
      <c r="A119" s="13" t="s">
        <v>1068</v>
      </c>
      <c r="B119" s="14" t="s">
        <v>248</v>
      </c>
      <c r="C119" s="14" t="s">
        <v>44</v>
      </c>
      <c r="D119" s="14" t="s">
        <v>44</v>
      </c>
      <c r="E119" s="14" t="s">
        <v>69</v>
      </c>
      <c r="F119" s="14" t="s">
        <v>64</v>
      </c>
      <c r="G119" s="14" t="s">
        <v>65</v>
      </c>
      <c r="H119" s="16" t="s">
        <v>66</v>
      </c>
      <c r="I119" s="14" t="s">
        <v>49</v>
      </c>
      <c r="J119" s="14">
        <v>860503370</v>
      </c>
      <c r="K119" s="14" t="s">
        <v>244</v>
      </c>
      <c r="L119" s="14" t="s">
        <v>103</v>
      </c>
      <c r="M119" s="14" t="s">
        <v>104</v>
      </c>
      <c r="N119" s="14">
        <v>2010</v>
      </c>
      <c r="O119" s="14">
        <v>10</v>
      </c>
      <c r="P119" s="14" t="s">
        <v>53</v>
      </c>
      <c r="Q119" s="14">
        <v>0</v>
      </c>
      <c r="R119" s="14">
        <v>0</v>
      </c>
      <c r="S119" s="17" t="s">
        <v>54</v>
      </c>
      <c r="T119" s="18">
        <v>0</v>
      </c>
      <c r="U119" s="14">
        <v>0</v>
      </c>
      <c r="V119" s="19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f>Tabla13[[#This Row],[CheckList App]]+Tabla13[[#This Row],[CheckList Fisc]]</f>
        <v>0</v>
      </c>
      <c r="AB119" s="19" t="str">
        <f t="shared" si="1"/>
        <v/>
      </c>
      <c r="AC119" s="14">
        <v>0</v>
      </c>
      <c r="AD119" s="14" t="s">
        <v>55</v>
      </c>
      <c r="AE119" s="15" t="str">
        <f>IFERROR((VLOOKUP(Tabla13[[#This Row],[ID]],[1]!Mtto_Pesv[[#Headers],[#Data],[Placa]:[Rutina]],2,FALSE)),"-")</f>
        <v>-</v>
      </c>
      <c r="AF119" s="14">
        <v>0</v>
      </c>
      <c r="AG119" s="20">
        <f>IFERROR((VLOOKUP(Tabla13[[#This Row],[ID]],[1]!Mtto_Pesv[[#Headers],[#Data],[Placa]:[Rutina]],3,FALSE)),0)</f>
        <v>0</v>
      </c>
      <c r="AH119" s="20">
        <f>IFERROR((VLOOKUP(Tabla13[[#This Row],[ID]],[1]!Mtto_Pesv[[#Headers],[#Data],[Placa]:[Rutina]],7,FALSE)),0)</f>
        <v>0</v>
      </c>
      <c r="AI119" s="20">
        <f>IFERROR((VLOOKUP(Tabla13[[#This Row],[ID]],[1]!Mtto_Pesv[[#Headers],[#Data],[Placa]:[Rutina]],8,FALSE)),0)</f>
        <v>0</v>
      </c>
      <c r="AJ119" s="20" t="str">
        <f>IFERROR((VLOOKUP(Tabla13[[#This Row],[ID]],[1]!Mtto_Pesv[[#Headers],[#Data],[Placa]:[Rutina]],9,FALSE)),"-")</f>
        <v>-</v>
      </c>
      <c r="AK119" s="20">
        <f>IFERROR((VLOOKUP(Tabla13[[#This Row],[ID]],[1]!Mtto_Pesv[[#Headers],[#Data],[Placa]:[Rutina]],10,FALSE)),0)</f>
        <v>0</v>
      </c>
      <c r="AL119" s="20">
        <f>IF(Tabla13[[#This Row],[Km Anterior]]=0,0,Tabla13[[#This Row],[Km Ejecut]]-Tabla13[[#This Row],[Km Anterior]])</f>
        <v>0</v>
      </c>
      <c r="AM119" s="20">
        <f>IFERROR((VLOOKUP(Tabla13[[#This Row],[ID]],[1]!Mtto_Pesv[[#Headers],[#Data],[Placa]:[Rutina]],4,FALSE)),0)</f>
        <v>0</v>
      </c>
      <c r="AN119" s="21">
        <f>IFERROR((VLOOKUP(Tabla13[[#This Row],[ID]],[1]!Mtto_Pesv[[#Headers],[#Data],[Placa]:[Rutina]],5,FALSE)),0)</f>
        <v>0</v>
      </c>
      <c r="AO119" s="21">
        <f>+Tabla13[[#This Row],[Km Fin]]-Tabla13[[#This Row],[Km Ini]]</f>
        <v>0</v>
      </c>
      <c r="AP119" s="20">
        <f>IFERROR((VLOOKUP(Tabla13[[#This Row],[ID]],[1]!Estilo_Conduccion[[#All],[Placa]:[Puntuacion]],15,FALSE)),0)</f>
        <v>0</v>
      </c>
      <c r="AQ119" s="15" t="s">
        <v>54</v>
      </c>
      <c r="AR119" s="15" t="s">
        <v>54</v>
      </c>
      <c r="AS119" s="20">
        <v>1600</v>
      </c>
      <c r="AT119" s="21">
        <v>0</v>
      </c>
      <c r="AU119" s="21">
        <f>(Tabla13[[#This Row],[Cap Vh]]*$AX$2)*0.56</f>
        <v>0</v>
      </c>
      <c r="AV119" s="36" t="e">
        <f>(Tabla13[[#This Row],[Cap Util (kg)]]/(Tabla13[[#This Row],[Cap Inst (Kg)]]))</f>
        <v>#DIV/0!</v>
      </c>
    </row>
    <row r="120" spans="1:48" x14ac:dyDescent="0.25">
      <c r="A120" s="13" t="s">
        <v>1068</v>
      </c>
      <c r="B120" s="14" t="s">
        <v>249</v>
      </c>
      <c r="C120" s="14" t="s">
        <v>44</v>
      </c>
      <c r="D120" s="14" t="s">
        <v>44</v>
      </c>
      <c r="E120" s="14" t="s">
        <v>45</v>
      </c>
      <c r="F120" s="14" t="s">
        <v>46</v>
      </c>
      <c r="G120" s="15" t="s">
        <v>47</v>
      </c>
      <c r="H120" s="16" t="s">
        <v>48</v>
      </c>
      <c r="I120" s="14" t="s">
        <v>49</v>
      </c>
      <c r="J120" s="14">
        <v>860503370</v>
      </c>
      <c r="K120" s="14" t="s">
        <v>244</v>
      </c>
      <c r="L120" s="14" t="s">
        <v>103</v>
      </c>
      <c r="M120" s="14" t="s">
        <v>104</v>
      </c>
      <c r="N120" s="14">
        <v>2010</v>
      </c>
      <c r="O120" s="14">
        <v>10</v>
      </c>
      <c r="P120" s="14" t="s">
        <v>53</v>
      </c>
      <c r="Q120" s="14">
        <v>0</v>
      </c>
      <c r="R120" s="14">
        <v>0</v>
      </c>
      <c r="S120" s="17" t="s">
        <v>54</v>
      </c>
      <c r="T120" s="18">
        <v>0</v>
      </c>
      <c r="U120" s="14">
        <v>30</v>
      </c>
      <c r="V120" s="19">
        <v>1</v>
      </c>
      <c r="W120" s="14">
        <v>0</v>
      </c>
      <c r="X120" s="14">
        <v>0</v>
      </c>
      <c r="Y120" s="14">
        <v>0</v>
      </c>
      <c r="Z120" s="14">
        <v>0</v>
      </c>
      <c r="AA120" s="14">
        <f>Tabla13[[#This Row],[CheckList App]]+Tabla13[[#This Row],[CheckList Fisc]]</f>
        <v>0</v>
      </c>
      <c r="AB120" s="19">
        <f t="shared" si="1"/>
        <v>0</v>
      </c>
      <c r="AC120" s="14">
        <v>0</v>
      </c>
      <c r="AD120" s="14" t="s">
        <v>55</v>
      </c>
      <c r="AE120" s="15" t="str">
        <f>IFERROR((VLOOKUP(Tabla13[[#This Row],[ID]],[1]!Mtto_Pesv[[#Headers],[#Data],[Placa]:[Rutina]],2,FALSE)),"-")</f>
        <v>-</v>
      </c>
      <c r="AF120" s="14">
        <v>0</v>
      </c>
      <c r="AG120" s="20">
        <f>IFERROR((VLOOKUP(Tabla13[[#This Row],[ID]],[1]!Mtto_Pesv[[#Headers],[#Data],[Placa]:[Rutina]],3,FALSE)),0)</f>
        <v>0</v>
      </c>
      <c r="AH120" s="20">
        <f>IFERROR((VLOOKUP(Tabla13[[#This Row],[ID]],[1]!Mtto_Pesv[[#Headers],[#Data],[Placa]:[Rutina]],7,FALSE)),0)</f>
        <v>0</v>
      </c>
      <c r="AI120" s="20">
        <f>IFERROR((VLOOKUP(Tabla13[[#This Row],[ID]],[1]!Mtto_Pesv[[#Headers],[#Data],[Placa]:[Rutina]],8,FALSE)),0)</f>
        <v>0</v>
      </c>
      <c r="AJ120" s="20" t="str">
        <f>IFERROR((VLOOKUP(Tabla13[[#This Row],[ID]],[1]!Mtto_Pesv[[#Headers],[#Data],[Placa]:[Rutina]],9,FALSE)),"-")</f>
        <v>-</v>
      </c>
      <c r="AK120" s="20">
        <f>IFERROR((VLOOKUP(Tabla13[[#This Row],[ID]],[1]!Mtto_Pesv[[#Headers],[#Data],[Placa]:[Rutina]],10,FALSE)),0)</f>
        <v>0</v>
      </c>
      <c r="AL120" s="20">
        <f>IF(Tabla13[[#This Row],[Km Anterior]]=0,0,Tabla13[[#This Row],[Km Ejecut]]-Tabla13[[#This Row],[Km Anterior]])</f>
        <v>0</v>
      </c>
      <c r="AM120" s="20">
        <f>IFERROR((VLOOKUP(Tabla13[[#This Row],[ID]],[1]!Mtto_Pesv[[#Headers],[#Data],[Placa]:[Rutina]],4,FALSE)),0)</f>
        <v>0</v>
      </c>
      <c r="AN120" s="21">
        <f>IFERROR((VLOOKUP(Tabla13[[#This Row],[ID]],[1]!Mtto_Pesv[[#Headers],[#Data],[Placa]:[Rutina]],5,FALSE)),0)</f>
        <v>0</v>
      </c>
      <c r="AO120" s="21">
        <f>+Tabla13[[#This Row],[Km Fin]]-Tabla13[[#This Row],[Km Ini]]</f>
        <v>0</v>
      </c>
      <c r="AP120" s="20">
        <f>IFERROR((VLOOKUP(Tabla13[[#This Row],[ID]],[1]!Estilo_Conduccion[[#All],[Placa]:[Puntuacion]],15,FALSE)),0)</f>
        <v>0</v>
      </c>
      <c r="AQ120" s="15" t="s">
        <v>1131</v>
      </c>
      <c r="AR120" s="15" t="s">
        <v>1132</v>
      </c>
      <c r="AS120" s="20">
        <v>1600</v>
      </c>
      <c r="AT120" s="21">
        <v>3514</v>
      </c>
      <c r="AU120" s="21">
        <f>(Tabla13[[#This Row],[Cap Vh]]*$AX$2)*0.56</f>
        <v>0</v>
      </c>
      <c r="AV120" s="36" t="e">
        <f>(Tabla13[[#This Row],[Cap Util (kg)]]/(Tabla13[[#This Row],[Cap Inst (Kg)]]))</f>
        <v>#DIV/0!</v>
      </c>
    </row>
    <row r="121" spans="1:48" x14ac:dyDescent="0.25">
      <c r="A121" s="13" t="s">
        <v>1068</v>
      </c>
      <c r="B121" s="14" t="s">
        <v>250</v>
      </c>
      <c r="C121" s="14" t="s">
        <v>44</v>
      </c>
      <c r="D121" s="14" t="s">
        <v>44</v>
      </c>
      <c r="E121" s="14" t="s">
        <v>69</v>
      </c>
      <c r="F121" s="14" t="s">
        <v>46</v>
      </c>
      <c r="G121" s="15" t="s">
        <v>47</v>
      </c>
      <c r="H121" s="16" t="s">
        <v>48</v>
      </c>
      <c r="I121" s="14" t="s">
        <v>49</v>
      </c>
      <c r="J121" s="14">
        <v>830064700</v>
      </c>
      <c r="K121" s="14" t="s">
        <v>50</v>
      </c>
      <c r="L121" s="14" t="s">
        <v>103</v>
      </c>
      <c r="M121" s="14" t="s">
        <v>104</v>
      </c>
      <c r="N121" s="14">
        <v>2010</v>
      </c>
      <c r="O121" s="14">
        <v>10</v>
      </c>
      <c r="P121" s="14" t="s">
        <v>53</v>
      </c>
      <c r="Q121" s="14">
        <v>0</v>
      </c>
      <c r="R121" s="14">
        <v>0</v>
      </c>
      <c r="S121" s="17" t="s">
        <v>54</v>
      </c>
      <c r="T121" s="18">
        <v>0</v>
      </c>
      <c r="U121" s="14">
        <v>30</v>
      </c>
      <c r="V121" s="19">
        <v>1</v>
      </c>
      <c r="W121" s="14">
        <v>0</v>
      </c>
      <c r="X121" s="14">
        <v>0</v>
      </c>
      <c r="Y121" s="14">
        <v>0</v>
      </c>
      <c r="Z121" s="14">
        <v>0</v>
      </c>
      <c r="AA121" s="14">
        <f>Tabla13[[#This Row],[CheckList App]]+Tabla13[[#This Row],[CheckList Fisc]]</f>
        <v>0</v>
      </c>
      <c r="AB121" s="19">
        <f t="shared" si="1"/>
        <v>0</v>
      </c>
      <c r="AC121" s="14">
        <v>0</v>
      </c>
      <c r="AD121" s="14" t="s">
        <v>55</v>
      </c>
      <c r="AE121" s="15" t="str">
        <f>IFERROR((VLOOKUP(Tabla13[[#This Row],[ID]],[1]!Mtto_Pesv[[#Headers],[#Data],[Placa]:[Rutina]],2,FALSE)),"-")</f>
        <v>-</v>
      </c>
      <c r="AF121" s="14">
        <v>0</v>
      </c>
      <c r="AG121" s="20">
        <f>IFERROR((VLOOKUP(Tabla13[[#This Row],[ID]],[1]!Mtto_Pesv[[#Headers],[#Data],[Placa]:[Rutina]],3,FALSE)),0)</f>
        <v>0</v>
      </c>
      <c r="AH121" s="20">
        <f>IFERROR((VLOOKUP(Tabla13[[#This Row],[ID]],[1]!Mtto_Pesv[[#Headers],[#Data],[Placa]:[Rutina]],7,FALSE)),0)</f>
        <v>0</v>
      </c>
      <c r="AI121" s="20">
        <f>IFERROR((VLOOKUP(Tabla13[[#This Row],[ID]],[1]!Mtto_Pesv[[#Headers],[#Data],[Placa]:[Rutina]],8,FALSE)),0)</f>
        <v>0</v>
      </c>
      <c r="AJ121" s="20" t="str">
        <f>IFERROR((VLOOKUP(Tabla13[[#This Row],[ID]],[1]!Mtto_Pesv[[#Headers],[#Data],[Placa]:[Rutina]],9,FALSE)),"-")</f>
        <v>-</v>
      </c>
      <c r="AK121" s="20">
        <f>IFERROR((VLOOKUP(Tabla13[[#This Row],[ID]],[1]!Mtto_Pesv[[#Headers],[#Data],[Placa]:[Rutina]],10,FALSE)),0)</f>
        <v>0</v>
      </c>
      <c r="AL121" s="20">
        <f>IF(Tabla13[[#This Row],[Km Anterior]]=0,0,Tabla13[[#This Row],[Km Ejecut]]-Tabla13[[#This Row],[Km Anterior]])</f>
        <v>0</v>
      </c>
      <c r="AM121" s="20">
        <f>IFERROR((VLOOKUP(Tabla13[[#This Row],[ID]],[1]!Mtto_Pesv[[#Headers],[#Data],[Placa]:[Rutina]],4,FALSE)),0)</f>
        <v>0</v>
      </c>
      <c r="AN121" s="21">
        <f>IFERROR((VLOOKUP(Tabla13[[#This Row],[ID]],[1]!Mtto_Pesv[[#Headers],[#Data],[Placa]:[Rutina]],5,FALSE)),0)</f>
        <v>0</v>
      </c>
      <c r="AO121" s="21">
        <f>+Tabla13[[#This Row],[Km Fin]]-Tabla13[[#This Row],[Km Ini]]</f>
        <v>0</v>
      </c>
      <c r="AP121" s="20">
        <f>IFERROR((VLOOKUP(Tabla13[[#This Row],[ID]],[1]!Estilo_Conduccion[[#All],[Placa]:[Puntuacion]],15,FALSE)),0)</f>
        <v>0</v>
      </c>
      <c r="AQ121" s="15" t="s">
        <v>1069</v>
      </c>
      <c r="AR121" s="15" t="s">
        <v>251</v>
      </c>
      <c r="AS121" s="20">
        <v>1600</v>
      </c>
      <c r="AT121" s="21">
        <v>0</v>
      </c>
      <c r="AU121" s="21">
        <f>(Tabla13[[#This Row],[Cap Vh]]*$AX$2)*0.56</f>
        <v>0</v>
      </c>
      <c r="AV121" s="36" t="e">
        <f>(Tabla13[[#This Row],[Cap Util (kg)]]/(Tabla13[[#This Row],[Cap Inst (Kg)]]))</f>
        <v>#DIV/0!</v>
      </c>
    </row>
    <row r="122" spans="1:48" x14ac:dyDescent="0.25">
      <c r="A122" s="13" t="s">
        <v>1068</v>
      </c>
      <c r="B122" s="14" t="s">
        <v>252</v>
      </c>
      <c r="C122" s="14" t="s">
        <v>44</v>
      </c>
      <c r="D122" s="14" t="s">
        <v>44</v>
      </c>
      <c r="E122" s="14" t="s">
        <v>60</v>
      </c>
      <c r="F122" s="14" t="s">
        <v>46</v>
      </c>
      <c r="G122" s="15" t="s">
        <v>47</v>
      </c>
      <c r="H122" s="16" t="s">
        <v>48</v>
      </c>
      <c r="I122" s="14" t="s">
        <v>49</v>
      </c>
      <c r="J122" s="14">
        <v>860503370</v>
      </c>
      <c r="K122" s="14" t="s">
        <v>244</v>
      </c>
      <c r="L122" s="14" t="s">
        <v>103</v>
      </c>
      <c r="M122" s="14" t="s">
        <v>121</v>
      </c>
      <c r="N122" s="14">
        <v>2010</v>
      </c>
      <c r="O122" s="14">
        <v>10</v>
      </c>
      <c r="P122" s="14" t="s">
        <v>53</v>
      </c>
      <c r="Q122" s="14">
        <v>0</v>
      </c>
      <c r="R122" s="14">
        <v>0</v>
      </c>
      <c r="S122" s="17" t="s">
        <v>54</v>
      </c>
      <c r="T122" s="18">
        <v>0</v>
      </c>
      <c r="U122" s="14">
        <v>30</v>
      </c>
      <c r="V122" s="19">
        <v>1</v>
      </c>
      <c r="W122" s="14">
        <v>0</v>
      </c>
      <c r="X122" s="14">
        <v>0</v>
      </c>
      <c r="Y122" s="14">
        <v>0</v>
      </c>
      <c r="Z122" s="14">
        <v>0</v>
      </c>
      <c r="AA122" s="14">
        <f>Tabla13[[#This Row],[CheckList App]]+Tabla13[[#This Row],[CheckList Fisc]]</f>
        <v>0</v>
      </c>
      <c r="AB122" s="19">
        <f t="shared" si="1"/>
        <v>0</v>
      </c>
      <c r="AC122" s="14">
        <v>0</v>
      </c>
      <c r="AD122" s="14" t="s">
        <v>55</v>
      </c>
      <c r="AE122" s="15" t="str">
        <f>IFERROR((VLOOKUP(Tabla13[[#This Row],[ID]],[1]!Mtto_Pesv[[#Headers],[#Data],[Placa]:[Rutina]],2,FALSE)),"-")</f>
        <v>-</v>
      </c>
      <c r="AF122" s="14">
        <v>0</v>
      </c>
      <c r="AG122" s="20">
        <f>IFERROR((VLOOKUP(Tabla13[[#This Row],[ID]],[1]!Mtto_Pesv[[#Headers],[#Data],[Placa]:[Rutina]],3,FALSE)),0)</f>
        <v>0</v>
      </c>
      <c r="AH122" s="20">
        <f>IFERROR((VLOOKUP(Tabla13[[#This Row],[ID]],[1]!Mtto_Pesv[[#Headers],[#Data],[Placa]:[Rutina]],7,FALSE)),0)</f>
        <v>0</v>
      </c>
      <c r="AI122" s="20">
        <f>IFERROR((VLOOKUP(Tabla13[[#This Row],[ID]],[1]!Mtto_Pesv[[#Headers],[#Data],[Placa]:[Rutina]],8,FALSE)),0)</f>
        <v>0</v>
      </c>
      <c r="AJ122" s="20" t="str">
        <f>IFERROR((VLOOKUP(Tabla13[[#This Row],[ID]],[1]!Mtto_Pesv[[#Headers],[#Data],[Placa]:[Rutina]],9,FALSE)),"-")</f>
        <v>-</v>
      </c>
      <c r="AK122" s="20">
        <f>IFERROR((VLOOKUP(Tabla13[[#This Row],[ID]],[1]!Mtto_Pesv[[#Headers],[#Data],[Placa]:[Rutina]],10,FALSE)),0)</f>
        <v>0</v>
      </c>
      <c r="AL122" s="20">
        <f>IF(Tabla13[[#This Row],[Km Anterior]]=0,0,Tabla13[[#This Row],[Km Ejecut]]-Tabla13[[#This Row],[Km Anterior]])</f>
        <v>0</v>
      </c>
      <c r="AM122" s="20">
        <f>IFERROR((VLOOKUP(Tabla13[[#This Row],[ID]],[1]!Mtto_Pesv[[#Headers],[#Data],[Placa]:[Rutina]],4,FALSE)),0)</f>
        <v>0</v>
      </c>
      <c r="AN122" s="21">
        <f>IFERROR((VLOOKUP(Tabla13[[#This Row],[ID]],[1]!Mtto_Pesv[[#Headers],[#Data],[Placa]:[Rutina]],5,FALSE)),0)</f>
        <v>0</v>
      </c>
      <c r="AO122" s="21">
        <f>+Tabla13[[#This Row],[Km Fin]]-Tabla13[[#This Row],[Km Ini]]</f>
        <v>0</v>
      </c>
      <c r="AP122" s="20">
        <f>IFERROR((VLOOKUP(Tabla13[[#This Row],[ID]],[1]!Estilo_Conduccion[[#All],[Placa]:[Puntuacion]],15,FALSE)),0)</f>
        <v>0</v>
      </c>
      <c r="AQ122" s="15" t="s">
        <v>1160</v>
      </c>
      <c r="AR122" s="15" t="s">
        <v>1161</v>
      </c>
      <c r="AS122" s="20">
        <v>2700</v>
      </c>
      <c r="AT122" s="21">
        <v>2850</v>
      </c>
      <c r="AU122" s="21">
        <f>(Tabla13[[#This Row],[Cap Vh]]*$AX$2)*0.56</f>
        <v>0</v>
      </c>
      <c r="AV122" s="36" t="e">
        <f>(Tabla13[[#This Row],[Cap Util (kg)]]/(Tabla13[[#This Row],[Cap Inst (Kg)]]))</f>
        <v>#DIV/0!</v>
      </c>
    </row>
    <row r="123" spans="1:48" x14ac:dyDescent="0.25">
      <c r="A123" s="13" t="s">
        <v>1068</v>
      </c>
      <c r="B123" s="14" t="s">
        <v>253</v>
      </c>
      <c r="C123" s="14" t="s">
        <v>44</v>
      </c>
      <c r="D123" s="14" t="s">
        <v>44</v>
      </c>
      <c r="E123" s="14" t="s">
        <v>63</v>
      </c>
      <c r="F123" s="14" t="s">
        <v>76</v>
      </c>
      <c r="G123" s="15" t="s">
        <v>89</v>
      </c>
      <c r="H123" s="16" t="s">
        <v>90</v>
      </c>
      <c r="I123" s="14" t="s">
        <v>49</v>
      </c>
      <c r="J123" s="14">
        <v>830064700</v>
      </c>
      <c r="K123" s="14" t="s">
        <v>50</v>
      </c>
      <c r="L123" s="14" t="s">
        <v>103</v>
      </c>
      <c r="M123" s="14" t="s">
        <v>121</v>
      </c>
      <c r="N123" s="14">
        <v>2010</v>
      </c>
      <c r="O123" s="14">
        <v>10</v>
      </c>
      <c r="P123" s="14" t="s">
        <v>53</v>
      </c>
      <c r="Q123" s="14">
        <v>0</v>
      </c>
      <c r="R123" s="14">
        <v>0</v>
      </c>
      <c r="S123" s="17" t="s">
        <v>54</v>
      </c>
      <c r="T123" s="18">
        <v>0</v>
      </c>
      <c r="U123" s="14">
        <v>0</v>
      </c>
      <c r="V123" s="19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f>Tabla13[[#This Row],[CheckList App]]+Tabla13[[#This Row],[CheckList Fisc]]</f>
        <v>0</v>
      </c>
      <c r="AB123" s="19" t="str">
        <f t="shared" si="1"/>
        <v/>
      </c>
      <c r="AC123" s="14">
        <v>0</v>
      </c>
      <c r="AD123" s="14" t="s">
        <v>55</v>
      </c>
      <c r="AE123" s="15" t="str">
        <f>IFERROR((VLOOKUP(Tabla13[[#This Row],[ID]],[1]!Mtto_Pesv[[#Headers],[#Data],[Placa]:[Rutina]],2,FALSE)),"-")</f>
        <v>-</v>
      </c>
      <c r="AF123" s="14">
        <v>0</v>
      </c>
      <c r="AG123" s="20">
        <f>IFERROR((VLOOKUP(Tabla13[[#This Row],[ID]],[1]!Mtto_Pesv[[#Headers],[#Data],[Placa]:[Rutina]],3,FALSE)),0)</f>
        <v>0</v>
      </c>
      <c r="AH123" s="20">
        <f>IFERROR((VLOOKUP(Tabla13[[#This Row],[ID]],[1]!Mtto_Pesv[[#Headers],[#Data],[Placa]:[Rutina]],7,FALSE)),0)</f>
        <v>0</v>
      </c>
      <c r="AI123" s="20">
        <f>IFERROR((VLOOKUP(Tabla13[[#This Row],[ID]],[1]!Mtto_Pesv[[#Headers],[#Data],[Placa]:[Rutina]],8,FALSE)),0)</f>
        <v>0</v>
      </c>
      <c r="AJ123" s="20" t="str">
        <f>IFERROR((VLOOKUP(Tabla13[[#This Row],[ID]],[1]!Mtto_Pesv[[#Headers],[#Data],[Placa]:[Rutina]],9,FALSE)),"-")</f>
        <v>-</v>
      </c>
      <c r="AK123" s="20">
        <f>IFERROR((VLOOKUP(Tabla13[[#This Row],[ID]],[1]!Mtto_Pesv[[#Headers],[#Data],[Placa]:[Rutina]],10,FALSE)),0)</f>
        <v>0</v>
      </c>
      <c r="AL123" s="20">
        <f>IF(Tabla13[[#This Row],[Km Anterior]]=0,0,Tabla13[[#This Row],[Km Ejecut]]-Tabla13[[#This Row],[Km Anterior]])</f>
        <v>0</v>
      </c>
      <c r="AM123" s="20">
        <f>IFERROR((VLOOKUP(Tabla13[[#This Row],[ID]],[1]!Mtto_Pesv[[#Headers],[#Data],[Placa]:[Rutina]],4,FALSE)),0)</f>
        <v>0</v>
      </c>
      <c r="AN123" s="21">
        <f>IFERROR((VLOOKUP(Tabla13[[#This Row],[ID]],[1]!Mtto_Pesv[[#Headers],[#Data],[Placa]:[Rutina]],5,FALSE)),0)</f>
        <v>0</v>
      </c>
      <c r="AO123" s="21">
        <f>+Tabla13[[#This Row],[Km Fin]]-Tabla13[[#This Row],[Km Ini]]</f>
        <v>0</v>
      </c>
      <c r="AP123" s="20">
        <f>IFERROR((VLOOKUP(Tabla13[[#This Row],[ID]],[1]!Estilo_Conduccion[[#All],[Placa]:[Puntuacion]],15,FALSE)),0)</f>
        <v>0</v>
      </c>
      <c r="AQ123" s="15" t="s">
        <v>1162</v>
      </c>
      <c r="AR123" s="15" t="s">
        <v>1163</v>
      </c>
      <c r="AS123" s="20">
        <v>2700</v>
      </c>
      <c r="AT123" s="21">
        <v>7600</v>
      </c>
      <c r="AU123" s="21">
        <f>(Tabla13[[#This Row],[Cap Vh]]*$AX$2)*0.56</f>
        <v>0</v>
      </c>
      <c r="AV123" s="36" t="e">
        <f>(Tabla13[[#This Row],[Cap Util (kg)]]/(Tabla13[[#This Row],[Cap Inst (Kg)]]))</f>
        <v>#DIV/0!</v>
      </c>
    </row>
    <row r="124" spans="1:48" x14ac:dyDescent="0.25">
      <c r="A124" s="13" t="s">
        <v>1068</v>
      </c>
      <c r="B124" s="14" t="s">
        <v>254</v>
      </c>
      <c r="C124" s="14" t="s">
        <v>44</v>
      </c>
      <c r="D124" s="14" t="s">
        <v>44</v>
      </c>
      <c r="E124" s="14" t="s">
        <v>45</v>
      </c>
      <c r="F124" s="14" t="s">
        <v>76</v>
      </c>
      <c r="G124" s="15" t="s">
        <v>89</v>
      </c>
      <c r="H124" s="16" t="s">
        <v>90</v>
      </c>
      <c r="I124" s="14" t="s">
        <v>49</v>
      </c>
      <c r="J124" s="14">
        <v>830064700</v>
      </c>
      <c r="K124" s="14" t="s">
        <v>50</v>
      </c>
      <c r="L124" s="14" t="s">
        <v>103</v>
      </c>
      <c r="M124" s="14" t="s">
        <v>121</v>
      </c>
      <c r="N124" s="14">
        <v>1998</v>
      </c>
      <c r="O124" s="14">
        <v>22</v>
      </c>
      <c r="P124" s="14" t="s">
        <v>173</v>
      </c>
      <c r="Q124" s="14">
        <v>0</v>
      </c>
      <c r="R124" s="14">
        <v>0</v>
      </c>
      <c r="S124" s="17" t="s">
        <v>54</v>
      </c>
      <c r="T124" s="18">
        <v>0</v>
      </c>
      <c r="U124" s="14">
        <v>0</v>
      </c>
      <c r="V124" s="19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f>Tabla13[[#This Row],[CheckList App]]+Tabla13[[#This Row],[CheckList Fisc]]</f>
        <v>0</v>
      </c>
      <c r="AB124" s="19" t="str">
        <f t="shared" si="1"/>
        <v/>
      </c>
      <c r="AC124" s="14">
        <v>0</v>
      </c>
      <c r="AD124" s="14" t="s">
        <v>55</v>
      </c>
      <c r="AE124" s="15" t="str">
        <f>IFERROR((VLOOKUP(Tabla13[[#This Row],[ID]],[1]!Mtto_Pesv[[#Headers],[#Data],[Placa]:[Rutina]],2,FALSE)),"-")</f>
        <v>-</v>
      </c>
      <c r="AF124" s="14">
        <v>0</v>
      </c>
      <c r="AG124" s="20">
        <f>IFERROR((VLOOKUP(Tabla13[[#This Row],[ID]],[1]!Mtto_Pesv[[#Headers],[#Data],[Placa]:[Rutina]],3,FALSE)),0)</f>
        <v>0</v>
      </c>
      <c r="AH124" s="20">
        <f>IFERROR((VLOOKUP(Tabla13[[#This Row],[ID]],[1]!Mtto_Pesv[[#Headers],[#Data],[Placa]:[Rutina]],7,FALSE)),0)</f>
        <v>0</v>
      </c>
      <c r="AI124" s="20">
        <f>IFERROR((VLOOKUP(Tabla13[[#This Row],[ID]],[1]!Mtto_Pesv[[#Headers],[#Data],[Placa]:[Rutina]],8,FALSE)),0)</f>
        <v>0</v>
      </c>
      <c r="AJ124" s="20" t="str">
        <f>IFERROR((VLOOKUP(Tabla13[[#This Row],[ID]],[1]!Mtto_Pesv[[#Headers],[#Data],[Placa]:[Rutina]],9,FALSE)),"-")</f>
        <v>-</v>
      </c>
      <c r="AK124" s="20">
        <f>IFERROR((VLOOKUP(Tabla13[[#This Row],[ID]],[1]!Mtto_Pesv[[#Headers],[#Data],[Placa]:[Rutina]],10,FALSE)),0)</f>
        <v>0</v>
      </c>
      <c r="AL124" s="20">
        <f>IF(Tabla13[[#This Row],[Km Anterior]]=0,0,Tabla13[[#This Row],[Km Ejecut]]-Tabla13[[#This Row],[Km Anterior]])</f>
        <v>0</v>
      </c>
      <c r="AM124" s="20">
        <f>IFERROR((VLOOKUP(Tabla13[[#This Row],[ID]],[1]!Mtto_Pesv[[#Headers],[#Data],[Placa]:[Rutina]],4,FALSE)),0)</f>
        <v>0</v>
      </c>
      <c r="AN124" s="21">
        <f>IFERROR((VLOOKUP(Tabla13[[#This Row],[ID]],[1]!Mtto_Pesv[[#Headers],[#Data],[Placa]:[Rutina]],5,FALSE)),0)</f>
        <v>0</v>
      </c>
      <c r="AO124" s="21">
        <f>+Tabla13[[#This Row],[Km Fin]]-Tabla13[[#This Row],[Km Ini]]</f>
        <v>0</v>
      </c>
      <c r="AP124" s="20">
        <f>IFERROR((VLOOKUP(Tabla13[[#This Row],[ID]],[1]!Estilo_Conduccion[[#All],[Placa]:[Puntuacion]],15,FALSE)),0)</f>
        <v>0</v>
      </c>
      <c r="AQ124" s="15" t="s">
        <v>1164</v>
      </c>
      <c r="AR124" s="15" t="s">
        <v>1165</v>
      </c>
      <c r="AS124" s="20">
        <v>2250</v>
      </c>
      <c r="AT124" s="21">
        <v>4420.3846153846152</v>
      </c>
      <c r="AU124" s="21">
        <f>(Tabla13[[#This Row],[Cap Vh]]*$AX$2)*0.56</f>
        <v>0</v>
      </c>
      <c r="AV124" s="36" t="e">
        <f>(Tabla13[[#This Row],[Cap Util (kg)]]/(Tabla13[[#This Row],[Cap Inst (Kg)]]))</f>
        <v>#DIV/0!</v>
      </c>
    </row>
    <row r="125" spans="1:48" x14ac:dyDescent="0.25">
      <c r="A125" s="13" t="s">
        <v>1068</v>
      </c>
      <c r="B125" s="14" t="s">
        <v>255</v>
      </c>
      <c r="C125" s="14" t="s">
        <v>44</v>
      </c>
      <c r="D125" s="14" t="s">
        <v>44</v>
      </c>
      <c r="E125" s="14" t="s">
        <v>60</v>
      </c>
      <c r="F125" s="14" t="s">
        <v>46</v>
      </c>
      <c r="G125" s="15" t="s">
        <v>47</v>
      </c>
      <c r="H125" s="16" t="s">
        <v>48</v>
      </c>
      <c r="I125" s="14" t="s">
        <v>49</v>
      </c>
      <c r="J125" s="14">
        <v>830064700</v>
      </c>
      <c r="K125" s="14" t="s">
        <v>50</v>
      </c>
      <c r="L125" s="14" t="s">
        <v>103</v>
      </c>
      <c r="M125" s="14" t="s">
        <v>121</v>
      </c>
      <c r="N125" s="14">
        <v>1999</v>
      </c>
      <c r="O125" s="14">
        <v>21</v>
      </c>
      <c r="P125" s="14" t="s">
        <v>173</v>
      </c>
      <c r="Q125" s="14">
        <v>0</v>
      </c>
      <c r="R125" s="14">
        <v>0</v>
      </c>
      <c r="S125" s="17" t="s">
        <v>54</v>
      </c>
      <c r="T125" s="18">
        <v>0</v>
      </c>
      <c r="U125" s="14">
        <v>30</v>
      </c>
      <c r="V125" s="19">
        <v>1</v>
      </c>
      <c r="W125" s="14">
        <v>0</v>
      </c>
      <c r="X125" s="14">
        <v>0</v>
      </c>
      <c r="Y125" s="14">
        <v>0</v>
      </c>
      <c r="Z125" s="14">
        <v>0</v>
      </c>
      <c r="AA125" s="14">
        <f>Tabla13[[#This Row],[CheckList App]]+Tabla13[[#This Row],[CheckList Fisc]]</f>
        <v>0</v>
      </c>
      <c r="AB125" s="19">
        <f t="shared" si="1"/>
        <v>0</v>
      </c>
      <c r="AC125" s="14">
        <v>0</v>
      </c>
      <c r="AD125" s="14" t="s">
        <v>55</v>
      </c>
      <c r="AE125" s="15" t="str">
        <f>IFERROR((VLOOKUP(Tabla13[[#This Row],[ID]],[1]!Mtto_Pesv[[#Headers],[#Data],[Placa]:[Rutina]],2,FALSE)),"-")</f>
        <v>-</v>
      </c>
      <c r="AF125" s="14">
        <v>0</v>
      </c>
      <c r="AG125" s="20">
        <f>IFERROR((VLOOKUP(Tabla13[[#This Row],[ID]],[1]!Mtto_Pesv[[#Headers],[#Data],[Placa]:[Rutina]],3,FALSE)),0)</f>
        <v>0</v>
      </c>
      <c r="AH125" s="20">
        <f>IFERROR((VLOOKUP(Tabla13[[#This Row],[ID]],[1]!Mtto_Pesv[[#Headers],[#Data],[Placa]:[Rutina]],7,FALSE)),0)</f>
        <v>0</v>
      </c>
      <c r="AI125" s="20">
        <f>IFERROR((VLOOKUP(Tabla13[[#This Row],[ID]],[1]!Mtto_Pesv[[#Headers],[#Data],[Placa]:[Rutina]],8,FALSE)),0)</f>
        <v>0</v>
      </c>
      <c r="AJ125" s="20" t="str">
        <f>IFERROR((VLOOKUP(Tabla13[[#This Row],[ID]],[1]!Mtto_Pesv[[#Headers],[#Data],[Placa]:[Rutina]],9,FALSE)),"-")</f>
        <v>-</v>
      </c>
      <c r="AK125" s="20">
        <f>IFERROR((VLOOKUP(Tabla13[[#This Row],[ID]],[1]!Mtto_Pesv[[#Headers],[#Data],[Placa]:[Rutina]],10,FALSE)),0)</f>
        <v>0</v>
      </c>
      <c r="AL125" s="20">
        <f>IF(Tabla13[[#This Row],[Km Anterior]]=0,0,Tabla13[[#This Row],[Km Ejecut]]-Tabla13[[#This Row],[Km Anterior]])</f>
        <v>0</v>
      </c>
      <c r="AM125" s="20">
        <f>IFERROR((VLOOKUP(Tabla13[[#This Row],[ID]],[1]!Mtto_Pesv[[#Headers],[#Data],[Placa]:[Rutina]],4,FALSE)),0)</f>
        <v>0</v>
      </c>
      <c r="AN125" s="21">
        <f>IFERROR((VLOOKUP(Tabla13[[#This Row],[ID]],[1]!Mtto_Pesv[[#Headers],[#Data],[Placa]:[Rutina]],5,FALSE)),0)</f>
        <v>0</v>
      </c>
      <c r="AO125" s="21">
        <f>+Tabla13[[#This Row],[Km Fin]]-Tabla13[[#This Row],[Km Ini]]</f>
        <v>0</v>
      </c>
      <c r="AP125" s="20">
        <f>IFERROR((VLOOKUP(Tabla13[[#This Row],[ID]],[1]!Estilo_Conduccion[[#All],[Placa]:[Puntuacion]],15,FALSE)),0)</f>
        <v>0</v>
      </c>
      <c r="AQ125" s="15" t="s">
        <v>1072</v>
      </c>
      <c r="AR125" s="15" t="s">
        <v>1073</v>
      </c>
      <c r="AS125" s="20">
        <v>3000</v>
      </c>
      <c r="AT125" s="21">
        <v>3080.8846153846152</v>
      </c>
      <c r="AU125" s="21">
        <f>(Tabla13[[#This Row],[Cap Vh]]*$AX$2)*0.56</f>
        <v>0</v>
      </c>
      <c r="AV125" s="36" t="e">
        <f>(Tabla13[[#This Row],[Cap Util (kg)]]/(Tabla13[[#This Row],[Cap Inst (Kg)]]))</f>
        <v>#DIV/0!</v>
      </c>
    </row>
    <row r="126" spans="1:48" x14ac:dyDescent="0.25">
      <c r="A126" s="13" t="s">
        <v>1068</v>
      </c>
      <c r="B126" s="14" t="s">
        <v>256</v>
      </c>
      <c r="C126" s="14" t="s">
        <v>44</v>
      </c>
      <c r="D126" s="14" t="s">
        <v>44</v>
      </c>
      <c r="E126" s="14" t="s">
        <v>45</v>
      </c>
      <c r="F126" s="14" t="s">
        <v>46</v>
      </c>
      <c r="G126" s="15" t="s">
        <v>47</v>
      </c>
      <c r="H126" s="16" t="s">
        <v>48</v>
      </c>
      <c r="I126" s="14" t="s">
        <v>49</v>
      </c>
      <c r="J126" s="14">
        <v>900335279</v>
      </c>
      <c r="K126" s="14" t="s">
        <v>77</v>
      </c>
      <c r="L126" s="14" t="s">
        <v>103</v>
      </c>
      <c r="M126" s="14" t="s">
        <v>104</v>
      </c>
      <c r="N126" s="14">
        <v>2003</v>
      </c>
      <c r="O126" s="14">
        <v>17</v>
      </c>
      <c r="P126" s="14" t="s">
        <v>173</v>
      </c>
      <c r="Q126" s="14">
        <v>1</v>
      </c>
      <c r="R126" s="14">
        <v>0</v>
      </c>
      <c r="S126" s="17" t="s">
        <v>54</v>
      </c>
      <c r="T126" s="18">
        <v>0</v>
      </c>
      <c r="U126" s="14">
        <v>30</v>
      </c>
      <c r="V126" s="19">
        <v>1</v>
      </c>
      <c r="W126" s="14">
        <v>0</v>
      </c>
      <c r="X126" s="14">
        <v>0</v>
      </c>
      <c r="Y126" s="14">
        <v>0</v>
      </c>
      <c r="Z126" s="14">
        <v>0</v>
      </c>
      <c r="AA126" s="14">
        <f>Tabla13[[#This Row],[CheckList App]]+Tabla13[[#This Row],[CheckList Fisc]]</f>
        <v>0</v>
      </c>
      <c r="AB126" s="19">
        <f t="shared" si="1"/>
        <v>0</v>
      </c>
      <c r="AC126" s="14">
        <v>0</v>
      </c>
      <c r="AD126" s="14" t="s">
        <v>55</v>
      </c>
      <c r="AE126" s="15" t="str">
        <f>IFERROR((VLOOKUP(Tabla13[[#This Row],[ID]],[1]!Mtto_Pesv[[#Headers],[#Data],[Placa]:[Rutina]],2,FALSE)),"-")</f>
        <v>-</v>
      </c>
      <c r="AF126" s="14">
        <v>0</v>
      </c>
      <c r="AG126" s="20">
        <f>IFERROR((VLOOKUP(Tabla13[[#This Row],[ID]],[1]!Mtto_Pesv[[#Headers],[#Data],[Placa]:[Rutina]],3,FALSE)),0)</f>
        <v>0</v>
      </c>
      <c r="AH126" s="20">
        <f>IFERROR((VLOOKUP(Tabla13[[#This Row],[ID]],[1]!Mtto_Pesv[[#Headers],[#Data],[Placa]:[Rutina]],7,FALSE)),0)</f>
        <v>0</v>
      </c>
      <c r="AI126" s="20">
        <f>IFERROR((VLOOKUP(Tabla13[[#This Row],[ID]],[1]!Mtto_Pesv[[#Headers],[#Data],[Placa]:[Rutina]],8,FALSE)),0)</f>
        <v>0</v>
      </c>
      <c r="AJ126" s="20" t="str">
        <f>IFERROR((VLOOKUP(Tabla13[[#This Row],[ID]],[1]!Mtto_Pesv[[#Headers],[#Data],[Placa]:[Rutina]],9,FALSE)),"-")</f>
        <v>-</v>
      </c>
      <c r="AK126" s="20">
        <f>IFERROR((VLOOKUP(Tabla13[[#This Row],[ID]],[1]!Mtto_Pesv[[#Headers],[#Data],[Placa]:[Rutina]],10,FALSE)),0)</f>
        <v>0</v>
      </c>
      <c r="AL126" s="20">
        <f>IF(Tabla13[[#This Row],[Km Anterior]]=0,0,Tabla13[[#This Row],[Km Ejecut]]-Tabla13[[#This Row],[Km Anterior]])</f>
        <v>0</v>
      </c>
      <c r="AM126" s="20">
        <f>IFERROR((VLOOKUP(Tabla13[[#This Row],[ID]],[1]!Mtto_Pesv[[#Headers],[#Data],[Placa]:[Rutina]],4,FALSE)),0)</f>
        <v>0</v>
      </c>
      <c r="AN126" s="21">
        <f>IFERROR((VLOOKUP(Tabla13[[#This Row],[ID]],[1]!Mtto_Pesv[[#Headers],[#Data],[Placa]:[Rutina]],5,FALSE)),0)</f>
        <v>0</v>
      </c>
      <c r="AO126" s="21">
        <f>+Tabla13[[#This Row],[Km Fin]]-Tabla13[[#This Row],[Km Ini]]</f>
        <v>0</v>
      </c>
      <c r="AP126" s="20">
        <f>IFERROR((VLOOKUP(Tabla13[[#This Row],[ID]],[1]!Estilo_Conduccion[[#All],[Placa]:[Puntuacion]],15,FALSE)),0)</f>
        <v>0</v>
      </c>
      <c r="AQ126" s="15" t="s">
        <v>1166</v>
      </c>
      <c r="AR126" s="15" t="s">
        <v>1167</v>
      </c>
      <c r="AS126" s="20">
        <v>1655</v>
      </c>
      <c r="AT126" s="21">
        <v>5004</v>
      </c>
      <c r="AU126" s="21">
        <f>(Tabla13[[#This Row],[Cap Vh]]*$AX$2)*0.56</f>
        <v>0</v>
      </c>
      <c r="AV126" s="36" t="e">
        <f>(Tabla13[[#This Row],[Cap Util (kg)]]/(Tabla13[[#This Row],[Cap Inst (Kg)]]))</f>
        <v>#DIV/0!</v>
      </c>
    </row>
    <row r="127" spans="1:48" x14ac:dyDescent="0.25">
      <c r="A127" s="13" t="s">
        <v>1068</v>
      </c>
      <c r="B127" s="14" t="s">
        <v>257</v>
      </c>
      <c r="C127" s="14" t="s">
        <v>44</v>
      </c>
      <c r="D127" s="14" t="s">
        <v>44</v>
      </c>
      <c r="E127" s="14" t="s">
        <v>45</v>
      </c>
      <c r="F127" s="14" t="s">
        <v>64</v>
      </c>
      <c r="G127" s="14" t="s">
        <v>65</v>
      </c>
      <c r="H127" s="16" t="s">
        <v>66</v>
      </c>
      <c r="I127" s="14" t="s">
        <v>49</v>
      </c>
      <c r="J127" s="14">
        <v>830064700</v>
      </c>
      <c r="K127" s="14" t="s">
        <v>50</v>
      </c>
      <c r="L127" s="14" t="s">
        <v>103</v>
      </c>
      <c r="M127" s="14" t="s">
        <v>258</v>
      </c>
      <c r="N127" s="14">
        <v>2005</v>
      </c>
      <c r="O127" s="14">
        <v>15</v>
      </c>
      <c r="P127" s="14" t="s">
        <v>173</v>
      </c>
      <c r="Q127" s="14">
        <v>0</v>
      </c>
      <c r="R127" s="14">
        <v>0</v>
      </c>
      <c r="S127" s="17" t="s">
        <v>54</v>
      </c>
      <c r="T127" s="18">
        <v>0</v>
      </c>
      <c r="U127" s="14">
        <v>0</v>
      </c>
      <c r="V127" s="19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f>Tabla13[[#This Row],[CheckList App]]+Tabla13[[#This Row],[CheckList Fisc]]</f>
        <v>0</v>
      </c>
      <c r="AB127" s="19" t="str">
        <f t="shared" si="1"/>
        <v/>
      </c>
      <c r="AC127" s="14">
        <v>0</v>
      </c>
      <c r="AD127" s="14" t="s">
        <v>55</v>
      </c>
      <c r="AE127" s="15" t="str">
        <f>IFERROR((VLOOKUP(Tabla13[[#This Row],[ID]],[1]!Mtto_Pesv[[#Headers],[#Data],[Placa]:[Rutina]],2,FALSE)),"-")</f>
        <v>-</v>
      </c>
      <c r="AF127" s="14">
        <v>0</v>
      </c>
      <c r="AG127" s="20">
        <f>IFERROR((VLOOKUP(Tabla13[[#This Row],[ID]],[1]!Mtto_Pesv[[#Headers],[#Data],[Placa]:[Rutina]],3,FALSE)),0)</f>
        <v>0</v>
      </c>
      <c r="AH127" s="20">
        <f>IFERROR((VLOOKUP(Tabla13[[#This Row],[ID]],[1]!Mtto_Pesv[[#Headers],[#Data],[Placa]:[Rutina]],7,FALSE)),0)</f>
        <v>0</v>
      </c>
      <c r="AI127" s="20">
        <f>IFERROR((VLOOKUP(Tabla13[[#This Row],[ID]],[1]!Mtto_Pesv[[#Headers],[#Data],[Placa]:[Rutina]],8,FALSE)),0)</f>
        <v>0</v>
      </c>
      <c r="AJ127" s="20" t="str">
        <f>IFERROR((VLOOKUP(Tabla13[[#This Row],[ID]],[1]!Mtto_Pesv[[#Headers],[#Data],[Placa]:[Rutina]],9,FALSE)),"-")</f>
        <v>-</v>
      </c>
      <c r="AK127" s="20">
        <f>IFERROR((VLOOKUP(Tabla13[[#This Row],[ID]],[1]!Mtto_Pesv[[#Headers],[#Data],[Placa]:[Rutina]],10,FALSE)),0)</f>
        <v>0</v>
      </c>
      <c r="AL127" s="20">
        <f>IF(Tabla13[[#This Row],[Km Anterior]]=0,0,Tabla13[[#This Row],[Km Ejecut]]-Tabla13[[#This Row],[Km Anterior]])</f>
        <v>0</v>
      </c>
      <c r="AM127" s="20">
        <f>IFERROR((VLOOKUP(Tabla13[[#This Row],[ID]],[1]!Mtto_Pesv[[#Headers],[#Data],[Placa]:[Rutina]],4,FALSE)),0)</f>
        <v>0</v>
      </c>
      <c r="AN127" s="21">
        <f>IFERROR((VLOOKUP(Tabla13[[#This Row],[ID]],[1]!Mtto_Pesv[[#Headers],[#Data],[Placa]:[Rutina]],5,FALSE)),0)</f>
        <v>0</v>
      </c>
      <c r="AO127" s="21">
        <f>+Tabla13[[#This Row],[Km Fin]]-Tabla13[[#This Row],[Km Ini]]</f>
        <v>0</v>
      </c>
      <c r="AP127" s="20">
        <f>IFERROR((VLOOKUP(Tabla13[[#This Row],[ID]],[1]!Estilo_Conduccion[[#All],[Placa]:[Puntuacion]],15,FALSE)),0)</f>
        <v>0</v>
      </c>
      <c r="AQ127" s="15" t="s">
        <v>54</v>
      </c>
      <c r="AR127" s="15" t="s">
        <v>54</v>
      </c>
      <c r="AS127" s="20">
        <v>3300</v>
      </c>
      <c r="AT127" s="21">
        <v>0</v>
      </c>
      <c r="AU127" s="21">
        <f>(Tabla13[[#This Row],[Cap Vh]]*$AX$2)*0.56</f>
        <v>0</v>
      </c>
      <c r="AV127" s="36" t="e">
        <f>(Tabla13[[#This Row],[Cap Util (kg)]]/(Tabla13[[#This Row],[Cap Inst (Kg)]]))</f>
        <v>#DIV/0!</v>
      </c>
    </row>
    <row r="128" spans="1:48" x14ac:dyDescent="0.25">
      <c r="A128" s="13" t="s">
        <v>1068</v>
      </c>
      <c r="B128" s="14" t="s">
        <v>259</v>
      </c>
      <c r="C128" s="14" t="s">
        <v>44</v>
      </c>
      <c r="D128" s="14" t="s">
        <v>44</v>
      </c>
      <c r="E128" s="14" t="s">
        <v>45</v>
      </c>
      <c r="F128" s="14" t="s">
        <v>76</v>
      </c>
      <c r="G128" s="15" t="s">
        <v>89</v>
      </c>
      <c r="H128" s="16" t="s">
        <v>90</v>
      </c>
      <c r="I128" s="14" t="s">
        <v>203</v>
      </c>
      <c r="J128" s="14">
        <v>830064700</v>
      </c>
      <c r="K128" s="14" t="s">
        <v>50</v>
      </c>
      <c r="L128" s="14" t="s">
        <v>103</v>
      </c>
      <c r="M128" s="14" t="s">
        <v>258</v>
      </c>
      <c r="N128" s="14">
        <v>2005</v>
      </c>
      <c r="O128" s="14">
        <v>15</v>
      </c>
      <c r="P128" s="14" t="s">
        <v>173</v>
      </c>
      <c r="Q128" s="14">
        <v>0</v>
      </c>
      <c r="R128" s="14">
        <v>0</v>
      </c>
      <c r="S128" s="17" t="s">
        <v>54</v>
      </c>
      <c r="T128" s="18">
        <v>0</v>
      </c>
      <c r="U128" s="14">
        <v>0</v>
      </c>
      <c r="V128" s="19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f>Tabla13[[#This Row],[CheckList App]]+Tabla13[[#This Row],[CheckList Fisc]]</f>
        <v>0</v>
      </c>
      <c r="AB128" s="19" t="str">
        <f t="shared" si="1"/>
        <v/>
      </c>
      <c r="AC128" s="14">
        <v>0</v>
      </c>
      <c r="AD128" s="14" t="s">
        <v>70</v>
      </c>
      <c r="AE128" s="15" t="str">
        <f>IFERROR((VLOOKUP(Tabla13[[#This Row],[ID]],[1]!Mtto_Pesv[[#Headers],[#Data],[Placa]:[Rutina]],2,FALSE)),"-")</f>
        <v>-</v>
      </c>
      <c r="AF128" s="14">
        <v>1</v>
      </c>
      <c r="AG128" s="20">
        <f>IFERROR((VLOOKUP(Tabla13[[#This Row],[ID]],[1]!Mtto_Pesv[[#Headers],[#Data],[Placa]:[Rutina]],3,FALSE)),0)</f>
        <v>0</v>
      </c>
      <c r="AH128" s="20">
        <f>IFERROR((VLOOKUP(Tabla13[[#This Row],[ID]],[1]!Mtto_Pesv[[#Headers],[#Data],[Placa]:[Rutina]],7,FALSE)),0)</f>
        <v>0</v>
      </c>
      <c r="AI128" s="20">
        <f>IFERROR((VLOOKUP(Tabla13[[#This Row],[ID]],[1]!Mtto_Pesv[[#Headers],[#Data],[Placa]:[Rutina]],8,FALSE)),0)</f>
        <v>0</v>
      </c>
      <c r="AJ128" s="20" t="str">
        <f>IFERROR((VLOOKUP(Tabla13[[#This Row],[ID]],[1]!Mtto_Pesv[[#Headers],[#Data],[Placa]:[Rutina]],9,FALSE)),"-")</f>
        <v>-</v>
      </c>
      <c r="AK128" s="20">
        <f>IFERROR((VLOOKUP(Tabla13[[#This Row],[ID]],[1]!Mtto_Pesv[[#Headers],[#Data],[Placa]:[Rutina]],10,FALSE)),0)</f>
        <v>0</v>
      </c>
      <c r="AL128" s="20">
        <f>IF(Tabla13[[#This Row],[Km Anterior]]=0,0,Tabla13[[#This Row],[Km Ejecut]]-Tabla13[[#This Row],[Km Anterior]])</f>
        <v>0</v>
      </c>
      <c r="AM128" s="20">
        <f>IFERROR((VLOOKUP(Tabla13[[#This Row],[ID]],[1]!Mtto_Pesv[[#Headers],[#Data],[Placa]:[Rutina]],4,FALSE)),0)</f>
        <v>0</v>
      </c>
      <c r="AN128" s="21">
        <f>IFERROR((VLOOKUP(Tabla13[[#This Row],[ID]],[1]!Mtto_Pesv[[#Headers],[#Data],[Placa]:[Rutina]],5,FALSE)),0)</f>
        <v>0</v>
      </c>
      <c r="AO128" s="21">
        <f>+Tabla13[[#This Row],[Km Fin]]-Tabla13[[#This Row],[Km Ini]]</f>
        <v>0</v>
      </c>
      <c r="AP128" s="20">
        <f>IFERROR((VLOOKUP(Tabla13[[#This Row],[ID]],[1]!Estilo_Conduccion[[#All],[Placa]:[Puntuacion]],15,FALSE)),0)</f>
        <v>0</v>
      </c>
      <c r="AQ128" s="15" t="s">
        <v>1084</v>
      </c>
      <c r="AR128" s="15" t="s">
        <v>1085</v>
      </c>
      <c r="AS128" s="20">
        <v>3300</v>
      </c>
      <c r="AT128" s="21">
        <v>4974.8571428571431</v>
      </c>
      <c r="AU128" s="21">
        <f>(Tabla13[[#This Row],[Cap Vh]]*$AX$2)*0.56</f>
        <v>0</v>
      </c>
      <c r="AV128" s="36" t="e">
        <f>(Tabla13[[#This Row],[Cap Util (kg)]]/(Tabla13[[#This Row],[Cap Inst (Kg)]]))</f>
        <v>#DIV/0!</v>
      </c>
    </row>
    <row r="129" spans="1:48" x14ac:dyDescent="0.25">
      <c r="A129" s="13" t="s">
        <v>1068</v>
      </c>
      <c r="B129" s="14" t="s">
        <v>260</v>
      </c>
      <c r="C129" s="14" t="s">
        <v>44</v>
      </c>
      <c r="D129" s="14" t="s">
        <v>44</v>
      </c>
      <c r="E129" s="14" t="s">
        <v>127</v>
      </c>
      <c r="F129" s="14" t="s">
        <v>46</v>
      </c>
      <c r="G129" s="15" t="s">
        <v>47</v>
      </c>
      <c r="H129" s="16" t="s">
        <v>48</v>
      </c>
      <c r="I129" s="14" t="s">
        <v>49</v>
      </c>
      <c r="J129" s="14">
        <v>830064700</v>
      </c>
      <c r="K129" s="14" t="s">
        <v>50</v>
      </c>
      <c r="L129" s="14" t="s">
        <v>103</v>
      </c>
      <c r="M129" s="14" t="s">
        <v>261</v>
      </c>
      <c r="N129" s="14">
        <v>2005</v>
      </c>
      <c r="O129" s="14">
        <v>15</v>
      </c>
      <c r="P129" s="14" t="s">
        <v>173</v>
      </c>
      <c r="Q129" s="14">
        <v>0</v>
      </c>
      <c r="R129" s="14">
        <v>0</v>
      </c>
      <c r="S129" s="17" t="s">
        <v>54</v>
      </c>
      <c r="T129" s="18">
        <v>0</v>
      </c>
      <c r="U129" s="14">
        <v>30</v>
      </c>
      <c r="V129" s="19">
        <v>1</v>
      </c>
      <c r="W129" s="14">
        <v>0</v>
      </c>
      <c r="X129" s="14">
        <v>0</v>
      </c>
      <c r="Y129" s="14">
        <v>0</v>
      </c>
      <c r="Z129" s="14">
        <v>0</v>
      </c>
      <c r="AA129" s="14">
        <f>Tabla13[[#This Row],[CheckList App]]+Tabla13[[#This Row],[CheckList Fisc]]</f>
        <v>0</v>
      </c>
      <c r="AB129" s="19">
        <f t="shared" si="1"/>
        <v>0</v>
      </c>
      <c r="AC129" s="14">
        <v>0</v>
      </c>
      <c r="AD129" s="14" t="s">
        <v>55</v>
      </c>
      <c r="AE129" s="15" t="str">
        <f>IFERROR((VLOOKUP(Tabla13[[#This Row],[ID]],[1]!Mtto_Pesv[[#Headers],[#Data],[Placa]:[Rutina]],2,FALSE)),"-")</f>
        <v>-</v>
      </c>
      <c r="AF129" s="14">
        <v>0</v>
      </c>
      <c r="AG129" s="20">
        <f>IFERROR((VLOOKUP(Tabla13[[#This Row],[ID]],[1]!Mtto_Pesv[[#Headers],[#Data],[Placa]:[Rutina]],3,FALSE)),0)</f>
        <v>0</v>
      </c>
      <c r="AH129" s="20">
        <f>IFERROR((VLOOKUP(Tabla13[[#This Row],[ID]],[1]!Mtto_Pesv[[#Headers],[#Data],[Placa]:[Rutina]],7,FALSE)),0)</f>
        <v>0</v>
      </c>
      <c r="AI129" s="20">
        <f>IFERROR((VLOOKUP(Tabla13[[#This Row],[ID]],[1]!Mtto_Pesv[[#Headers],[#Data],[Placa]:[Rutina]],8,FALSE)),0)</f>
        <v>0</v>
      </c>
      <c r="AJ129" s="20" t="str">
        <f>IFERROR((VLOOKUP(Tabla13[[#This Row],[ID]],[1]!Mtto_Pesv[[#Headers],[#Data],[Placa]:[Rutina]],9,FALSE)),"-")</f>
        <v>-</v>
      </c>
      <c r="AK129" s="20">
        <f>IFERROR((VLOOKUP(Tabla13[[#This Row],[ID]],[1]!Mtto_Pesv[[#Headers],[#Data],[Placa]:[Rutina]],10,FALSE)),0)</f>
        <v>0</v>
      </c>
      <c r="AL129" s="20">
        <f>IF(Tabla13[[#This Row],[Km Anterior]]=0,0,Tabla13[[#This Row],[Km Ejecut]]-Tabla13[[#This Row],[Km Anterior]])</f>
        <v>0</v>
      </c>
      <c r="AM129" s="20">
        <f>IFERROR((VLOOKUP(Tabla13[[#This Row],[ID]],[1]!Mtto_Pesv[[#Headers],[#Data],[Placa]:[Rutina]],4,FALSE)),0)</f>
        <v>0</v>
      </c>
      <c r="AN129" s="21">
        <f>IFERROR((VLOOKUP(Tabla13[[#This Row],[ID]],[1]!Mtto_Pesv[[#Headers],[#Data],[Placa]:[Rutina]],5,FALSE)),0)</f>
        <v>0</v>
      </c>
      <c r="AO129" s="21">
        <f>+Tabla13[[#This Row],[Km Fin]]-Tabla13[[#This Row],[Km Ini]]</f>
        <v>0</v>
      </c>
      <c r="AP129" s="20">
        <f>IFERROR((VLOOKUP(Tabla13[[#This Row],[ID]],[1]!Estilo_Conduccion[[#All],[Placa]:[Puntuacion]],15,FALSE)),0)</f>
        <v>0</v>
      </c>
      <c r="AQ129" s="15" t="s">
        <v>1168</v>
      </c>
      <c r="AR129" s="15" t="s">
        <v>1169</v>
      </c>
      <c r="AS129" s="20">
        <v>3300</v>
      </c>
      <c r="AT129" s="21">
        <v>6513</v>
      </c>
      <c r="AU129" s="21">
        <f>(Tabla13[[#This Row],[Cap Vh]]*$AX$2)*0.56</f>
        <v>0</v>
      </c>
      <c r="AV129" s="36" t="e">
        <f>(Tabla13[[#This Row],[Cap Util (kg)]]/(Tabla13[[#This Row],[Cap Inst (Kg)]]))</f>
        <v>#DIV/0!</v>
      </c>
    </row>
    <row r="130" spans="1:48" x14ac:dyDescent="0.25">
      <c r="A130" s="13" t="s">
        <v>1068</v>
      </c>
      <c r="B130" s="14" t="s">
        <v>262</v>
      </c>
      <c r="C130" s="14" t="s">
        <v>44</v>
      </c>
      <c r="D130" s="14" t="s">
        <v>44</v>
      </c>
      <c r="E130" s="14" t="s">
        <v>45</v>
      </c>
      <c r="F130" s="14" t="s">
        <v>76</v>
      </c>
      <c r="G130" s="15" t="s">
        <v>89</v>
      </c>
      <c r="H130" s="16" t="s">
        <v>90</v>
      </c>
      <c r="I130" s="14" t="s">
        <v>49</v>
      </c>
      <c r="J130" s="14">
        <v>830064700</v>
      </c>
      <c r="K130" s="14" t="s">
        <v>50</v>
      </c>
      <c r="L130" s="14" t="s">
        <v>103</v>
      </c>
      <c r="M130" s="14" t="s">
        <v>104</v>
      </c>
      <c r="N130" s="14">
        <v>2005</v>
      </c>
      <c r="O130" s="14">
        <v>15</v>
      </c>
      <c r="P130" s="14" t="s">
        <v>173</v>
      </c>
      <c r="Q130" s="14">
        <v>0</v>
      </c>
      <c r="R130" s="14">
        <v>0</v>
      </c>
      <c r="S130" s="17" t="s">
        <v>54</v>
      </c>
      <c r="T130" s="18">
        <v>0</v>
      </c>
      <c r="U130" s="14">
        <v>0</v>
      </c>
      <c r="V130" s="19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f>Tabla13[[#This Row],[CheckList App]]+Tabla13[[#This Row],[CheckList Fisc]]</f>
        <v>0</v>
      </c>
      <c r="AB130" s="19" t="str">
        <f t="shared" ref="AB130:AB193" si="2">IF(U130=0,"",(IFERROR((AA130/X130),0)))</f>
        <v/>
      </c>
      <c r="AC130" s="14">
        <v>0</v>
      </c>
      <c r="AD130" s="14" t="s">
        <v>55</v>
      </c>
      <c r="AE130" s="15" t="str">
        <f>IFERROR((VLOOKUP(Tabla13[[#This Row],[ID]],[1]!Mtto_Pesv[[#Headers],[#Data],[Placa]:[Rutina]],2,FALSE)),"-")</f>
        <v>-</v>
      </c>
      <c r="AF130" s="14">
        <v>0</v>
      </c>
      <c r="AG130" s="20">
        <f>IFERROR((VLOOKUP(Tabla13[[#This Row],[ID]],[1]!Mtto_Pesv[[#Headers],[#Data],[Placa]:[Rutina]],3,FALSE)),0)</f>
        <v>0</v>
      </c>
      <c r="AH130" s="20">
        <f>IFERROR((VLOOKUP(Tabla13[[#This Row],[ID]],[1]!Mtto_Pesv[[#Headers],[#Data],[Placa]:[Rutina]],7,FALSE)),0)</f>
        <v>0</v>
      </c>
      <c r="AI130" s="20">
        <f>IFERROR((VLOOKUP(Tabla13[[#This Row],[ID]],[1]!Mtto_Pesv[[#Headers],[#Data],[Placa]:[Rutina]],8,FALSE)),0)</f>
        <v>0</v>
      </c>
      <c r="AJ130" s="20" t="str">
        <f>IFERROR((VLOOKUP(Tabla13[[#This Row],[ID]],[1]!Mtto_Pesv[[#Headers],[#Data],[Placa]:[Rutina]],9,FALSE)),"-")</f>
        <v>-</v>
      </c>
      <c r="AK130" s="20">
        <f>IFERROR((VLOOKUP(Tabla13[[#This Row],[ID]],[1]!Mtto_Pesv[[#Headers],[#Data],[Placa]:[Rutina]],10,FALSE)),0)</f>
        <v>0</v>
      </c>
      <c r="AL130" s="20">
        <f>IF(Tabla13[[#This Row],[Km Anterior]]=0,0,Tabla13[[#This Row],[Km Ejecut]]-Tabla13[[#This Row],[Km Anterior]])</f>
        <v>0</v>
      </c>
      <c r="AM130" s="20">
        <f>IFERROR((VLOOKUP(Tabla13[[#This Row],[ID]],[1]!Mtto_Pesv[[#Headers],[#Data],[Placa]:[Rutina]],4,FALSE)),0)</f>
        <v>0</v>
      </c>
      <c r="AN130" s="21">
        <f>IFERROR((VLOOKUP(Tabla13[[#This Row],[ID]],[1]!Mtto_Pesv[[#Headers],[#Data],[Placa]:[Rutina]],5,FALSE)),0)</f>
        <v>0</v>
      </c>
      <c r="AO130" s="21">
        <f>+Tabla13[[#This Row],[Km Fin]]-Tabla13[[#This Row],[Km Ini]]</f>
        <v>0</v>
      </c>
      <c r="AP130" s="20">
        <f>IFERROR((VLOOKUP(Tabla13[[#This Row],[ID]],[1]!Estilo_Conduccion[[#All],[Placa]:[Puntuacion]],15,FALSE)),0)</f>
        <v>0</v>
      </c>
      <c r="AQ130" s="15" t="s">
        <v>1164</v>
      </c>
      <c r="AR130" s="15" t="s">
        <v>1165</v>
      </c>
      <c r="AS130" s="20">
        <v>2200</v>
      </c>
      <c r="AT130" s="21">
        <v>4420.3846153846152</v>
      </c>
      <c r="AU130" s="21">
        <f>(Tabla13[[#This Row],[Cap Vh]]*$AX$2)*0.56</f>
        <v>0</v>
      </c>
      <c r="AV130" s="36" t="e">
        <f>(Tabla13[[#This Row],[Cap Util (kg)]]/(Tabla13[[#This Row],[Cap Inst (Kg)]]))</f>
        <v>#DIV/0!</v>
      </c>
    </row>
    <row r="131" spans="1:48" x14ac:dyDescent="0.25">
      <c r="A131" s="13" t="s">
        <v>1068</v>
      </c>
      <c r="B131" s="14" t="s">
        <v>263</v>
      </c>
      <c r="C131" s="14" t="s">
        <v>44</v>
      </c>
      <c r="D131" s="14" t="s">
        <v>44</v>
      </c>
      <c r="E131" s="14" t="s">
        <v>58</v>
      </c>
      <c r="F131" s="14" t="s">
        <v>46</v>
      </c>
      <c r="G131" s="15" t="s">
        <v>47</v>
      </c>
      <c r="H131" s="16" t="s">
        <v>48</v>
      </c>
      <c r="I131" s="14" t="s">
        <v>49</v>
      </c>
      <c r="J131" s="14">
        <v>830064700</v>
      </c>
      <c r="K131" s="14" t="s">
        <v>50</v>
      </c>
      <c r="L131" s="14" t="s">
        <v>103</v>
      </c>
      <c r="M131" s="14" t="s">
        <v>104</v>
      </c>
      <c r="N131" s="14">
        <v>2005</v>
      </c>
      <c r="O131" s="14">
        <v>15</v>
      </c>
      <c r="P131" s="14" t="s">
        <v>173</v>
      </c>
      <c r="Q131" s="14">
        <v>0</v>
      </c>
      <c r="R131" s="14">
        <v>0</v>
      </c>
      <c r="S131" s="17" t="s">
        <v>54</v>
      </c>
      <c r="T131" s="18">
        <v>0</v>
      </c>
      <c r="U131" s="14">
        <v>30</v>
      </c>
      <c r="V131" s="19">
        <v>1</v>
      </c>
      <c r="W131" s="14">
        <v>0</v>
      </c>
      <c r="X131" s="14">
        <v>0</v>
      </c>
      <c r="Y131" s="14">
        <v>0</v>
      </c>
      <c r="Z131" s="14">
        <v>0</v>
      </c>
      <c r="AA131" s="14">
        <f>Tabla13[[#This Row],[CheckList App]]+Tabla13[[#This Row],[CheckList Fisc]]</f>
        <v>0</v>
      </c>
      <c r="AB131" s="19">
        <f t="shared" si="2"/>
        <v>0</v>
      </c>
      <c r="AC131" s="14">
        <v>0</v>
      </c>
      <c r="AD131" s="14" t="s">
        <v>55</v>
      </c>
      <c r="AE131" s="15" t="str">
        <f>IFERROR((VLOOKUP(Tabla13[[#This Row],[ID]],[1]!Mtto_Pesv[[#Headers],[#Data],[Placa]:[Rutina]],2,FALSE)),"-")</f>
        <v>-</v>
      </c>
      <c r="AF131" s="14">
        <v>0</v>
      </c>
      <c r="AG131" s="20">
        <f>IFERROR((VLOOKUP(Tabla13[[#This Row],[ID]],[1]!Mtto_Pesv[[#Headers],[#Data],[Placa]:[Rutina]],3,FALSE)),0)</f>
        <v>0</v>
      </c>
      <c r="AH131" s="20">
        <f>IFERROR((VLOOKUP(Tabla13[[#This Row],[ID]],[1]!Mtto_Pesv[[#Headers],[#Data],[Placa]:[Rutina]],7,FALSE)),0)</f>
        <v>0</v>
      </c>
      <c r="AI131" s="20">
        <f>IFERROR((VLOOKUP(Tabla13[[#This Row],[ID]],[1]!Mtto_Pesv[[#Headers],[#Data],[Placa]:[Rutina]],8,FALSE)),0)</f>
        <v>0</v>
      </c>
      <c r="AJ131" s="20" t="str">
        <f>IFERROR((VLOOKUP(Tabla13[[#This Row],[ID]],[1]!Mtto_Pesv[[#Headers],[#Data],[Placa]:[Rutina]],9,FALSE)),"-")</f>
        <v>-</v>
      </c>
      <c r="AK131" s="20">
        <f>IFERROR((VLOOKUP(Tabla13[[#This Row],[ID]],[1]!Mtto_Pesv[[#Headers],[#Data],[Placa]:[Rutina]],10,FALSE)),0)</f>
        <v>0</v>
      </c>
      <c r="AL131" s="20">
        <f>IF(Tabla13[[#This Row],[Km Anterior]]=0,0,Tabla13[[#This Row],[Km Ejecut]]-Tabla13[[#This Row],[Km Anterior]])</f>
        <v>0</v>
      </c>
      <c r="AM131" s="20">
        <f>IFERROR((VLOOKUP(Tabla13[[#This Row],[ID]],[1]!Mtto_Pesv[[#Headers],[#Data],[Placa]:[Rutina]],4,FALSE)),0)</f>
        <v>0</v>
      </c>
      <c r="AN131" s="21">
        <f>IFERROR((VLOOKUP(Tabla13[[#This Row],[ID]],[1]!Mtto_Pesv[[#Headers],[#Data],[Placa]:[Rutina]],5,FALSE)),0)</f>
        <v>0</v>
      </c>
      <c r="AO131" s="21">
        <f>+Tabla13[[#This Row],[Km Fin]]-Tabla13[[#This Row],[Km Ini]]</f>
        <v>0</v>
      </c>
      <c r="AP131" s="20">
        <f>IFERROR((VLOOKUP(Tabla13[[#This Row],[ID]],[1]!Estilo_Conduccion[[#All],[Placa]:[Puntuacion]],15,FALSE)),0)</f>
        <v>0</v>
      </c>
      <c r="AQ131" s="15" t="s">
        <v>1170</v>
      </c>
      <c r="AR131" s="15" t="s">
        <v>1171</v>
      </c>
      <c r="AS131" s="20">
        <v>2200</v>
      </c>
      <c r="AT131" s="21">
        <v>2550</v>
      </c>
      <c r="AU131" s="21">
        <f>(Tabla13[[#This Row],[Cap Vh]]*$AX$2)*0.56</f>
        <v>0</v>
      </c>
      <c r="AV131" s="36" t="e">
        <f>(Tabla13[[#This Row],[Cap Util (kg)]]/(Tabla13[[#This Row],[Cap Inst (Kg)]]))</f>
        <v>#DIV/0!</v>
      </c>
    </row>
    <row r="132" spans="1:48" x14ac:dyDescent="0.25">
      <c r="A132" s="13" t="s">
        <v>1068</v>
      </c>
      <c r="B132" s="14" t="s">
        <v>264</v>
      </c>
      <c r="C132" s="14" t="s">
        <v>44</v>
      </c>
      <c r="D132" s="14" t="s">
        <v>44</v>
      </c>
      <c r="E132" s="14" t="s">
        <v>63</v>
      </c>
      <c r="F132" s="14" t="s">
        <v>64</v>
      </c>
      <c r="G132" s="14" t="s">
        <v>65</v>
      </c>
      <c r="H132" s="16" t="s">
        <v>66</v>
      </c>
      <c r="I132" s="14" t="s">
        <v>49</v>
      </c>
      <c r="J132" s="14">
        <v>830064700</v>
      </c>
      <c r="K132" s="14" t="s">
        <v>50</v>
      </c>
      <c r="L132" s="14" t="s">
        <v>103</v>
      </c>
      <c r="M132" s="14" t="s">
        <v>261</v>
      </c>
      <c r="N132" s="14">
        <v>2005</v>
      </c>
      <c r="O132" s="14">
        <v>15</v>
      </c>
      <c r="P132" s="14" t="s">
        <v>173</v>
      </c>
      <c r="Q132" s="14">
        <v>0</v>
      </c>
      <c r="R132" s="14">
        <v>0</v>
      </c>
      <c r="S132" s="17" t="s">
        <v>54</v>
      </c>
      <c r="T132" s="18">
        <v>0</v>
      </c>
      <c r="U132" s="14">
        <v>0</v>
      </c>
      <c r="V132" s="19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f>Tabla13[[#This Row],[CheckList App]]+Tabla13[[#This Row],[CheckList Fisc]]</f>
        <v>0</v>
      </c>
      <c r="AB132" s="19" t="str">
        <f t="shared" si="2"/>
        <v/>
      </c>
      <c r="AC132" s="14">
        <v>0</v>
      </c>
      <c r="AD132" s="14" t="s">
        <v>55</v>
      </c>
      <c r="AE132" s="15" t="str">
        <f>IFERROR((VLOOKUP(Tabla13[[#This Row],[ID]],[1]!Mtto_Pesv[[#Headers],[#Data],[Placa]:[Rutina]],2,FALSE)),"-")</f>
        <v>-</v>
      </c>
      <c r="AF132" s="14">
        <v>0</v>
      </c>
      <c r="AG132" s="20">
        <f>IFERROR((VLOOKUP(Tabla13[[#This Row],[ID]],[1]!Mtto_Pesv[[#Headers],[#Data],[Placa]:[Rutina]],3,FALSE)),0)</f>
        <v>0</v>
      </c>
      <c r="AH132" s="20">
        <f>IFERROR((VLOOKUP(Tabla13[[#This Row],[ID]],[1]!Mtto_Pesv[[#Headers],[#Data],[Placa]:[Rutina]],7,FALSE)),0)</f>
        <v>0</v>
      </c>
      <c r="AI132" s="20">
        <f>IFERROR((VLOOKUP(Tabla13[[#This Row],[ID]],[1]!Mtto_Pesv[[#Headers],[#Data],[Placa]:[Rutina]],8,FALSE)),0)</f>
        <v>0</v>
      </c>
      <c r="AJ132" s="20" t="str">
        <f>IFERROR((VLOOKUP(Tabla13[[#This Row],[ID]],[1]!Mtto_Pesv[[#Headers],[#Data],[Placa]:[Rutina]],9,FALSE)),"-")</f>
        <v>-</v>
      </c>
      <c r="AK132" s="20">
        <f>IFERROR((VLOOKUP(Tabla13[[#This Row],[ID]],[1]!Mtto_Pesv[[#Headers],[#Data],[Placa]:[Rutina]],10,FALSE)),0)</f>
        <v>0</v>
      </c>
      <c r="AL132" s="20">
        <f>IF(Tabla13[[#This Row],[Km Anterior]]=0,0,Tabla13[[#This Row],[Km Ejecut]]-Tabla13[[#This Row],[Km Anterior]])</f>
        <v>0</v>
      </c>
      <c r="AM132" s="20">
        <f>IFERROR((VLOOKUP(Tabla13[[#This Row],[ID]],[1]!Mtto_Pesv[[#Headers],[#Data],[Placa]:[Rutina]],4,FALSE)),0)</f>
        <v>0</v>
      </c>
      <c r="AN132" s="21">
        <f>IFERROR((VLOOKUP(Tabla13[[#This Row],[ID]],[1]!Mtto_Pesv[[#Headers],[#Data],[Placa]:[Rutina]],5,FALSE)),0)</f>
        <v>0</v>
      </c>
      <c r="AO132" s="21">
        <f>+Tabla13[[#This Row],[Km Fin]]-Tabla13[[#This Row],[Km Ini]]</f>
        <v>0</v>
      </c>
      <c r="AP132" s="20">
        <f>IFERROR((VLOOKUP(Tabla13[[#This Row],[ID]],[1]!Estilo_Conduccion[[#All],[Placa]:[Puntuacion]],15,FALSE)),0)</f>
        <v>0</v>
      </c>
      <c r="AQ132" s="15" t="s">
        <v>54</v>
      </c>
      <c r="AR132" s="15" t="s">
        <v>54</v>
      </c>
      <c r="AS132" s="20">
        <v>2700</v>
      </c>
      <c r="AT132" s="21">
        <v>0</v>
      </c>
      <c r="AU132" s="21">
        <f>(Tabla13[[#This Row],[Cap Vh]]*$AX$2)*0.56</f>
        <v>0</v>
      </c>
      <c r="AV132" s="36" t="e">
        <f>(Tabla13[[#This Row],[Cap Util (kg)]]/(Tabla13[[#This Row],[Cap Inst (Kg)]]))</f>
        <v>#DIV/0!</v>
      </c>
    </row>
    <row r="133" spans="1:48" x14ac:dyDescent="0.25">
      <c r="A133" s="13" t="s">
        <v>1068</v>
      </c>
      <c r="B133" s="14" t="s">
        <v>265</v>
      </c>
      <c r="C133" s="14" t="s">
        <v>44</v>
      </c>
      <c r="D133" s="14" t="s">
        <v>44</v>
      </c>
      <c r="E133" s="14" t="s">
        <v>45</v>
      </c>
      <c r="F133" s="14" t="s">
        <v>76</v>
      </c>
      <c r="G133" s="15" t="s">
        <v>89</v>
      </c>
      <c r="H133" s="16" t="s">
        <v>90</v>
      </c>
      <c r="I133" s="14" t="s">
        <v>109</v>
      </c>
      <c r="J133" s="14">
        <v>900335279</v>
      </c>
      <c r="K133" s="14" t="s">
        <v>77</v>
      </c>
      <c r="L133" s="14" t="s">
        <v>266</v>
      </c>
      <c r="M133" s="14" t="s">
        <v>267</v>
      </c>
      <c r="N133" s="14">
        <v>2005</v>
      </c>
      <c r="O133" s="14">
        <v>15</v>
      </c>
      <c r="P133" s="14" t="s">
        <v>173</v>
      </c>
      <c r="Q133" s="14">
        <v>1</v>
      </c>
      <c r="R133" s="14">
        <v>0</v>
      </c>
      <c r="S133" s="17" t="s">
        <v>54</v>
      </c>
      <c r="T133" s="18">
        <v>0</v>
      </c>
      <c r="U133" s="14">
        <v>0</v>
      </c>
      <c r="V133" s="19">
        <v>0</v>
      </c>
      <c r="W133" s="14">
        <v>0</v>
      </c>
      <c r="X133" s="14">
        <v>26</v>
      </c>
      <c r="Y133" s="14">
        <v>6</v>
      </c>
      <c r="Z133" s="14">
        <v>0</v>
      </c>
      <c r="AA133" s="14">
        <f>Tabla13[[#This Row],[CheckList App]]+Tabla13[[#This Row],[CheckList Fisc]]</f>
        <v>6</v>
      </c>
      <c r="AB133" s="19" t="str">
        <f t="shared" si="2"/>
        <v/>
      </c>
      <c r="AC133" s="14">
        <v>0</v>
      </c>
      <c r="AD133" s="14" t="s">
        <v>70</v>
      </c>
      <c r="AE133" s="15" t="str">
        <f>IFERROR((VLOOKUP(Tabla13[[#This Row],[ID]],[1]!Mtto_Pesv[[#Headers],[#Data],[Placa]:[Rutina]],2,FALSE)),"-")</f>
        <v>-</v>
      </c>
      <c r="AF133" s="14">
        <v>1</v>
      </c>
      <c r="AG133" s="20">
        <f>IFERROR((VLOOKUP(Tabla13[[#This Row],[ID]],[1]!Mtto_Pesv[[#Headers],[#Data],[Placa]:[Rutina]],3,FALSE)),0)</f>
        <v>0</v>
      </c>
      <c r="AH133" s="20">
        <f>IFERROR((VLOOKUP(Tabla13[[#This Row],[ID]],[1]!Mtto_Pesv[[#Headers],[#Data],[Placa]:[Rutina]],7,FALSE)),0)</f>
        <v>0</v>
      </c>
      <c r="AI133" s="20">
        <f>IFERROR((VLOOKUP(Tabla13[[#This Row],[ID]],[1]!Mtto_Pesv[[#Headers],[#Data],[Placa]:[Rutina]],8,FALSE)),0)</f>
        <v>0</v>
      </c>
      <c r="AJ133" s="20" t="str">
        <f>IFERROR((VLOOKUP(Tabla13[[#This Row],[ID]],[1]!Mtto_Pesv[[#Headers],[#Data],[Placa]:[Rutina]],9,FALSE)),"-")</f>
        <v>-</v>
      </c>
      <c r="AK133" s="20">
        <f>IFERROR((VLOOKUP(Tabla13[[#This Row],[ID]],[1]!Mtto_Pesv[[#Headers],[#Data],[Placa]:[Rutina]],10,FALSE)),0)</f>
        <v>0</v>
      </c>
      <c r="AL133" s="20">
        <f>IF(Tabla13[[#This Row],[Km Anterior]]=0,0,Tabla13[[#This Row],[Km Ejecut]]-Tabla13[[#This Row],[Km Anterior]])</f>
        <v>0</v>
      </c>
      <c r="AM133" s="20">
        <f>IFERROR((VLOOKUP(Tabla13[[#This Row],[ID]],[1]!Mtto_Pesv[[#Headers],[#Data],[Placa]:[Rutina]],4,FALSE)),0)</f>
        <v>0</v>
      </c>
      <c r="AN133" s="21">
        <f>IFERROR((VLOOKUP(Tabla13[[#This Row],[ID]],[1]!Mtto_Pesv[[#Headers],[#Data],[Placa]:[Rutina]],5,FALSE)),0)</f>
        <v>0</v>
      </c>
      <c r="AO133" s="21">
        <f>+Tabla13[[#This Row],[Km Fin]]-Tabla13[[#This Row],[Km Ini]]</f>
        <v>0</v>
      </c>
      <c r="AP133" s="20">
        <f>IFERROR((VLOOKUP(Tabla13[[#This Row],[ID]],[1]!Estilo_Conduccion[[#All],[Placa]:[Puntuacion]],15,FALSE)),0)</f>
        <v>42.699999999999989</v>
      </c>
      <c r="AQ133" s="15" t="s">
        <v>1084</v>
      </c>
      <c r="AR133" s="15" t="s">
        <v>1085</v>
      </c>
      <c r="AS133" s="20">
        <v>9000</v>
      </c>
      <c r="AT133" s="21">
        <v>4974.8571428571431</v>
      </c>
      <c r="AU133" s="21">
        <f>(Tabla13[[#This Row],[Cap Vh]]*$AX$2)*0.56</f>
        <v>0</v>
      </c>
      <c r="AV133" s="36" t="e">
        <f>(Tabla13[[#This Row],[Cap Util (kg)]]/(Tabla13[[#This Row],[Cap Inst (Kg)]]))</f>
        <v>#DIV/0!</v>
      </c>
    </row>
    <row r="134" spans="1:48" x14ac:dyDescent="0.25">
      <c r="A134" s="13" t="s">
        <v>1068</v>
      </c>
      <c r="B134" s="14" t="s">
        <v>268</v>
      </c>
      <c r="C134" s="14" t="s">
        <v>44</v>
      </c>
      <c r="D134" s="14" t="s">
        <v>44</v>
      </c>
      <c r="E134" s="14" t="s">
        <v>60</v>
      </c>
      <c r="F134" s="14" t="s">
        <v>46</v>
      </c>
      <c r="G134" s="15" t="s">
        <v>47</v>
      </c>
      <c r="H134" s="16" t="s">
        <v>48</v>
      </c>
      <c r="I134" s="14" t="s">
        <v>49</v>
      </c>
      <c r="J134" s="14">
        <v>900335279</v>
      </c>
      <c r="K134" s="14" t="s">
        <v>77</v>
      </c>
      <c r="L134" s="14" t="s">
        <v>103</v>
      </c>
      <c r="M134" s="14" t="s">
        <v>269</v>
      </c>
      <c r="N134" s="14">
        <v>2006</v>
      </c>
      <c r="O134" s="14">
        <v>14</v>
      </c>
      <c r="P134" s="14" t="s">
        <v>173</v>
      </c>
      <c r="Q134" s="14">
        <v>0</v>
      </c>
      <c r="R134" s="14">
        <v>0</v>
      </c>
      <c r="S134" s="17" t="s">
        <v>54</v>
      </c>
      <c r="T134" s="18">
        <v>0</v>
      </c>
      <c r="U134" s="14">
        <v>30</v>
      </c>
      <c r="V134" s="19">
        <v>1</v>
      </c>
      <c r="W134" s="14">
        <v>0</v>
      </c>
      <c r="X134" s="14">
        <v>0</v>
      </c>
      <c r="Y134" s="14">
        <v>0</v>
      </c>
      <c r="Z134" s="14">
        <v>0</v>
      </c>
      <c r="AA134" s="14">
        <f>Tabla13[[#This Row],[CheckList App]]+Tabla13[[#This Row],[CheckList Fisc]]</f>
        <v>0</v>
      </c>
      <c r="AB134" s="19">
        <f t="shared" si="2"/>
        <v>0</v>
      </c>
      <c r="AC134" s="14">
        <v>0</v>
      </c>
      <c r="AD134" s="14" t="s">
        <v>70</v>
      </c>
      <c r="AE134" s="15" t="str">
        <f>IFERROR((VLOOKUP(Tabla13[[#This Row],[ID]],[1]!Mtto_Pesv[[#Headers],[#Data],[Placa]:[Rutina]],2,FALSE)),"-")</f>
        <v>-</v>
      </c>
      <c r="AF134" s="14">
        <v>1</v>
      </c>
      <c r="AG134" s="20">
        <f>IFERROR((VLOOKUP(Tabla13[[#This Row],[ID]],[1]!Mtto_Pesv[[#Headers],[#Data],[Placa]:[Rutina]],3,FALSE)),0)</f>
        <v>0</v>
      </c>
      <c r="AH134" s="20">
        <f>IFERROR((VLOOKUP(Tabla13[[#This Row],[ID]],[1]!Mtto_Pesv[[#Headers],[#Data],[Placa]:[Rutina]],7,FALSE)),0)</f>
        <v>0</v>
      </c>
      <c r="AI134" s="20">
        <f>IFERROR((VLOOKUP(Tabla13[[#This Row],[ID]],[1]!Mtto_Pesv[[#Headers],[#Data],[Placa]:[Rutina]],8,FALSE)),0)</f>
        <v>0</v>
      </c>
      <c r="AJ134" s="20" t="str">
        <f>IFERROR((VLOOKUP(Tabla13[[#This Row],[ID]],[1]!Mtto_Pesv[[#Headers],[#Data],[Placa]:[Rutina]],9,FALSE)),"-")</f>
        <v>-</v>
      </c>
      <c r="AK134" s="20">
        <f>IFERROR((VLOOKUP(Tabla13[[#This Row],[ID]],[1]!Mtto_Pesv[[#Headers],[#Data],[Placa]:[Rutina]],10,FALSE)),0)</f>
        <v>0</v>
      </c>
      <c r="AL134" s="20">
        <f>IF(Tabla13[[#This Row],[Km Anterior]]=0,0,Tabla13[[#This Row],[Km Ejecut]]-Tabla13[[#This Row],[Km Anterior]])</f>
        <v>0</v>
      </c>
      <c r="AM134" s="20">
        <f>IFERROR((VLOOKUP(Tabla13[[#This Row],[ID]],[1]!Mtto_Pesv[[#Headers],[#Data],[Placa]:[Rutina]],4,FALSE)),0)</f>
        <v>0</v>
      </c>
      <c r="AN134" s="21">
        <f>IFERROR((VLOOKUP(Tabla13[[#This Row],[ID]],[1]!Mtto_Pesv[[#Headers],[#Data],[Placa]:[Rutina]],5,FALSE)),0)</f>
        <v>0</v>
      </c>
      <c r="AO134" s="21">
        <f>+Tabla13[[#This Row],[Km Fin]]-Tabla13[[#This Row],[Km Ini]]</f>
        <v>0</v>
      </c>
      <c r="AP134" s="20">
        <f>IFERROR((VLOOKUP(Tabla13[[#This Row],[ID]],[1]!Estilo_Conduccion[[#All],[Placa]:[Puntuacion]],15,FALSE)),0)</f>
        <v>0</v>
      </c>
      <c r="AQ134" s="15" t="s">
        <v>1072</v>
      </c>
      <c r="AR134" s="15" t="s">
        <v>1073</v>
      </c>
      <c r="AS134" s="20">
        <v>550</v>
      </c>
      <c r="AT134" s="21">
        <v>3080.8846153846152</v>
      </c>
      <c r="AU134" s="21">
        <f>(Tabla13[[#This Row],[Cap Vh]]*$AX$2)*0.56</f>
        <v>0</v>
      </c>
      <c r="AV134" s="36" t="e">
        <f>(Tabla13[[#This Row],[Cap Util (kg)]]/(Tabla13[[#This Row],[Cap Inst (Kg)]]))</f>
        <v>#DIV/0!</v>
      </c>
    </row>
    <row r="135" spans="1:48" x14ac:dyDescent="0.25">
      <c r="A135" s="13" t="s">
        <v>1068</v>
      </c>
      <c r="B135" s="14" t="s">
        <v>270</v>
      </c>
      <c r="C135" s="14" t="s">
        <v>44</v>
      </c>
      <c r="D135" s="14" t="s">
        <v>44</v>
      </c>
      <c r="E135" s="14" t="s">
        <v>85</v>
      </c>
      <c r="F135" s="14" t="s">
        <v>46</v>
      </c>
      <c r="G135" s="15" t="s">
        <v>47</v>
      </c>
      <c r="H135" s="16" t="s">
        <v>48</v>
      </c>
      <c r="I135" s="14" t="s">
        <v>49</v>
      </c>
      <c r="J135" s="14">
        <v>830064700</v>
      </c>
      <c r="K135" s="14" t="s">
        <v>50</v>
      </c>
      <c r="L135" s="14" t="s">
        <v>271</v>
      </c>
      <c r="M135" s="14" t="s">
        <v>272</v>
      </c>
      <c r="N135" s="14">
        <v>2008</v>
      </c>
      <c r="O135" s="14">
        <v>12</v>
      </c>
      <c r="P135" s="14" t="s">
        <v>173</v>
      </c>
      <c r="Q135" s="14">
        <v>0</v>
      </c>
      <c r="R135" s="14">
        <v>0</v>
      </c>
      <c r="S135" s="17" t="s">
        <v>54</v>
      </c>
      <c r="T135" s="18">
        <v>0</v>
      </c>
      <c r="U135" s="14">
        <v>30</v>
      </c>
      <c r="V135" s="19">
        <v>1</v>
      </c>
      <c r="W135" s="14">
        <v>0</v>
      </c>
      <c r="X135" s="14">
        <v>0</v>
      </c>
      <c r="Y135" s="14">
        <v>0</v>
      </c>
      <c r="Z135" s="14">
        <v>0</v>
      </c>
      <c r="AA135" s="14">
        <f>Tabla13[[#This Row],[CheckList App]]+Tabla13[[#This Row],[CheckList Fisc]]</f>
        <v>0</v>
      </c>
      <c r="AB135" s="19">
        <f t="shared" si="2"/>
        <v>0</v>
      </c>
      <c r="AC135" s="14">
        <v>0</v>
      </c>
      <c r="AD135" s="14" t="s">
        <v>55</v>
      </c>
      <c r="AE135" s="15" t="str">
        <f>IFERROR((VLOOKUP(Tabla13[[#This Row],[ID]],[1]!Mtto_Pesv[[#Headers],[#Data],[Placa]:[Rutina]],2,FALSE)),"-")</f>
        <v>-</v>
      </c>
      <c r="AF135" s="14">
        <v>0</v>
      </c>
      <c r="AG135" s="20">
        <f>IFERROR((VLOOKUP(Tabla13[[#This Row],[ID]],[1]!Mtto_Pesv[[#Headers],[#Data],[Placa]:[Rutina]],3,FALSE)),0)</f>
        <v>0</v>
      </c>
      <c r="AH135" s="20">
        <f>IFERROR((VLOOKUP(Tabla13[[#This Row],[ID]],[1]!Mtto_Pesv[[#Headers],[#Data],[Placa]:[Rutina]],7,FALSE)),0)</f>
        <v>0</v>
      </c>
      <c r="AI135" s="20">
        <f>IFERROR((VLOOKUP(Tabla13[[#This Row],[ID]],[1]!Mtto_Pesv[[#Headers],[#Data],[Placa]:[Rutina]],8,FALSE)),0)</f>
        <v>0</v>
      </c>
      <c r="AJ135" s="20" t="str">
        <f>IFERROR((VLOOKUP(Tabla13[[#This Row],[ID]],[1]!Mtto_Pesv[[#Headers],[#Data],[Placa]:[Rutina]],9,FALSE)),"-")</f>
        <v>-</v>
      </c>
      <c r="AK135" s="20">
        <f>IFERROR((VLOOKUP(Tabla13[[#This Row],[ID]],[1]!Mtto_Pesv[[#Headers],[#Data],[Placa]:[Rutina]],10,FALSE)),0)</f>
        <v>0</v>
      </c>
      <c r="AL135" s="20">
        <f>IF(Tabla13[[#This Row],[Km Anterior]]=0,0,Tabla13[[#This Row],[Km Ejecut]]-Tabla13[[#This Row],[Km Anterior]])</f>
        <v>0</v>
      </c>
      <c r="AM135" s="20">
        <f>IFERROR((VLOOKUP(Tabla13[[#This Row],[ID]],[1]!Mtto_Pesv[[#Headers],[#Data],[Placa]:[Rutina]],4,FALSE)),0)</f>
        <v>0</v>
      </c>
      <c r="AN135" s="21">
        <f>IFERROR((VLOOKUP(Tabla13[[#This Row],[ID]],[1]!Mtto_Pesv[[#Headers],[#Data],[Placa]:[Rutina]],5,FALSE)),0)</f>
        <v>0</v>
      </c>
      <c r="AO135" s="21">
        <f>+Tabla13[[#This Row],[Km Fin]]-Tabla13[[#This Row],[Km Ini]]</f>
        <v>0</v>
      </c>
      <c r="AP135" s="20">
        <f>IFERROR((VLOOKUP(Tabla13[[#This Row],[ID]],[1]!Estilo_Conduccion[[#All],[Placa]:[Puntuacion]],15,FALSE)),0)</f>
        <v>0</v>
      </c>
      <c r="AQ135" s="15" t="s">
        <v>1172</v>
      </c>
      <c r="AR135" s="15" t="s">
        <v>1173</v>
      </c>
      <c r="AS135" s="20">
        <v>1000</v>
      </c>
      <c r="AT135" s="21">
        <v>12338</v>
      </c>
      <c r="AU135" s="21">
        <f>(Tabla13[[#This Row],[Cap Vh]]*$AX$2)*0.56</f>
        <v>0</v>
      </c>
      <c r="AV135" s="36" t="e">
        <f>(Tabla13[[#This Row],[Cap Util (kg)]]/(Tabla13[[#This Row],[Cap Inst (Kg)]]))</f>
        <v>#DIV/0!</v>
      </c>
    </row>
    <row r="136" spans="1:48" x14ac:dyDescent="0.25">
      <c r="A136" s="13" t="s">
        <v>1068</v>
      </c>
      <c r="B136" s="14" t="s">
        <v>273</v>
      </c>
      <c r="C136" s="14" t="s">
        <v>44</v>
      </c>
      <c r="D136" s="14" t="s">
        <v>44</v>
      </c>
      <c r="E136" s="14" t="s">
        <v>63</v>
      </c>
      <c r="F136" s="14" t="s">
        <v>64</v>
      </c>
      <c r="G136" s="14" t="s">
        <v>65</v>
      </c>
      <c r="H136" s="16" t="s">
        <v>66</v>
      </c>
      <c r="I136" s="14" t="s">
        <v>49</v>
      </c>
      <c r="J136" s="14">
        <v>830064700</v>
      </c>
      <c r="K136" s="14" t="s">
        <v>50</v>
      </c>
      <c r="L136" s="14" t="s">
        <v>271</v>
      </c>
      <c r="M136" s="14" t="s">
        <v>272</v>
      </c>
      <c r="N136" s="14">
        <v>2008</v>
      </c>
      <c r="O136" s="14">
        <v>12</v>
      </c>
      <c r="P136" s="14" t="s">
        <v>173</v>
      </c>
      <c r="Q136" s="14">
        <v>0</v>
      </c>
      <c r="R136" s="14">
        <v>0</v>
      </c>
      <c r="S136" s="17" t="s">
        <v>54</v>
      </c>
      <c r="T136" s="18">
        <v>0</v>
      </c>
      <c r="U136" s="14">
        <v>0</v>
      </c>
      <c r="V136" s="19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f>Tabla13[[#This Row],[CheckList App]]+Tabla13[[#This Row],[CheckList Fisc]]</f>
        <v>0</v>
      </c>
      <c r="AB136" s="19" t="str">
        <f t="shared" si="2"/>
        <v/>
      </c>
      <c r="AC136" s="14">
        <v>0</v>
      </c>
      <c r="AD136" s="14" t="s">
        <v>70</v>
      </c>
      <c r="AE136" s="15" t="str">
        <f>IFERROR((VLOOKUP(Tabla13[[#This Row],[ID]],[1]!Mtto_Pesv[[#Headers],[#Data],[Placa]:[Rutina]],2,FALSE)),"-")</f>
        <v>-</v>
      </c>
      <c r="AF136" s="14">
        <v>1</v>
      </c>
      <c r="AG136" s="20">
        <f>IFERROR((VLOOKUP(Tabla13[[#This Row],[ID]],[1]!Mtto_Pesv[[#Headers],[#Data],[Placa]:[Rutina]],3,FALSE)),0)</f>
        <v>0</v>
      </c>
      <c r="AH136" s="20">
        <f>IFERROR((VLOOKUP(Tabla13[[#This Row],[ID]],[1]!Mtto_Pesv[[#Headers],[#Data],[Placa]:[Rutina]],7,FALSE)),0)</f>
        <v>0</v>
      </c>
      <c r="AI136" s="20">
        <f>IFERROR((VLOOKUP(Tabla13[[#This Row],[ID]],[1]!Mtto_Pesv[[#Headers],[#Data],[Placa]:[Rutina]],8,FALSE)),0)</f>
        <v>0</v>
      </c>
      <c r="AJ136" s="20" t="str">
        <f>IFERROR((VLOOKUP(Tabla13[[#This Row],[ID]],[1]!Mtto_Pesv[[#Headers],[#Data],[Placa]:[Rutina]],9,FALSE)),"-")</f>
        <v>-</v>
      </c>
      <c r="AK136" s="20">
        <f>IFERROR((VLOOKUP(Tabla13[[#This Row],[ID]],[1]!Mtto_Pesv[[#Headers],[#Data],[Placa]:[Rutina]],10,FALSE)),0)</f>
        <v>0</v>
      </c>
      <c r="AL136" s="20">
        <f>IF(Tabla13[[#This Row],[Km Anterior]]=0,0,Tabla13[[#This Row],[Km Ejecut]]-Tabla13[[#This Row],[Km Anterior]])</f>
        <v>0</v>
      </c>
      <c r="AM136" s="20">
        <f>IFERROR((VLOOKUP(Tabla13[[#This Row],[ID]],[1]!Mtto_Pesv[[#Headers],[#Data],[Placa]:[Rutina]],4,FALSE)),0)</f>
        <v>0</v>
      </c>
      <c r="AN136" s="21">
        <f>IFERROR((VLOOKUP(Tabla13[[#This Row],[ID]],[1]!Mtto_Pesv[[#Headers],[#Data],[Placa]:[Rutina]],5,FALSE)),0)</f>
        <v>0</v>
      </c>
      <c r="AO136" s="21">
        <f>+Tabla13[[#This Row],[Km Fin]]-Tabla13[[#This Row],[Km Ini]]</f>
        <v>0</v>
      </c>
      <c r="AP136" s="20">
        <f>IFERROR((VLOOKUP(Tabla13[[#This Row],[ID]],[1]!Estilo_Conduccion[[#All],[Placa]:[Puntuacion]],15,FALSE)),0)</f>
        <v>0</v>
      </c>
      <c r="AQ136" s="15" t="s">
        <v>54</v>
      </c>
      <c r="AR136" s="15" t="s">
        <v>54</v>
      </c>
      <c r="AS136" s="20">
        <v>1000</v>
      </c>
      <c r="AT136" s="21">
        <v>0</v>
      </c>
      <c r="AU136" s="21">
        <f>(Tabla13[[#This Row],[Cap Vh]]*$AX$2)*0.56</f>
        <v>0</v>
      </c>
      <c r="AV136" s="36" t="e">
        <f>(Tabla13[[#This Row],[Cap Util (kg)]]/(Tabla13[[#This Row],[Cap Inst (Kg)]]))</f>
        <v>#DIV/0!</v>
      </c>
    </row>
    <row r="137" spans="1:48" x14ac:dyDescent="0.25">
      <c r="A137" s="13" t="s">
        <v>1068</v>
      </c>
      <c r="B137" s="14" t="s">
        <v>274</v>
      </c>
      <c r="C137" s="14" t="s">
        <v>44</v>
      </c>
      <c r="D137" s="14" t="s">
        <v>44</v>
      </c>
      <c r="E137" s="14" t="s">
        <v>45</v>
      </c>
      <c r="F137" s="14" t="s">
        <v>76</v>
      </c>
      <c r="G137" s="15" t="s">
        <v>89</v>
      </c>
      <c r="H137" s="16" t="s">
        <v>90</v>
      </c>
      <c r="I137" s="14" t="s">
        <v>49</v>
      </c>
      <c r="J137" s="14">
        <v>830064700</v>
      </c>
      <c r="K137" s="14" t="s">
        <v>50</v>
      </c>
      <c r="L137" s="14" t="s">
        <v>271</v>
      </c>
      <c r="M137" s="14" t="s">
        <v>275</v>
      </c>
      <c r="N137" s="14">
        <v>2008</v>
      </c>
      <c r="O137" s="14">
        <v>12</v>
      </c>
      <c r="P137" s="14" t="s">
        <v>173</v>
      </c>
      <c r="Q137" s="14">
        <v>0</v>
      </c>
      <c r="R137" s="14">
        <v>0</v>
      </c>
      <c r="S137" s="17" t="s">
        <v>54</v>
      </c>
      <c r="T137" s="18">
        <v>0</v>
      </c>
      <c r="U137" s="14">
        <v>0</v>
      </c>
      <c r="V137" s="19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f>Tabla13[[#This Row],[CheckList App]]+Tabla13[[#This Row],[CheckList Fisc]]</f>
        <v>0</v>
      </c>
      <c r="AB137" s="19" t="str">
        <f t="shared" si="2"/>
        <v/>
      </c>
      <c r="AC137" s="14">
        <v>0</v>
      </c>
      <c r="AD137" s="14" t="s">
        <v>55</v>
      </c>
      <c r="AE137" s="15" t="str">
        <f>IFERROR((VLOOKUP(Tabla13[[#This Row],[ID]],[1]!Mtto_Pesv[[#Headers],[#Data],[Placa]:[Rutina]],2,FALSE)),"-")</f>
        <v>-</v>
      </c>
      <c r="AF137" s="14">
        <v>0</v>
      </c>
      <c r="AG137" s="20">
        <f>IFERROR((VLOOKUP(Tabla13[[#This Row],[ID]],[1]!Mtto_Pesv[[#Headers],[#Data],[Placa]:[Rutina]],3,FALSE)),0)</f>
        <v>0</v>
      </c>
      <c r="AH137" s="20">
        <f>IFERROR((VLOOKUP(Tabla13[[#This Row],[ID]],[1]!Mtto_Pesv[[#Headers],[#Data],[Placa]:[Rutina]],7,FALSE)),0)</f>
        <v>0</v>
      </c>
      <c r="AI137" s="20">
        <f>IFERROR((VLOOKUP(Tabla13[[#This Row],[ID]],[1]!Mtto_Pesv[[#Headers],[#Data],[Placa]:[Rutina]],8,FALSE)),0)</f>
        <v>0</v>
      </c>
      <c r="AJ137" s="20" t="str">
        <f>IFERROR((VLOOKUP(Tabla13[[#This Row],[ID]],[1]!Mtto_Pesv[[#Headers],[#Data],[Placa]:[Rutina]],9,FALSE)),"-")</f>
        <v>-</v>
      </c>
      <c r="AK137" s="20">
        <f>IFERROR((VLOOKUP(Tabla13[[#This Row],[ID]],[1]!Mtto_Pesv[[#Headers],[#Data],[Placa]:[Rutina]],10,FALSE)),0)</f>
        <v>0</v>
      </c>
      <c r="AL137" s="20">
        <f>IF(Tabla13[[#This Row],[Km Anterior]]=0,0,Tabla13[[#This Row],[Km Ejecut]]-Tabla13[[#This Row],[Km Anterior]])</f>
        <v>0</v>
      </c>
      <c r="AM137" s="20">
        <f>IFERROR((VLOOKUP(Tabla13[[#This Row],[ID]],[1]!Mtto_Pesv[[#Headers],[#Data],[Placa]:[Rutina]],4,FALSE)),0)</f>
        <v>0</v>
      </c>
      <c r="AN137" s="21">
        <f>IFERROR((VLOOKUP(Tabla13[[#This Row],[ID]],[1]!Mtto_Pesv[[#Headers],[#Data],[Placa]:[Rutina]],5,FALSE)),0)</f>
        <v>0</v>
      </c>
      <c r="AO137" s="21">
        <f>+Tabla13[[#This Row],[Km Fin]]-Tabla13[[#This Row],[Km Ini]]</f>
        <v>0</v>
      </c>
      <c r="AP137" s="20">
        <f>IFERROR((VLOOKUP(Tabla13[[#This Row],[ID]],[1]!Estilo_Conduccion[[#All],[Placa]:[Puntuacion]],15,FALSE)),0)</f>
        <v>0</v>
      </c>
      <c r="AQ137" s="15" t="s">
        <v>1069</v>
      </c>
      <c r="AR137" s="15" t="s">
        <v>276</v>
      </c>
      <c r="AS137" s="20">
        <v>1300</v>
      </c>
      <c r="AT137" s="21">
        <v>0</v>
      </c>
      <c r="AU137" s="21">
        <f>(Tabla13[[#This Row],[Cap Vh]]*$AX$2)*0.56</f>
        <v>0</v>
      </c>
      <c r="AV137" s="36" t="e">
        <f>(Tabla13[[#This Row],[Cap Util (kg)]]/(Tabla13[[#This Row],[Cap Inst (Kg)]]))</f>
        <v>#DIV/0!</v>
      </c>
    </row>
    <row r="138" spans="1:48" x14ac:dyDescent="0.25">
      <c r="A138" s="13" t="s">
        <v>1068</v>
      </c>
      <c r="B138" s="14" t="s">
        <v>277</v>
      </c>
      <c r="C138" s="14" t="s">
        <v>44</v>
      </c>
      <c r="D138" s="14" t="s">
        <v>44</v>
      </c>
      <c r="E138" s="14" t="s">
        <v>45</v>
      </c>
      <c r="F138" s="14" t="s">
        <v>76</v>
      </c>
      <c r="G138" s="15" t="s">
        <v>89</v>
      </c>
      <c r="H138" s="16" t="s">
        <v>90</v>
      </c>
      <c r="I138" s="14" t="s">
        <v>49</v>
      </c>
      <c r="J138" s="14">
        <v>830064700</v>
      </c>
      <c r="K138" s="14" t="s">
        <v>50</v>
      </c>
      <c r="L138" s="14" t="s">
        <v>271</v>
      </c>
      <c r="M138" s="14" t="s">
        <v>275</v>
      </c>
      <c r="N138" s="14">
        <v>2008</v>
      </c>
      <c r="O138" s="14">
        <v>12</v>
      </c>
      <c r="P138" s="14" t="s">
        <v>173</v>
      </c>
      <c r="Q138" s="14">
        <v>0</v>
      </c>
      <c r="R138" s="14">
        <v>0</v>
      </c>
      <c r="S138" s="17" t="s">
        <v>54</v>
      </c>
      <c r="T138" s="18">
        <v>0</v>
      </c>
      <c r="U138" s="14">
        <v>0</v>
      </c>
      <c r="V138" s="19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f>Tabla13[[#This Row],[CheckList App]]+Tabla13[[#This Row],[CheckList Fisc]]</f>
        <v>0</v>
      </c>
      <c r="AB138" s="19" t="str">
        <f t="shared" si="2"/>
        <v/>
      </c>
      <c r="AC138" s="14">
        <v>0</v>
      </c>
      <c r="AD138" s="14" t="s">
        <v>55</v>
      </c>
      <c r="AE138" s="15" t="str">
        <f>IFERROR((VLOOKUP(Tabla13[[#This Row],[ID]],[1]!Mtto_Pesv[[#Headers],[#Data],[Placa]:[Rutina]],2,FALSE)),"-")</f>
        <v>-</v>
      </c>
      <c r="AF138" s="14">
        <v>0</v>
      </c>
      <c r="AG138" s="20">
        <f>IFERROR((VLOOKUP(Tabla13[[#This Row],[ID]],[1]!Mtto_Pesv[[#Headers],[#Data],[Placa]:[Rutina]],3,FALSE)),0)</f>
        <v>0</v>
      </c>
      <c r="AH138" s="20">
        <f>IFERROR((VLOOKUP(Tabla13[[#This Row],[ID]],[1]!Mtto_Pesv[[#Headers],[#Data],[Placa]:[Rutina]],7,FALSE)),0)</f>
        <v>0</v>
      </c>
      <c r="AI138" s="20">
        <f>IFERROR((VLOOKUP(Tabla13[[#This Row],[ID]],[1]!Mtto_Pesv[[#Headers],[#Data],[Placa]:[Rutina]],8,FALSE)),0)</f>
        <v>0</v>
      </c>
      <c r="AJ138" s="20" t="str">
        <f>IFERROR((VLOOKUP(Tabla13[[#This Row],[ID]],[1]!Mtto_Pesv[[#Headers],[#Data],[Placa]:[Rutina]],9,FALSE)),"-")</f>
        <v>-</v>
      </c>
      <c r="AK138" s="20">
        <f>IFERROR((VLOOKUP(Tabla13[[#This Row],[ID]],[1]!Mtto_Pesv[[#Headers],[#Data],[Placa]:[Rutina]],10,FALSE)),0)</f>
        <v>0</v>
      </c>
      <c r="AL138" s="20">
        <f>IF(Tabla13[[#This Row],[Km Anterior]]=0,0,Tabla13[[#This Row],[Km Ejecut]]-Tabla13[[#This Row],[Km Anterior]])</f>
        <v>0</v>
      </c>
      <c r="AM138" s="20">
        <f>IFERROR((VLOOKUP(Tabla13[[#This Row],[ID]],[1]!Mtto_Pesv[[#Headers],[#Data],[Placa]:[Rutina]],4,FALSE)),0)</f>
        <v>0</v>
      </c>
      <c r="AN138" s="21">
        <f>IFERROR((VLOOKUP(Tabla13[[#This Row],[ID]],[1]!Mtto_Pesv[[#Headers],[#Data],[Placa]:[Rutina]],5,FALSE)),0)</f>
        <v>0</v>
      </c>
      <c r="AO138" s="21">
        <f>+Tabla13[[#This Row],[Km Fin]]-Tabla13[[#This Row],[Km Ini]]</f>
        <v>0</v>
      </c>
      <c r="AP138" s="20">
        <f>IFERROR((VLOOKUP(Tabla13[[#This Row],[ID]],[1]!Estilo_Conduccion[[#All],[Placa]:[Puntuacion]],15,FALSE)),0)</f>
        <v>0</v>
      </c>
      <c r="AQ138" s="15" t="s">
        <v>1164</v>
      </c>
      <c r="AR138" s="15" t="s">
        <v>1165</v>
      </c>
      <c r="AS138" s="20">
        <v>1300</v>
      </c>
      <c r="AT138" s="21">
        <v>4420.3846153846152</v>
      </c>
      <c r="AU138" s="21">
        <f>(Tabla13[[#This Row],[Cap Vh]]*$AX$2)*0.56</f>
        <v>0</v>
      </c>
      <c r="AV138" s="36" t="e">
        <f>(Tabla13[[#This Row],[Cap Util (kg)]]/(Tabla13[[#This Row],[Cap Inst (Kg)]]))</f>
        <v>#DIV/0!</v>
      </c>
    </row>
    <row r="139" spans="1:48" x14ac:dyDescent="0.25">
      <c r="A139" s="13" t="s">
        <v>1068</v>
      </c>
      <c r="B139" s="14" t="s">
        <v>278</v>
      </c>
      <c r="C139" s="14" t="s">
        <v>44</v>
      </c>
      <c r="D139" s="14" t="s">
        <v>44</v>
      </c>
      <c r="E139" s="14" t="s">
        <v>69</v>
      </c>
      <c r="F139" s="14" t="s">
        <v>64</v>
      </c>
      <c r="G139" s="14" t="s">
        <v>65</v>
      </c>
      <c r="H139" s="16" t="s">
        <v>66</v>
      </c>
      <c r="I139" s="14" t="s">
        <v>49</v>
      </c>
      <c r="J139" s="14">
        <v>830064700</v>
      </c>
      <c r="K139" s="14" t="s">
        <v>50</v>
      </c>
      <c r="L139" s="14" t="s">
        <v>271</v>
      </c>
      <c r="M139" s="14" t="s">
        <v>275</v>
      </c>
      <c r="N139" s="14">
        <v>2008</v>
      </c>
      <c r="O139" s="14">
        <v>12</v>
      </c>
      <c r="P139" s="14" t="s">
        <v>173</v>
      </c>
      <c r="Q139" s="14">
        <v>0</v>
      </c>
      <c r="R139" s="14">
        <v>0</v>
      </c>
      <c r="S139" s="17" t="s">
        <v>54</v>
      </c>
      <c r="T139" s="18">
        <v>0</v>
      </c>
      <c r="U139" s="14">
        <v>0</v>
      </c>
      <c r="V139" s="19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f>Tabla13[[#This Row],[CheckList App]]+Tabla13[[#This Row],[CheckList Fisc]]</f>
        <v>0</v>
      </c>
      <c r="AB139" s="19" t="str">
        <f t="shared" si="2"/>
        <v/>
      </c>
      <c r="AC139" s="14">
        <v>0</v>
      </c>
      <c r="AD139" s="14" t="s">
        <v>55</v>
      </c>
      <c r="AE139" s="15" t="str">
        <f>IFERROR((VLOOKUP(Tabla13[[#This Row],[ID]],[1]!Mtto_Pesv[[#Headers],[#Data],[Placa]:[Rutina]],2,FALSE)),"-")</f>
        <v>-</v>
      </c>
      <c r="AF139" s="14">
        <v>0</v>
      </c>
      <c r="AG139" s="20">
        <f>IFERROR((VLOOKUP(Tabla13[[#This Row],[ID]],[1]!Mtto_Pesv[[#Headers],[#Data],[Placa]:[Rutina]],3,FALSE)),0)</f>
        <v>0</v>
      </c>
      <c r="AH139" s="20">
        <f>IFERROR((VLOOKUP(Tabla13[[#This Row],[ID]],[1]!Mtto_Pesv[[#Headers],[#Data],[Placa]:[Rutina]],7,FALSE)),0)</f>
        <v>0</v>
      </c>
      <c r="AI139" s="20">
        <f>IFERROR((VLOOKUP(Tabla13[[#This Row],[ID]],[1]!Mtto_Pesv[[#Headers],[#Data],[Placa]:[Rutina]],8,FALSE)),0)</f>
        <v>0</v>
      </c>
      <c r="AJ139" s="20" t="str">
        <f>IFERROR((VLOOKUP(Tabla13[[#This Row],[ID]],[1]!Mtto_Pesv[[#Headers],[#Data],[Placa]:[Rutina]],9,FALSE)),"-")</f>
        <v>-</v>
      </c>
      <c r="AK139" s="20">
        <f>IFERROR((VLOOKUP(Tabla13[[#This Row],[ID]],[1]!Mtto_Pesv[[#Headers],[#Data],[Placa]:[Rutina]],10,FALSE)),0)</f>
        <v>0</v>
      </c>
      <c r="AL139" s="20">
        <f>IF(Tabla13[[#This Row],[Km Anterior]]=0,0,Tabla13[[#This Row],[Km Ejecut]]-Tabla13[[#This Row],[Km Anterior]])</f>
        <v>0</v>
      </c>
      <c r="AM139" s="20">
        <f>IFERROR((VLOOKUP(Tabla13[[#This Row],[ID]],[1]!Mtto_Pesv[[#Headers],[#Data],[Placa]:[Rutina]],4,FALSE)),0)</f>
        <v>0</v>
      </c>
      <c r="AN139" s="21">
        <f>IFERROR((VLOOKUP(Tabla13[[#This Row],[ID]],[1]!Mtto_Pesv[[#Headers],[#Data],[Placa]:[Rutina]],5,FALSE)),0)</f>
        <v>0</v>
      </c>
      <c r="AO139" s="21">
        <f>+Tabla13[[#This Row],[Km Fin]]-Tabla13[[#This Row],[Km Ini]]</f>
        <v>0</v>
      </c>
      <c r="AP139" s="20">
        <f>IFERROR((VLOOKUP(Tabla13[[#This Row],[ID]],[1]!Estilo_Conduccion[[#All],[Placa]:[Puntuacion]],15,FALSE)),0)</f>
        <v>0</v>
      </c>
      <c r="AQ139" s="15" t="s">
        <v>54</v>
      </c>
      <c r="AR139" s="15" t="s">
        <v>54</v>
      </c>
      <c r="AS139" s="20">
        <v>1300</v>
      </c>
      <c r="AT139" s="21">
        <v>0</v>
      </c>
      <c r="AU139" s="21">
        <f>(Tabla13[[#This Row],[Cap Vh]]*$AX$2)*0.56</f>
        <v>0</v>
      </c>
      <c r="AV139" s="36" t="e">
        <f>(Tabla13[[#This Row],[Cap Util (kg)]]/(Tabla13[[#This Row],[Cap Inst (Kg)]]))</f>
        <v>#DIV/0!</v>
      </c>
    </row>
    <row r="140" spans="1:48" x14ac:dyDescent="0.25">
      <c r="A140" s="13" t="s">
        <v>1068</v>
      </c>
      <c r="B140" s="14" t="s">
        <v>279</v>
      </c>
      <c r="C140" s="14" t="s">
        <v>44</v>
      </c>
      <c r="D140" s="14" t="s">
        <v>44</v>
      </c>
      <c r="E140" s="14" t="s">
        <v>45</v>
      </c>
      <c r="F140" s="14" t="s">
        <v>46</v>
      </c>
      <c r="G140" s="15" t="s">
        <v>47</v>
      </c>
      <c r="H140" s="16" t="s">
        <v>48</v>
      </c>
      <c r="I140" s="14" t="s">
        <v>49</v>
      </c>
      <c r="J140" s="14">
        <v>830064700</v>
      </c>
      <c r="K140" s="14" t="s">
        <v>50</v>
      </c>
      <c r="L140" s="14" t="s">
        <v>271</v>
      </c>
      <c r="M140" s="14" t="s">
        <v>275</v>
      </c>
      <c r="N140" s="14">
        <v>2008</v>
      </c>
      <c r="O140" s="14">
        <v>12</v>
      </c>
      <c r="P140" s="14" t="s">
        <v>173</v>
      </c>
      <c r="Q140" s="14">
        <v>0</v>
      </c>
      <c r="R140" s="14">
        <v>0</v>
      </c>
      <c r="S140" s="17" t="s">
        <v>54</v>
      </c>
      <c r="T140" s="18">
        <v>0</v>
      </c>
      <c r="U140" s="14">
        <v>30</v>
      </c>
      <c r="V140" s="19">
        <v>1</v>
      </c>
      <c r="W140" s="14">
        <v>0</v>
      </c>
      <c r="X140" s="14">
        <v>0</v>
      </c>
      <c r="Y140" s="14">
        <v>0</v>
      </c>
      <c r="Z140" s="14">
        <v>0</v>
      </c>
      <c r="AA140" s="14">
        <f>Tabla13[[#This Row],[CheckList App]]+Tabla13[[#This Row],[CheckList Fisc]]</f>
        <v>0</v>
      </c>
      <c r="AB140" s="19">
        <f t="shared" si="2"/>
        <v>0</v>
      </c>
      <c r="AC140" s="14">
        <v>0</v>
      </c>
      <c r="AD140" s="14" t="s">
        <v>55</v>
      </c>
      <c r="AE140" s="15" t="str">
        <f>IFERROR((VLOOKUP(Tabla13[[#This Row],[ID]],[1]!Mtto_Pesv[[#Headers],[#Data],[Placa]:[Rutina]],2,FALSE)),"-")</f>
        <v>-</v>
      </c>
      <c r="AF140" s="14">
        <v>0</v>
      </c>
      <c r="AG140" s="20">
        <f>IFERROR((VLOOKUP(Tabla13[[#This Row],[ID]],[1]!Mtto_Pesv[[#Headers],[#Data],[Placa]:[Rutina]],3,FALSE)),0)</f>
        <v>0</v>
      </c>
      <c r="AH140" s="20">
        <f>IFERROR((VLOOKUP(Tabla13[[#This Row],[ID]],[1]!Mtto_Pesv[[#Headers],[#Data],[Placa]:[Rutina]],7,FALSE)),0)</f>
        <v>0</v>
      </c>
      <c r="AI140" s="20">
        <f>IFERROR((VLOOKUP(Tabla13[[#This Row],[ID]],[1]!Mtto_Pesv[[#Headers],[#Data],[Placa]:[Rutina]],8,FALSE)),0)</f>
        <v>0</v>
      </c>
      <c r="AJ140" s="20" t="str">
        <f>IFERROR((VLOOKUP(Tabla13[[#This Row],[ID]],[1]!Mtto_Pesv[[#Headers],[#Data],[Placa]:[Rutina]],9,FALSE)),"-")</f>
        <v>-</v>
      </c>
      <c r="AK140" s="20">
        <f>IFERROR((VLOOKUP(Tabla13[[#This Row],[ID]],[1]!Mtto_Pesv[[#Headers],[#Data],[Placa]:[Rutina]],10,FALSE)),0)</f>
        <v>0</v>
      </c>
      <c r="AL140" s="20">
        <f>IF(Tabla13[[#This Row],[Km Anterior]]=0,0,Tabla13[[#This Row],[Km Ejecut]]-Tabla13[[#This Row],[Km Anterior]])</f>
        <v>0</v>
      </c>
      <c r="AM140" s="20">
        <f>IFERROR((VLOOKUP(Tabla13[[#This Row],[ID]],[1]!Mtto_Pesv[[#Headers],[#Data],[Placa]:[Rutina]],4,FALSE)),0)</f>
        <v>0</v>
      </c>
      <c r="AN140" s="21">
        <f>IFERROR((VLOOKUP(Tabla13[[#This Row],[ID]],[1]!Mtto_Pesv[[#Headers],[#Data],[Placa]:[Rutina]],5,FALSE)),0)</f>
        <v>0</v>
      </c>
      <c r="AO140" s="21">
        <f>+Tabla13[[#This Row],[Km Fin]]-Tabla13[[#This Row],[Km Ini]]</f>
        <v>0</v>
      </c>
      <c r="AP140" s="20">
        <f>IFERROR((VLOOKUP(Tabla13[[#This Row],[ID]],[1]!Estilo_Conduccion[[#All],[Placa]:[Puntuacion]],15,FALSE)),0)</f>
        <v>0</v>
      </c>
      <c r="AQ140" s="15" t="s">
        <v>1174</v>
      </c>
      <c r="AR140" s="15" t="s">
        <v>1175</v>
      </c>
      <c r="AS140" s="20">
        <v>1300</v>
      </c>
      <c r="AT140" s="21">
        <v>4006.5</v>
      </c>
      <c r="AU140" s="21">
        <f>(Tabla13[[#This Row],[Cap Vh]]*$AX$2)*0.56</f>
        <v>0</v>
      </c>
      <c r="AV140" s="36" t="e">
        <f>(Tabla13[[#This Row],[Cap Util (kg)]]/(Tabla13[[#This Row],[Cap Inst (Kg)]]))</f>
        <v>#DIV/0!</v>
      </c>
    </row>
    <row r="141" spans="1:48" x14ac:dyDescent="0.25">
      <c r="A141" s="13" t="s">
        <v>1068</v>
      </c>
      <c r="B141" s="14" t="s">
        <v>280</v>
      </c>
      <c r="C141" s="14" t="s">
        <v>44</v>
      </c>
      <c r="D141" s="14" t="s">
        <v>44</v>
      </c>
      <c r="E141" s="14" t="s">
        <v>60</v>
      </c>
      <c r="F141" s="14" t="s">
        <v>64</v>
      </c>
      <c r="G141" s="15" t="s">
        <v>65</v>
      </c>
      <c r="H141" s="16" t="s">
        <v>48</v>
      </c>
      <c r="I141" s="14" t="s">
        <v>49</v>
      </c>
      <c r="J141" s="14">
        <v>830064700</v>
      </c>
      <c r="K141" s="14" t="s">
        <v>50</v>
      </c>
      <c r="L141" s="14" t="s">
        <v>271</v>
      </c>
      <c r="M141" s="14" t="s">
        <v>275</v>
      </c>
      <c r="N141" s="14">
        <v>2008</v>
      </c>
      <c r="O141" s="14">
        <v>12</v>
      </c>
      <c r="P141" s="14" t="s">
        <v>173</v>
      </c>
      <c r="Q141" s="14">
        <v>0</v>
      </c>
      <c r="R141" s="14">
        <v>0</v>
      </c>
      <c r="S141" s="17" t="s">
        <v>54</v>
      </c>
      <c r="T141" s="18">
        <v>0</v>
      </c>
      <c r="U141" s="14">
        <v>30</v>
      </c>
      <c r="V141" s="19">
        <v>1</v>
      </c>
      <c r="W141" s="14">
        <v>0</v>
      </c>
      <c r="X141" s="14">
        <v>0</v>
      </c>
      <c r="Y141" s="14">
        <v>0</v>
      </c>
      <c r="Z141" s="14">
        <v>0</v>
      </c>
      <c r="AA141" s="14">
        <f>Tabla13[[#This Row],[CheckList App]]+Tabla13[[#This Row],[CheckList Fisc]]</f>
        <v>0</v>
      </c>
      <c r="AB141" s="19">
        <f t="shared" si="2"/>
        <v>0</v>
      </c>
      <c r="AC141" s="14">
        <v>0</v>
      </c>
      <c r="AD141" s="14" t="s">
        <v>55</v>
      </c>
      <c r="AE141" s="15" t="str">
        <f>IFERROR((VLOOKUP(Tabla13[[#This Row],[ID]],[1]!Mtto_Pesv[[#Headers],[#Data],[Placa]:[Rutina]],2,FALSE)),"-")</f>
        <v>-</v>
      </c>
      <c r="AF141" s="14">
        <v>0</v>
      </c>
      <c r="AG141" s="20">
        <f>IFERROR((VLOOKUP(Tabla13[[#This Row],[ID]],[1]!Mtto_Pesv[[#Headers],[#Data],[Placa]:[Rutina]],3,FALSE)),0)</f>
        <v>0</v>
      </c>
      <c r="AH141" s="20">
        <f>IFERROR((VLOOKUP(Tabla13[[#This Row],[ID]],[1]!Mtto_Pesv[[#Headers],[#Data],[Placa]:[Rutina]],7,FALSE)),0)</f>
        <v>0</v>
      </c>
      <c r="AI141" s="20">
        <f>IFERROR((VLOOKUP(Tabla13[[#This Row],[ID]],[1]!Mtto_Pesv[[#Headers],[#Data],[Placa]:[Rutina]],8,FALSE)),0)</f>
        <v>0</v>
      </c>
      <c r="AJ141" s="20" t="str">
        <f>IFERROR((VLOOKUP(Tabla13[[#This Row],[ID]],[1]!Mtto_Pesv[[#Headers],[#Data],[Placa]:[Rutina]],9,FALSE)),"-")</f>
        <v>-</v>
      </c>
      <c r="AK141" s="20">
        <f>IFERROR((VLOOKUP(Tabla13[[#This Row],[ID]],[1]!Mtto_Pesv[[#Headers],[#Data],[Placa]:[Rutina]],10,FALSE)),0)</f>
        <v>0</v>
      </c>
      <c r="AL141" s="20">
        <f>IF(Tabla13[[#This Row],[Km Anterior]]=0,0,Tabla13[[#This Row],[Km Ejecut]]-Tabla13[[#This Row],[Km Anterior]])</f>
        <v>0</v>
      </c>
      <c r="AM141" s="20">
        <f>IFERROR((VLOOKUP(Tabla13[[#This Row],[ID]],[1]!Mtto_Pesv[[#Headers],[#Data],[Placa]:[Rutina]],4,FALSE)),0)</f>
        <v>0</v>
      </c>
      <c r="AN141" s="21">
        <f>IFERROR((VLOOKUP(Tabla13[[#This Row],[ID]],[1]!Mtto_Pesv[[#Headers],[#Data],[Placa]:[Rutina]],5,FALSE)),0)</f>
        <v>0</v>
      </c>
      <c r="AO141" s="21">
        <f>+Tabla13[[#This Row],[Km Fin]]-Tabla13[[#This Row],[Km Ini]]</f>
        <v>0</v>
      </c>
      <c r="AP141" s="20">
        <f>IFERROR((VLOOKUP(Tabla13[[#This Row],[ID]],[1]!Estilo_Conduccion[[#All],[Placa]:[Puntuacion]],15,FALSE)),0)</f>
        <v>0</v>
      </c>
      <c r="AQ141" s="15" t="s">
        <v>54</v>
      </c>
      <c r="AR141" s="15" t="s">
        <v>54</v>
      </c>
      <c r="AS141" s="20">
        <v>1300</v>
      </c>
      <c r="AT141" s="21">
        <v>0</v>
      </c>
      <c r="AU141" s="21">
        <f>(Tabla13[[#This Row],[Cap Vh]]*$AX$2)*0.56</f>
        <v>0</v>
      </c>
      <c r="AV141" s="36" t="e">
        <f>(Tabla13[[#This Row],[Cap Util (kg)]]/(Tabla13[[#This Row],[Cap Inst (Kg)]]))</f>
        <v>#DIV/0!</v>
      </c>
    </row>
    <row r="142" spans="1:48" x14ac:dyDescent="0.25">
      <c r="A142" s="13" t="s">
        <v>1068</v>
      </c>
      <c r="B142" s="14" t="s">
        <v>281</v>
      </c>
      <c r="C142" s="14" t="s">
        <v>44</v>
      </c>
      <c r="D142" s="14" t="s">
        <v>44</v>
      </c>
      <c r="E142" s="14" t="s">
        <v>45</v>
      </c>
      <c r="F142" s="14" t="s">
        <v>64</v>
      </c>
      <c r="G142" s="14" t="s">
        <v>65</v>
      </c>
      <c r="H142" s="16" t="s">
        <v>66</v>
      </c>
      <c r="I142" s="14" t="s">
        <v>109</v>
      </c>
      <c r="J142" s="14">
        <v>890300279</v>
      </c>
      <c r="K142" s="14" t="s">
        <v>282</v>
      </c>
      <c r="L142" s="14" t="s">
        <v>103</v>
      </c>
      <c r="M142" s="14" t="s">
        <v>153</v>
      </c>
      <c r="N142" s="14">
        <v>2010</v>
      </c>
      <c r="O142" s="14">
        <v>10</v>
      </c>
      <c r="P142" s="14" t="s">
        <v>53</v>
      </c>
      <c r="Q142" s="14">
        <v>1</v>
      </c>
      <c r="R142" s="14">
        <v>0</v>
      </c>
      <c r="S142" s="17" t="s">
        <v>54</v>
      </c>
      <c r="T142" s="18">
        <v>0</v>
      </c>
      <c r="U142" s="14">
        <v>0</v>
      </c>
      <c r="V142" s="19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f>Tabla13[[#This Row],[CheckList App]]+Tabla13[[#This Row],[CheckList Fisc]]</f>
        <v>0</v>
      </c>
      <c r="AB142" s="19" t="str">
        <f t="shared" si="2"/>
        <v/>
      </c>
      <c r="AC142" s="14">
        <v>0</v>
      </c>
      <c r="AD142" s="14" t="s">
        <v>70</v>
      </c>
      <c r="AE142" s="15" t="str">
        <f>IFERROR((VLOOKUP(Tabla13[[#This Row],[ID]],[1]!Mtto_Pesv[[#Headers],[#Data],[Placa]:[Rutina]],2,FALSE)),"-")</f>
        <v>-</v>
      </c>
      <c r="AF142" s="14">
        <v>1</v>
      </c>
      <c r="AG142" s="20">
        <f>IFERROR((VLOOKUP(Tabla13[[#This Row],[ID]],[1]!Mtto_Pesv[[#Headers],[#Data],[Placa]:[Rutina]],3,FALSE)),0)</f>
        <v>0</v>
      </c>
      <c r="AH142" s="20">
        <f>IFERROR((VLOOKUP(Tabla13[[#This Row],[ID]],[1]!Mtto_Pesv[[#Headers],[#Data],[Placa]:[Rutina]],7,FALSE)),0)</f>
        <v>0</v>
      </c>
      <c r="AI142" s="20">
        <f>IFERROR((VLOOKUP(Tabla13[[#This Row],[ID]],[1]!Mtto_Pesv[[#Headers],[#Data],[Placa]:[Rutina]],8,FALSE)),0)</f>
        <v>0</v>
      </c>
      <c r="AJ142" s="20" t="str">
        <f>IFERROR((VLOOKUP(Tabla13[[#This Row],[ID]],[1]!Mtto_Pesv[[#Headers],[#Data],[Placa]:[Rutina]],9,FALSE)),"-")</f>
        <v>-</v>
      </c>
      <c r="AK142" s="20">
        <f>IFERROR((VLOOKUP(Tabla13[[#This Row],[ID]],[1]!Mtto_Pesv[[#Headers],[#Data],[Placa]:[Rutina]],10,FALSE)),0)</f>
        <v>0</v>
      </c>
      <c r="AL142" s="20">
        <f>IF(Tabla13[[#This Row],[Km Anterior]]=0,0,Tabla13[[#This Row],[Km Ejecut]]-Tabla13[[#This Row],[Km Anterior]])</f>
        <v>0</v>
      </c>
      <c r="AM142" s="20">
        <f>IFERROR((VLOOKUP(Tabla13[[#This Row],[ID]],[1]!Mtto_Pesv[[#Headers],[#Data],[Placa]:[Rutina]],4,FALSE)),0)</f>
        <v>0</v>
      </c>
      <c r="AN142" s="21">
        <f>IFERROR((VLOOKUP(Tabla13[[#This Row],[ID]],[1]!Mtto_Pesv[[#Headers],[#Data],[Placa]:[Rutina]],5,FALSE)),0)</f>
        <v>0</v>
      </c>
      <c r="AO142" s="21">
        <f>+Tabla13[[#This Row],[Km Fin]]-Tabla13[[#This Row],[Km Ini]]</f>
        <v>0</v>
      </c>
      <c r="AP142" s="20">
        <f>IFERROR((VLOOKUP(Tabla13[[#This Row],[ID]],[1]!Estilo_Conduccion[[#All],[Placa]:[Puntuacion]],15,FALSE)),0)</f>
        <v>0</v>
      </c>
      <c r="AQ142" s="15" t="s">
        <v>54</v>
      </c>
      <c r="AR142" s="15" t="s">
        <v>1176</v>
      </c>
      <c r="AS142" s="20">
        <v>4500</v>
      </c>
      <c r="AT142" s="21">
        <v>0</v>
      </c>
      <c r="AU142" s="21">
        <f>(Tabla13[[#This Row],[Cap Vh]]*$AX$2)*0.56</f>
        <v>0</v>
      </c>
      <c r="AV142" s="36" t="e">
        <f>(Tabla13[[#This Row],[Cap Util (kg)]]/(Tabla13[[#This Row],[Cap Inst (Kg)]]))</f>
        <v>#DIV/0!</v>
      </c>
    </row>
    <row r="143" spans="1:48" x14ac:dyDescent="0.25">
      <c r="A143" s="13" t="s">
        <v>1068</v>
      </c>
      <c r="B143" s="14" t="s">
        <v>284</v>
      </c>
      <c r="C143" s="14" t="s">
        <v>44</v>
      </c>
      <c r="D143" s="14" t="s">
        <v>44</v>
      </c>
      <c r="E143" s="14" t="s">
        <v>45</v>
      </c>
      <c r="F143" s="14" t="s">
        <v>46</v>
      </c>
      <c r="G143" s="15" t="s">
        <v>47</v>
      </c>
      <c r="H143" s="16" t="s">
        <v>48</v>
      </c>
      <c r="I143" s="14" t="s">
        <v>49</v>
      </c>
      <c r="J143" s="14">
        <v>830064700</v>
      </c>
      <c r="K143" s="14" t="s">
        <v>50</v>
      </c>
      <c r="L143" s="14" t="s">
        <v>103</v>
      </c>
      <c r="M143" s="14" t="s">
        <v>285</v>
      </c>
      <c r="N143" s="14">
        <v>2006</v>
      </c>
      <c r="O143" s="14">
        <v>14</v>
      </c>
      <c r="P143" s="14" t="s">
        <v>173</v>
      </c>
      <c r="Q143" s="14">
        <v>0</v>
      </c>
      <c r="R143" s="14">
        <v>0</v>
      </c>
      <c r="S143" s="17" t="s">
        <v>54</v>
      </c>
      <c r="T143" s="18">
        <v>0</v>
      </c>
      <c r="U143" s="14">
        <v>30</v>
      </c>
      <c r="V143" s="19">
        <v>1</v>
      </c>
      <c r="W143" s="14">
        <v>0</v>
      </c>
      <c r="X143" s="14">
        <v>0</v>
      </c>
      <c r="Y143" s="14">
        <v>0</v>
      </c>
      <c r="Z143" s="14">
        <v>0</v>
      </c>
      <c r="AA143" s="14">
        <f>Tabla13[[#This Row],[CheckList App]]+Tabla13[[#This Row],[CheckList Fisc]]</f>
        <v>0</v>
      </c>
      <c r="AB143" s="19">
        <f t="shared" si="2"/>
        <v>0</v>
      </c>
      <c r="AC143" s="14">
        <v>0</v>
      </c>
      <c r="AD143" s="14" t="s">
        <v>55</v>
      </c>
      <c r="AE143" s="15" t="str">
        <f>IFERROR((VLOOKUP(Tabla13[[#This Row],[ID]],[1]!Mtto_Pesv[[#Headers],[#Data],[Placa]:[Rutina]],2,FALSE)),"-")</f>
        <v>-</v>
      </c>
      <c r="AF143" s="14">
        <v>0</v>
      </c>
      <c r="AG143" s="20">
        <f>IFERROR((VLOOKUP(Tabla13[[#This Row],[ID]],[1]!Mtto_Pesv[[#Headers],[#Data],[Placa]:[Rutina]],3,FALSE)),0)</f>
        <v>0</v>
      </c>
      <c r="AH143" s="20">
        <f>IFERROR((VLOOKUP(Tabla13[[#This Row],[ID]],[1]!Mtto_Pesv[[#Headers],[#Data],[Placa]:[Rutina]],7,FALSE)),0)</f>
        <v>0</v>
      </c>
      <c r="AI143" s="20">
        <f>IFERROR((VLOOKUP(Tabla13[[#This Row],[ID]],[1]!Mtto_Pesv[[#Headers],[#Data],[Placa]:[Rutina]],8,FALSE)),0)</f>
        <v>0</v>
      </c>
      <c r="AJ143" s="20" t="str">
        <f>IFERROR((VLOOKUP(Tabla13[[#This Row],[ID]],[1]!Mtto_Pesv[[#Headers],[#Data],[Placa]:[Rutina]],9,FALSE)),"-")</f>
        <v>-</v>
      </c>
      <c r="AK143" s="20">
        <f>IFERROR((VLOOKUP(Tabla13[[#This Row],[ID]],[1]!Mtto_Pesv[[#Headers],[#Data],[Placa]:[Rutina]],10,FALSE)),0)</f>
        <v>0</v>
      </c>
      <c r="AL143" s="20">
        <f>IF(Tabla13[[#This Row],[Km Anterior]]=0,0,Tabla13[[#This Row],[Km Ejecut]]-Tabla13[[#This Row],[Km Anterior]])</f>
        <v>0</v>
      </c>
      <c r="AM143" s="20">
        <f>IFERROR((VLOOKUP(Tabla13[[#This Row],[ID]],[1]!Mtto_Pesv[[#Headers],[#Data],[Placa]:[Rutina]],4,FALSE)),0)</f>
        <v>0</v>
      </c>
      <c r="AN143" s="21">
        <f>IFERROR((VLOOKUP(Tabla13[[#This Row],[ID]],[1]!Mtto_Pesv[[#Headers],[#Data],[Placa]:[Rutina]],5,FALSE)),0)</f>
        <v>0</v>
      </c>
      <c r="AO143" s="21">
        <f>+Tabla13[[#This Row],[Km Fin]]-Tabla13[[#This Row],[Km Ini]]</f>
        <v>0</v>
      </c>
      <c r="AP143" s="20">
        <f>IFERROR((VLOOKUP(Tabla13[[#This Row],[ID]],[1]!Estilo_Conduccion[[#All],[Placa]:[Puntuacion]],15,FALSE)),0)</f>
        <v>0</v>
      </c>
      <c r="AQ143" s="15" t="s">
        <v>1069</v>
      </c>
      <c r="AR143" s="15" t="s">
        <v>276</v>
      </c>
      <c r="AS143" s="20">
        <v>800</v>
      </c>
      <c r="AT143" s="21">
        <v>0</v>
      </c>
      <c r="AU143" s="21">
        <f>(Tabla13[[#This Row],[Cap Vh]]*$AX$2)*0.56</f>
        <v>0</v>
      </c>
      <c r="AV143" s="36" t="e">
        <f>(Tabla13[[#This Row],[Cap Util (kg)]]/(Tabla13[[#This Row],[Cap Inst (Kg)]]))</f>
        <v>#DIV/0!</v>
      </c>
    </row>
    <row r="144" spans="1:48" x14ac:dyDescent="0.25">
      <c r="A144" s="13" t="s">
        <v>1068</v>
      </c>
      <c r="B144" s="14" t="s">
        <v>286</v>
      </c>
      <c r="C144" s="14" t="s">
        <v>44</v>
      </c>
      <c r="D144" s="14" t="s">
        <v>44</v>
      </c>
      <c r="E144" s="14" t="s">
        <v>247</v>
      </c>
      <c r="F144" s="14" t="s">
        <v>46</v>
      </c>
      <c r="G144" s="15" t="s">
        <v>47</v>
      </c>
      <c r="H144" s="16" t="s">
        <v>48</v>
      </c>
      <c r="I144" s="14" t="s">
        <v>49</v>
      </c>
      <c r="J144" s="14">
        <v>830064700</v>
      </c>
      <c r="K144" s="14" t="s">
        <v>50</v>
      </c>
      <c r="L144" s="14" t="s">
        <v>287</v>
      </c>
      <c r="M144" s="14" t="s">
        <v>288</v>
      </c>
      <c r="N144" s="14">
        <v>2007</v>
      </c>
      <c r="O144" s="14">
        <v>13</v>
      </c>
      <c r="P144" s="14" t="s">
        <v>173</v>
      </c>
      <c r="Q144" s="14">
        <v>0</v>
      </c>
      <c r="R144" s="14">
        <v>0</v>
      </c>
      <c r="S144" s="17" t="s">
        <v>54</v>
      </c>
      <c r="T144" s="18">
        <v>0</v>
      </c>
      <c r="U144" s="14">
        <v>30</v>
      </c>
      <c r="V144" s="19">
        <v>1</v>
      </c>
      <c r="W144" s="14">
        <v>0</v>
      </c>
      <c r="X144" s="14">
        <v>0</v>
      </c>
      <c r="Y144" s="14">
        <v>0</v>
      </c>
      <c r="Z144" s="14">
        <v>0</v>
      </c>
      <c r="AA144" s="14">
        <f>Tabla13[[#This Row],[CheckList App]]+Tabla13[[#This Row],[CheckList Fisc]]</f>
        <v>0</v>
      </c>
      <c r="AB144" s="19">
        <f t="shared" si="2"/>
        <v>0</v>
      </c>
      <c r="AC144" s="14">
        <v>0</v>
      </c>
      <c r="AD144" s="14" t="s">
        <v>55</v>
      </c>
      <c r="AE144" s="15" t="str">
        <f>IFERROR((VLOOKUP(Tabla13[[#This Row],[ID]],[1]!Mtto_Pesv[[#Headers],[#Data],[Placa]:[Rutina]],2,FALSE)),"-")</f>
        <v>-</v>
      </c>
      <c r="AF144" s="14">
        <v>0</v>
      </c>
      <c r="AG144" s="20">
        <f>IFERROR((VLOOKUP(Tabla13[[#This Row],[ID]],[1]!Mtto_Pesv[[#Headers],[#Data],[Placa]:[Rutina]],3,FALSE)),0)</f>
        <v>0</v>
      </c>
      <c r="AH144" s="20">
        <f>IFERROR((VLOOKUP(Tabla13[[#This Row],[ID]],[1]!Mtto_Pesv[[#Headers],[#Data],[Placa]:[Rutina]],7,FALSE)),0)</f>
        <v>0</v>
      </c>
      <c r="AI144" s="20">
        <f>IFERROR((VLOOKUP(Tabla13[[#This Row],[ID]],[1]!Mtto_Pesv[[#Headers],[#Data],[Placa]:[Rutina]],8,FALSE)),0)</f>
        <v>0</v>
      </c>
      <c r="AJ144" s="20" t="str">
        <f>IFERROR((VLOOKUP(Tabla13[[#This Row],[ID]],[1]!Mtto_Pesv[[#Headers],[#Data],[Placa]:[Rutina]],9,FALSE)),"-")</f>
        <v>-</v>
      </c>
      <c r="AK144" s="20">
        <f>IFERROR((VLOOKUP(Tabla13[[#This Row],[ID]],[1]!Mtto_Pesv[[#Headers],[#Data],[Placa]:[Rutina]],10,FALSE)),0)</f>
        <v>0</v>
      </c>
      <c r="AL144" s="20">
        <f>IF(Tabla13[[#This Row],[Km Anterior]]=0,0,Tabla13[[#This Row],[Km Ejecut]]-Tabla13[[#This Row],[Km Anterior]])</f>
        <v>0</v>
      </c>
      <c r="AM144" s="20">
        <f>IFERROR((VLOOKUP(Tabla13[[#This Row],[ID]],[1]!Mtto_Pesv[[#Headers],[#Data],[Placa]:[Rutina]],4,FALSE)),0)</f>
        <v>0</v>
      </c>
      <c r="AN144" s="21">
        <f>IFERROR((VLOOKUP(Tabla13[[#This Row],[ID]],[1]!Mtto_Pesv[[#Headers],[#Data],[Placa]:[Rutina]],5,FALSE)),0)</f>
        <v>0</v>
      </c>
      <c r="AO144" s="21">
        <f>+Tabla13[[#This Row],[Km Fin]]-Tabla13[[#This Row],[Km Ini]]</f>
        <v>0</v>
      </c>
      <c r="AP144" s="20">
        <f>IFERROR((VLOOKUP(Tabla13[[#This Row],[ID]],[1]!Estilo_Conduccion[[#All],[Placa]:[Puntuacion]],15,FALSE)),0)</f>
        <v>0</v>
      </c>
      <c r="AQ144" s="15" t="s">
        <v>1177</v>
      </c>
      <c r="AR144" s="15" t="s">
        <v>1178</v>
      </c>
      <c r="AS144" s="20">
        <v>2420</v>
      </c>
      <c r="AT144" s="21">
        <v>5409</v>
      </c>
      <c r="AU144" s="21">
        <f>(Tabla13[[#This Row],[Cap Vh]]*$AX$2)*0.56</f>
        <v>0</v>
      </c>
      <c r="AV144" s="36" t="e">
        <f>(Tabla13[[#This Row],[Cap Util (kg)]]/(Tabla13[[#This Row],[Cap Inst (Kg)]]))</f>
        <v>#DIV/0!</v>
      </c>
    </row>
    <row r="145" spans="1:48" x14ac:dyDescent="0.25">
      <c r="A145" s="13" t="s">
        <v>1068</v>
      </c>
      <c r="B145" s="14" t="s">
        <v>289</v>
      </c>
      <c r="C145" s="14" t="s">
        <v>44</v>
      </c>
      <c r="D145" s="14" t="s">
        <v>44</v>
      </c>
      <c r="E145" s="14" t="s">
        <v>45</v>
      </c>
      <c r="F145" s="14" t="s">
        <v>64</v>
      </c>
      <c r="G145" s="15" t="s">
        <v>119</v>
      </c>
      <c r="H145" s="16" t="s">
        <v>120</v>
      </c>
      <c r="I145" s="14" t="s">
        <v>49</v>
      </c>
      <c r="J145" s="14">
        <v>900335279</v>
      </c>
      <c r="K145" s="14" t="s">
        <v>77</v>
      </c>
      <c r="L145" s="14" t="s">
        <v>186</v>
      </c>
      <c r="M145" s="14" t="s">
        <v>290</v>
      </c>
      <c r="N145" s="14">
        <v>2011</v>
      </c>
      <c r="O145" s="14">
        <v>9</v>
      </c>
      <c r="P145" s="14" t="s">
        <v>53</v>
      </c>
      <c r="Q145" s="14">
        <v>0</v>
      </c>
      <c r="R145" s="14">
        <v>0</v>
      </c>
      <c r="S145" s="17" t="s">
        <v>54</v>
      </c>
      <c r="T145" s="18">
        <v>0</v>
      </c>
      <c r="U145" s="14">
        <v>0</v>
      </c>
      <c r="V145" s="19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f>Tabla13[[#This Row],[CheckList App]]+Tabla13[[#This Row],[CheckList Fisc]]</f>
        <v>0</v>
      </c>
      <c r="AB145" s="19" t="str">
        <f t="shared" si="2"/>
        <v/>
      </c>
      <c r="AC145" s="14">
        <v>0</v>
      </c>
      <c r="AD145" s="14" t="s">
        <v>70</v>
      </c>
      <c r="AE145" s="15" t="str">
        <f>IFERROR((VLOOKUP(Tabla13[[#This Row],[ID]],[1]!Mtto_Pesv[[#Headers],[#Data],[Placa]:[Rutina]],2,FALSE)),"-")</f>
        <v>-</v>
      </c>
      <c r="AF145" s="14">
        <v>1</v>
      </c>
      <c r="AG145" s="20">
        <f>IFERROR((VLOOKUP(Tabla13[[#This Row],[ID]],[1]!Mtto_Pesv[[#Headers],[#Data],[Placa]:[Rutina]],3,FALSE)),0)</f>
        <v>0</v>
      </c>
      <c r="AH145" s="20">
        <f>IFERROR((VLOOKUP(Tabla13[[#This Row],[ID]],[1]!Mtto_Pesv[[#Headers],[#Data],[Placa]:[Rutina]],7,FALSE)),0)</f>
        <v>0</v>
      </c>
      <c r="AI145" s="20">
        <f>IFERROR((VLOOKUP(Tabla13[[#This Row],[ID]],[1]!Mtto_Pesv[[#Headers],[#Data],[Placa]:[Rutina]],8,FALSE)),0)</f>
        <v>0</v>
      </c>
      <c r="AJ145" s="20" t="str">
        <f>IFERROR((VLOOKUP(Tabla13[[#This Row],[ID]],[1]!Mtto_Pesv[[#Headers],[#Data],[Placa]:[Rutina]],9,FALSE)),"-")</f>
        <v>-</v>
      </c>
      <c r="AK145" s="20">
        <f>IFERROR((VLOOKUP(Tabla13[[#This Row],[ID]],[1]!Mtto_Pesv[[#Headers],[#Data],[Placa]:[Rutina]],10,FALSE)),0)</f>
        <v>0</v>
      </c>
      <c r="AL145" s="20">
        <f>IF(Tabla13[[#This Row],[Km Anterior]]=0,0,Tabla13[[#This Row],[Km Ejecut]]-Tabla13[[#This Row],[Km Anterior]])</f>
        <v>0</v>
      </c>
      <c r="AM145" s="20">
        <f>IFERROR((VLOOKUP(Tabla13[[#This Row],[ID]],[1]!Mtto_Pesv[[#Headers],[#Data],[Placa]:[Rutina]],4,FALSE)),0)</f>
        <v>0</v>
      </c>
      <c r="AN145" s="21">
        <f>IFERROR((VLOOKUP(Tabla13[[#This Row],[ID]],[1]!Mtto_Pesv[[#Headers],[#Data],[Placa]:[Rutina]],5,FALSE)),0)</f>
        <v>0</v>
      </c>
      <c r="AO145" s="21">
        <f>+Tabla13[[#This Row],[Km Fin]]-Tabla13[[#This Row],[Km Ini]]</f>
        <v>0</v>
      </c>
      <c r="AP145" s="20">
        <f>IFERROR((VLOOKUP(Tabla13[[#This Row],[ID]],[1]!Estilo_Conduccion[[#All],[Placa]:[Puntuacion]],15,FALSE)),0)</f>
        <v>0</v>
      </c>
      <c r="AQ145" s="15" t="s">
        <v>54</v>
      </c>
      <c r="AR145" s="15" t="s">
        <v>54</v>
      </c>
      <c r="AS145" s="20">
        <v>1000</v>
      </c>
      <c r="AT145" s="21">
        <v>0</v>
      </c>
      <c r="AU145" s="21">
        <f>(Tabla13[[#This Row],[Cap Vh]]*$AX$2)*0.56</f>
        <v>0</v>
      </c>
      <c r="AV145" s="36" t="e">
        <f>(Tabla13[[#This Row],[Cap Util (kg)]]/(Tabla13[[#This Row],[Cap Inst (Kg)]]))</f>
        <v>#DIV/0!</v>
      </c>
    </row>
    <row r="146" spans="1:48" x14ac:dyDescent="0.25">
      <c r="A146" s="13" t="s">
        <v>1068</v>
      </c>
      <c r="B146" s="14" t="s">
        <v>292</v>
      </c>
      <c r="C146" s="14" t="s">
        <v>44</v>
      </c>
      <c r="D146" s="14" t="s">
        <v>44</v>
      </c>
      <c r="E146" s="14" t="s">
        <v>60</v>
      </c>
      <c r="F146" s="14" t="s">
        <v>76</v>
      </c>
      <c r="G146" s="15" t="s">
        <v>47</v>
      </c>
      <c r="H146" s="16" t="s">
        <v>48</v>
      </c>
      <c r="I146" s="14" t="s">
        <v>49</v>
      </c>
      <c r="J146" s="14">
        <v>900335279</v>
      </c>
      <c r="K146" s="14" t="s">
        <v>77</v>
      </c>
      <c r="L146" s="14" t="s">
        <v>186</v>
      </c>
      <c r="M146" s="14" t="s">
        <v>290</v>
      </c>
      <c r="N146" s="14">
        <v>2011</v>
      </c>
      <c r="O146" s="14">
        <v>9</v>
      </c>
      <c r="P146" s="14" t="s">
        <v>53</v>
      </c>
      <c r="Q146" s="14">
        <v>0</v>
      </c>
      <c r="R146" s="14">
        <v>0</v>
      </c>
      <c r="S146" s="17" t="s">
        <v>54</v>
      </c>
      <c r="T146" s="18">
        <v>0</v>
      </c>
      <c r="U146" s="14">
        <v>19</v>
      </c>
      <c r="V146" s="19">
        <v>0.6333333333333333</v>
      </c>
      <c r="W146" s="14">
        <v>0</v>
      </c>
      <c r="X146" s="14">
        <v>0</v>
      </c>
      <c r="Y146" s="14">
        <v>0</v>
      </c>
      <c r="Z146" s="14">
        <v>0</v>
      </c>
      <c r="AA146" s="14">
        <f>Tabla13[[#This Row],[CheckList App]]+Tabla13[[#This Row],[CheckList Fisc]]</f>
        <v>0</v>
      </c>
      <c r="AB146" s="19">
        <f t="shared" si="2"/>
        <v>0</v>
      </c>
      <c r="AC146" s="14">
        <v>0</v>
      </c>
      <c r="AD146" s="14" t="s">
        <v>55</v>
      </c>
      <c r="AE146" s="15" t="str">
        <f>IFERROR((VLOOKUP(Tabla13[[#This Row],[ID]],[1]!Mtto_Pesv[[#Headers],[#Data],[Placa]:[Rutina]],2,FALSE)),"-")</f>
        <v>-</v>
      </c>
      <c r="AF146" s="14">
        <v>0</v>
      </c>
      <c r="AG146" s="20">
        <f>IFERROR((VLOOKUP(Tabla13[[#This Row],[ID]],[1]!Mtto_Pesv[[#Headers],[#Data],[Placa]:[Rutina]],3,FALSE)),0)</f>
        <v>0</v>
      </c>
      <c r="AH146" s="20">
        <f>IFERROR((VLOOKUP(Tabla13[[#This Row],[ID]],[1]!Mtto_Pesv[[#Headers],[#Data],[Placa]:[Rutina]],7,FALSE)),0)</f>
        <v>0</v>
      </c>
      <c r="AI146" s="20">
        <f>IFERROR((VLOOKUP(Tabla13[[#This Row],[ID]],[1]!Mtto_Pesv[[#Headers],[#Data],[Placa]:[Rutina]],8,FALSE)),0)</f>
        <v>0</v>
      </c>
      <c r="AJ146" s="20" t="str">
        <f>IFERROR((VLOOKUP(Tabla13[[#This Row],[ID]],[1]!Mtto_Pesv[[#Headers],[#Data],[Placa]:[Rutina]],9,FALSE)),"-")</f>
        <v>-</v>
      </c>
      <c r="AK146" s="20">
        <f>IFERROR((VLOOKUP(Tabla13[[#This Row],[ID]],[1]!Mtto_Pesv[[#Headers],[#Data],[Placa]:[Rutina]],10,FALSE)),0)</f>
        <v>0</v>
      </c>
      <c r="AL146" s="20">
        <f>IF(Tabla13[[#This Row],[Km Anterior]]=0,0,Tabla13[[#This Row],[Km Ejecut]]-Tabla13[[#This Row],[Km Anterior]])</f>
        <v>0</v>
      </c>
      <c r="AM146" s="20">
        <f>IFERROR((VLOOKUP(Tabla13[[#This Row],[ID]],[1]!Mtto_Pesv[[#Headers],[#Data],[Placa]:[Rutina]],4,FALSE)),0)</f>
        <v>0</v>
      </c>
      <c r="AN146" s="21">
        <f>IFERROR((VLOOKUP(Tabla13[[#This Row],[ID]],[1]!Mtto_Pesv[[#Headers],[#Data],[Placa]:[Rutina]],5,FALSE)),0)</f>
        <v>0</v>
      </c>
      <c r="AO146" s="21">
        <f>+Tabla13[[#This Row],[Km Fin]]-Tabla13[[#This Row],[Km Ini]]</f>
        <v>0</v>
      </c>
      <c r="AP146" s="20">
        <f>IFERROR((VLOOKUP(Tabla13[[#This Row],[ID]],[1]!Estilo_Conduccion[[#All],[Placa]:[Puntuacion]],15,FALSE)),0)</f>
        <v>0</v>
      </c>
      <c r="AQ146" s="15" t="s">
        <v>1072</v>
      </c>
      <c r="AR146" s="15" t="s">
        <v>1073</v>
      </c>
      <c r="AS146" s="20">
        <v>1000</v>
      </c>
      <c r="AT146" s="21">
        <v>3080.8846153846152</v>
      </c>
      <c r="AU146" s="21">
        <f>(Tabla13[[#This Row],[Cap Vh]]*$AX$2)*0.56</f>
        <v>0</v>
      </c>
      <c r="AV146" s="36" t="e">
        <f>(Tabla13[[#This Row],[Cap Util (kg)]]/(Tabla13[[#This Row],[Cap Inst (Kg)]]))</f>
        <v>#DIV/0!</v>
      </c>
    </row>
    <row r="147" spans="1:48" x14ac:dyDescent="0.25">
      <c r="A147" s="13" t="s">
        <v>1068</v>
      </c>
      <c r="B147" s="14" t="s">
        <v>293</v>
      </c>
      <c r="C147" s="14" t="s">
        <v>44</v>
      </c>
      <c r="D147" s="14" t="s">
        <v>44</v>
      </c>
      <c r="E147" s="14" t="s">
        <v>45</v>
      </c>
      <c r="F147" s="14" t="s">
        <v>76</v>
      </c>
      <c r="G147" s="15" t="s">
        <v>89</v>
      </c>
      <c r="H147" s="16" t="s">
        <v>90</v>
      </c>
      <c r="I147" s="14" t="s">
        <v>49</v>
      </c>
      <c r="J147" s="14">
        <v>830064700</v>
      </c>
      <c r="K147" s="14" t="s">
        <v>50</v>
      </c>
      <c r="L147" s="14" t="s">
        <v>103</v>
      </c>
      <c r="M147" s="14" t="s">
        <v>104</v>
      </c>
      <c r="N147" s="14">
        <v>2011</v>
      </c>
      <c r="O147" s="14">
        <v>9</v>
      </c>
      <c r="P147" s="14" t="s">
        <v>53</v>
      </c>
      <c r="Q147" s="14">
        <v>0</v>
      </c>
      <c r="R147" s="14">
        <v>0</v>
      </c>
      <c r="S147" s="17" t="s">
        <v>54</v>
      </c>
      <c r="T147" s="18">
        <v>0</v>
      </c>
      <c r="U147" s="14">
        <v>0</v>
      </c>
      <c r="V147" s="19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f>Tabla13[[#This Row],[CheckList App]]+Tabla13[[#This Row],[CheckList Fisc]]</f>
        <v>0</v>
      </c>
      <c r="AB147" s="19" t="str">
        <f t="shared" si="2"/>
        <v/>
      </c>
      <c r="AC147" s="14">
        <v>0</v>
      </c>
      <c r="AD147" s="14" t="s">
        <v>55</v>
      </c>
      <c r="AE147" s="15" t="str">
        <f>IFERROR((VLOOKUP(Tabla13[[#This Row],[ID]],[1]!Mtto_Pesv[[#Headers],[#Data],[Placa]:[Rutina]],2,FALSE)),"-")</f>
        <v>-</v>
      </c>
      <c r="AF147" s="14">
        <v>0</v>
      </c>
      <c r="AG147" s="20">
        <f>IFERROR((VLOOKUP(Tabla13[[#This Row],[ID]],[1]!Mtto_Pesv[[#Headers],[#Data],[Placa]:[Rutina]],3,FALSE)),0)</f>
        <v>0</v>
      </c>
      <c r="AH147" s="20">
        <f>IFERROR((VLOOKUP(Tabla13[[#This Row],[ID]],[1]!Mtto_Pesv[[#Headers],[#Data],[Placa]:[Rutina]],7,FALSE)),0)</f>
        <v>0</v>
      </c>
      <c r="AI147" s="20">
        <f>IFERROR((VLOOKUP(Tabla13[[#This Row],[ID]],[1]!Mtto_Pesv[[#Headers],[#Data],[Placa]:[Rutina]],8,FALSE)),0)</f>
        <v>0</v>
      </c>
      <c r="AJ147" s="20" t="str">
        <f>IFERROR((VLOOKUP(Tabla13[[#This Row],[ID]],[1]!Mtto_Pesv[[#Headers],[#Data],[Placa]:[Rutina]],9,FALSE)),"-")</f>
        <v>-</v>
      </c>
      <c r="AK147" s="20">
        <f>IFERROR((VLOOKUP(Tabla13[[#This Row],[ID]],[1]!Mtto_Pesv[[#Headers],[#Data],[Placa]:[Rutina]],10,FALSE)),0)</f>
        <v>0</v>
      </c>
      <c r="AL147" s="20">
        <f>IF(Tabla13[[#This Row],[Km Anterior]]=0,0,Tabla13[[#This Row],[Km Ejecut]]-Tabla13[[#This Row],[Km Anterior]])</f>
        <v>0</v>
      </c>
      <c r="AM147" s="20">
        <f>IFERROR((VLOOKUP(Tabla13[[#This Row],[ID]],[1]!Mtto_Pesv[[#Headers],[#Data],[Placa]:[Rutina]],4,FALSE)),0)</f>
        <v>0</v>
      </c>
      <c r="AN147" s="21">
        <f>IFERROR((VLOOKUP(Tabla13[[#This Row],[ID]],[1]!Mtto_Pesv[[#Headers],[#Data],[Placa]:[Rutina]],5,FALSE)),0)</f>
        <v>0</v>
      </c>
      <c r="AO147" s="21">
        <f>+Tabla13[[#This Row],[Km Fin]]-Tabla13[[#This Row],[Km Ini]]</f>
        <v>0</v>
      </c>
      <c r="AP147" s="20">
        <f>IFERROR((VLOOKUP(Tabla13[[#This Row],[ID]],[1]!Estilo_Conduccion[[#All],[Placa]:[Puntuacion]],15,FALSE)),0)</f>
        <v>0</v>
      </c>
      <c r="AQ147" s="15" t="s">
        <v>1141</v>
      </c>
      <c r="AR147" s="15" t="s">
        <v>1142</v>
      </c>
      <c r="AS147" s="20">
        <v>1585</v>
      </c>
      <c r="AT147" s="21">
        <v>525.75</v>
      </c>
      <c r="AU147" s="21">
        <f>(Tabla13[[#This Row],[Cap Vh]]*$AX$2)*0.56</f>
        <v>0</v>
      </c>
      <c r="AV147" s="36" t="e">
        <f>(Tabla13[[#This Row],[Cap Util (kg)]]/(Tabla13[[#This Row],[Cap Inst (Kg)]]))</f>
        <v>#DIV/0!</v>
      </c>
    </row>
    <row r="148" spans="1:48" x14ac:dyDescent="0.25">
      <c r="A148" s="13" t="s">
        <v>1068</v>
      </c>
      <c r="B148" s="14" t="s">
        <v>294</v>
      </c>
      <c r="C148" s="14" t="s">
        <v>44</v>
      </c>
      <c r="D148" s="14" t="s">
        <v>44</v>
      </c>
      <c r="E148" s="14" t="s">
        <v>127</v>
      </c>
      <c r="F148" s="14" t="s">
        <v>46</v>
      </c>
      <c r="G148" s="15" t="s">
        <v>47</v>
      </c>
      <c r="H148" s="16" t="s">
        <v>48</v>
      </c>
      <c r="I148" s="14" t="s">
        <v>49</v>
      </c>
      <c r="J148" s="14">
        <v>830064700</v>
      </c>
      <c r="K148" s="14" t="s">
        <v>50</v>
      </c>
      <c r="L148" s="14" t="s">
        <v>103</v>
      </c>
      <c r="M148" s="14" t="s">
        <v>104</v>
      </c>
      <c r="N148" s="14">
        <v>2011</v>
      </c>
      <c r="O148" s="14">
        <v>9</v>
      </c>
      <c r="P148" s="14" t="s">
        <v>53</v>
      </c>
      <c r="Q148" s="14">
        <v>0</v>
      </c>
      <c r="R148" s="14">
        <v>0</v>
      </c>
      <c r="S148" s="17" t="s">
        <v>54</v>
      </c>
      <c r="T148" s="18">
        <v>0</v>
      </c>
      <c r="U148" s="14">
        <v>30</v>
      </c>
      <c r="V148" s="19">
        <v>1</v>
      </c>
      <c r="W148" s="14">
        <v>0</v>
      </c>
      <c r="X148" s="14">
        <v>0</v>
      </c>
      <c r="Y148" s="14">
        <v>0</v>
      </c>
      <c r="Z148" s="14">
        <v>0</v>
      </c>
      <c r="AA148" s="14">
        <f>Tabla13[[#This Row],[CheckList App]]+Tabla13[[#This Row],[CheckList Fisc]]</f>
        <v>0</v>
      </c>
      <c r="AB148" s="19">
        <f t="shared" si="2"/>
        <v>0</v>
      </c>
      <c r="AC148" s="14">
        <v>0</v>
      </c>
      <c r="AD148" s="14" t="s">
        <v>55</v>
      </c>
      <c r="AE148" s="15" t="str">
        <f>IFERROR((VLOOKUP(Tabla13[[#This Row],[ID]],[1]!Mtto_Pesv[[#Headers],[#Data],[Placa]:[Rutina]],2,FALSE)),"-")</f>
        <v>-</v>
      </c>
      <c r="AF148" s="14">
        <v>0</v>
      </c>
      <c r="AG148" s="20">
        <f>IFERROR((VLOOKUP(Tabla13[[#This Row],[ID]],[1]!Mtto_Pesv[[#Headers],[#Data],[Placa]:[Rutina]],3,FALSE)),0)</f>
        <v>0</v>
      </c>
      <c r="AH148" s="20">
        <f>IFERROR((VLOOKUP(Tabla13[[#This Row],[ID]],[1]!Mtto_Pesv[[#Headers],[#Data],[Placa]:[Rutina]],7,FALSE)),0)</f>
        <v>0</v>
      </c>
      <c r="AI148" s="20">
        <f>IFERROR((VLOOKUP(Tabla13[[#This Row],[ID]],[1]!Mtto_Pesv[[#Headers],[#Data],[Placa]:[Rutina]],8,FALSE)),0)</f>
        <v>0</v>
      </c>
      <c r="AJ148" s="20" t="str">
        <f>IFERROR((VLOOKUP(Tabla13[[#This Row],[ID]],[1]!Mtto_Pesv[[#Headers],[#Data],[Placa]:[Rutina]],9,FALSE)),"-")</f>
        <v>-</v>
      </c>
      <c r="AK148" s="20">
        <f>IFERROR((VLOOKUP(Tabla13[[#This Row],[ID]],[1]!Mtto_Pesv[[#Headers],[#Data],[Placa]:[Rutina]],10,FALSE)),0)</f>
        <v>0</v>
      </c>
      <c r="AL148" s="20">
        <f>IF(Tabla13[[#This Row],[Km Anterior]]=0,0,Tabla13[[#This Row],[Km Ejecut]]-Tabla13[[#This Row],[Km Anterior]])</f>
        <v>0</v>
      </c>
      <c r="AM148" s="20">
        <f>IFERROR((VLOOKUP(Tabla13[[#This Row],[ID]],[1]!Mtto_Pesv[[#Headers],[#Data],[Placa]:[Rutina]],4,FALSE)),0)</f>
        <v>0</v>
      </c>
      <c r="AN148" s="21">
        <f>IFERROR((VLOOKUP(Tabla13[[#This Row],[ID]],[1]!Mtto_Pesv[[#Headers],[#Data],[Placa]:[Rutina]],5,FALSE)),0)</f>
        <v>0</v>
      </c>
      <c r="AO148" s="21">
        <f>+Tabla13[[#This Row],[Km Fin]]-Tabla13[[#This Row],[Km Ini]]</f>
        <v>0</v>
      </c>
      <c r="AP148" s="20">
        <f>IFERROR((VLOOKUP(Tabla13[[#This Row],[ID]],[1]!Estilo_Conduccion[[#All],[Placa]:[Puntuacion]],15,FALSE)),0)</f>
        <v>0</v>
      </c>
      <c r="AQ148" s="15" t="s">
        <v>1179</v>
      </c>
      <c r="AR148" s="15" t="s">
        <v>1180</v>
      </c>
      <c r="AS148" s="20">
        <v>1585</v>
      </c>
      <c r="AT148" s="21">
        <v>24234</v>
      </c>
      <c r="AU148" s="21">
        <f>(Tabla13[[#This Row],[Cap Vh]]*$AX$2)*0.56</f>
        <v>0</v>
      </c>
      <c r="AV148" s="36" t="e">
        <f>(Tabla13[[#This Row],[Cap Util (kg)]]/(Tabla13[[#This Row],[Cap Inst (Kg)]]))</f>
        <v>#DIV/0!</v>
      </c>
    </row>
    <row r="149" spans="1:48" x14ac:dyDescent="0.25">
      <c r="A149" s="13" t="s">
        <v>1068</v>
      </c>
      <c r="B149" s="14" t="s">
        <v>295</v>
      </c>
      <c r="C149" s="14" t="s">
        <v>44</v>
      </c>
      <c r="D149" s="14" t="s">
        <v>44</v>
      </c>
      <c r="E149" s="14" t="s">
        <v>85</v>
      </c>
      <c r="F149" s="14" t="s">
        <v>46</v>
      </c>
      <c r="G149" s="15" t="s">
        <v>47</v>
      </c>
      <c r="H149" s="16" t="s">
        <v>48</v>
      </c>
      <c r="I149" s="14" t="s">
        <v>49</v>
      </c>
      <c r="J149" s="14">
        <v>830064700</v>
      </c>
      <c r="K149" s="14" t="s">
        <v>50</v>
      </c>
      <c r="L149" s="14" t="s">
        <v>103</v>
      </c>
      <c r="M149" s="14" t="s">
        <v>104</v>
      </c>
      <c r="N149" s="14">
        <v>2011</v>
      </c>
      <c r="O149" s="14">
        <v>9</v>
      </c>
      <c r="P149" s="14" t="s">
        <v>53</v>
      </c>
      <c r="Q149" s="14">
        <v>0</v>
      </c>
      <c r="R149" s="14">
        <v>0</v>
      </c>
      <c r="S149" s="17" t="s">
        <v>54</v>
      </c>
      <c r="T149" s="18">
        <v>0</v>
      </c>
      <c r="U149" s="14">
        <v>30</v>
      </c>
      <c r="V149" s="19">
        <v>1</v>
      </c>
      <c r="W149" s="14">
        <v>0</v>
      </c>
      <c r="X149" s="14">
        <v>0</v>
      </c>
      <c r="Y149" s="14">
        <v>0</v>
      </c>
      <c r="Z149" s="14">
        <v>0</v>
      </c>
      <c r="AA149" s="14">
        <f>Tabla13[[#This Row],[CheckList App]]+Tabla13[[#This Row],[CheckList Fisc]]</f>
        <v>0</v>
      </c>
      <c r="AB149" s="19">
        <f t="shared" si="2"/>
        <v>0</v>
      </c>
      <c r="AC149" s="14">
        <v>0</v>
      </c>
      <c r="AD149" s="14" t="s">
        <v>55</v>
      </c>
      <c r="AE149" s="15" t="str">
        <f>IFERROR((VLOOKUP(Tabla13[[#This Row],[ID]],[1]!Mtto_Pesv[[#Headers],[#Data],[Placa]:[Rutina]],2,FALSE)),"-")</f>
        <v>-</v>
      </c>
      <c r="AF149" s="14">
        <v>0</v>
      </c>
      <c r="AG149" s="20">
        <f>IFERROR((VLOOKUP(Tabla13[[#This Row],[ID]],[1]!Mtto_Pesv[[#Headers],[#Data],[Placa]:[Rutina]],3,FALSE)),0)</f>
        <v>0</v>
      </c>
      <c r="AH149" s="20">
        <f>IFERROR((VLOOKUP(Tabla13[[#This Row],[ID]],[1]!Mtto_Pesv[[#Headers],[#Data],[Placa]:[Rutina]],7,FALSE)),0)</f>
        <v>0</v>
      </c>
      <c r="AI149" s="20">
        <f>IFERROR((VLOOKUP(Tabla13[[#This Row],[ID]],[1]!Mtto_Pesv[[#Headers],[#Data],[Placa]:[Rutina]],8,FALSE)),0)</f>
        <v>0</v>
      </c>
      <c r="AJ149" s="20" t="str">
        <f>IFERROR((VLOOKUP(Tabla13[[#This Row],[ID]],[1]!Mtto_Pesv[[#Headers],[#Data],[Placa]:[Rutina]],9,FALSE)),"-")</f>
        <v>-</v>
      </c>
      <c r="AK149" s="20">
        <f>IFERROR((VLOOKUP(Tabla13[[#This Row],[ID]],[1]!Mtto_Pesv[[#Headers],[#Data],[Placa]:[Rutina]],10,FALSE)),0)</f>
        <v>0</v>
      </c>
      <c r="AL149" s="20">
        <f>IF(Tabla13[[#This Row],[Km Anterior]]=0,0,Tabla13[[#This Row],[Km Ejecut]]-Tabla13[[#This Row],[Km Anterior]])</f>
        <v>0</v>
      </c>
      <c r="AM149" s="20">
        <f>IFERROR((VLOOKUP(Tabla13[[#This Row],[ID]],[1]!Mtto_Pesv[[#Headers],[#Data],[Placa]:[Rutina]],4,FALSE)),0)</f>
        <v>0</v>
      </c>
      <c r="AN149" s="21">
        <f>IFERROR((VLOOKUP(Tabla13[[#This Row],[ID]],[1]!Mtto_Pesv[[#Headers],[#Data],[Placa]:[Rutina]],5,FALSE)),0)</f>
        <v>0</v>
      </c>
      <c r="AO149" s="21">
        <f>+Tabla13[[#This Row],[Km Fin]]-Tabla13[[#This Row],[Km Ini]]</f>
        <v>0</v>
      </c>
      <c r="AP149" s="20">
        <f>IFERROR((VLOOKUP(Tabla13[[#This Row],[ID]],[1]!Estilo_Conduccion[[#All],[Placa]:[Puntuacion]],15,FALSE)),0)</f>
        <v>0</v>
      </c>
      <c r="AQ149" s="15" t="s">
        <v>1069</v>
      </c>
      <c r="AR149" s="15" t="s">
        <v>296</v>
      </c>
      <c r="AS149" s="20">
        <v>1585</v>
      </c>
      <c r="AT149" s="21">
        <v>0</v>
      </c>
      <c r="AU149" s="21">
        <f>(Tabla13[[#This Row],[Cap Vh]]*$AX$2)*0.56</f>
        <v>0</v>
      </c>
      <c r="AV149" s="36" t="e">
        <f>(Tabla13[[#This Row],[Cap Util (kg)]]/(Tabla13[[#This Row],[Cap Inst (Kg)]]))</f>
        <v>#DIV/0!</v>
      </c>
    </row>
    <row r="150" spans="1:48" x14ac:dyDescent="0.25">
      <c r="A150" s="13" t="s">
        <v>1068</v>
      </c>
      <c r="B150" s="14" t="s">
        <v>297</v>
      </c>
      <c r="C150" s="14" t="s">
        <v>44</v>
      </c>
      <c r="D150" s="14" t="s">
        <v>44</v>
      </c>
      <c r="E150" s="14" t="s">
        <v>45</v>
      </c>
      <c r="F150" s="14" t="s">
        <v>46</v>
      </c>
      <c r="G150" s="15" t="s">
        <v>47</v>
      </c>
      <c r="H150" s="16" t="s">
        <v>48</v>
      </c>
      <c r="I150" s="14" t="s">
        <v>49</v>
      </c>
      <c r="J150" s="14">
        <v>830064700</v>
      </c>
      <c r="K150" s="14" t="s">
        <v>50</v>
      </c>
      <c r="L150" s="14" t="s">
        <v>103</v>
      </c>
      <c r="M150" s="14" t="s">
        <v>104</v>
      </c>
      <c r="N150" s="14">
        <v>2011</v>
      </c>
      <c r="O150" s="14">
        <v>9</v>
      </c>
      <c r="P150" s="14" t="s">
        <v>53</v>
      </c>
      <c r="Q150" s="14">
        <v>0</v>
      </c>
      <c r="R150" s="14">
        <v>0</v>
      </c>
      <c r="S150" s="17" t="s">
        <v>54</v>
      </c>
      <c r="T150" s="18">
        <v>0</v>
      </c>
      <c r="U150" s="14">
        <v>30</v>
      </c>
      <c r="V150" s="19">
        <v>1</v>
      </c>
      <c r="W150" s="14">
        <v>0</v>
      </c>
      <c r="X150" s="14">
        <v>0</v>
      </c>
      <c r="Y150" s="14">
        <v>0</v>
      </c>
      <c r="Z150" s="14">
        <v>0</v>
      </c>
      <c r="AA150" s="14">
        <f>Tabla13[[#This Row],[CheckList App]]+Tabla13[[#This Row],[CheckList Fisc]]</f>
        <v>0</v>
      </c>
      <c r="AB150" s="19">
        <f t="shared" si="2"/>
        <v>0</v>
      </c>
      <c r="AC150" s="14">
        <v>0</v>
      </c>
      <c r="AD150" s="14" t="s">
        <v>55</v>
      </c>
      <c r="AE150" s="15" t="str">
        <f>IFERROR((VLOOKUP(Tabla13[[#This Row],[ID]],[1]!Mtto_Pesv[[#Headers],[#Data],[Placa]:[Rutina]],2,FALSE)),"-")</f>
        <v>-</v>
      </c>
      <c r="AF150" s="14">
        <v>0</v>
      </c>
      <c r="AG150" s="20">
        <f>IFERROR((VLOOKUP(Tabla13[[#This Row],[ID]],[1]!Mtto_Pesv[[#Headers],[#Data],[Placa]:[Rutina]],3,FALSE)),0)</f>
        <v>0</v>
      </c>
      <c r="AH150" s="20">
        <f>IFERROR((VLOOKUP(Tabla13[[#This Row],[ID]],[1]!Mtto_Pesv[[#Headers],[#Data],[Placa]:[Rutina]],7,FALSE)),0)</f>
        <v>0</v>
      </c>
      <c r="AI150" s="20">
        <f>IFERROR((VLOOKUP(Tabla13[[#This Row],[ID]],[1]!Mtto_Pesv[[#Headers],[#Data],[Placa]:[Rutina]],8,FALSE)),0)</f>
        <v>0</v>
      </c>
      <c r="AJ150" s="20" t="str">
        <f>IFERROR((VLOOKUP(Tabla13[[#This Row],[ID]],[1]!Mtto_Pesv[[#Headers],[#Data],[Placa]:[Rutina]],9,FALSE)),"-")</f>
        <v>-</v>
      </c>
      <c r="AK150" s="20">
        <f>IFERROR((VLOOKUP(Tabla13[[#This Row],[ID]],[1]!Mtto_Pesv[[#Headers],[#Data],[Placa]:[Rutina]],10,FALSE)),0)</f>
        <v>0</v>
      </c>
      <c r="AL150" s="20">
        <f>IF(Tabla13[[#This Row],[Km Anterior]]=0,0,Tabla13[[#This Row],[Km Ejecut]]-Tabla13[[#This Row],[Km Anterior]])</f>
        <v>0</v>
      </c>
      <c r="AM150" s="20">
        <f>IFERROR((VLOOKUP(Tabla13[[#This Row],[ID]],[1]!Mtto_Pesv[[#Headers],[#Data],[Placa]:[Rutina]],4,FALSE)),0)</f>
        <v>0</v>
      </c>
      <c r="AN150" s="21">
        <f>IFERROR((VLOOKUP(Tabla13[[#This Row],[ID]],[1]!Mtto_Pesv[[#Headers],[#Data],[Placa]:[Rutina]],5,FALSE)),0)</f>
        <v>0</v>
      </c>
      <c r="AO150" s="21">
        <f>+Tabla13[[#This Row],[Km Fin]]-Tabla13[[#This Row],[Km Ini]]</f>
        <v>0</v>
      </c>
      <c r="AP150" s="20">
        <f>IFERROR((VLOOKUP(Tabla13[[#This Row],[ID]],[1]!Estilo_Conduccion[[#All],[Placa]:[Puntuacion]],15,FALSE)),0)</f>
        <v>0</v>
      </c>
      <c r="AQ150" s="15" t="s">
        <v>1181</v>
      </c>
      <c r="AR150" s="15" t="s">
        <v>1182</v>
      </c>
      <c r="AS150" s="20">
        <v>1585</v>
      </c>
      <c r="AT150" s="21">
        <v>8875.5</v>
      </c>
      <c r="AU150" s="21">
        <f>(Tabla13[[#This Row],[Cap Vh]]*$AX$2)*0.56</f>
        <v>0</v>
      </c>
      <c r="AV150" s="36" t="e">
        <f>(Tabla13[[#This Row],[Cap Util (kg)]]/(Tabla13[[#This Row],[Cap Inst (Kg)]]))</f>
        <v>#DIV/0!</v>
      </c>
    </row>
    <row r="151" spans="1:48" x14ac:dyDescent="0.25">
      <c r="A151" s="13" t="s">
        <v>1068</v>
      </c>
      <c r="B151" s="14" t="s">
        <v>298</v>
      </c>
      <c r="C151" s="14" t="s">
        <v>44</v>
      </c>
      <c r="D151" s="14" t="s">
        <v>44</v>
      </c>
      <c r="E151" s="14" t="s">
        <v>45</v>
      </c>
      <c r="F151" s="14" t="s">
        <v>76</v>
      </c>
      <c r="G151" s="15" t="s">
        <v>89</v>
      </c>
      <c r="H151" s="16" t="s">
        <v>90</v>
      </c>
      <c r="I151" s="14" t="s">
        <v>49</v>
      </c>
      <c r="J151" s="14">
        <v>830064700</v>
      </c>
      <c r="K151" s="14" t="s">
        <v>50</v>
      </c>
      <c r="L151" s="14" t="s">
        <v>103</v>
      </c>
      <c r="M151" s="14" t="s">
        <v>104</v>
      </c>
      <c r="N151" s="14">
        <v>2011</v>
      </c>
      <c r="O151" s="14">
        <v>9</v>
      </c>
      <c r="P151" s="14" t="s">
        <v>53</v>
      </c>
      <c r="Q151" s="14">
        <v>0</v>
      </c>
      <c r="R151" s="14">
        <v>0</v>
      </c>
      <c r="S151" s="17" t="s">
        <v>54</v>
      </c>
      <c r="T151" s="18">
        <v>0</v>
      </c>
      <c r="U151" s="14">
        <v>0</v>
      </c>
      <c r="V151" s="19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f>Tabla13[[#This Row],[CheckList App]]+Tabla13[[#This Row],[CheckList Fisc]]</f>
        <v>0</v>
      </c>
      <c r="AB151" s="19" t="str">
        <f t="shared" si="2"/>
        <v/>
      </c>
      <c r="AC151" s="14">
        <v>0</v>
      </c>
      <c r="AD151" s="14" t="s">
        <v>55</v>
      </c>
      <c r="AE151" s="15" t="str">
        <f>IFERROR((VLOOKUP(Tabla13[[#This Row],[ID]],[1]!Mtto_Pesv[[#Headers],[#Data],[Placa]:[Rutina]],2,FALSE)),"-")</f>
        <v>-</v>
      </c>
      <c r="AF151" s="14">
        <v>0</v>
      </c>
      <c r="AG151" s="20">
        <f>IFERROR((VLOOKUP(Tabla13[[#This Row],[ID]],[1]!Mtto_Pesv[[#Headers],[#Data],[Placa]:[Rutina]],3,FALSE)),0)</f>
        <v>0</v>
      </c>
      <c r="AH151" s="20">
        <f>IFERROR((VLOOKUP(Tabla13[[#This Row],[ID]],[1]!Mtto_Pesv[[#Headers],[#Data],[Placa]:[Rutina]],7,FALSE)),0)</f>
        <v>0</v>
      </c>
      <c r="AI151" s="20">
        <f>IFERROR((VLOOKUP(Tabla13[[#This Row],[ID]],[1]!Mtto_Pesv[[#Headers],[#Data],[Placa]:[Rutina]],8,FALSE)),0)</f>
        <v>0</v>
      </c>
      <c r="AJ151" s="20" t="str">
        <f>IFERROR((VLOOKUP(Tabla13[[#This Row],[ID]],[1]!Mtto_Pesv[[#Headers],[#Data],[Placa]:[Rutina]],9,FALSE)),"-")</f>
        <v>-</v>
      </c>
      <c r="AK151" s="20">
        <f>IFERROR((VLOOKUP(Tabla13[[#This Row],[ID]],[1]!Mtto_Pesv[[#Headers],[#Data],[Placa]:[Rutina]],10,FALSE)),0)</f>
        <v>0</v>
      </c>
      <c r="AL151" s="20">
        <f>IF(Tabla13[[#This Row],[Km Anterior]]=0,0,Tabla13[[#This Row],[Km Ejecut]]-Tabla13[[#This Row],[Km Anterior]])</f>
        <v>0</v>
      </c>
      <c r="AM151" s="20">
        <f>IFERROR((VLOOKUP(Tabla13[[#This Row],[ID]],[1]!Mtto_Pesv[[#Headers],[#Data],[Placa]:[Rutina]],4,FALSE)),0)</f>
        <v>0</v>
      </c>
      <c r="AN151" s="21">
        <f>IFERROR((VLOOKUP(Tabla13[[#This Row],[ID]],[1]!Mtto_Pesv[[#Headers],[#Data],[Placa]:[Rutina]],5,FALSE)),0)</f>
        <v>0</v>
      </c>
      <c r="AO151" s="21">
        <f>+Tabla13[[#This Row],[Km Fin]]-Tabla13[[#This Row],[Km Ini]]</f>
        <v>0</v>
      </c>
      <c r="AP151" s="20">
        <f>IFERROR((VLOOKUP(Tabla13[[#This Row],[ID]],[1]!Estilo_Conduccion[[#All],[Placa]:[Puntuacion]],15,FALSE)),0)</f>
        <v>0</v>
      </c>
      <c r="AQ151" s="15" t="s">
        <v>1181</v>
      </c>
      <c r="AR151" s="15" t="s">
        <v>1182</v>
      </c>
      <c r="AS151" s="20">
        <v>1585</v>
      </c>
      <c r="AT151" s="21">
        <v>8875.5</v>
      </c>
      <c r="AU151" s="21">
        <f>(Tabla13[[#This Row],[Cap Vh]]*$AX$2)*0.56</f>
        <v>0</v>
      </c>
      <c r="AV151" s="36" t="e">
        <f>(Tabla13[[#This Row],[Cap Util (kg)]]/(Tabla13[[#This Row],[Cap Inst (Kg)]]))</f>
        <v>#DIV/0!</v>
      </c>
    </row>
    <row r="152" spans="1:48" x14ac:dyDescent="0.25">
      <c r="A152" s="13" t="s">
        <v>1068</v>
      </c>
      <c r="B152" s="14" t="s">
        <v>299</v>
      </c>
      <c r="C152" s="14" t="s">
        <v>44</v>
      </c>
      <c r="D152" s="14" t="s">
        <v>44</v>
      </c>
      <c r="E152" s="14" t="s">
        <v>85</v>
      </c>
      <c r="F152" s="14" t="s">
        <v>46</v>
      </c>
      <c r="G152" s="15" t="s">
        <v>47</v>
      </c>
      <c r="H152" s="16" t="s">
        <v>48</v>
      </c>
      <c r="I152" s="14" t="s">
        <v>49</v>
      </c>
      <c r="J152" s="14">
        <v>830064700</v>
      </c>
      <c r="K152" s="14" t="s">
        <v>50</v>
      </c>
      <c r="L152" s="14" t="s">
        <v>103</v>
      </c>
      <c r="M152" s="14" t="s">
        <v>104</v>
      </c>
      <c r="N152" s="14">
        <v>2011</v>
      </c>
      <c r="O152" s="14">
        <v>9</v>
      </c>
      <c r="P152" s="14" t="s">
        <v>53</v>
      </c>
      <c r="Q152" s="14">
        <v>0</v>
      </c>
      <c r="R152" s="14">
        <v>0</v>
      </c>
      <c r="S152" s="17" t="s">
        <v>54</v>
      </c>
      <c r="T152" s="18">
        <v>0</v>
      </c>
      <c r="U152" s="14">
        <v>30</v>
      </c>
      <c r="V152" s="19">
        <v>1</v>
      </c>
      <c r="W152" s="14">
        <v>0</v>
      </c>
      <c r="X152" s="14">
        <v>0</v>
      </c>
      <c r="Y152" s="14">
        <v>0</v>
      </c>
      <c r="Z152" s="14">
        <v>0</v>
      </c>
      <c r="AA152" s="14">
        <f>Tabla13[[#This Row],[CheckList App]]+Tabla13[[#This Row],[CheckList Fisc]]</f>
        <v>0</v>
      </c>
      <c r="AB152" s="19">
        <f t="shared" si="2"/>
        <v>0</v>
      </c>
      <c r="AC152" s="14">
        <v>0</v>
      </c>
      <c r="AD152" s="14" t="s">
        <v>55</v>
      </c>
      <c r="AE152" s="15" t="str">
        <f>IFERROR((VLOOKUP(Tabla13[[#This Row],[ID]],[1]!Mtto_Pesv[[#Headers],[#Data],[Placa]:[Rutina]],2,FALSE)),"-")</f>
        <v>-</v>
      </c>
      <c r="AF152" s="14">
        <v>0</v>
      </c>
      <c r="AG152" s="20">
        <f>IFERROR((VLOOKUP(Tabla13[[#This Row],[ID]],[1]!Mtto_Pesv[[#Headers],[#Data],[Placa]:[Rutina]],3,FALSE)),0)</f>
        <v>0</v>
      </c>
      <c r="AH152" s="20">
        <f>IFERROR((VLOOKUP(Tabla13[[#This Row],[ID]],[1]!Mtto_Pesv[[#Headers],[#Data],[Placa]:[Rutina]],7,FALSE)),0)</f>
        <v>0</v>
      </c>
      <c r="AI152" s="20">
        <f>IFERROR((VLOOKUP(Tabla13[[#This Row],[ID]],[1]!Mtto_Pesv[[#Headers],[#Data],[Placa]:[Rutina]],8,FALSE)),0)</f>
        <v>0</v>
      </c>
      <c r="AJ152" s="20" t="str">
        <f>IFERROR((VLOOKUP(Tabla13[[#This Row],[ID]],[1]!Mtto_Pesv[[#Headers],[#Data],[Placa]:[Rutina]],9,FALSE)),"-")</f>
        <v>-</v>
      </c>
      <c r="AK152" s="20">
        <f>IFERROR((VLOOKUP(Tabla13[[#This Row],[ID]],[1]!Mtto_Pesv[[#Headers],[#Data],[Placa]:[Rutina]],10,FALSE)),0)</f>
        <v>0</v>
      </c>
      <c r="AL152" s="20">
        <f>IF(Tabla13[[#This Row],[Km Anterior]]=0,0,Tabla13[[#This Row],[Km Ejecut]]-Tabla13[[#This Row],[Km Anterior]])</f>
        <v>0</v>
      </c>
      <c r="AM152" s="20">
        <f>IFERROR((VLOOKUP(Tabla13[[#This Row],[ID]],[1]!Mtto_Pesv[[#Headers],[#Data],[Placa]:[Rutina]],4,FALSE)),0)</f>
        <v>0</v>
      </c>
      <c r="AN152" s="21">
        <f>IFERROR((VLOOKUP(Tabla13[[#This Row],[ID]],[1]!Mtto_Pesv[[#Headers],[#Data],[Placa]:[Rutina]],5,FALSE)),0)</f>
        <v>0</v>
      </c>
      <c r="AO152" s="21">
        <f>+Tabla13[[#This Row],[Km Fin]]-Tabla13[[#This Row],[Km Ini]]</f>
        <v>0</v>
      </c>
      <c r="AP152" s="20">
        <f>IFERROR((VLOOKUP(Tabla13[[#This Row],[ID]],[1]!Estilo_Conduccion[[#All],[Placa]:[Puntuacion]],15,FALSE)),0)</f>
        <v>0</v>
      </c>
      <c r="AQ152" s="15" t="s">
        <v>1183</v>
      </c>
      <c r="AR152" s="15" t="s">
        <v>1184</v>
      </c>
      <c r="AS152" s="20">
        <v>1585</v>
      </c>
      <c r="AT152" s="21">
        <v>6684</v>
      </c>
      <c r="AU152" s="21">
        <f>(Tabla13[[#This Row],[Cap Vh]]*$AX$2)*0.56</f>
        <v>0</v>
      </c>
      <c r="AV152" s="36" t="e">
        <f>(Tabla13[[#This Row],[Cap Util (kg)]]/(Tabla13[[#This Row],[Cap Inst (Kg)]]))</f>
        <v>#DIV/0!</v>
      </c>
    </row>
    <row r="153" spans="1:48" x14ac:dyDescent="0.25">
      <c r="A153" s="13" t="s">
        <v>1068</v>
      </c>
      <c r="B153" s="14" t="s">
        <v>300</v>
      </c>
      <c r="C153" s="14" t="s">
        <v>44</v>
      </c>
      <c r="D153" s="14" t="s">
        <v>44</v>
      </c>
      <c r="E153" s="14" t="s">
        <v>45</v>
      </c>
      <c r="F153" s="14" t="s">
        <v>46</v>
      </c>
      <c r="G153" s="15" t="s">
        <v>47</v>
      </c>
      <c r="H153" s="16" t="s">
        <v>48</v>
      </c>
      <c r="I153" s="14" t="s">
        <v>49</v>
      </c>
      <c r="J153" s="14">
        <v>830064700</v>
      </c>
      <c r="K153" s="14" t="s">
        <v>50</v>
      </c>
      <c r="L153" s="14" t="s">
        <v>103</v>
      </c>
      <c r="M153" s="14" t="s">
        <v>104</v>
      </c>
      <c r="N153" s="14">
        <v>2011</v>
      </c>
      <c r="O153" s="14">
        <v>9</v>
      </c>
      <c r="P153" s="14" t="s">
        <v>53</v>
      </c>
      <c r="Q153" s="14">
        <v>0</v>
      </c>
      <c r="R153" s="14">
        <v>0</v>
      </c>
      <c r="S153" s="17" t="s">
        <v>54</v>
      </c>
      <c r="T153" s="18">
        <v>0</v>
      </c>
      <c r="U153" s="14">
        <v>30</v>
      </c>
      <c r="V153" s="19">
        <v>1</v>
      </c>
      <c r="W153" s="14">
        <v>0</v>
      </c>
      <c r="X153" s="14">
        <v>0</v>
      </c>
      <c r="Y153" s="14">
        <v>0</v>
      </c>
      <c r="Z153" s="14">
        <v>0</v>
      </c>
      <c r="AA153" s="14">
        <f>Tabla13[[#This Row],[CheckList App]]+Tabla13[[#This Row],[CheckList Fisc]]</f>
        <v>0</v>
      </c>
      <c r="AB153" s="19">
        <f t="shared" si="2"/>
        <v>0</v>
      </c>
      <c r="AC153" s="14">
        <v>0</v>
      </c>
      <c r="AD153" s="14" t="s">
        <v>55</v>
      </c>
      <c r="AE153" s="15" t="str">
        <f>IFERROR((VLOOKUP(Tabla13[[#This Row],[ID]],[1]!Mtto_Pesv[[#Headers],[#Data],[Placa]:[Rutina]],2,FALSE)),"-")</f>
        <v>-</v>
      </c>
      <c r="AF153" s="14">
        <v>0</v>
      </c>
      <c r="AG153" s="20">
        <f>IFERROR((VLOOKUP(Tabla13[[#This Row],[ID]],[1]!Mtto_Pesv[[#Headers],[#Data],[Placa]:[Rutina]],3,FALSE)),0)</f>
        <v>0</v>
      </c>
      <c r="AH153" s="20">
        <f>IFERROR((VLOOKUP(Tabla13[[#This Row],[ID]],[1]!Mtto_Pesv[[#Headers],[#Data],[Placa]:[Rutina]],7,FALSE)),0)</f>
        <v>0</v>
      </c>
      <c r="AI153" s="20">
        <f>IFERROR((VLOOKUP(Tabla13[[#This Row],[ID]],[1]!Mtto_Pesv[[#Headers],[#Data],[Placa]:[Rutina]],8,FALSE)),0)</f>
        <v>0</v>
      </c>
      <c r="AJ153" s="20" t="str">
        <f>IFERROR((VLOOKUP(Tabla13[[#This Row],[ID]],[1]!Mtto_Pesv[[#Headers],[#Data],[Placa]:[Rutina]],9,FALSE)),"-")</f>
        <v>-</v>
      </c>
      <c r="AK153" s="20">
        <f>IFERROR((VLOOKUP(Tabla13[[#This Row],[ID]],[1]!Mtto_Pesv[[#Headers],[#Data],[Placa]:[Rutina]],10,FALSE)),0)</f>
        <v>0</v>
      </c>
      <c r="AL153" s="20">
        <f>IF(Tabla13[[#This Row],[Km Anterior]]=0,0,Tabla13[[#This Row],[Km Ejecut]]-Tabla13[[#This Row],[Km Anterior]])</f>
        <v>0</v>
      </c>
      <c r="AM153" s="20">
        <f>IFERROR((VLOOKUP(Tabla13[[#This Row],[ID]],[1]!Mtto_Pesv[[#Headers],[#Data],[Placa]:[Rutina]],4,FALSE)),0)</f>
        <v>0</v>
      </c>
      <c r="AN153" s="21">
        <f>IFERROR((VLOOKUP(Tabla13[[#This Row],[ID]],[1]!Mtto_Pesv[[#Headers],[#Data],[Placa]:[Rutina]],5,FALSE)),0)</f>
        <v>0</v>
      </c>
      <c r="AO153" s="21">
        <f>+Tabla13[[#This Row],[Km Fin]]-Tabla13[[#This Row],[Km Ini]]</f>
        <v>0</v>
      </c>
      <c r="AP153" s="20">
        <f>IFERROR((VLOOKUP(Tabla13[[#This Row],[ID]],[1]!Estilo_Conduccion[[#All],[Placa]:[Puntuacion]],15,FALSE)),0)</f>
        <v>0</v>
      </c>
      <c r="AQ153" s="15" t="s">
        <v>1185</v>
      </c>
      <c r="AR153" s="15" t="s">
        <v>1186</v>
      </c>
      <c r="AS153" s="20">
        <v>1585</v>
      </c>
      <c r="AT153" s="21">
        <v>5956.5</v>
      </c>
      <c r="AU153" s="21">
        <f>(Tabla13[[#This Row],[Cap Vh]]*$AX$2)*0.56</f>
        <v>0</v>
      </c>
      <c r="AV153" s="36" t="e">
        <f>(Tabla13[[#This Row],[Cap Util (kg)]]/(Tabla13[[#This Row],[Cap Inst (Kg)]]))</f>
        <v>#DIV/0!</v>
      </c>
    </row>
    <row r="154" spans="1:48" x14ac:dyDescent="0.25">
      <c r="A154" s="13" t="s">
        <v>1068</v>
      </c>
      <c r="B154" s="14" t="s">
        <v>301</v>
      </c>
      <c r="C154" s="14" t="s">
        <v>44</v>
      </c>
      <c r="D154" s="14" t="s">
        <v>44</v>
      </c>
      <c r="E154" s="14" t="s">
        <v>45</v>
      </c>
      <c r="F154" s="14" t="s">
        <v>46</v>
      </c>
      <c r="G154" s="15" t="s">
        <v>47</v>
      </c>
      <c r="H154" s="16" t="s">
        <v>48</v>
      </c>
      <c r="I154" s="14" t="s">
        <v>49</v>
      </c>
      <c r="J154" s="14">
        <v>830064700</v>
      </c>
      <c r="K154" s="14" t="s">
        <v>50</v>
      </c>
      <c r="L154" s="14" t="s">
        <v>103</v>
      </c>
      <c r="M154" s="14" t="s">
        <v>104</v>
      </c>
      <c r="N154" s="14">
        <v>2011</v>
      </c>
      <c r="O154" s="14">
        <v>9</v>
      </c>
      <c r="P154" s="14" t="s">
        <v>53</v>
      </c>
      <c r="Q154" s="14">
        <v>0</v>
      </c>
      <c r="R154" s="14">
        <v>0</v>
      </c>
      <c r="S154" s="17" t="s">
        <v>54</v>
      </c>
      <c r="T154" s="18">
        <v>0</v>
      </c>
      <c r="U154" s="14">
        <v>30</v>
      </c>
      <c r="V154" s="19">
        <v>1</v>
      </c>
      <c r="W154" s="14">
        <v>0</v>
      </c>
      <c r="X154" s="14">
        <v>0</v>
      </c>
      <c r="Y154" s="14">
        <v>0</v>
      </c>
      <c r="Z154" s="14">
        <v>0</v>
      </c>
      <c r="AA154" s="14">
        <f>Tabla13[[#This Row],[CheckList App]]+Tabla13[[#This Row],[CheckList Fisc]]</f>
        <v>0</v>
      </c>
      <c r="AB154" s="19">
        <f t="shared" si="2"/>
        <v>0</v>
      </c>
      <c r="AC154" s="14">
        <v>0</v>
      </c>
      <c r="AD154" s="14" t="s">
        <v>55</v>
      </c>
      <c r="AE154" s="15" t="str">
        <f>IFERROR((VLOOKUP(Tabla13[[#This Row],[ID]],[1]!Mtto_Pesv[[#Headers],[#Data],[Placa]:[Rutina]],2,FALSE)),"-")</f>
        <v>-</v>
      </c>
      <c r="AF154" s="14">
        <v>0</v>
      </c>
      <c r="AG154" s="20">
        <f>IFERROR((VLOOKUP(Tabla13[[#This Row],[ID]],[1]!Mtto_Pesv[[#Headers],[#Data],[Placa]:[Rutina]],3,FALSE)),0)</f>
        <v>0</v>
      </c>
      <c r="AH154" s="20">
        <f>IFERROR((VLOOKUP(Tabla13[[#This Row],[ID]],[1]!Mtto_Pesv[[#Headers],[#Data],[Placa]:[Rutina]],7,FALSE)),0)</f>
        <v>0</v>
      </c>
      <c r="AI154" s="20">
        <f>IFERROR((VLOOKUP(Tabla13[[#This Row],[ID]],[1]!Mtto_Pesv[[#Headers],[#Data],[Placa]:[Rutina]],8,FALSE)),0)</f>
        <v>0</v>
      </c>
      <c r="AJ154" s="20" t="str">
        <f>IFERROR((VLOOKUP(Tabla13[[#This Row],[ID]],[1]!Mtto_Pesv[[#Headers],[#Data],[Placa]:[Rutina]],9,FALSE)),"-")</f>
        <v>-</v>
      </c>
      <c r="AK154" s="20">
        <f>IFERROR((VLOOKUP(Tabla13[[#This Row],[ID]],[1]!Mtto_Pesv[[#Headers],[#Data],[Placa]:[Rutina]],10,FALSE)),0)</f>
        <v>0</v>
      </c>
      <c r="AL154" s="20">
        <f>IF(Tabla13[[#This Row],[Km Anterior]]=0,0,Tabla13[[#This Row],[Km Ejecut]]-Tabla13[[#This Row],[Km Anterior]])</f>
        <v>0</v>
      </c>
      <c r="AM154" s="20">
        <f>IFERROR((VLOOKUP(Tabla13[[#This Row],[ID]],[1]!Mtto_Pesv[[#Headers],[#Data],[Placa]:[Rutina]],4,FALSE)),0)</f>
        <v>0</v>
      </c>
      <c r="AN154" s="21">
        <f>IFERROR((VLOOKUP(Tabla13[[#This Row],[ID]],[1]!Mtto_Pesv[[#Headers],[#Data],[Placa]:[Rutina]],5,FALSE)),0)</f>
        <v>0</v>
      </c>
      <c r="AO154" s="21">
        <f>+Tabla13[[#This Row],[Km Fin]]-Tabla13[[#This Row],[Km Ini]]</f>
        <v>0</v>
      </c>
      <c r="AP154" s="20">
        <f>IFERROR((VLOOKUP(Tabla13[[#This Row],[ID]],[1]!Estilo_Conduccion[[#All],[Placa]:[Puntuacion]],15,FALSE)),0)</f>
        <v>0</v>
      </c>
      <c r="AQ154" s="15" t="s">
        <v>1187</v>
      </c>
      <c r="AR154" s="15" t="s">
        <v>1188</v>
      </c>
      <c r="AS154" s="20">
        <v>1585</v>
      </c>
      <c r="AT154" s="21">
        <v>9159</v>
      </c>
      <c r="AU154" s="21">
        <f>(Tabla13[[#This Row],[Cap Vh]]*$AX$2)*0.56</f>
        <v>0</v>
      </c>
      <c r="AV154" s="36" t="e">
        <f>(Tabla13[[#This Row],[Cap Util (kg)]]/(Tabla13[[#This Row],[Cap Inst (Kg)]]))</f>
        <v>#DIV/0!</v>
      </c>
    </row>
    <row r="155" spans="1:48" x14ac:dyDescent="0.25">
      <c r="A155" s="13" t="s">
        <v>1068</v>
      </c>
      <c r="B155" s="14" t="s">
        <v>302</v>
      </c>
      <c r="C155" s="14" t="s">
        <v>44</v>
      </c>
      <c r="D155" s="14" t="s">
        <v>44</v>
      </c>
      <c r="E155" s="14" t="s">
        <v>45</v>
      </c>
      <c r="F155" s="14" t="s">
        <v>64</v>
      </c>
      <c r="G155" s="15" t="s">
        <v>47</v>
      </c>
      <c r="H155" s="16" t="s">
        <v>48</v>
      </c>
      <c r="I155" s="14" t="s">
        <v>49</v>
      </c>
      <c r="J155" s="14">
        <v>830064700</v>
      </c>
      <c r="K155" s="14" t="s">
        <v>50</v>
      </c>
      <c r="L155" s="14" t="s">
        <v>103</v>
      </c>
      <c r="M155" s="14" t="s">
        <v>104</v>
      </c>
      <c r="N155" s="14">
        <v>2011</v>
      </c>
      <c r="O155" s="14">
        <v>9</v>
      </c>
      <c r="P155" s="14" t="s">
        <v>53</v>
      </c>
      <c r="Q155" s="14">
        <v>0</v>
      </c>
      <c r="R155" s="14">
        <v>0</v>
      </c>
      <c r="S155" s="17" t="s">
        <v>54</v>
      </c>
      <c r="T155" s="18">
        <v>0</v>
      </c>
      <c r="U155" s="14">
        <v>30</v>
      </c>
      <c r="V155" s="19">
        <v>1</v>
      </c>
      <c r="W155" s="14">
        <v>0</v>
      </c>
      <c r="X155" s="14">
        <v>26</v>
      </c>
      <c r="Y155" s="14">
        <v>7</v>
      </c>
      <c r="Z155" s="14">
        <v>0</v>
      </c>
      <c r="AA155" s="14">
        <f>Tabla13[[#This Row],[CheckList App]]+Tabla13[[#This Row],[CheckList Fisc]]</f>
        <v>7</v>
      </c>
      <c r="AB155" s="19">
        <f t="shared" si="2"/>
        <v>0.26923076923076922</v>
      </c>
      <c r="AC155" s="14">
        <v>0</v>
      </c>
      <c r="AD155" s="14" t="s">
        <v>70</v>
      </c>
      <c r="AE155" s="15" t="str">
        <f>IFERROR((VLOOKUP(Tabla13[[#This Row],[ID]],[1]!Mtto_Pesv[[#Headers],[#Data],[Placa]:[Rutina]],2,FALSE)),"-")</f>
        <v>-</v>
      </c>
      <c r="AF155" s="14">
        <v>1</v>
      </c>
      <c r="AG155" s="20">
        <f>IFERROR((VLOOKUP(Tabla13[[#This Row],[ID]],[1]!Mtto_Pesv[[#Headers],[#Data],[Placa]:[Rutina]],3,FALSE)),0)</f>
        <v>0</v>
      </c>
      <c r="AH155" s="20">
        <f>IFERROR((VLOOKUP(Tabla13[[#This Row],[ID]],[1]!Mtto_Pesv[[#Headers],[#Data],[Placa]:[Rutina]],7,FALSE)),0)</f>
        <v>0</v>
      </c>
      <c r="AI155" s="20">
        <f>IFERROR((VLOOKUP(Tabla13[[#This Row],[ID]],[1]!Mtto_Pesv[[#Headers],[#Data],[Placa]:[Rutina]],8,FALSE)),0)</f>
        <v>0</v>
      </c>
      <c r="AJ155" s="20" t="str">
        <f>IFERROR((VLOOKUP(Tabla13[[#This Row],[ID]],[1]!Mtto_Pesv[[#Headers],[#Data],[Placa]:[Rutina]],9,FALSE)),"-")</f>
        <v>-</v>
      </c>
      <c r="AK155" s="20">
        <f>IFERROR((VLOOKUP(Tabla13[[#This Row],[ID]],[1]!Mtto_Pesv[[#Headers],[#Data],[Placa]:[Rutina]],10,FALSE)),0)</f>
        <v>0</v>
      </c>
      <c r="AL155" s="20">
        <f>IF(Tabla13[[#This Row],[Km Anterior]]=0,0,Tabla13[[#This Row],[Km Ejecut]]-Tabla13[[#This Row],[Km Anterior]])</f>
        <v>0</v>
      </c>
      <c r="AM155" s="20">
        <f>IFERROR((VLOOKUP(Tabla13[[#This Row],[ID]],[1]!Mtto_Pesv[[#Headers],[#Data],[Placa]:[Rutina]],4,FALSE)),0)</f>
        <v>0</v>
      </c>
      <c r="AN155" s="21">
        <f>IFERROR((VLOOKUP(Tabla13[[#This Row],[ID]],[1]!Mtto_Pesv[[#Headers],[#Data],[Placa]:[Rutina]],5,FALSE)),0)</f>
        <v>0</v>
      </c>
      <c r="AO155" s="21">
        <f>+Tabla13[[#This Row],[Km Fin]]-Tabla13[[#This Row],[Km Ini]]</f>
        <v>0</v>
      </c>
      <c r="AP155" s="20">
        <f>IFERROR((VLOOKUP(Tabla13[[#This Row],[ID]],[1]!Estilo_Conduccion[[#All],[Placa]:[Puntuacion]],15,FALSE)),0)</f>
        <v>0</v>
      </c>
      <c r="AQ155" s="15" t="s">
        <v>1084</v>
      </c>
      <c r="AR155" s="15" t="s">
        <v>1085</v>
      </c>
      <c r="AS155" s="20">
        <v>1585</v>
      </c>
      <c r="AT155" s="21">
        <v>4974.8571428571431</v>
      </c>
      <c r="AU155" s="21">
        <f>(Tabla13[[#This Row],[Cap Vh]]*$AX$2)*0.56</f>
        <v>0</v>
      </c>
      <c r="AV155" s="36" t="e">
        <f>(Tabla13[[#This Row],[Cap Util (kg)]]/(Tabla13[[#This Row],[Cap Inst (Kg)]]))</f>
        <v>#DIV/0!</v>
      </c>
    </row>
    <row r="156" spans="1:48" x14ac:dyDescent="0.25">
      <c r="A156" s="13" t="s">
        <v>1068</v>
      </c>
      <c r="B156" s="14" t="s">
        <v>303</v>
      </c>
      <c r="C156" s="14" t="s">
        <v>44</v>
      </c>
      <c r="D156" s="14" t="s">
        <v>44</v>
      </c>
      <c r="E156" s="14" t="s">
        <v>45</v>
      </c>
      <c r="F156" s="14" t="s">
        <v>64</v>
      </c>
      <c r="G156" s="14" t="s">
        <v>65</v>
      </c>
      <c r="H156" s="16" t="s">
        <v>66</v>
      </c>
      <c r="I156" s="14" t="s">
        <v>49</v>
      </c>
      <c r="J156" s="14">
        <v>830064700</v>
      </c>
      <c r="K156" s="14" t="s">
        <v>50</v>
      </c>
      <c r="L156" s="14" t="s">
        <v>103</v>
      </c>
      <c r="M156" s="14" t="s">
        <v>104</v>
      </c>
      <c r="N156" s="14">
        <v>2011</v>
      </c>
      <c r="O156" s="14">
        <v>9</v>
      </c>
      <c r="P156" s="14" t="s">
        <v>53</v>
      </c>
      <c r="Q156" s="14">
        <v>0</v>
      </c>
      <c r="R156" s="14">
        <v>0</v>
      </c>
      <c r="S156" s="17" t="s">
        <v>54</v>
      </c>
      <c r="T156" s="18">
        <v>0</v>
      </c>
      <c r="U156" s="14">
        <v>0</v>
      </c>
      <c r="V156" s="19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f>Tabla13[[#This Row],[CheckList App]]+Tabla13[[#This Row],[CheckList Fisc]]</f>
        <v>0</v>
      </c>
      <c r="AB156" s="19" t="str">
        <f t="shared" si="2"/>
        <v/>
      </c>
      <c r="AC156" s="14">
        <v>0</v>
      </c>
      <c r="AD156" s="14" t="s">
        <v>55</v>
      </c>
      <c r="AE156" s="15" t="str">
        <f>IFERROR((VLOOKUP(Tabla13[[#This Row],[ID]],[1]!Mtto_Pesv[[#Headers],[#Data],[Placa]:[Rutina]],2,FALSE)),"-")</f>
        <v>-</v>
      </c>
      <c r="AF156" s="14">
        <v>0</v>
      </c>
      <c r="AG156" s="20">
        <f>IFERROR((VLOOKUP(Tabla13[[#This Row],[ID]],[1]!Mtto_Pesv[[#Headers],[#Data],[Placa]:[Rutina]],3,FALSE)),0)</f>
        <v>0</v>
      </c>
      <c r="AH156" s="20">
        <f>IFERROR((VLOOKUP(Tabla13[[#This Row],[ID]],[1]!Mtto_Pesv[[#Headers],[#Data],[Placa]:[Rutina]],7,FALSE)),0)</f>
        <v>0</v>
      </c>
      <c r="AI156" s="20">
        <f>IFERROR((VLOOKUP(Tabla13[[#This Row],[ID]],[1]!Mtto_Pesv[[#Headers],[#Data],[Placa]:[Rutina]],8,FALSE)),0)</f>
        <v>0</v>
      </c>
      <c r="AJ156" s="20" t="str">
        <f>IFERROR((VLOOKUP(Tabla13[[#This Row],[ID]],[1]!Mtto_Pesv[[#Headers],[#Data],[Placa]:[Rutina]],9,FALSE)),"-")</f>
        <v>-</v>
      </c>
      <c r="AK156" s="20">
        <f>IFERROR((VLOOKUP(Tabla13[[#This Row],[ID]],[1]!Mtto_Pesv[[#Headers],[#Data],[Placa]:[Rutina]],10,FALSE)),0)</f>
        <v>0</v>
      </c>
      <c r="AL156" s="20">
        <f>IF(Tabla13[[#This Row],[Km Anterior]]=0,0,Tabla13[[#This Row],[Km Ejecut]]-Tabla13[[#This Row],[Km Anterior]])</f>
        <v>0</v>
      </c>
      <c r="AM156" s="20">
        <f>IFERROR((VLOOKUP(Tabla13[[#This Row],[ID]],[1]!Mtto_Pesv[[#Headers],[#Data],[Placa]:[Rutina]],4,FALSE)),0)</f>
        <v>0</v>
      </c>
      <c r="AN156" s="21">
        <f>IFERROR((VLOOKUP(Tabla13[[#This Row],[ID]],[1]!Mtto_Pesv[[#Headers],[#Data],[Placa]:[Rutina]],5,FALSE)),0)</f>
        <v>0</v>
      </c>
      <c r="AO156" s="21">
        <f>+Tabla13[[#This Row],[Km Fin]]-Tabla13[[#This Row],[Km Ini]]</f>
        <v>0</v>
      </c>
      <c r="AP156" s="20">
        <f>IFERROR((VLOOKUP(Tabla13[[#This Row],[ID]],[1]!Estilo_Conduccion[[#All],[Placa]:[Puntuacion]],15,FALSE)),0)</f>
        <v>0</v>
      </c>
      <c r="AQ156" s="15" t="s">
        <v>54</v>
      </c>
      <c r="AR156" s="15" t="s">
        <v>54</v>
      </c>
      <c r="AS156" s="20">
        <v>1585</v>
      </c>
      <c r="AT156" s="21">
        <v>0</v>
      </c>
      <c r="AU156" s="21">
        <f>(Tabla13[[#This Row],[Cap Vh]]*$AX$2)*0.56</f>
        <v>0</v>
      </c>
      <c r="AV156" s="36" t="e">
        <f>(Tabla13[[#This Row],[Cap Util (kg)]]/(Tabla13[[#This Row],[Cap Inst (Kg)]]))</f>
        <v>#DIV/0!</v>
      </c>
    </row>
    <row r="157" spans="1:48" x14ac:dyDescent="0.25">
      <c r="A157" s="13" t="s">
        <v>1068</v>
      </c>
      <c r="B157" s="14" t="s">
        <v>304</v>
      </c>
      <c r="C157" s="14" t="s">
        <v>44</v>
      </c>
      <c r="D157" s="14" t="s">
        <v>44</v>
      </c>
      <c r="E157" s="14" t="s">
        <v>45</v>
      </c>
      <c r="F157" s="14" t="s">
        <v>64</v>
      </c>
      <c r="G157" s="15" t="s">
        <v>47</v>
      </c>
      <c r="H157" s="16" t="s">
        <v>48</v>
      </c>
      <c r="I157" s="14" t="s">
        <v>49</v>
      </c>
      <c r="J157" s="14">
        <v>830064700</v>
      </c>
      <c r="K157" s="14" t="s">
        <v>50</v>
      </c>
      <c r="L157" s="14" t="s">
        <v>103</v>
      </c>
      <c r="M157" s="14" t="s">
        <v>104</v>
      </c>
      <c r="N157" s="14">
        <v>2011</v>
      </c>
      <c r="O157" s="14">
        <v>9</v>
      </c>
      <c r="P157" s="14" t="s">
        <v>53</v>
      </c>
      <c r="Q157" s="14">
        <v>0</v>
      </c>
      <c r="R157" s="14">
        <v>0</v>
      </c>
      <c r="S157" s="17" t="s">
        <v>54</v>
      </c>
      <c r="T157" s="18">
        <v>0</v>
      </c>
      <c r="U157" s="14">
        <v>30</v>
      </c>
      <c r="V157" s="19">
        <v>1</v>
      </c>
      <c r="W157" s="14">
        <v>0</v>
      </c>
      <c r="X157" s="14">
        <v>26</v>
      </c>
      <c r="Y157" s="14">
        <v>26</v>
      </c>
      <c r="Z157" s="14">
        <v>0</v>
      </c>
      <c r="AA157" s="14">
        <f>Tabla13[[#This Row],[CheckList App]]+Tabla13[[#This Row],[CheckList Fisc]]</f>
        <v>26</v>
      </c>
      <c r="AB157" s="19">
        <f t="shared" si="2"/>
        <v>1</v>
      </c>
      <c r="AC157" s="14">
        <v>0</v>
      </c>
      <c r="AD157" s="14" t="s">
        <v>70</v>
      </c>
      <c r="AE157" s="15" t="str">
        <f>IFERROR((VLOOKUP(Tabla13[[#This Row],[ID]],[1]!Mtto_Pesv[[#Headers],[#Data],[Placa]:[Rutina]],2,FALSE)),"-")</f>
        <v>-</v>
      </c>
      <c r="AF157" s="14">
        <v>1</v>
      </c>
      <c r="AG157" s="20">
        <f>IFERROR((VLOOKUP(Tabla13[[#This Row],[ID]],[1]!Mtto_Pesv[[#Headers],[#Data],[Placa]:[Rutina]],3,FALSE)),0)</f>
        <v>0</v>
      </c>
      <c r="AH157" s="20">
        <f>IFERROR((VLOOKUP(Tabla13[[#This Row],[ID]],[1]!Mtto_Pesv[[#Headers],[#Data],[Placa]:[Rutina]],7,FALSE)),0)</f>
        <v>0</v>
      </c>
      <c r="AI157" s="20">
        <f>IFERROR((VLOOKUP(Tabla13[[#This Row],[ID]],[1]!Mtto_Pesv[[#Headers],[#Data],[Placa]:[Rutina]],8,FALSE)),0)</f>
        <v>0</v>
      </c>
      <c r="AJ157" s="20" t="str">
        <f>IFERROR((VLOOKUP(Tabla13[[#This Row],[ID]],[1]!Mtto_Pesv[[#Headers],[#Data],[Placa]:[Rutina]],9,FALSE)),"-")</f>
        <v>-</v>
      </c>
      <c r="AK157" s="20">
        <f>IFERROR((VLOOKUP(Tabla13[[#This Row],[ID]],[1]!Mtto_Pesv[[#Headers],[#Data],[Placa]:[Rutina]],10,FALSE)),0)</f>
        <v>0</v>
      </c>
      <c r="AL157" s="20">
        <f>IF(Tabla13[[#This Row],[Km Anterior]]=0,0,Tabla13[[#This Row],[Km Ejecut]]-Tabla13[[#This Row],[Km Anterior]])</f>
        <v>0</v>
      </c>
      <c r="AM157" s="20">
        <f>IFERROR((VLOOKUP(Tabla13[[#This Row],[ID]],[1]!Mtto_Pesv[[#Headers],[#Data],[Placa]:[Rutina]],4,FALSE)),0)</f>
        <v>0</v>
      </c>
      <c r="AN157" s="21">
        <f>IFERROR((VLOOKUP(Tabla13[[#This Row],[ID]],[1]!Mtto_Pesv[[#Headers],[#Data],[Placa]:[Rutina]],5,FALSE)),0)</f>
        <v>0</v>
      </c>
      <c r="AO157" s="21">
        <f>+Tabla13[[#This Row],[Km Fin]]-Tabla13[[#This Row],[Km Ini]]</f>
        <v>0</v>
      </c>
      <c r="AP157" s="20">
        <f>IFERROR((VLOOKUP(Tabla13[[#This Row],[ID]],[1]!Estilo_Conduccion[[#All],[Placa]:[Puntuacion]],15,FALSE)),0)</f>
        <v>0</v>
      </c>
      <c r="AQ157" s="15" t="s">
        <v>1084</v>
      </c>
      <c r="AR157" s="15" t="s">
        <v>1085</v>
      </c>
      <c r="AS157" s="20">
        <v>1585</v>
      </c>
      <c r="AT157" s="21">
        <v>4974.8571428571431</v>
      </c>
      <c r="AU157" s="21">
        <f>(Tabla13[[#This Row],[Cap Vh]]*$AX$2)*0.56</f>
        <v>0</v>
      </c>
      <c r="AV157" s="36" t="e">
        <f>(Tabla13[[#This Row],[Cap Util (kg)]]/(Tabla13[[#This Row],[Cap Inst (Kg)]]))</f>
        <v>#DIV/0!</v>
      </c>
    </row>
    <row r="158" spans="1:48" x14ac:dyDescent="0.25">
      <c r="A158" s="13" t="s">
        <v>1068</v>
      </c>
      <c r="B158" s="14" t="s">
        <v>305</v>
      </c>
      <c r="C158" s="14" t="s">
        <v>44</v>
      </c>
      <c r="D158" s="14" t="s">
        <v>44</v>
      </c>
      <c r="E158" s="14" t="s">
        <v>45</v>
      </c>
      <c r="F158" s="14" t="s">
        <v>46</v>
      </c>
      <c r="G158" s="15" t="s">
        <v>47</v>
      </c>
      <c r="H158" s="16" t="s">
        <v>48</v>
      </c>
      <c r="I158" s="14" t="s">
        <v>49</v>
      </c>
      <c r="J158" s="14">
        <v>830064700</v>
      </c>
      <c r="K158" s="14" t="s">
        <v>50</v>
      </c>
      <c r="L158" s="14" t="s">
        <v>103</v>
      </c>
      <c r="M158" s="14" t="s">
        <v>104</v>
      </c>
      <c r="N158" s="14">
        <v>2011</v>
      </c>
      <c r="O158" s="14">
        <v>9</v>
      </c>
      <c r="P158" s="14" t="s">
        <v>53</v>
      </c>
      <c r="Q158" s="14">
        <v>0</v>
      </c>
      <c r="R158" s="14">
        <v>0</v>
      </c>
      <c r="S158" s="17" t="s">
        <v>54</v>
      </c>
      <c r="T158" s="18">
        <v>0</v>
      </c>
      <c r="U158" s="14">
        <v>30</v>
      </c>
      <c r="V158" s="19">
        <v>1</v>
      </c>
      <c r="W158" s="14">
        <v>0</v>
      </c>
      <c r="X158" s="14">
        <v>0</v>
      </c>
      <c r="Y158" s="14">
        <v>0</v>
      </c>
      <c r="Z158" s="14">
        <v>0</v>
      </c>
      <c r="AA158" s="14">
        <f>Tabla13[[#This Row],[CheckList App]]+Tabla13[[#This Row],[CheckList Fisc]]</f>
        <v>0</v>
      </c>
      <c r="AB158" s="19">
        <f t="shared" si="2"/>
        <v>0</v>
      </c>
      <c r="AC158" s="14">
        <v>0</v>
      </c>
      <c r="AD158" s="14" t="s">
        <v>55</v>
      </c>
      <c r="AE158" s="15" t="str">
        <f>IFERROR((VLOOKUP(Tabla13[[#This Row],[ID]],[1]!Mtto_Pesv[[#Headers],[#Data],[Placa]:[Rutina]],2,FALSE)),"-")</f>
        <v>-</v>
      </c>
      <c r="AF158" s="14">
        <v>0</v>
      </c>
      <c r="AG158" s="20">
        <f>IFERROR((VLOOKUP(Tabla13[[#This Row],[ID]],[1]!Mtto_Pesv[[#Headers],[#Data],[Placa]:[Rutina]],3,FALSE)),0)</f>
        <v>0</v>
      </c>
      <c r="AH158" s="20">
        <f>IFERROR((VLOOKUP(Tabla13[[#This Row],[ID]],[1]!Mtto_Pesv[[#Headers],[#Data],[Placa]:[Rutina]],7,FALSE)),0)</f>
        <v>0</v>
      </c>
      <c r="AI158" s="20">
        <f>IFERROR((VLOOKUP(Tabla13[[#This Row],[ID]],[1]!Mtto_Pesv[[#Headers],[#Data],[Placa]:[Rutina]],8,FALSE)),0)</f>
        <v>0</v>
      </c>
      <c r="AJ158" s="20" t="str">
        <f>IFERROR((VLOOKUP(Tabla13[[#This Row],[ID]],[1]!Mtto_Pesv[[#Headers],[#Data],[Placa]:[Rutina]],9,FALSE)),"-")</f>
        <v>-</v>
      </c>
      <c r="AK158" s="20">
        <f>IFERROR((VLOOKUP(Tabla13[[#This Row],[ID]],[1]!Mtto_Pesv[[#Headers],[#Data],[Placa]:[Rutina]],10,FALSE)),0)</f>
        <v>0</v>
      </c>
      <c r="AL158" s="20">
        <f>IF(Tabla13[[#This Row],[Km Anterior]]=0,0,Tabla13[[#This Row],[Km Ejecut]]-Tabla13[[#This Row],[Km Anterior]])</f>
        <v>0</v>
      </c>
      <c r="AM158" s="20">
        <f>IFERROR((VLOOKUP(Tabla13[[#This Row],[ID]],[1]!Mtto_Pesv[[#Headers],[#Data],[Placa]:[Rutina]],4,FALSE)),0)</f>
        <v>0</v>
      </c>
      <c r="AN158" s="21">
        <f>IFERROR((VLOOKUP(Tabla13[[#This Row],[ID]],[1]!Mtto_Pesv[[#Headers],[#Data],[Placa]:[Rutina]],5,FALSE)),0)</f>
        <v>0</v>
      </c>
      <c r="AO158" s="21">
        <f>+Tabla13[[#This Row],[Km Fin]]-Tabla13[[#This Row],[Km Ini]]</f>
        <v>0</v>
      </c>
      <c r="AP158" s="20">
        <f>IFERROR((VLOOKUP(Tabla13[[#This Row],[ID]],[1]!Estilo_Conduccion[[#All],[Placa]:[Puntuacion]],15,FALSE)),0)</f>
        <v>0</v>
      </c>
      <c r="AQ158" s="15" t="s">
        <v>1189</v>
      </c>
      <c r="AR158" s="15" t="s">
        <v>1190</v>
      </c>
      <c r="AS158" s="20">
        <v>1585</v>
      </c>
      <c r="AT158" s="21">
        <v>5104.5</v>
      </c>
      <c r="AU158" s="21">
        <f>(Tabla13[[#This Row],[Cap Vh]]*$AX$2)*0.56</f>
        <v>0</v>
      </c>
      <c r="AV158" s="36" t="e">
        <f>(Tabla13[[#This Row],[Cap Util (kg)]]/(Tabla13[[#This Row],[Cap Inst (Kg)]]))</f>
        <v>#DIV/0!</v>
      </c>
    </row>
    <row r="159" spans="1:48" x14ac:dyDescent="0.25">
      <c r="A159" s="13" t="s">
        <v>1068</v>
      </c>
      <c r="B159" s="14" t="s">
        <v>306</v>
      </c>
      <c r="C159" s="14" t="s">
        <v>44</v>
      </c>
      <c r="D159" s="14" t="s">
        <v>44</v>
      </c>
      <c r="E159" s="14" t="s">
        <v>45</v>
      </c>
      <c r="F159" s="14" t="s">
        <v>64</v>
      </c>
      <c r="G159" s="15" t="s">
        <v>65</v>
      </c>
      <c r="H159" s="16" t="s">
        <v>120</v>
      </c>
      <c r="I159" s="14" t="s">
        <v>49</v>
      </c>
      <c r="J159" s="14">
        <v>830064700</v>
      </c>
      <c r="K159" s="14" t="s">
        <v>50</v>
      </c>
      <c r="L159" s="14" t="s">
        <v>103</v>
      </c>
      <c r="M159" s="14" t="s">
        <v>104</v>
      </c>
      <c r="N159" s="14">
        <v>2011</v>
      </c>
      <c r="O159" s="14">
        <v>9</v>
      </c>
      <c r="P159" s="14" t="s">
        <v>53</v>
      </c>
      <c r="Q159" s="14">
        <v>0</v>
      </c>
      <c r="R159" s="14">
        <v>0</v>
      </c>
      <c r="S159" s="17" t="s">
        <v>54</v>
      </c>
      <c r="T159" s="18">
        <v>0</v>
      </c>
      <c r="U159" s="14">
        <v>0</v>
      </c>
      <c r="V159" s="19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f>Tabla13[[#This Row],[CheckList App]]+Tabla13[[#This Row],[CheckList Fisc]]</f>
        <v>0</v>
      </c>
      <c r="AB159" s="19" t="str">
        <f t="shared" si="2"/>
        <v/>
      </c>
      <c r="AC159" s="14">
        <v>0</v>
      </c>
      <c r="AD159" s="14" t="s">
        <v>55</v>
      </c>
      <c r="AE159" s="15" t="str">
        <f>IFERROR((VLOOKUP(Tabla13[[#This Row],[ID]],[1]!Mtto_Pesv[[#Headers],[#Data],[Placa]:[Rutina]],2,FALSE)),"-")</f>
        <v>-</v>
      </c>
      <c r="AF159" s="14">
        <v>0</v>
      </c>
      <c r="AG159" s="20">
        <f>IFERROR((VLOOKUP(Tabla13[[#This Row],[ID]],[1]!Mtto_Pesv[[#Headers],[#Data],[Placa]:[Rutina]],3,FALSE)),0)</f>
        <v>0</v>
      </c>
      <c r="AH159" s="20">
        <f>IFERROR((VLOOKUP(Tabla13[[#This Row],[ID]],[1]!Mtto_Pesv[[#Headers],[#Data],[Placa]:[Rutina]],7,FALSE)),0)</f>
        <v>0</v>
      </c>
      <c r="AI159" s="20">
        <f>IFERROR((VLOOKUP(Tabla13[[#This Row],[ID]],[1]!Mtto_Pesv[[#Headers],[#Data],[Placa]:[Rutina]],8,FALSE)),0)</f>
        <v>0</v>
      </c>
      <c r="AJ159" s="20" t="str">
        <f>IFERROR((VLOOKUP(Tabla13[[#This Row],[ID]],[1]!Mtto_Pesv[[#Headers],[#Data],[Placa]:[Rutina]],9,FALSE)),"-")</f>
        <v>-</v>
      </c>
      <c r="AK159" s="20">
        <f>IFERROR((VLOOKUP(Tabla13[[#This Row],[ID]],[1]!Mtto_Pesv[[#Headers],[#Data],[Placa]:[Rutina]],10,FALSE)),0)</f>
        <v>0</v>
      </c>
      <c r="AL159" s="20">
        <f>IF(Tabla13[[#This Row],[Km Anterior]]=0,0,Tabla13[[#This Row],[Km Ejecut]]-Tabla13[[#This Row],[Km Anterior]])</f>
        <v>0</v>
      </c>
      <c r="AM159" s="20">
        <f>IFERROR((VLOOKUP(Tabla13[[#This Row],[ID]],[1]!Mtto_Pesv[[#Headers],[#Data],[Placa]:[Rutina]],4,FALSE)),0)</f>
        <v>0</v>
      </c>
      <c r="AN159" s="21">
        <f>IFERROR((VLOOKUP(Tabla13[[#This Row],[ID]],[1]!Mtto_Pesv[[#Headers],[#Data],[Placa]:[Rutina]],5,FALSE)),0)</f>
        <v>0</v>
      </c>
      <c r="AO159" s="21">
        <f>+Tabla13[[#This Row],[Km Fin]]-Tabla13[[#This Row],[Km Ini]]</f>
        <v>0</v>
      </c>
      <c r="AP159" s="20">
        <f>IFERROR((VLOOKUP(Tabla13[[#This Row],[ID]],[1]!Estilo_Conduccion[[#All],[Placa]:[Puntuacion]],15,FALSE)),0)</f>
        <v>0</v>
      </c>
      <c r="AQ159" s="15" t="s">
        <v>54</v>
      </c>
      <c r="AR159" s="15" t="s">
        <v>54</v>
      </c>
      <c r="AS159" s="20">
        <v>1585</v>
      </c>
      <c r="AT159" s="21">
        <v>0</v>
      </c>
      <c r="AU159" s="21">
        <f>(Tabla13[[#This Row],[Cap Vh]]*$AX$2)*0.56</f>
        <v>0</v>
      </c>
      <c r="AV159" s="36" t="e">
        <f>(Tabla13[[#This Row],[Cap Util (kg)]]/(Tabla13[[#This Row],[Cap Inst (Kg)]]))</f>
        <v>#DIV/0!</v>
      </c>
    </row>
    <row r="160" spans="1:48" x14ac:dyDescent="0.25">
      <c r="A160" s="13" t="s">
        <v>1068</v>
      </c>
      <c r="B160" s="14" t="s">
        <v>307</v>
      </c>
      <c r="C160" s="14" t="s">
        <v>44</v>
      </c>
      <c r="D160" s="14" t="s">
        <v>44</v>
      </c>
      <c r="E160" s="14" t="s">
        <v>45</v>
      </c>
      <c r="F160" s="14" t="s">
        <v>46</v>
      </c>
      <c r="G160" s="15" t="s">
        <v>47</v>
      </c>
      <c r="H160" s="16" t="s">
        <v>48</v>
      </c>
      <c r="I160" s="14" t="s">
        <v>49</v>
      </c>
      <c r="J160" s="14">
        <v>830064700</v>
      </c>
      <c r="K160" s="14" t="s">
        <v>50</v>
      </c>
      <c r="L160" s="14" t="s">
        <v>103</v>
      </c>
      <c r="M160" s="14" t="s">
        <v>104</v>
      </c>
      <c r="N160" s="14">
        <v>2011</v>
      </c>
      <c r="O160" s="14">
        <v>9</v>
      </c>
      <c r="P160" s="14" t="s">
        <v>53</v>
      </c>
      <c r="Q160" s="14">
        <v>0</v>
      </c>
      <c r="R160" s="14">
        <v>0</v>
      </c>
      <c r="S160" s="17" t="s">
        <v>54</v>
      </c>
      <c r="T160" s="18">
        <v>0</v>
      </c>
      <c r="U160" s="14">
        <v>30</v>
      </c>
      <c r="V160" s="19">
        <v>1</v>
      </c>
      <c r="W160" s="14">
        <v>0</v>
      </c>
      <c r="X160" s="14">
        <v>0</v>
      </c>
      <c r="Y160" s="14">
        <v>0</v>
      </c>
      <c r="Z160" s="14">
        <v>0</v>
      </c>
      <c r="AA160" s="14">
        <f>Tabla13[[#This Row],[CheckList App]]+Tabla13[[#This Row],[CheckList Fisc]]</f>
        <v>0</v>
      </c>
      <c r="AB160" s="19">
        <f t="shared" si="2"/>
        <v>0</v>
      </c>
      <c r="AC160" s="14">
        <v>0</v>
      </c>
      <c r="AD160" s="14" t="s">
        <v>70</v>
      </c>
      <c r="AE160" s="15" t="str">
        <f>IFERROR((VLOOKUP(Tabla13[[#This Row],[ID]],[1]!Mtto_Pesv[[#Headers],[#Data],[Placa]:[Rutina]],2,FALSE)),"-")</f>
        <v>-</v>
      </c>
      <c r="AF160" s="14">
        <v>1</v>
      </c>
      <c r="AG160" s="20">
        <f>IFERROR((VLOOKUP(Tabla13[[#This Row],[ID]],[1]!Mtto_Pesv[[#Headers],[#Data],[Placa]:[Rutina]],3,FALSE)),0)</f>
        <v>0</v>
      </c>
      <c r="AH160" s="20">
        <f>IFERROR((VLOOKUP(Tabla13[[#This Row],[ID]],[1]!Mtto_Pesv[[#Headers],[#Data],[Placa]:[Rutina]],7,FALSE)),0)</f>
        <v>0</v>
      </c>
      <c r="AI160" s="20">
        <f>IFERROR((VLOOKUP(Tabla13[[#This Row],[ID]],[1]!Mtto_Pesv[[#Headers],[#Data],[Placa]:[Rutina]],8,FALSE)),0)</f>
        <v>0</v>
      </c>
      <c r="AJ160" s="20" t="str">
        <f>IFERROR((VLOOKUP(Tabla13[[#This Row],[ID]],[1]!Mtto_Pesv[[#Headers],[#Data],[Placa]:[Rutina]],9,FALSE)),"-")</f>
        <v>-</v>
      </c>
      <c r="AK160" s="20">
        <f>IFERROR((VLOOKUP(Tabla13[[#This Row],[ID]],[1]!Mtto_Pesv[[#Headers],[#Data],[Placa]:[Rutina]],10,FALSE)),0)</f>
        <v>0</v>
      </c>
      <c r="AL160" s="20">
        <f>IF(Tabla13[[#This Row],[Km Anterior]]=0,0,Tabla13[[#This Row],[Km Ejecut]]-Tabla13[[#This Row],[Km Anterior]])</f>
        <v>0</v>
      </c>
      <c r="AM160" s="20">
        <f>IFERROR((VLOOKUP(Tabla13[[#This Row],[ID]],[1]!Mtto_Pesv[[#Headers],[#Data],[Placa]:[Rutina]],4,FALSE)),0)</f>
        <v>0</v>
      </c>
      <c r="AN160" s="21">
        <f>IFERROR((VLOOKUP(Tabla13[[#This Row],[ID]],[1]!Mtto_Pesv[[#Headers],[#Data],[Placa]:[Rutina]],5,FALSE)),0)</f>
        <v>0</v>
      </c>
      <c r="AO160" s="21">
        <f>+Tabla13[[#This Row],[Km Fin]]-Tabla13[[#This Row],[Km Ini]]</f>
        <v>0</v>
      </c>
      <c r="AP160" s="20">
        <f>IFERROR((VLOOKUP(Tabla13[[#This Row],[ID]],[1]!Estilo_Conduccion[[#All],[Placa]:[Puntuacion]],15,FALSE)),0)</f>
        <v>0</v>
      </c>
      <c r="AQ160" s="15" t="s">
        <v>1191</v>
      </c>
      <c r="AR160" s="15" t="s">
        <v>1192</v>
      </c>
      <c r="AS160" s="20">
        <v>1585</v>
      </c>
      <c r="AT160" s="21">
        <v>16692</v>
      </c>
      <c r="AU160" s="21">
        <f>(Tabla13[[#This Row],[Cap Vh]]*$AX$2)*0.56</f>
        <v>0</v>
      </c>
      <c r="AV160" s="36" t="e">
        <f>(Tabla13[[#This Row],[Cap Util (kg)]]/(Tabla13[[#This Row],[Cap Inst (Kg)]]))</f>
        <v>#DIV/0!</v>
      </c>
    </row>
    <row r="161" spans="1:48" x14ac:dyDescent="0.25">
      <c r="A161" s="13" t="s">
        <v>1068</v>
      </c>
      <c r="B161" s="14" t="s">
        <v>308</v>
      </c>
      <c r="C161" s="14" t="s">
        <v>44</v>
      </c>
      <c r="D161" s="14" t="s">
        <v>44</v>
      </c>
      <c r="E161" s="14" t="s">
        <v>60</v>
      </c>
      <c r="F161" s="14" t="s">
        <v>46</v>
      </c>
      <c r="G161" s="15" t="s">
        <v>47</v>
      </c>
      <c r="H161" s="16" t="s">
        <v>48</v>
      </c>
      <c r="I161" s="14" t="s">
        <v>49</v>
      </c>
      <c r="J161" s="14">
        <v>830064700</v>
      </c>
      <c r="K161" s="14" t="s">
        <v>50</v>
      </c>
      <c r="L161" s="14" t="s">
        <v>103</v>
      </c>
      <c r="M161" s="14" t="s">
        <v>104</v>
      </c>
      <c r="N161" s="14">
        <v>2011</v>
      </c>
      <c r="O161" s="14">
        <v>9</v>
      </c>
      <c r="P161" s="14" t="s">
        <v>53</v>
      </c>
      <c r="Q161" s="14">
        <v>0</v>
      </c>
      <c r="R161" s="14">
        <v>0</v>
      </c>
      <c r="S161" s="17" t="s">
        <v>54</v>
      </c>
      <c r="T161" s="18">
        <v>0</v>
      </c>
      <c r="U161" s="14">
        <v>30</v>
      </c>
      <c r="V161" s="19">
        <v>1</v>
      </c>
      <c r="W161" s="14">
        <v>0</v>
      </c>
      <c r="X161" s="14">
        <v>0</v>
      </c>
      <c r="Y161" s="14">
        <v>0</v>
      </c>
      <c r="Z161" s="14">
        <v>0</v>
      </c>
      <c r="AA161" s="14">
        <f>Tabla13[[#This Row],[CheckList App]]+Tabla13[[#This Row],[CheckList Fisc]]</f>
        <v>0</v>
      </c>
      <c r="AB161" s="19">
        <f t="shared" si="2"/>
        <v>0</v>
      </c>
      <c r="AC161" s="14">
        <v>0</v>
      </c>
      <c r="AD161" s="14" t="s">
        <v>55</v>
      </c>
      <c r="AE161" s="15" t="str">
        <f>IFERROR((VLOOKUP(Tabla13[[#This Row],[ID]],[1]!Mtto_Pesv[[#Headers],[#Data],[Placa]:[Rutina]],2,FALSE)),"-")</f>
        <v>-</v>
      </c>
      <c r="AF161" s="14">
        <v>0</v>
      </c>
      <c r="AG161" s="20">
        <f>IFERROR((VLOOKUP(Tabla13[[#This Row],[ID]],[1]!Mtto_Pesv[[#Headers],[#Data],[Placa]:[Rutina]],3,FALSE)),0)</f>
        <v>0</v>
      </c>
      <c r="AH161" s="20">
        <f>IFERROR((VLOOKUP(Tabla13[[#This Row],[ID]],[1]!Mtto_Pesv[[#Headers],[#Data],[Placa]:[Rutina]],7,FALSE)),0)</f>
        <v>0</v>
      </c>
      <c r="AI161" s="20">
        <f>IFERROR((VLOOKUP(Tabla13[[#This Row],[ID]],[1]!Mtto_Pesv[[#Headers],[#Data],[Placa]:[Rutina]],8,FALSE)),0)</f>
        <v>0</v>
      </c>
      <c r="AJ161" s="20" t="str">
        <f>IFERROR((VLOOKUP(Tabla13[[#This Row],[ID]],[1]!Mtto_Pesv[[#Headers],[#Data],[Placa]:[Rutina]],9,FALSE)),"-")</f>
        <v>-</v>
      </c>
      <c r="AK161" s="20">
        <f>IFERROR((VLOOKUP(Tabla13[[#This Row],[ID]],[1]!Mtto_Pesv[[#Headers],[#Data],[Placa]:[Rutina]],10,FALSE)),0)</f>
        <v>0</v>
      </c>
      <c r="AL161" s="20">
        <f>IF(Tabla13[[#This Row],[Km Anterior]]=0,0,Tabla13[[#This Row],[Km Ejecut]]-Tabla13[[#This Row],[Km Anterior]])</f>
        <v>0</v>
      </c>
      <c r="AM161" s="20">
        <f>IFERROR((VLOOKUP(Tabla13[[#This Row],[ID]],[1]!Mtto_Pesv[[#Headers],[#Data],[Placa]:[Rutina]],4,FALSE)),0)</f>
        <v>0</v>
      </c>
      <c r="AN161" s="21">
        <f>IFERROR((VLOOKUP(Tabla13[[#This Row],[ID]],[1]!Mtto_Pesv[[#Headers],[#Data],[Placa]:[Rutina]],5,FALSE)),0)</f>
        <v>0</v>
      </c>
      <c r="AO161" s="21">
        <f>+Tabla13[[#This Row],[Km Fin]]-Tabla13[[#This Row],[Km Ini]]</f>
        <v>0</v>
      </c>
      <c r="AP161" s="20">
        <f>IFERROR((VLOOKUP(Tabla13[[#This Row],[ID]],[1]!Estilo_Conduccion[[#All],[Placa]:[Puntuacion]],15,FALSE)),0)</f>
        <v>0</v>
      </c>
      <c r="AQ161" s="15" t="s">
        <v>1082</v>
      </c>
      <c r="AR161" s="15" t="s">
        <v>1083</v>
      </c>
      <c r="AS161" s="20">
        <v>1585</v>
      </c>
      <c r="AT161" s="21">
        <v>2634.1875</v>
      </c>
      <c r="AU161" s="21">
        <f>(Tabla13[[#This Row],[Cap Vh]]*$AX$2)*0.56</f>
        <v>0</v>
      </c>
      <c r="AV161" s="36" t="e">
        <f>(Tabla13[[#This Row],[Cap Util (kg)]]/(Tabla13[[#This Row],[Cap Inst (Kg)]]))</f>
        <v>#DIV/0!</v>
      </c>
    </row>
    <row r="162" spans="1:48" x14ac:dyDescent="0.25">
      <c r="A162" s="13" t="s">
        <v>1068</v>
      </c>
      <c r="B162" s="14" t="s">
        <v>309</v>
      </c>
      <c r="C162" s="14" t="s">
        <v>44</v>
      </c>
      <c r="D162" s="14" t="s">
        <v>44</v>
      </c>
      <c r="E162" s="14" t="s">
        <v>69</v>
      </c>
      <c r="F162" s="14" t="s">
        <v>46</v>
      </c>
      <c r="G162" s="15" t="s">
        <v>47</v>
      </c>
      <c r="H162" s="16" t="s">
        <v>48</v>
      </c>
      <c r="I162" s="14" t="s">
        <v>49</v>
      </c>
      <c r="J162" s="14">
        <v>830064700</v>
      </c>
      <c r="K162" s="14" t="s">
        <v>50</v>
      </c>
      <c r="L162" s="14" t="s">
        <v>103</v>
      </c>
      <c r="M162" s="14" t="s">
        <v>104</v>
      </c>
      <c r="N162" s="14">
        <v>2011</v>
      </c>
      <c r="O162" s="14">
        <v>9</v>
      </c>
      <c r="P162" s="14" t="s">
        <v>53</v>
      </c>
      <c r="Q162" s="14">
        <v>0</v>
      </c>
      <c r="R162" s="14">
        <v>0</v>
      </c>
      <c r="S162" s="17" t="s">
        <v>54</v>
      </c>
      <c r="T162" s="18">
        <v>0</v>
      </c>
      <c r="U162" s="14">
        <v>30</v>
      </c>
      <c r="V162" s="19">
        <v>1</v>
      </c>
      <c r="W162" s="14">
        <v>0</v>
      </c>
      <c r="X162" s="14">
        <v>0</v>
      </c>
      <c r="Y162" s="14">
        <v>0</v>
      </c>
      <c r="Z162" s="14">
        <v>0</v>
      </c>
      <c r="AA162" s="14">
        <f>Tabla13[[#This Row],[CheckList App]]+Tabla13[[#This Row],[CheckList Fisc]]</f>
        <v>0</v>
      </c>
      <c r="AB162" s="19">
        <f t="shared" si="2"/>
        <v>0</v>
      </c>
      <c r="AC162" s="14">
        <v>0</v>
      </c>
      <c r="AD162" s="14" t="s">
        <v>55</v>
      </c>
      <c r="AE162" s="15" t="str">
        <f>IFERROR((VLOOKUP(Tabla13[[#This Row],[ID]],[1]!Mtto_Pesv[[#Headers],[#Data],[Placa]:[Rutina]],2,FALSE)),"-")</f>
        <v>-</v>
      </c>
      <c r="AF162" s="14">
        <v>0</v>
      </c>
      <c r="AG162" s="20">
        <f>IFERROR((VLOOKUP(Tabla13[[#This Row],[ID]],[1]!Mtto_Pesv[[#Headers],[#Data],[Placa]:[Rutina]],3,FALSE)),0)</f>
        <v>0</v>
      </c>
      <c r="AH162" s="20">
        <f>IFERROR((VLOOKUP(Tabla13[[#This Row],[ID]],[1]!Mtto_Pesv[[#Headers],[#Data],[Placa]:[Rutina]],7,FALSE)),0)</f>
        <v>0</v>
      </c>
      <c r="AI162" s="20">
        <f>IFERROR((VLOOKUP(Tabla13[[#This Row],[ID]],[1]!Mtto_Pesv[[#Headers],[#Data],[Placa]:[Rutina]],8,FALSE)),0)</f>
        <v>0</v>
      </c>
      <c r="AJ162" s="20" t="str">
        <f>IFERROR((VLOOKUP(Tabla13[[#This Row],[ID]],[1]!Mtto_Pesv[[#Headers],[#Data],[Placa]:[Rutina]],9,FALSE)),"-")</f>
        <v>-</v>
      </c>
      <c r="AK162" s="20">
        <f>IFERROR((VLOOKUP(Tabla13[[#This Row],[ID]],[1]!Mtto_Pesv[[#Headers],[#Data],[Placa]:[Rutina]],10,FALSE)),0)</f>
        <v>0</v>
      </c>
      <c r="AL162" s="20">
        <f>IF(Tabla13[[#This Row],[Km Anterior]]=0,0,Tabla13[[#This Row],[Km Ejecut]]-Tabla13[[#This Row],[Km Anterior]])</f>
        <v>0</v>
      </c>
      <c r="AM162" s="20">
        <f>IFERROR((VLOOKUP(Tabla13[[#This Row],[ID]],[1]!Mtto_Pesv[[#Headers],[#Data],[Placa]:[Rutina]],4,FALSE)),0)</f>
        <v>0</v>
      </c>
      <c r="AN162" s="21">
        <f>IFERROR((VLOOKUP(Tabla13[[#This Row],[ID]],[1]!Mtto_Pesv[[#Headers],[#Data],[Placa]:[Rutina]],5,FALSE)),0)</f>
        <v>0</v>
      </c>
      <c r="AO162" s="21">
        <f>+Tabla13[[#This Row],[Km Fin]]-Tabla13[[#This Row],[Km Ini]]</f>
        <v>0</v>
      </c>
      <c r="AP162" s="20">
        <f>IFERROR((VLOOKUP(Tabla13[[#This Row],[ID]],[1]!Estilo_Conduccion[[#All],[Placa]:[Puntuacion]],15,FALSE)),0)</f>
        <v>0</v>
      </c>
      <c r="AQ162" s="15" t="s">
        <v>1193</v>
      </c>
      <c r="AR162" s="15" t="s">
        <v>1194</v>
      </c>
      <c r="AS162" s="20">
        <v>1585</v>
      </c>
      <c r="AT162" s="21">
        <v>5841</v>
      </c>
      <c r="AU162" s="21">
        <f>(Tabla13[[#This Row],[Cap Vh]]*$AX$2)*0.56</f>
        <v>0</v>
      </c>
      <c r="AV162" s="36" t="e">
        <f>(Tabla13[[#This Row],[Cap Util (kg)]]/(Tabla13[[#This Row],[Cap Inst (Kg)]]))</f>
        <v>#DIV/0!</v>
      </c>
    </row>
    <row r="163" spans="1:48" x14ac:dyDescent="0.25">
      <c r="A163" s="13" t="s">
        <v>1068</v>
      </c>
      <c r="B163" s="14" t="s">
        <v>310</v>
      </c>
      <c r="C163" s="14" t="s">
        <v>44</v>
      </c>
      <c r="D163" s="14" t="s">
        <v>44</v>
      </c>
      <c r="E163" s="14" t="s">
        <v>63</v>
      </c>
      <c r="F163" s="14" t="s">
        <v>76</v>
      </c>
      <c r="G163" s="15" t="s">
        <v>89</v>
      </c>
      <c r="H163" s="16" t="s">
        <v>90</v>
      </c>
      <c r="I163" s="14" t="s">
        <v>49</v>
      </c>
      <c r="J163" s="14">
        <v>830064700</v>
      </c>
      <c r="K163" s="14" t="s">
        <v>50</v>
      </c>
      <c r="L163" s="14" t="s">
        <v>103</v>
      </c>
      <c r="M163" s="14" t="s">
        <v>104</v>
      </c>
      <c r="N163" s="14">
        <v>2011</v>
      </c>
      <c r="O163" s="14">
        <v>9</v>
      </c>
      <c r="P163" s="14" t="s">
        <v>53</v>
      </c>
      <c r="Q163" s="14">
        <v>0</v>
      </c>
      <c r="R163" s="14">
        <v>0</v>
      </c>
      <c r="S163" s="17" t="s">
        <v>54</v>
      </c>
      <c r="T163" s="18">
        <v>0</v>
      </c>
      <c r="U163" s="14">
        <v>0</v>
      </c>
      <c r="V163" s="19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f>Tabla13[[#This Row],[CheckList App]]+Tabla13[[#This Row],[CheckList Fisc]]</f>
        <v>0</v>
      </c>
      <c r="AB163" s="19" t="str">
        <f t="shared" si="2"/>
        <v/>
      </c>
      <c r="AC163" s="14">
        <v>0</v>
      </c>
      <c r="AD163" s="14" t="s">
        <v>55</v>
      </c>
      <c r="AE163" s="15" t="str">
        <f>IFERROR((VLOOKUP(Tabla13[[#This Row],[ID]],[1]!Mtto_Pesv[[#Headers],[#Data],[Placa]:[Rutina]],2,FALSE)),"-")</f>
        <v>-</v>
      </c>
      <c r="AF163" s="14">
        <v>0</v>
      </c>
      <c r="AG163" s="20">
        <f>IFERROR((VLOOKUP(Tabla13[[#This Row],[ID]],[1]!Mtto_Pesv[[#Headers],[#Data],[Placa]:[Rutina]],3,FALSE)),0)</f>
        <v>0</v>
      </c>
      <c r="AH163" s="20">
        <f>IFERROR((VLOOKUP(Tabla13[[#This Row],[ID]],[1]!Mtto_Pesv[[#Headers],[#Data],[Placa]:[Rutina]],7,FALSE)),0)</f>
        <v>0</v>
      </c>
      <c r="AI163" s="20">
        <f>IFERROR((VLOOKUP(Tabla13[[#This Row],[ID]],[1]!Mtto_Pesv[[#Headers],[#Data],[Placa]:[Rutina]],8,FALSE)),0)</f>
        <v>0</v>
      </c>
      <c r="AJ163" s="20" t="str">
        <f>IFERROR((VLOOKUP(Tabla13[[#This Row],[ID]],[1]!Mtto_Pesv[[#Headers],[#Data],[Placa]:[Rutina]],9,FALSE)),"-")</f>
        <v>-</v>
      </c>
      <c r="AK163" s="20">
        <f>IFERROR((VLOOKUP(Tabla13[[#This Row],[ID]],[1]!Mtto_Pesv[[#Headers],[#Data],[Placa]:[Rutina]],10,FALSE)),0)</f>
        <v>0</v>
      </c>
      <c r="AL163" s="20">
        <f>IF(Tabla13[[#This Row],[Km Anterior]]=0,0,Tabla13[[#This Row],[Km Ejecut]]-Tabla13[[#This Row],[Km Anterior]])</f>
        <v>0</v>
      </c>
      <c r="AM163" s="20">
        <f>IFERROR((VLOOKUP(Tabla13[[#This Row],[ID]],[1]!Mtto_Pesv[[#Headers],[#Data],[Placa]:[Rutina]],4,FALSE)),0)</f>
        <v>0</v>
      </c>
      <c r="AN163" s="21">
        <f>IFERROR((VLOOKUP(Tabla13[[#This Row],[ID]],[1]!Mtto_Pesv[[#Headers],[#Data],[Placa]:[Rutina]],5,FALSE)),0)</f>
        <v>0</v>
      </c>
      <c r="AO163" s="21">
        <f>+Tabla13[[#This Row],[Km Fin]]-Tabla13[[#This Row],[Km Ini]]</f>
        <v>0</v>
      </c>
      <c r="AP163" s="20">
        <f>IFERROR((VLOOKUP(Tabla13[[#This Row],[ID]],[1]!Estilo_Conduccion[[#All],[Placa]:[Puntuacion]],15,FALSE)),0)</f>
        <v>0</v>
      </c>
      <c r="AQ163" s="15" t="s">
        <v>1124</v>
      </c>
      <c r="AR163" s="15" t="s">
        <v>1125</v>
      </c>
      <c r="AS163" s="20">
        <v>1585</v>
      </c>
      <c r="AT163" s="21">
        <v>11548.5</v>
      </c>
      <c r="AU163" s="21">
        <f>(Tabla13[[#This Row],[Cap Vh]]*$AX$2)*0.56</f>
        <v>0</v>
      </c>
      <c r="AV163" s="36" t="e">
        <f>(Tabla13[[#This Row],[Cap Util (kg)]]/(Tabla13[[#This Row],[Cap Inst (Kg)]]))</f>
        <v>#DIV/0!</v>
      </c>
    </row>
    <row r="164" spans="1:48" x14ac:dyDescent="0.25">
      <c r="A164" s="13" t="s">
        <v>1068</v>
      </c>
      <c r="B164" s="14" t="s">
        <v>311</v>
      </c>
      <c r="C164" s="14" t="s">
        <v>44</v>
      </c>
      <c r="D164" s="14" t="s">
        <v>44</v>
      </c>
      <c r="E164" s="14" t="s">
        <v>45</v>
      </c>
      <c r="F164" s="14" t="s">
        <v>46</v>
      </c>
      <c r="G164" s="15" t="s">
        <v>47</v>
      </c>
      <c r="H164" s="16" t="s">
        <v>48</v>
      </c>
      <c r="I164" s="14" t="s">
        <v>49</v>
      </c>
      <c r="J164" s="14">
        <v>830064700</v>
      </c>
      <c r="K164" s="14" t="s">
        <v>50</v>
      </c>
      <c r="L164" s="14" t="s">
        <v>103</v>
      </c>
      <c r="M164" s="14" t="s">
        <v>104</v>
      </c>
      <c r="N164" s="14">
        <v>2011</v>
      </c>
      <c r="O164" s="14">
        <v>9</v>
      </c>
      <c r="P164" s="14" t="s">
        <v>53</v>
      </c>
      <c r="Q164" s="14">
        <v>0</v>
      </c>
      <c r="R164" s="14">
        <v>0</v>
      </c>
      <c r="S164" s="17" t="s">
        <v>54</v>
      </c>
      <c r="T164" s="18">
        <v>0</v>
      </c>
      <c r="U164" s="14">
        <v>30</v>
      </c>
      <c r="V164" s="19">
        <v>1</v>
      </c>
      <c r="W164" s="14">
        <v>0</v>
      </c>
      <c r="X164" s="14">
        <v>0</v>
      </c>
      <c r="Y164" s="14">
        <v>0</v>
      </c>
      <c r="Z164" s="14">
        <v>0</v>
      </c>
      <c r="AA164" s="14">
        <f>Tabla13[[#This Row],[CheckList App]]+Tabla13[[#This Row],[CheckList Fisc]]</f>
        <v>0</v>
      </c>
      <c r="AB164" s="19">
        <f t="shared" si="2"/>
        <v>0</v>
      </c>
      <c r="AC164" s="14">
        <v>0</v>
      </c>
      <c r="AD164" s="14" t="s">
        <v>55</v>
      </c>
      <c r="AE164" s="15" t="str">
        <f>IFERROR((VLOOKUP(Tabla13[[#This Row],[ID]],[1]!Mtto_Pesv[[#Headers],[#Data],[Placa]:[Rutina]],2,FALSE)),"-")</f>
        <v>-</v>
      </c>
      <c r="AF164" s="14">
        <v>0</v>
      </c>
      <c r="AG164" s="20">
        <f>IFERROR((VLOOKUP(Tabla13[[#This Row],[ID]],[1]!Mtto_Pesv[[#Headers],[#Data],[Placa]:[Rutina]],3,FALSE)),0)</f>
        <v>0</v>
      </c>
      <c r="AH164" s="20">
        <f>IFERROR((VLOOKUP(Tabla13[[#This Row],[ID]],[1]!Mtto_Pesv[[#Headers],[#Data],[Placa]:[Rutina]],7,FALSE)),0)</f>
        <v>0</v>
      </c>
      <c r="AI164" s="20">
        <f>IFERROR((VLOOKUP(Tabla13[[#This Row],[ID]],[1]!Mtto_Pesv[[#Headers],[#Data],[Placa]:[Rutina]],8,FALSE)),0)</f>
        <v>0</v>
      </c>
      <c r="AJ164" s="20" t="str">
        <f>IFERROR((VLOOKUP(Tabla13[[#This Row],[ID]],[1]!Mtto_Pesv[[#Headers],[#Data],[Placa]:[Rutina]],9,FALSE)),"-")</f>
        <v>-</v>
      </c>
      <c r="AK164" s="20">
        <f>IFERROR((VLOOKUP(Tabla13[[#This Row],[ID]],[1]!Mtto_Pesv[[#Headers],[#Data],[Placa]:[Rutina]],10,FALSE)),0)</f>
        <v>0</v>
      </c>
      <c r="AL164" s="20">
        <f>IF(Tabla13[[#This Row],[Km Anterior]]=0,0,Tabla13[[#This Row],[Km Ejecut]]-Tabla13[[#This Row],[Km Anterior]])</f>
        <v>0</v>
      </c>
      <c r="AM164" s="20">
        <f>IFERROR((VLOOKUP(Tabla13[[#This Row],[ID]],[1]!Mtto_Pesv[[#Headers],[#Data],[Placa]:[Rutina]],4,FALSE)),0)</f>
        <v>0</v>
      </c>
      <c r="AN164" s="21">
        <f>IFERROR((VLOOKUP(Tabla13[[#This Row],[ID]],[1]!Mtto_Pesv[[#Headers],[#Data],[Placa]:[Rutina]],5,FALSE)),0)</f>
        <v>0</v>
      </c>
      <c r="AO164" s="21">
        <f>+Tabla13[[#This Row],[Km Fin]]-Tabla13[[#This Row],[Km Ini]]</f>
        <v>0</v>
      </c>
      <c r="AP164" s="20">
        <f>IFERROR((VLOOKUP(Tabla13[[#This Row],[ID]],[1]!Estilo_Conduccion[[#All],[Placa]:[Puntuacion]],15,FALSE)),0)</f>
        <v>0</v>
      </c>
      <c r="AQ164" s="15" t="s">
        <v>1152</v>
      </c>
      <c r="AR164" s="15" t="s">
        <v>1153</v>
      </c>
      <c r="AS164" s="20">
        <v>1585</v>
      </c>
      <c r="AT164" s="21">
        <v>2407.5</v>
      </c>
      <c r="AU164" s="21">
        <f>(Tabla13[[#This Row],[Cap Vh]]*$AX$2)*0.56</f>
        <v>0</v>
      </c>
      <c r="AV164" s="36" t="e">
        <f>(Tabla13[[#This Row],[Cap Util (kg)]]/(Tabla13[[#This Row],[Cap Inst (Kg)]]))</f>
        <v>#DIV/0!</v>
      </c>
    </row>
    <row r="165" spans="1:48" x14ac:dyDescent="0.25">
      <c r="A165" s="13" t="s">
        <v>1068</v>
      </c>
      <c r="B165" s="14" t="s">
        <v>312</v>
      </c>
      <c r="C165" s="14" t="s">
        <v>44</v>
      </c>
      <c r="D165" s="14" t="s">
        <v>44</v>
      </c>
      <c r="E165" s="14" t="s">
        <v>45</v>
      </c>
      <c r="F165" s="14" t="s">
        <v>64</v>
      </c>
      <c r="G165" s="14" t="s">
        <v>65</v>
      </c>
      <c r="H165" s="16" t="s">
        <v>66</v>
      </c>
      <c r="I165" s="14" t="s">
        <v>49</v>
      </c>
      <c r="J165" s="14">
        <v>830064700</v>
      </c>
      <c r="K165" s="14" t="s">
        <v>50</v>
      </c>
      <c r="L165" s="14" t="s">
        <v>103</v>
      </c>
      <c r="M165" s="14" t="s">
        <v>104</v>
      </c>
      <c r="N165" s="14">
        <v>2011</v>
      </c>
      <c r="O165" s="14">
        <v>9</v>
      </c>
      <c r="P165" s="14" t="s">
        <v>53</v>
      </c>
      <c r="Q165" s="14">
        <v>0</v>
      </c>
      <c r="R165" s="14">
        <v>0</v>
      </c>
      <c r="S165" s="17" t="s">
        <v>54</v>
      </c>
      <c r="T165" s="18">
        <v>0</v>
      </c>
      <c r="U165" s="14">
        <v>0</v>
      </c>
      <c r="V165" s="19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f>Tabla13[[#This Row],[CheckList App]]+Tabla13[[#This Row],[CheckList Fisc]]</f>
        <v>0</v>
      </c>
      <c r="AB165" s="19" t="str">
        <f t="shared" si="2"/>
        <v/>
      </c>
      <c r="AC165" s="14">
        <v>0</v>
      </c>
      <c r="AD165" s="14" t="s">
        <v>55</v>
      </c>
      <c r="AE165" s="15" t="str">
        <f>IFERROR((VLOOKUP(Tabla13[[#This Row],[ID]],[1]!Mtto_Pesv[[#Headers],[#Data],[Placa]:[Rutina]],2,FALSE)),"-")</f>
        <v>-</v>
      </c>
      <c r="AF165" s="14">
        <v>0</v>
      </c>
      <c r="AG165" s="20">
        <f>IFERROR((VLOOKUP(Tabla13[[#This Row],[ID]],[1]!Mtto_Pesv[[#Headers],[#Data],[Placa]:[Rutina]],3,FALSE)),0)</f>
        <v>0</v>
      </c>
      <c r="AH165" s="20">
        <f>IFERROR((VLOOKUP(Tabla13[[#This Row],[ID]],[1]!Mtto_Pesv[[#Headers],[#Data],[Placa]:[Rutina]],7,FALSE)),0)</f>
        <v>0</v>
      </c>
      <c r="AI165" s="20">
        <f>IFERROR((VLOOKUP(Tabla13[[#This Row],[ID]],[1]!Mtto_Pesv[[#Headers],[#Data],[Placa]:[Rutina]],8,FALSE)),0)</f>
        <v>0</v>
      </c>
      <c r="AJ165" s="20" t="str">
        <f>IFERROR((VLOOKUP(Tabla13[[#This Row],[ID]],[1]!Mtto_Pesv[[#Headers],[#Data],[Placa]:[Rutina]],9,FALSE)),"-")</f>
        <v>-</v>
      </c>
      <c r="AK165" s="20">
        <f>IFERROR((VLOOKUP(Tabla13[[#This Row],[ID]],[1]!Mtto_Pesv[[#Headers],[#Data],[Placa]:[Rutina]],10,FALSE)),0)</f>
        <v>0</v>
      </c>
      <c r="AL165" s="20">
        <f>IF(Tabla13[[#This Row],[Km Anterior]]=0,0,Tabla13[[#This Row],[Km Ejecut]]-Tabla13[[#This Row],[Km Anterior]])</f>
        <v>0</v>
      </c>
      <c r="AM165" s="20">
        <f>IFERROR((VLOOKUP(Tabla13[[#This Row],[ID]],[1]!Mtto_Pesv[[#Headers],[#Data],[Placa]:[Rutina]],4,FALSE)),0)</f>
        <v>0</v>
      </c>
      <c r="AN165" s="21">
        <f>IFERROR((VLOOKUP(Tabla13[[#This Row],[ID]],[1]!Mtto_Pesv[[#Headers],[#Data],[Placa]:[Rutina]],5,FALSE)),0)</f>
        <v>0</v>
      </c>
      <c r="AO165" s="21">
        <f>+Tabla13[[#This Row],[Km Fin]]-Tabla13[[#This Row],[Km Ini]]</f>
        <v>0</v>
      </c>
      <c r="AP165" s="20">
        <f>IFERROR((VLOOKUP(Tabla13[[#This Row],[ID]],[1]!Estilo_Conduccion[[#All],[Placa]:[Puntuacion]],15,FALSE)),0)</f>
        <v>0</v>
      </c>
      <c r="AQ165" s="15" t="s">
        <v>54</v>
      </c>
      <c r="AR165" s="15" t="s">
        <v>54</v>
      </c>
      <c r="AS165" s="20">
        <v>1585</v>
      </c>
      <c r="AT165" s="21">
        <v>0</v>
      </c>
      <c r="AU165" s="21">
        <f>(Tabla13[[#This Row],[Cap Vh]]*$AX$2)*0.56</f>
        <v>0</v>
      </c>
      <c r="AV165" s="36" t="e">
        <f>(Tabla13[[#This Row],[Cap Util (kg)]]/(Tabla13[[#This Row],[Cap Inst (Kg)]]))</f>
        <v>#DIV/0!</v>
      </c>
    </row>
    <row r="166" spans="1:48" x14ac:dyDescent="0.25">
      <c r="A166" s="13" t="s">
        <v>1068</v>
      </c>
      <c r="B166" s="14" t="s">
        <v>313</v>
      </c>
      <c r="C166" s="14" t="s">
        <v>44</v>
      </c>
      <c r="D166" s="14" t="s">
        <v>44</v>
      </c>
      <c r="E166" s="14" t="s">
        <v>45</v>
      </c>
      <c r="F166" s="14" t="s">
        <v>46</v>
      </c>
      <c r="G166" s="15" t="s">
        <v>47</v>
      </c>
      <c r="H166" s="16" t="s">
        <v>48</v>
      </c>
      <c r="I166" s="14" t="s">
        <v>49</v>
      </c>
      <c r="J166" s="14">
        <v>830064700</v>
      </c>
      <c r="K166" s="14" t="s">
        <v>50</v>
      </c>
      <c r="L166" s="14" t="s">
        <v>103</v>
      </c>
      <c r="M166" s="14" t="s">
        <v>104</v>
      </c>
      <c r="N166" s="14">
        <v>2011</v>
      </c>
      <c r="O166" s="14">
        <v>9</v>
      </c>
      <c r="P166" s="14" t="s">
        <v>53</v>
      </c>
      <c r="Q166" s="14">
        <v>0</v>
      </c>
      <c r="R166" s="14">
        <v>0</v>
      </c>
      <c r="S166" s="17" t="s">
        <v>54</v>
      </c>
      <c r="T166" s="18">
        <v>0</v>
      </c>
      <c r="U166" s="14">
        <v>30</v>
      </c>
      <c r="V166" s="19">
        <v>1</v>
      </c>
      <c r="W166" s="14">
        <v>0</v>
      </c>
      <c r="X166" s="14">
        <v>0</v>
      </c>
      <c r="Y166" s="14">
        <v>0</v>
      </c>
      <c r="Z166" s="14">
        <v>0</v>
      </c>
      <c r="AA166" s="14">
        <f>Tabla13[[#This Row],[CheckList App]]+Tabla13[[#This Row],[CheckList Fisc]]</f>
        <v>0</v>
      </c>
      <c r="AB166" s="19">
        <f t="shared" si="2"/>
        <v>0</v>
      </c>
      <c r="AC166" s="14">
        <v>0</v>
      </c>
      <c r="AD166" s="14" t="s">
        <v>55</v>
      </c>
      <c r="AE166" s="15" t="str">
        <f>IFERROR((VLOOKUP(Tabla13[[#This Row],[ID]],[1]!Mtto_Pesv[[#Headers],[#Data],[Placa]:[Rutina]],2,FALSE)),"-")</f>
        <v>-</v>
      </c>
      <c r="AF166" s="14">
        <v>0</v>
      </c>
      <c r="AG166" s="20">
        <f>IFERROR((VLOOKUP(Tabla13[[#This Row],[ID]],[1]!Mtto_Pesv[[#Headers],[#Data],[Placa]:[Rutina]],3,FALSE)),0)</f>
        <v>0</v>
      </c>
      <c r="AH166" s="20">
        <f>IFERROR((VLOOKUP(Tabla13[[#This Row],[ID]],[1]!Mtto_Pesv[[#Headers],[#Data],[Placa]:[Rutina]],7,FALSE)),0)</f>
        <v>0</v>
      </c>
      <c r="AI166" s="20">
        <f>IFERROR((VLOOKUP(Tabla13[[#This Row],[ID]],[1]!Mtto_Pesv[[#Headers],[#Data],[Placa]:[Rutina]],8,FALSE)),0)</f>
        <v>0</v>
      </c>
      <c r="AJ166" s="20" t="str">
        <f>IFERROR((VLOOKUP(Tabla13[[#This Row],[ID]],[1]!Mtto_Pesv[[#Headers],[#Data],[Placa]:[Rutina]],9,FALSE)),"-")</f>
        <v>-</v>
      </c>
      <c r="AK166" s="20">
        <f>IFERROR((VLOOKUP(Tabla13[[#This Row],[ID]],[1]!Mtto_Pesv[[#Headers],[#Data],[Placa]:[Rutina]],10,FALSE)),0)</f>
        <v>0</v>
      </c>
      <c r="AL166" s="20">
        <f>IF(Tabla13[[#This Row],[Km Anterior]]=0,0,Tabla13[[#This Row],[Km Ejecut]]-Tabla13[[#This Row],[Km Anterior]])</f>
        <v>0</v>
      </c>
      <c r="AM166" s="20">
        <f>IFERROR((VLOOKUP(Tabla13[[#This Row],[ID]],[1]!Mtto_Pesv[[#Headers],[#Data],[Placa]:[Rutina]],4,FALSE)),0)</f>
        <v>0</v>
      </c>
      <c r="AN166" s="21">
        <f>IFERROR((VLOOKUP(Tabla13[[#This Row],[ID]],[1]!Mtto_Pesv[[#Headers],[#Data],[Placa]:[Rutina]],5,FALSE)),0)</f>
        <v>0</v>
      </c>
      <c r="AO166" s="21">
        <f>+Tabla13[[#This Row],[Km Fin]]-Tabla13[[#This Row],[Km Ini]]</f>
        <v>0</v>
      </c>
      <c r="AP166" s="20">
        <f>IFERROR((VLOOKUP(Tabla13[[#This Row],[ID]],[1]!Estilo_Conduccion[[#All],[Placa]:[Puntuacion]],15,FALSE)),0)</f>
        <v>0</v>
      </c>
      <c r="AQ166" s="15" t="s">
        <v>1195</v>
      </c>
      <c r="AR166" s="15" t="s">
        <v>1196</v>
      </c>
      <c r="AS166" s="20">
        <v>1585</v>
      </c>
      <c r="AT166" s="21">
        <v>8019</v>
      </c>
      <c r="AU166" s="21">
        <f>(Tabla13[[#This Row],[Cap Vh]]*$AX$2)*0.56</f>
        <v>0</v>
      </c>
      <c r="AV166" s="36" t="e">
        <f>(Tabla13[[#This Row],[Cap Util (kg)]]/(Tabla13[[#This Row],[Cap Inst (Kg)]]))</f>
        <v>#DIV/0!</v>
      </c>
    </row>
    <row r="167" spans="1:48" x14ac:dyDescent="0.25">
      <c r="A167" s="13" t="s">
        <v>1068</v>
      </c>
      <c r="B167" s="14" t="s">
        <v>314</v>
      </c>
      <c r="C167" s="14" t="s">
        <v>44</v>
      </c>
      <c r="D167" s="14" t="s">
        <v>44</v>
      </c>
      <c r="E167" s="14" t="s">
        <v>60</v>
      </c>
      <c r="F167" s="14" t="s">
        <v>46</v>
      </c>
      <c r="G167" s="15" t="s">
        <v>47</v>
      </c>
      <c r="H167" s="16" t="s">
        <v>48</v>
      </c>
      <c r="I167" s="14" t="s">
        <v>49</v>
      </c>
      <c r="J167" s="14">
        <v>830064700</v>
      </c>
      <c r="K167" s="14" t="s">
        <v>50</v>
      </c>
      <c r="L167" s="14" t="s">
        <v>103</v>
      </c>
      <c r="M167" s="14" t="s">
        <v>285</v>
      </c>
      <c r="N167" s="14">
        <v>2006</v>
      </c>
      <c r="O167" s="14">
        <v>14</v>
      </c>
      <c r="P167" s="14" t="s">
        <v>173</v>
      </c>
      <c r="Q167" s="14">
        <v>0</v>
      </c>
      <c r="R167" s="14">
        <v>0</v>
      </c>
      <c r="S167" s="17" t="s">
        <v>54</v>
      </c>
      <c r="T167" s="18">
        <v>0</v>
      </c>
      <c r="U167" s="14">
        <v>30</v>
      </c>
      <c r="V167" s="19">
        <v>1</v>
      </c>
      <c r="W167" s="14">
        <v>0</v>
      </c>
      <c r="X167" s="14">
        <v>0</v>
      </c>
      <c r="Y167" s="14">
        <v>0</v>
      </c>
      <c r="Z167" s="14">
        <v>0</v>
      </c>
      <c r="AA167" s="14">
        <f>Tabla13[[#This Row],[CheckList App]]+Tabla13[[#This Row],[CheckList Fisc]]</f>
        <v>0</v>
      </c>
      <c r="AB167" s="19">
        <f t="shared" si="2"/>
        <v>0</v>
      </c>
      <c r="AC167" s="14">
        <v>0</v>
      </c>
      <c r="AD167" s="14" t="s">
        <v>55</v>
      </c>
      <c r="AE167" s="15" t="str">
        <f>IFERROR((VLOOKUP(Tabla13[[#This Row],[ID]],[1]!Mtto_Pesv[[#Headers],[#Data],[Placa]:[Rutina]],2,FALSE)),"-")</f>
        <v>-</v>
      </c>
      <c r="AF167" s="14">
        <v>0</v>
      </c>
      <c r="AG167" s="20">
        <f>IFERROR((VLOOKUP(Tabla13[[#This Row],[ID]],[1]!Mtto_Pesv[[#Headers],[#Data],[Placa]:[Rutina]],3,FALSE)),0)</f>
        <v>0</v>
      </c>
      <c r="AH167" s="20">
        <f>IFERROR((VLOOKUP(Tabla13[[#This Row],[ID]],[1]!Mtto_Pesv[[#Headers],[#Data],[Placa]:[Rutina]],7,FALSE)),0)</f>
        <v>0</v>
      </c>
      <c r="AI167" s="20">
        <f>IFERROR((VLOOKUP(Tabla13[[#This Row],[ID]],[1]!Mtto_Pesv[[#Headers],[#Data],[Placa]:[Rutina]],8,FALSE)),0)</f>
        <v>0</v>
      </c>
      <c r="AJ167" s="20" t="str">
        <f>IFERROR((VLOOKUP(Tabla13[[#This Row],[ID]],[1]!Mtto_Pesv[[#Headers],[#Data],[Placa]:[Rutina]],9,FALSE)),"-")</f>
        <v>-</v>
      </c>
      <c r="AK167" s="20">
        <f>IFERROR((VLOOKUP(Tabla13[[#This Row],[ID]],[1]!Mtto_Pesv[[#Headers],[#Data],[Placa]:[Rutina]],10,FALSE)),0)</f>
        <v>0</v>
      </c>
      <c r="AL167" s="20">
        <f>IF(Tabla13[[#This Row],[Km Anterior]]=0,0,Tabla13[[#This Row],[Km Ejecut]]-Tabla13[[#This Row],[Km Anterior]])</f>
        <v>0</v>
      </c>
      <c r="AM167" s="20">
        <f>IFERROR((VLOOKUP(Tabla13[[#This Row],[ID]],[1]!Mtto_Pesv[[#Headers],[#Data],[Placa]:[Rutina]],4,FALSE)),0)</f>
        <v>0</v>
      </c>
      <c r="AN167" s="21">
        <f>IFERROR((VLOOKUP(Tabla13[[#This Row],[ID]],[1]!Mtto_Pesv[[#Headers],[#Data],[Placa]:[Rutina]],5,FALSE)),0)</f>
        <v>0</v>
      </c>
      <c r="AO167" s="21">
        <f>+Tabla13[[#This Row],[Km Fin]]-Tabla13[[#This Row],[Km Ini]]</f>
        <v>0</v>
      </c>
      <c r="AP167" s="20">
        <f>IFERROR((VLOOKUP(Tabla13[[#This Row],[ID]],[1]!Estilo_Conduccion[[#All],[Placa]:[Puntuacion]],15,FALSE)),0)</f>
        <v>0</v>
      </c>
      <c r="AQ167" s="15" t="s">
        <v>1072</v>
      </c>
      <c r="AR167" s="15" t="s">
        <v>1073</v>
      </c>
      <c r="AS167" s="20">
        <v>419</v>
      </c>
      <c r="AT167" s="21">
        <v>3080.8846153846152</v>
      </c>
      <c r="AU167" s="21">
        <f>(Tabla13[[#This Row],[Cap Vh]]*$AX$2)*0.56</f>
        <v>0</v>
      </c>
      <c r="AV167" s="36" t="e">
        <f>(Tabla13[[#This Row],[Cap Util (kg)]]/(Tabla13[[#This Row],[Cap Inst (Kg)]]))</f>
        <v>#DIV/0!</v>
      </c>
    </row>
    <row r="168" spans="1:48" x14ac:dyDescent="0.25">
      <c r="A168" s="13" t="s">
        <v>1068</v>
      </c>
      <c r="B168" s="14" t="s">
        <v>315</v>
      </c>
      <c r="C168" s="14" t="s">
        <v>44</v>
      </c>
      <c r="D168" s="14" t="s">
        <v>44</v>
      </c>
      <c r="E168" s="14" t="s">
        <v>113</v>
      </c>
      <c r="F168" s="14" t="s">
        <v>46</v>
      </c>
      <c r="G168" s="15" t="s">
        <v>47</v>
      </c>
      <c r="H168" s="16" t="s">
        <v>48</v>
      </c>
      <c r="I168" s="14" t="s">
        <v>49</v>
      </c>
      <c r="J168" s="14">
        <v>830064700</v>
      </c>
      <c r="K168" s="14" t="s">
        <v>50</v>
      </c>
      <c r="L168" s="14" t="s">
        <v>103</v>
      </c>
      <c r="M168" s="14" t="s">
        <v>285</v>
      </c>
      <c r="N168" s="14">
        <v>2006</v>
      </c>
      <c r="O168" s="14">
        <v>14</v>
      </c>
      <c r="P168" s="14" t="s">
        <v>173</v>
      </c>
      <c r="Q168" s="14">
        <v>0</v>
      </c>
      <c r="R168" s="14">
        <v>0</v>
      </c>
      <c r="S168" s="17" t="s">
        <v>54</v>
      </c>
      <c r="T168" s="18">
        <v>0</v>
      </c>
      <c r="U168" s="14">
        <v>30</v>
      </c>
      <c r="V168" s="19">
        <v>1</v>
      </c>
      <c r="W168" s="14">
        <v>0</v>
      </c>
      <c r="X168" s="14">
        <v>0</v>
      </c>
      <c r="Y168" s="14">
        <v>0</v>
      </c>
      <c r="Z168" s="14">
        <v>0</v>
      </c>
      <c r="AA168" s="14">
        <f>Tabla13[[#This Row],[CheckList App]]+Tabla13[[#This Row],[CheckList Fisc]]</f>
        <v>0</v>
      </c>
      <c r="AB168" s="19">
        <f t="shared" si="2"/>
        <v>0</v>
      </c>
      <c r="AC168" s="14">
        <v>0</v>
      </c>
      <c r="AD168" s="14" t="s">
        <v>55</v>
      </c>
      <c r="AE168" s="15" t="str">
        <f>IFERROR((VLOOKUP(Tabla13[[#This Row],[ID]],[1]!Mtto_Pesv[[#Headers],[#Data],[Placa]:[Rutina]],2,FALSE)),"-")</f>
        <v>-</v>
      </c>
      <c r="AF168" s="14">
        <v>0</v>
      </c>
      <c r="AG168" s="20">
        <f>IFERROR((VLOOKUP(Tabla13[[#This Row],[ID]],[1]!Mtto_Pesv[[#Headers],[#Data],[Placa]:[Rutina]],3,FALSE)),0)</f>
        <v>0</v>
      </c>
      <c r="AH168" s="20">
        <f>IFERROR((VLOOKUP(Tabla13[[#This Row],[ID]],[1]!Mtto_Pesv[[#Headers],[#Data],[Placa]:[Rutina]],7,FALSE)),0)</f>
        <v>0</v>
      </c>
      <c r="AI168" s="20">
        <f>IFERROR((VLOOKUP(Tabla13[[#This Row],[ID]],[1]!Mtto_Pesv[[#Headers],[#Data],[Placa]:[Rutina]],8,FALSE)),0)</f>
        <v>0</v>
      </c>
      <c r="AJ168" s="20" t="str">
        <f>IFERROR((VLOOKUP(Tabla13[[#This Row],[ID]],[1]!Mtto_Pesv[[#Headers],[#Data],[Placa]:[Rutina]],9,FALSE)),"-")</f>
        <v>-</v>
      </c>
      <c r="AK168" s="20">
        <f>IFERROR((VLOOKUP(Tabla13[[#This Row],[ID]],[1]!Mtto_Pesv[[#Headers],[#Data],[Placa]:[Rutina]],10,FALSE)),0)</f>
        <v>0</v>
      </c>
      <c r="AL168" s="20">
        <f>IF(Tabla13[[#This Row],[Km Anterior]]=0,0,Tabla13[[#This Row],[Km Ejecut]]-Tabla13[[#This Row],[Km Anterior]])</f>
        <v>0</v>
      </c>
      <c r="AM168" s="20">
        <f>IFERROR((VLOOKUP(Tabla13[[#This Row],[ID]],[1]!Mtto_Pesv[[#Headers],[#Data],[Placa]:[Rutina]],4,FALSE)),0)</f>
        <v>0</v>
      </c>
      <c r="AN168" s="21">
        <f>IFERROR((VLOOKUP(Tabla13[[#This Row],[ID]],[1]!Mtto_Pesv[[#Headers],[#Data],[Placa]:[Rutina]],5,FALSE)),0)</f>
        <v>0</v>
      </c>
      <c r="AO168" s="21">
        <f>+Tabla13[[#This Row],[Km Fin]]-Tabla13[[#This Row],[Km Ini]]</f>
        <v>0</v>
      </c>
      <c r="AP168" s="20">
        <f>IFERROR((VLOOKUP(Tabla13[[#This Row],[ID]],[1]!Estilo_Conduccion[[#All],[Placa]:[Puntuacion]],15,FALSE)),0)</f>
        <v>0</v>
      </c>
      <c r="AQ168" s="15" t="s">
        <v>1197</v>
      </c>
      <c r="AR168" s="15" t="s">
        <v>1198</v>
      </c>
      <c r="AS168" s="20">
        <v>800</v>
      </c>
      <c r="AT168" s="21">
        <v>4764</v>
      </c>
      <c r="AU168" s="21">
        <f>(Tabla13[[#This Row],[Cap Vh]]*$AX$2)*0.56</f>
        <v>0</v>
      </c>
      <c r="AV168" s="36" t="e">
        <f>(Tabla13[[#This Row],[Cap Util (kg)]]/(Tabla13[[#This Row],[Cap Inst (Kg)]]))</f>
        <v>#DIV/0!</v>
      </c>
    </row>
    <row r="169" spans="1:48" x14ac:dyDescent="0.25">
      <c r="A169" s="13" t="s">
        <v>1068</v>
      </c>
      <c r="B169" s="14" t="s">
        <v>316</v>
      </c>
      <c r="C169" s="14" t="s">
        <v>44</v>
      </c>
      <c r="D169" s="14" t="s">
        <v>44</v>
      </c>
      <c r="E169" s="14" t="s">
        <v>60</v>
      </c>
      <c r="F169" s="14" t="s">
        <v>46</v>
      </c>
      <c r="G169" s="15" t="s">
        <v>47</v>
      </c>
      <c r="H169" s="16" t="s">
        <v>48</v>
      </c>
      <c r="I169" s="14" t="s">
        <v>49</v>
      </c>
      <c r="J169" s="14">
        <v>830064700</v>
      </c>
      <c r="K169" s="14" t="s">
        <v>50</v>
      </c>
      <c r="L169" s="14" t="s">
        <v>103</v>
      </c>
      <c r="M169" s="14" t="s">
        <v>285</v>
      </c>
      <c r="N169" s="14">
        <v>2006</v>
      </c>
      <c r="O169" s="14">
        <v>14</v>
      </c>
      <c r="P169" s="14" t="s">
        <v>173</v>
      </c>
      <c r="Q169" s="14">
        <v>0</v>
      </c>
      <c r="R169" s="14">
        <v>0</v>
      </c>
      <c r="S169" s="17" t="s">
        <v>54</v>
      </c>
      <c r="T169" s="18">
        <v>0</v>
      </c>
      <c r="U169" s="14">
        <v>30</v>
      </c>
      <c r="V169" s="19">
        <v>1</v>
      </c>
      <c r="W169" s="14">
        <v>0</v>
      </c>
      <c r="X169" s="14">
        <v>0</v>
      </c>
      <c r="Y169" s="14">
        <v>0</v>
      </c>
      <c r="Z169" s="14">
        <v>0</v>
      </c>
      <c r="AA169" s="14">
        <f>Tabla13[[#This Row],[CheckList App]]+Tabla13[[#This Row],[CheckList Fisc]]</f>
        <v>0</v>
      </c>
      <c r="AB169" s="19">
        <f t="shared" si="2"/>
        <v>0</v>
      </c>
      <c r="AC169" s="14">
        <v>0</v>
      </c>
      <c r="AD169" s="14" t="s">
        <v>55</v>
      </c>
      <c r="AE169" s="15" t="str">
        <f>IFERROR((VLOOKUP(Tabla13[[#This Row],[ID]],[1]!Mtto_Pesv[[#Headers],[#Data],[Placa]:[Rutina]],2,FALSE)),"-")</f>
        <v>-</v>
      </c>
      <c r="AF169" s="14">
        <v>0</v>
      </c>
      <c r="AG169" s="20">
        <f>IFERROR((VLOOKUP(Tabla13[[#This Row],[ID]],[1]!Mtto_Pesv[[#Headers],[#Data],[Placa]:[Rutina]],3,FALSE)),0)</f>
        <v>0</v>
      </c>
      <c r="AH169" s="20">
        <f>IFERROR((VLOOKUP(Tabla13[[#This Row],[ID]],[1]!Mtto_Pesv[[#Headers],[#Data],[Placa]:[Rutina]],7,FALSE)),0)</f>
        <v>0</v>
      </c>
      <c r="AI169" s="20">
        <f>IFERROR((VLOOKUP(Tabla13[[#This Row],[ID]],[1]!Mtto_Pesv[[#Headers],[#Data],[Placa]:[Rutina]],8,FALSE)),0)</f>
        <v>0</v>
      </c>
      <c r="AJ169" s="20" t="str">
        <f>IFERROR((VLOOKUP(Tabla13[[#This Row],[ID]],[1]!Mtto_Pesv[[#Headers],[#Data],[Placa]:[Rutina]],9,FALSE)),"-")</f>
        <v>-</v>
      </c>
      <c r="AK169" s="20">
        <f>IFERROR((VLOOKUP(Tabla13[[#This Row],[ID]],[1]!Mtto_Pesv[[#Headers],[#Data],[Placa]:[Rutina]],10,FALSE)),0)</f>
        <v>0</v>
      </c>
      <c r="AL169" s="20">
        <f>IF(Tabla13[[#This Row],[Km Anterior]]=0,0,Tabla13[[#This Row],[Km Ejecut]]-Tabla13[[#This Row],[Km Anterior]])</f>
        <v>0</v>
      </c>
      <c r="AM169" s="20">
        <f>IFERROR((VLOOKUP(Tabla13[[#This Row],[ID]],[1]!Mtto_Pesv[[#Headers],[#Data],[Placa]:[Rutina]],4,FALSE)),0)</f>
        <v>0</v>
      </c>
      <c r="AN169" s="21">
        <f>IFERROR((VLOOKUP(Tabla13[[#This Row],[ID]],[1]!Mtto_Pesv[[#Headers],[#Data],[Placa]:[Rutina]],5,FALSE)),0)</f>
        <v>0</v>
      </c>
      <c r="AO169" s="21">
        <f>+Tabla13[[#This Row],[Km Fin]]-Tabla13[[#This Row],[Km Ini]]</f>
        <v>0</v>
      </c>
      <c r="AP169" s="20">
        <f>IFERROR((VLOOKUP(Tabla13[[#This Row],[ID]],[1]!Estilo_Conduccion[[#All],[Placa]:[Puntuacion]],15,FALSE)),0)</f>
        <v>0</v>
      </c>
      <c r="AQ169" s="15" t="s">
        <v>1072</v>
      </c>
      <c r="AR169" s="15" t="s">
        <v>1073</v>
      </c>
      <c r="AS169" s="20">
        <v>419</v>
      </c>
      <c r="AT169" s="21">
        <v>3080.8846153846152</v>
      </c>
      <c r="AU169" s="21">
        <f>(Tabla13[[#This Row],[Cap Vh]]*$AX$2)*0.56</f>
        <v>0</v>
      </c>
      <c r="AV169" s="36" t="e">
        <f>(Tabla13[[#This Row],[Cap Util (kg)]]/(Tabla13[[#This Row],[Cap Inst (Kg)]]))</f>
        <v>#DIV/0!</v>
      </c>
    </row>
    <row r="170" spans="1:48" x14ac:dyDescent="0.25">
      <c r="A170" s="13" t="s">
        <v>1068</v>
      </c>
      <c r="B170" s="14" t="s">
        <v>317</v>
      </c>
      <c r="C170" s="14" t="s">
        <v>44</v>
      </c>
      <c r="D170" s="14" t="s">
        <v>44</v>
      </c>
      <c r="E170" s="14" t="s">
        <v>45</v>
      </c>
      <c r="F170" s="14" t="s">
        <v>46</v>
      </c>
      <c r="G170" s="15" t="s">
        <v>47</v>
      </c>
      <c r="H170" s="16" t="s">
        <v>48</v>
      </c>
      <c r="I170" s="14" t="s">
        <v>49</v>
      </c>
      <c r="J170" s="14">
        <v>830064700</v>
      </c>
      <c r="K170" s="14" t="s">
        <v>50</v>
      </c>
      <c r="L170" s="14" t="s">
        <v>103</v>
      </c>
      <c r="M170" s="14" t="s">
        <v>285</v>
      </c>
      <c r="N170" s="14">
        <v>2006</v>
      </c>
      <c r="O170" s="14">
        <v>14</v>
      </c>
      <c r="P170" s="14" t="s">
        <v>173</v>
      </c>
      <c r="Q170" s="14">
        <v>0</v>
      </c>
      <c r="R170" s="14">
        <v>0</v>
      </c>
      <c r="S170" s="17" t="s">
        <v>54</v>
      </c>
      <c r="T170" s="18">
        <v>0</v>
      </c>
      <c r="U170" s="14">
        <v>30</v>
      </c>
      <c r="V170" s="19">
        <v>1</v>
      </c>
      <c r="W170" s="14">
        <v>0</v>
      </c>
      <c r="X170" s="14">
        <v>0</v>
      </c>
      <c r="Y170" s="14">
        <v>0</v>
      </c>
      <c r="Z170" s="14">
        <v>0</v>
      </c>
      <c r="AA170" s="14">
        <f>Tabla13[[#This Row],[CheckList App]]+Tabla13[[#This Row],[CheckList Fisc]]</f>
        <v>0</v>
      </c>
      <c r="AB170" s="19">
        <f t="shared" si="2"/>
        <v>0</v>
      </c>
      <c r="AC170" s="14">
        <v>0</v>
      </c>
      <c r="AD170" s="14" t="s">
        <v>55</v>
      </c>
      <c r="AE170" s="15" t="str">
        <f>IFERROR((VLOOKUP(Tabla13[[#This Row],[ID]],[1]!Mtto_Pesv[[#Headers],[#Data],[Placa]:[Rutina]],2,FALSE)),"-")</f>
        <v>-</v>
      </c>
      <c r="AF170" s="14">
        <v>0</v>
      </c>
      <c r="AG170" s="20">
        <f>IFERROR((VLOOKUP(Tabla13[[#This Row],[ID]],[1]!Mtto_Pesv[[#Headers],[#Data],[Placa]:[Rutina]],3,FALSE)),0)</f>
        <v>0</v>
      </c>
      <c r="AH170" s="20">
        <f>IFERROR((VLOOKUP(Tabla13[[#This Row],[ID]],[1]!Mtto_Pesv[[#Headers],[#Data],[Placa]:[Rutina]],7,FALSE)),0)</f>
        <v>0</v>
      </c>
      <c r="AI170" s="20">
        <f>IFERROR((VLOOKUP(Tabla13[[#This Row],[ID]],[1]!Mtto_Pesv[[#Headers],[#Data],[Placa]:[Rutina]],8,FALSE)),0)</f>
        <v>0</v>
      </c>
      <c r="AJ170" s="20" t="str">
        <f>IFERROR((VLOOKUP(Tabla13[[#This Row],[ID]],[1]!Mtto_Pesv[[#Headers],[#Data],[Placa]:[Rutina]],9,FALSE)),"-")</f>
        <v>-</v>
      </c>
      <c r="AK170" s="20">
        <f>IFERROR((VLOOKUP(Tabla13[[#This Row],[ID]],[1]!Mtto_Pesv[[#Headers],[#Data],[Placa]:[Rutina]],10,FALSE)),0)</f>
        <v>0</v>
      </c>
      <c r="AL170" s="20">
        <f>IF(Tabla13[[#This Row],[Km Anterior]]=0,0,Tabla13[[#This Row],[Km Ejecut]]-Tabla13[[#This Row],[Km Anterior]])</f>
        <v>0</v>
      </c>
      <c r="AM170" s="20">
        <f>IFERROR((VLOOKUP(Tabla13[[#This Row],[ID]],[1]!Mtto_Pesv[[#Headers],[#Data],[Placa]:[Rutina]],4,FALSE)),0)</f>
        <v>0</v>
      </c>
      <c r="AN170" s="21">
        <f>IFERROR((VLOOKUP(Tabla13[[#This Row],[ID]],[1]!Mtto_Pesv[[#Headers],[#Data],[Placa]:[Rutina]],5,FALSE)),0)</f>
        <v>0</v>
      </c>
      <c r="AO170" s="21">
        <f>+Tabla13[[#This Row],[Km Fin]]-Tabla13[[#This Row],[Km Ini]]</f>
        <v>0</v>
      </c>
      <c r="AP170" s="20">
        <f>IFERROR((VLOOKUP(Tabla13[[#This Row],[ID]],[1]!Estilo_Conduccion[[#All],[Placa]:[Puntuacion]],15,FALSE)),0)</f>
        <v>0</v>
      </c>
      <c r="AQ170" s="15" t="s">
        <v>1199</v>
      </c>
      <c r="AR170" s="15" t="s">
        <v>1200</v>
      </c>
      <c r="AS170" s="20">
        <v>419</v>
      </c>
      <c r="AT170" s="21">
        <v>4029</v>
      </c>
      <c r="AU170" s="21">
        <f>(Tabla13[[#This Row],[Cap Vh]]*$AX$2)*0.56</f>
        <v>0</v>
      </c>
      <c r="AV170" s="36" t="e">
        <f>(Tabla13[[#This Row],[Cap Util (kg)]]/(Tabla13[[#This Row],[Cap Inst (Kg)]]))</f>
        <v>#DIV/0!</v>
      </c>
    </row>
    <row r="171" spans="1:48" x14ac:dyDescent="0.25">
      <c r="A171" s="13" t="s">
        <v>1068</v>
      </c>
      <c r="B171" s="14" t="s">
        <v>318</v>
      </c>
      <c r="C171" s="14" t="s">
        <v>44</v>
      </c>
      <c r="D171" s="14" t="s">
        <v>44</v>
      </c>
      <c r="E171" s="14" t="s">
        <v>69</v>
      </c>
      <c r="F171" s="14" t="s">
        <v>46</v>
      </c>
      <c r="G171" s="15" t="s">
        <v>47</v>
      </c>
      <c r="H171" s="16" t="s">
        <v>48</v>
      </c>
      <c r="I171" s="14" t="s">
        <v>49</v>
      </c>
      <c r="J171" s="14">
        <v>830064700</v>
      </c>
      <c r="K171" s="14" t="s">
        <v>50</v>
      </c>
      <c r="L171" s="14" t="s">
        <v>103</v>
      </c>
      <c r="M171" s="14" t="s">
        <v>121</v>
      </c>
      <c r="N171" s="14">
        <v>2006</v>
      </c>
      <c r="O171" s="14">
        <v>14</v>
      </c>
      <c r="P171" s="14" t="s">
        <v>173</v>
      </c>
      <c r="Q171" s="14">
        <v>0</v>
      </c>
      <c r="R171" s="14">
        <v>0</v>
      </c>
      <c r="S171" s="17" t="s">
        <v>54</v>
      </c>
      <c r="T171" s="18">
        <v>0</v>
      </c>
      <c r="U171" s="14">
        <v>30</v>
      </c>
      <c r="V171" s="19">
        <v>1</v>
      </c>
      <c r="W171" s="14">
        <v>0</v>
      </c>
      <c r="X171" s="14">
        <v>0</v>
      </c>
      <c r="Y171" s="14">
        <v>0</v>
      </c>
      <c r="Z171" s="14">
        <v>0</v>
      </c>
      <c r="AA171" s="14">
        <f>Tabla13[[#This Row],[CheckList App]]+Tabla13[[#This Row],[CheckList Fisc]]</f>
        <v>0</v>
      </c>
      <c r="AB171" s="19">
        <f t="shared" si="2"/>
        <v>0</v>
      </c>
      <c r="AC171" s="14">
        <v>0</v>
      </c>
      <c r="AD171" s="14" t="s">
        <v>55</v>
      </c>
      <c r="AE171" s="15" t="str">
        <f>IFERROR((VLOOKUP(Tabla13[[#This Row],[ID]],[1]!Mtto_Pesv[[#Headers],[#Data],[Placa]:[Rutina]],2,FALSE)),"-")</f>
        <v>-</v>
      </c>
      <c r="AF171" s="14">
        <v>0</v>
      </c>
      <c r="AG171" s="20">
        <f>IFERROR((VLOOKUP(Tabla13[[#This Row],[ID]],[1]!Mtto_Pesv[[#Headers],[#Data],[Placa]:[Rutina]],3,FALSE)),0)</f>
        <v>0</v>
      </c>
      <c r="AH171" s="20">
        <f>IFERROR((VLOOKUP(Tabla13[[#This Row],[ID]],[1]!Mtto_Pesv[[#Headers],[#Data],[Placa]:[Rutina]],7,FALSE)),0)</f>
        <v>0</v>
      </c>
      <c r="AI171" s="20">
        <f>IFERROR((VLOOKUP(Tabla13[[#This Row],[ID]],[1]!Mtto_Pesv[[#Headers],[#Data],[Placa]:[Rutina]],8,FALSE)),0)</f>
        <v>0</v>
      </c>
      <c r="AJ171" s="20" t="str">
        <f>IFERROR((VLOOKUP(Tabla13[[#This Row],[ID]],[1]!Mtto_Pesv[[#Headers],[#Data],[Placa]:[Rutina]],9,FALSE)),"-")</f>
        <v>-</v>
      </c>
      <c r="AK171" s="20">
        <f>IFERROR((VLOOKUP(Tabla13[[#This Row],[ID]],[1]!Mtto_Pesv[[#Headers],[#Data],[Placa]:[Rutina]],10,FALSE)),0)</f>
        <v>0</v>
      </c>
      <c r="AL171" s="20">
        <f>IF(Tabla13[[#This Row],[Km Anterior]]=0,0,Tabla13[[#This Row],[Km Ejecut]]-Tabla13[[#This Row],[Km Anterior]])</f>
        <v>0</v>
      </c>
      <c r="AM171" s="20">
        <f>IFERROR((VLOOKUP(Tabla13[[#This Row],[ID]],[1]!Mtto_Pesv[[#Headers],[#Data],[Placa]:[Rutina]],4,FALSE)),0)</f>
        <v>0</v>
      </c>
      <c r="AN171" s="21">
        <f>IFERROR((VLOOKUP(Tabla13[[#This Row],[ID]],[1]!Mtto_Pesv[[#Headers],[#Data],[Placa]:[Rutina]],5,FALSE)),0)</f>
        <v>0</v>
      </c>
      <c r="AO171" s="21">
        <f>+Tabla13[[#This Row],[Km Fin]]-Tabla13[[#This Row],[Km Ini]]</f>
        <v>0</v>
      </c>
      <c r="AP171" s="20">
        <f>IFERROR((VLOOKUP(Tabla13[[#This Row],[ID]],[1]!Estilo_Conduccion[[#All],[Placa]:[Puntuacion]],15,FALSE)),0)</f>
        <v>0</v>
      </c>
      <c r="AQ171" s="15" t="s">
        <v>1201</v>
      </c>
      <c r="AR171" s="15" t="s">
        <v>1202</v>
      </c>
      <c r="AS171" s="20">
        <v>2700</v>
      </c>
      <c r="AT171" s="21">
        <v>4947</v>
      </c>
      <c r="AU171" s="21">
        <f>(Tabla13[[#This Row],[Cap Vh]]*$AX$2)*0.56</f>
        <v>0</v>
      </c>
      <c r="AV171" s="36" t="e">
        <f>(Tabla13[[#This Row],[Cap Util (kg)]]/(Tabla13[[#This Row],[Cap Inst (Kg)]]))</f>
        <v>#DIV/0!</v>
      </c>
    </row>
    <row r="172" spans="1:48" x14ac:dyDescent="0.25">
      <c r="A172" s="13" t="s">
        <v>1068</v>
      </c>
      <c r="B172" s="14" t="s">
        <v>319</v>
      </c>
      <c r="C172" s="14" t="s">
        <v>44</v>
      </c>
      <c r="D172" s="14" t="s">
        <v>44</v>
      </c>
      <c r="E172" s="14" t="s">
        <v>58</v>
      </c>
      <c r="F172" s="14" t="s">
        <v>46</v>
      </c>
      <c r="G172" s="15" t="s">
        <v>47</v>
      </c>
      <c r="H172" s="16" t="s">
        <v>48</v>
      </c>
      <c r="I172" s="14" t="s">
        <v>49</v>
      </c>
      <c r="J172" s="14">
        <v>830064700</v>
      </c>
      <c r="K172" s="14" t="s">
        <v>50</v>
      </c>
      <c r="L172" s="14" t="s">
        <v>103</v>
      </c>
      <c r="M172" s="14" t="s">
        <v>285</v>
      </c>
      <c r="N172" s="14">
        <v>2007</v>
      </c>
      <c r="O172" s="14">
        <v>13</v>
      </c>
      <c r="P172" s="14" t="s">
        <v>173</v>
      </c>
      <c r="Q172" s="14">
        <v>0</v>
      </c>
      <c r="R172" s="14">
        <v>0</v>
      </c>
      <c r="S172" s="17" t="s">
        <v>54</v>
      </c>
      <c r="T172" s="18">
        <v>0</v>
      </c>
      <c r="U172" s="14">
        <v>0</v>
      </c>
      <c r="V172" s="19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f>Tabla13[[#This Row],[CheckList App]]+Tabla13[[#This Row],[CheckList Fisc]]</f>
        <v>0</v>
      </c>
      <c r="AB172" s="19" t="str">
        <f t="shared" si="2"/>
        <v/>
      </c>
      <c r="AC172" s="14">
        <v>0</v>
      </c>
      <c r="AD172" s="14" t="s">
        <v>55</v>
      </c>
      <c r="AE172" s="15" t="str">
        <f>IFERROR((VLOOKUP(Tabla13[[#This Row],[ID]],[1]!Mtto_Pesv[[#Headers],[#Data],[Placa]:[Rutina]],2,FALSE)),"-")</f>
        <v>-</v>
      </c>
      <c r="AF172" s="14">
        <v>0</v>
      </c>
      <c r="AG172" s="20">
        <f>IFERROR((VLOOKUP(Tabla13[[#This Row],[ID]],[1]!Mtto_Pesv[[#Headers],[#Data],[Placa]:[Rutina]],3,FALSE)),0)</f>
        <v>0</v>
      </c>
      <c r="AH172" s="20">
        <f>IFERROR((VLOOKUP(Tabla13[[#This Row],[ID]],[1]!Mtto_Pesv[[#Headers],[#Data],[Placa]:[Rutina]],7,FALSE)),0)</f>
        <v>0</v>
      </c>
      <c r="AI172" s="20">
        <f>IFERROR((VLOOKUP(Tabla13[[#This Row],[ID]],[1]!Mtto_Pesv[[#Headers],[#Data],[Placa]:[Rutina]],8,FALSE)),0)</f>
        <v>0</v>
      </c>
      <c r="AJ172" s="20" t="str">
        <f>IFERROR((VLOOKUP(Tabla13[[#This Row],[ID]],[1]!Mtto_Pesv[[#Headers],[#Data],[Placa]:[Rutina]],9,FALSE)),"-")</f>
        <v>-</v>
      </c>
      <c r="AK172" s="20">
        <f>IFERROR((VLOOKUP(Tabla13[[#This Row],[ID]],[1]!Mtto_Pesv[[#Headers],[#Data],[Placa]:[Rutina]],10,FALSE)),0)</f>
        <v>0</v>
      </c>
      <c r="AL172" s="20">
        <f>IF(Tabla13[[#This Row],[Km Anterior]]=0,0,Tabla13[[#This Row],[Km Ejecut]]-Tabla13[[#This Row],[Km Anterior]])</f>
        <v>0</v>
      </c>
      <c r="AM172" s="20">
        <f>IFERROR((VLOOKUP(Tabla13[[#This Row],[ID]],[1]!Mtto_Pesv[[#Headers],[#Data],[Placa]:[Rutina]],4,FALSE)),0)</f>
        <v>0</v>
      </c>
      <c r="AN172" s="21">
        <f>IFERROR((VLOOKUP(Tabla13[[#This Row],[ID]],[1]!Mtto_Pesv[[#Headers],[#Data],[Placa]:[Rutina]],5,FALSE)),0)</f>
        <v>0</v>
      </c>
      <c r="AO172" s="21">
        <f>+Tabla13[[#This Row],[Km Fin]]-Tabla13[[#This Row],[Km Ini]]</f>
        <v>0</v>
      </c>
      <c r="AP172" s="20">
        <f>IFERROR((VLOOKUP(Tabla13[[#This Row],[ID]],[1]!Estilo_Conduccion[[#All],[Placa]:[Puntuacion]],15,FALSE)),0)</f>
        <v>0</v>
      </c>
      <c r="AQ172" s="15" t="s">
        <v>54</v>
      </c>
      <c r="AR172" s="15" t="s">
        <v>54</v>
      </c>
      <c r="AS172" s="20">
        <v>620</v>
      </c>
      <c r="AT172" s="21">
        <v>0</v>
      </c>
      <c r="AU172" s="21">
        <f>(Tabla13[[#This Row],[Cap Vh]]*$AX$2)*0.56</f>
        <v>0</v>
      </c>
      <c r="AV172" s="36" t="e">
        <f>(Tabla13[[#This Row],[Cap Util (kg)]]/(Tabla13[[#This Row],[Cap Inst (Kg)]]))</f>
        <v>#DIV/0!</v>
      </c>
    </row>
    <row r="173" spans="1:48" x14ac:dyDescent="0.25">
      <c r="A173" s="13" t="s">
        <v>1068</v>
      </c>
      <c r="B173" s="14" t="s">
        <v>320</v>
      </c>
      <c r="C173" s="14" t="s">
        <v>44</v>
      </c>
      <c r="D173" s="14" t="s">
        <v>44</v>
      </c>
      <c r="E173" s="14" t="s">
        <v>85</v>
      </c>
      <c r="F173" s="14" t="s">
        <v>46</v>
      </c>
      <c r="G173" s="15" t="s">
        <v>47</v>
      </c>
      <c r="H173" s="16" t="s">
        <v>48</v>
      </c>
      <c r="I173" s="14" t="s">
        <v>49</v>
      </c>
      <c r="J173" s="14">
        <v>830064700</v>
      </c>
      <c r="K173" s="14" t="s">
        <v>50</v>
      </c>
      <c r="L173" s="14" t="s">
        <v>103</v>
      </c>
      <c r="M173" s="14" t="s">
        <v>285</v>
      </c>
      <c r="N173" s="14">
        <v>2007</v>
      </c>
      <c r="O173" s="14">
        <v>13</v>
      </c>
      <c r="P173" s="14" t="s">
        <v>173</v>
      </c>
      <c r="Q173" s="14">
        <v>0</v>
      </c>
      <c r="R173" s="14">
        <v>0</v>
      </c>
      <c r="S173" s="17" t="s">
        <v>54</v>
      </c>
      <c r="T173" s="18">
        <v>0</v>
      </c>
      <c r="U173" s="14">
        <v>30</v>
      </c>
      <c r="V173" s="19">
        <v>1</v>
      </c>
      <c r="W173" s="14">
        <v>0</v>
      </c>
      <c r="X173" s="14">
        <v>0</v>
      </c>
      <c r="Y173" s="14">
        <v>0</v>
      </c>
      <c r="Z173" s="14">
        <v>0</v>
      </c>
      <c r="AA173" s="14">
        <f>Tabla13[[#This Row],[CheckList App]]+Tabla13[[#This Row],[CheckList Fisc]]</f>
        <v>0</v>
      </c>
      <c r="AB173" s="19">
        <f t="shared" si="2"/>
        <v>0</v>
      </c>
      <c r="AC173" s="14">
        <v>0</v>
      </c>
      <c r="AD173" s="14" t="s">
        <v>55</v>
      </c>
      <c r="AE173" s="15" t="str">
        <f>IFERROR((VLOOKUP(Tabla13[[#This Row],[ID]],[1]!Mtto_Pesv[[#Headers],[#Data],[Placa]:[Rutina]],2,FALSE)),"-")</f>
        <v>-</v>
      </c>
      <c r="AF173" s="14">
        <v>0</v>
      </c>
      <c r="AG173" s="20">
        <f>IFERROR((VLOOKUP(Tabla13[[#This Row],[ID]],[1]!Mtto_Pesv[[#Headers],[#Data],[Placa]:[Rutina]],3,FALSE)),0)</f>
        <v>0</v>
      </c>
      <c r="AH173" s="20">
        <f>IFERROR((VLOOKUP(Tabla13[[#This Row],[ID]],[1]!Mtto_Pesv[[#Headers],[#Data],[Placa]:[Rutina]],7,FALSE)),0)</f>
        <v>0</v>
      </c>
      <c r="AI173" s="20">
        <f>IFERROR((VLOOKUP(Tabla13[[#This Row],[ID]],[1]!Mtto_Pesv[[#Headers],[#Data],[Placa]:[Rutina]],8,FALSE)),0)</f>
        <v>0</v>
      </c>
      <c r="AJ173" s="20" t="str">
        <f>IFERROR((VLOOKUP(Tabla13[[#This Row],[ID]],[1]!Mtto_Pesv[[#Headers],[#Data],[Placa]:[Rutina]],9,FALSE)),"-")</f>
        <v>-</v>
      </c>
      <c r="AK173" s="20">
        <f>IFERROR((VLOOKUP(Tabla13[[#This Row],[ID]],[1]!Mtto_Pesv[[#Headers],[#Data],[Placa]:[Rutina]],10,FALSE)),0)</f>
        <v>0</v>
      </c>
      <c r="AL173" s="20">
        <f>IF(Tabla13[[#This Row],[Km Anterior]]=0,0,Tabla13[[#This Row],[Km Ejecut]]-Tabla13[[#This Row],[Km Anterior]])</f>
        <v>0</v>
      </c>
      <c r="AM173" s="20">
        <f>IFERROR((VLOOKUP(Tabla13[[#This Row],[ID]],[1]!Mtto_Pesv[[#Headers],[#Data],[Placa]:[Rutina]],4,FALSE)),0)</f>
        <v>0</v>
      </c>
      <c r="AN173" s="21">
        <f>IFERROR((VLOOKUP(Tabla13[[#This Row],[ID]],[1]!Mtto_Pesv[[#Headers],[#Data],[Placa]:[Rutina]],5,FALSE)),0)</f>
        <v>0</v>
      </c>
      <c r="AO173" s="21">
        <f>+Tabla13[[#This Row],[Km Fin]]-Tabla13[[#This Row],[Km Ini]]</f>
        <v>0</v>
      </c>
      <c r="AP173" s="20">
        <f>IFERROR((VLOOKUP(Tabla13[[#This Row],[ID]],[1]!Estilo_Conduccion[[#All],[Placa]:[Puntuacion]],15,FALSE)),0)</f>
        <v>0</v>
      </c>
      <c r="AQ173" s="15" t="s">
        <v>1203</v>
      </c>
      <c r="AR173" s="15" t="s">
        <v>1204</v>
      </c>
      <c r="AS173" s="20">
        <v>620</v>
      </c>
      <c r="AT173" s="21">
        <v>4687.5</v>
      </c>
      <c r="AU173" s="21">
        <f>(Tabla13[[#This Row],[Cap Vh]]*$AX$2)*0.56</f>
        <v>0</v>
      </c>
      <c r="AV173" s="36" t="e">
        <f>(Tabla13[[#This Row],[Cap Util (kg)]]/(Tabla13[[#This Row],[Cap Inst (Kg)]]))</f>
        <v>#DIV/0!</v>
      </c>
    </row>
    <row r="174" spans="1:48" x14ac:dyDescent="0.25">
      <c r="A174" s="13" t="s">
        <v>1068</v>
      </c>
      <c r="B174" s="14" t="s">
        <v>321</v>
      </c>
      <c r="C174" s="14" t="s">
        <v>44</v>
      </c>
      <c r="D174" s="14" t="s">
        <v>44</v>
      </c>
      <c r="E174" s="14" t="s">
        <v>63</v>
      </c>
      <c r="F174" s="14" t="s">
        <v>46</v>
      </c>
      <c r="G174" s="15" t="s">
        <v>47</v>
      </c>
      <c r="H174" s="16" t="s">
        <v>48</v>
      </c>
      <c r="I174" s="14" t="s">
        <v>49</v>
      </c>
      <c r="J174" s="14">
        <v>830064700</v>
      </c>
      <c r="K174" s="14" t="s">
        <v>50</v>
      </c>
      <c r="L174" s="14" t="s">
        <v>103</v>
      </c>
      <c r="M174" s="14" t="s">
        <v>285</v>
      </c>
      <c r="N174" s="14">
        <v>2007</v>
      </c>
      <c r="O174" s="14">
        <v>13</v>
      </c>
      <c r="P174" s="14" t="s">
        <v>173</v>
      </c>
      <c r="Q174" s="14">
        <v>0</v>
      </c>
      <c r="R174" s="14">
        <v>0</v>
      </c>
      <c r="S174" s="17" t="s">
        <v>54</v>
      </c>
      <c r="T174" s="18">
        <v>0</v>
      </c>
      <c r="U174" s="14">
        <v>30</v>
      </c>
      <c r="V174" s="19">
        <v>1</v>
      </c>
      <c r="W174" s="14">
        <v>0</v>
      </c>
      <c r="X174" s="14">
        <v>0</v>
      </c>
      <c r="Y174" s="14">
        <v>0</v>
      </c>
      <c r="Z174" s="14">
        <v>0</v>
      </c>
      <c r="AA174" s="14">
        <f>Tabla13[[#This Row],[CheckList App]]+Tabla13[[#This Row],[CheckList Fisc]]</f>
        <v>0</v>
      </c>
      <c r="AB174" s="19">
        <f t="shared" si="2"/>
        <v>0</v>
      </c>
      <c r="AC174" s="14">
        <v>0</v>
      </c>
      <c r="AD174" s="14" t="s">
        <v>55</v>
      </c>
      <c r="AE174" s="15" t="str">
        <f>IFERROR((VLOOKUP(Tabla13[[#This Row],[ID]],[1]!Mtto_Pesv[[#Headers],[#Data],[Placa]:[Rutina]],2,FALSE)),"-")</f>
        <v>-</v>
      </c>
      <c r="AF174" s="14">
        <v>0</v>
      </c>
      <c r="AG174" s="20">
        <f>IFERROR((VLOOKUP(Tabla13[[#This Row],[ID]],[1]!Mtto_Pesv[[#Headers],[#Data],[Placa]:[Rutina]],3,FALSE)),0)</f>
        <v>0</v>
      </c>
      <c r="AH174" s="20">
        <f>IFERROR((VLOOKUP(Tabla13[[#This Row],[ID]],[1]!Mtto_Pesv[[#Headers],[#Data],[Placa]:[Rutina]],7,FALSE)),0)</f>
        <v>0</v>
      </c>
      <c r="AI174" s="20">
        <f>IFERROR((VLOOKUP(Tabla13[[#This Row],[ID]],[1]!Mtto_Pesv[[#Headers],[#Data],[Placa]:[Rutina]],8,FALSE)),0)</f>
        <v>0</v>
      </c>
      <c r="AJ174" s="20" t="str">
        <f>IFERROR((VLOOKUP(Tabla13[[#This Row],[ID]],[1]!Mtto_Pesv[[#Headers],[#Data],[Placa]:[Rutina]],9,FALSE)),"-")</f>
        <v>-</v>
      </c>
      <c r="AK174" s="20">
        <f>IFERROR((VLOOKUP(Tabla13[[#This Row],[ID]],[1]!Mtto_Pesv[[#Headers],[#Data],[Placa]:[Rutina]],10,FALSE)),0)</f>
        <v>0</v>
      </c>
      <c r="AL174" s="20">
        <f>IF(Tabla13[[#This Row],[Km Anterior]]=0,0,Tabla13[[#This Row],[Km Ejecut]]-Tabla13[[#This Row],[Km Anterior]])</f>
        <v>0</v>
      </c>
      <c r="AM174" s="20">
        <f>IFERROR((VLOOKUP(Tabla13[[#This Row],[ID]],[1]!Mtto_Pesv[[#Headers],[#Data],[Placa]:[Rutina]],4,FALSE)),0)</f>
        <v>0</v>
      </c>
      <c r="AN174" s="21">
        <f>IFERROR((VLOOKUP(Tabla13[[#This Row],[ID]],[1]!Mtto_Pesv[[#Headers],[#Data],[Placa]:[Rutina]],5,FALSE)),0)</f>
        <v>0</v>
      </c>
      <c r="AO174" s="21">
        <f>+Tabla13[[#This Row],[Km Fin]]-Tabla13[[#This Row],[Km Ini]]</f>
        <v>0</v>
      </c>
      <c r="AP174" s="20">
        <f>IFERROR((VLOOKUP(Tabla13[[#This Row],[ID]],[1]!Estilo_Conduccion[[#All],[Placa]:[Puntuacion]],15,FALSE)),0)</f>
        <v>0</v>
      </c>
      <c r="AQ174" s="15" t="s">
        <v>1074</v>
      </c>
      <c r="AR174" s="15" t="s">
        <v>1075</v>
      </c>
      <c r="AS174" s="20">
        <v>620</v>
      </c>
      <c r="AT174" s="21">
        <v>1990.7142857142858</v>
      </c>
      <c r="AU174" s="21">
        <f>(Tabla13[[#This Row],[Cap Vh]]*$AX$2)*0.56</f>
        <v>0</v>
      </c>
      <c r="AV174" s="36" t="e">
        <f>(Tabla13[[#This Row],[Cap Util (kg)]]/(Tabla13[[#This Row],[Cap Inst (Kg)]]))</f>
        <v>#DIV/0!</v>
      </c>
    </row>
    <row r="175" spans="1:48" x14ac:dyDescent="0.25">
      <c r="A175" s="13" t="s">
        <v>1068</v>
      </c>
      <c r="B175" s="14" t="s">
        <v>322</v>
      </c>
      <c r="C175" s="14" t="s">
        <v>44</v>
      </c>
      <c r="D175" s="14" t="s">
        <v>44</v>
      </c>
      <c r="E175" s="14" t="s">
        <v>63</v>
      </c>
      <c r="F175" s="14" t="s">
        <v>46</v>
      </c>
      <c r="G175" s="15" t="s">
        <v>47</v>
      </c>
      <c r="H175" s="16" t="s">
        <v>48</v>
      </c>
      <c r="I175" s="14" t="s">
        <v>49</v>
      </c>
      <c r="J175" s="14">
        <v>830064700</v>
      </c>
      <c r="K175" s="14" t="s">
        <v>50</v>
      </c>
      <c r="L175" s="14" t="s">
        <v>103</v>
      </c>
      <c r="M175" s="14" t="s">
        <v>285</v>
      </c>
      <c r="N175" s="14">
        <v>2007</v>
      </c>
      <c r="O175" s="14">
        <v>13</v>
      </c>
      <c r="P175" s="14" t="s">
        <v>173</v>
      </c>
      <c r="Q175" s="14">
        <v>0</v>
      </c>
      <c r="R175" s="14">
        <v>0</v>
      </c>
      <c r="S175" s="17" t="s">
        <v>54</v>
      </c>
      <c r="T175" s="18">
        <v>0</v>
      </c>
      <c r="U175" s="14">
        <v>30</v>
      </c>
      <c r="V175" s="19">
        <v>1</v>
      </c>
      <c r="W175" s="14">
        <v>0</v>
      </c>
      <c r="X175" s="14">
        <v>0</v>
      </c>
      <c r="Y175" s="14">
        <v>0</v>
      </c>
      <c r="Z175" s="14">
        <v>0</v>
      </c>
      <c r="AA175" s="14">
        <f>Tabla13[[#This Row],[CheckList App]]+Tabla13[[#This Row],[CheckList Fisc]]</f>
        <v>0</v>
      </c>
      <c r="AB175" s="19">
        <f t="shared" si="2"/>
        <v>0</v>
      </c>
      <c r="AC175" s="14">
        <v>0</v>
      </c>
      <c r="AD175" s="14" t="s">
        <v>55</v>
      </c>
      <c r="AE175" s="15" t="str">
        <f>IFERROR((VLOOKUP(Tabla13[[#This Row],[ID]],[1]!Mtto_Pesv[[#Headers],[#Data],[Placa]:[Rutina]],2,FALSE)),"-")</f>
        <v>-</v>
      </c>
      <c r="AF175" s="14">
        <v>0</v>
      </c>
      <c r="AG175" s="20">
        <f>IFERROR((VLOOKUP(Tabla13[[#This Row],[ID]],[1]!Mtto_Pesv[[#Headers],[#Data],[Placa]:[Rutina]],3,FALSE)),0)</f>
        <v>0</v>
      </c>
      <c r="AH175" s="20">
        <f>IFERROR((VLOOKUP(Tabla13[[#This Row],[ID]],[1]!Mtto_Pesv[[#Headers],[#Data],[Placa]:[Rutina]],7,FALSE)),0)</f>
        <v>0</v>
      </c>
      <c r="AI175" s="20">
        <f>IFERROR((VLOOKUP(Tabla13[[#This Row],[ID]],[1]!Mtto_Pesv[[#Headers],[#Data],[Placa]:[Rutina]],8,FALSE)),0)</f>
        <v>0</v>
      </c>
      <c r="AJ175" s="20" t="str">
        <f>IFERROR((VLOOKUP(Tabla13[[#This Row],[ID]],[1]!Mtto_Pesv[[#Headers],[#Data],[Placa]:[Rutina]],9,FALSE)),"-")</f>
        <v>-</v>
      </c>
      <c r="AK175" s="20">
        <f>IFERROR((VLOOKUP(Tabla13[[#This Row],[ID]],[1]!Mtto_Pesv[[#Headers],[#Data],[Placa]:[Rutina]],10,FALSE)),0)</f>
        <v>0</v>
      </c>
      <c r="AL175" s="20">
        <f>IF(Tabla13[[#This Row],[Km Anterior]]=0,0,Tabla13[[#This Row],[Km Ejecut]]-Tabla13[[#This Row],[Km Anterior]])</f>
        <v>0</v>
      </c>
      <c r="AM175" s="20">
        <f>IFERROR((VLOOKUP(Tabla13[[#This Row],[ID]],[1]!Mtto_Pesv[[#Headers],[#Data],[Placa]:[Rutina]],4,FALSE)),0)</f>
        <v>0</v>
      </c>
      <c r="AN175" s="21">
        <f>IFERROR((VLOOKUP(Tabla13[[#This Row],[ID]],[1]!Mtto_Pesv[[#Headers],[#Data],[Placa]:[Rutina]],5,FALSE)),0)</f>
        <v>0</v>
      </c>
      <c r="AO175" s="21">
        <f>+Tabla13[[#This Row],[Km Fin]]-Tabla13[[#This Row],[Km Ini]]</f>
        <v>0</v>
      </c>
      <c r="AP175" s="20">
        <f>IFERROR((VLOOKUP(Tabla13[[#This Row],[ID]],[1]!Estilo_Conduccion[[#All],[Placa]:[Puntuacion]],15,FALSE)),0)</f>
        <v>0</v>
      </c>
      <c r="AQ175" s="15" t="s">
        <v>1074</v>
      </c>
      <c r="AR175" s="15" t="s">
        <v>1075</v>
      </c>
      <c r="AS175" s="20">
        <v>620</v>
      </c>
      <c r="AT175" s="21">
        <v>1990.7142857142858</v>
      </c>
      <c r="AU175" s="21">
        <f>(Tabla13[[#This Row],[Cap Vh]]*$AX$2)*0.56</f>
        <v>0</v>
      </c>
      <c r="AV175" s="36" t="e">
        <f>(Tabla13[[#This Row],[Cap Util (kg)]]/(Tabla13[[#This Row],[Cap Inst (Kg)]]))</f>
        <v>#DIV/0!</v>
      </c>
    </row>
    <row r="176" spans="1:48" x14ac:dyDescent="0.25">
      <c r="A176" s="13" t="s">
        <v>1068</v>
      </c>
      <c r="B176" s="14" t="s">
        <v>323</v>
      </c>
      <c r="C176" s="14" t="s">
        <v>44</v>
      </c>
      <c r="D176" s="14" t="s">
        <v>44</v>
      </c>
      <c r="E176" s="14" t="s">
        <v>58</v>
      </c>
      <c r="F176" s="14" t="s">
        <v>46</v>
      </c>
      <c r="G176" s="15" t="s">
        <v>47</v>
      </c>
      <c r="H176" s="16" t="s">
        <v>48</v>
      </c>
      <c r="I176" s="14" t="s">
        <v>49</v>
      </c>
      <c r="J176" s="14">
        <v>830064700</v>
      </c>
      <c r="K176" s="14" t="s">
        <v>50</v>
      </c>
      <c r="L176" s="14" t="s">
        <v>103</v>
      </c>
      <c r="M176" s="14" t="s">
        <v>285</v>
      </c>
      <c r="N176" s="14">
        <v>2007</v>
      </c>
      <c r="O176" s="14">
        <v>13</v>
      </c>
      <c r="P176" s="14" t="s">
        <v>173</v>
      </c>
      <c r="Q176" s="14">
        <v>0</v>
      </c>
      <c r="R176" s="14">
        <v>0</v>
      </c>
      <c r="S176" s="17" t="s">
        <v>54</v>
      </c>
      <c r="T176" s="18">
        <v>0</v>
      </c>
      <c r="U176" s="14">
        <v>30</v>
      </c>
      <c r="V176" s="19">
        <v>1</v>
      </c>
      <c r="W176" s="14">
        <v>0</v>
      </c>
      <c r="X176" s="14">
        <v>0</v>
      </c>
      <c r="Y176" s="14">
        <v>0</v>
      </c>
      <c r="Z176" s="14">
        <v>0</v>
      </c>
      <c r="AA176" s="14">
        <f>Tabla13[[#This Row],[CheckList App]]+Tabla13[[#This Row],[CheckList Fisc]]</f>
        <v>0</v>
      </c>
      <c r="AB176" s="19">
        <f t="shared" si="2"/>
        <v>0</v>
      </c>
      <c r="AC176" s="14">
        <v>0</v>
      </c>
      <c r="AD176" s="14" t="s">
        <v>55</v>
      </c>
      <c r="AE176" s="15" t="str">
        <f>IFERROR((VLOOKUP(Tabla13[[#This Row],[ID]],[1]!Mtto_Pesv[[#Headers],[#Data],[Placa]:[Rutina]],2,FALSE)),"-")</f>
        <v>-</v>
      </c>
      <c r="AF176" s="14">
        <v>0</v>
      </c>
      <c r="AG176" s="20">
        <f>IFERROR((VLOOKUP(Tabla13[[#This Row],[ID]],[1]!Mtto_Pesv[[#Headers],[#Data],[Placa]:[Rutina]],3,FALSE)),0)</f>
        <v>0</v>
      </c>
      <c r="AH176" s="20">
        <f>IFERROR((VLOOKUP(Tabla13[[#This Row],[ID]],[1]!Mtto_Pesv[[#Headers],[#Data],[Placa]:[Rutina]],7,FALSE)),0)</f>
        <v>0</v>
      </c>
      <c r="AI176" s="20">
        <f>IFERROR((VLOOKUP(Tabla13[[#This Row],[ID]],[1]!Mtto_Pesv[[#Headers],[#Data],[Placa]:[Rutina]],8,FALSE)),0)</f>
        <v>0</v>
      </c>
      <c r="AJ176" s="20" t="str">
        <f>IFERROR((VLOOKUP(Tabla13[[#This Row],[ID]],[1]!Mtto_Pesv[[#Headers],[#Data],[Placa]:[Rutina]],9,FALSE)),"-")</f>
        <v>-</v>
      </c>
      <c r="AK176" s="20">
        <f>IFERROR((VLOOKUP(Tabla13[[#This Row],[ID]],[1]!Mtto_Pesv[[#Headers],[#Data],[Placa]:[Rutina]],10,FALSE)),0)</f>
        <v>0</v>
      </c>
      <c r="AL176" s="20">
        <f>IF(Tabla13[[#This Row],[Km Anterior]]=0,0,Tabla13[[#This Row],[Km Ejecut]]-Tabla13[[#This Row],[Km Anterior]])</f>
        <v>0</v>
      </c>
      <c r="AM176" s="20">
        <f>IFERROR((VLOOKUP(Tabla13[[#This Row],[ID]],[1]!Mtto_Pesv[[#Headers],[#Data],[Placa]:[Rutina]],4,FALSE)),0)</f>
        <v>0</v>
      </c>
      <c r="AN176" s="21">
        <f>IFERROR((VLOOKUP(Tabla13[[#This Row],[ID]],[1]!Mtto_Pesv[[#Headers],[#Data],[Placa]:[Rutina]],5,FALSE)),0)</f>
        <v>0</v>
      </c>
      <c r="AO176" s="21">
        <f>+Tabla13[[#This Row],[Km Fin]]-Tabla13[[#This Row],[Km Ini]]</f>
        <v>0</v>
      </c>
      <c r="AP176" s="20">
        <f>IFERROR((VLOOKUP(Tabla13[[#This Row],[ID]],[1]!Estilo_Conduccion[[#All],[Placa]:[Puntuacion]],15,FALSE)),0)</f>
        <v>0</v>
      </c>
      <c r="AQ176" s="15" t="s">
        <v>54</v>
      </c>
      <c r="AR176" s="15" t="s">
        <v>54</v>
      </c>
      <c r="AS176" s="20">
        <v>620</v>
      </c>
      <c r="AT176" s="21">
        <v>0</v>
      </c>
      <c r="AU176" s="21">
        <f>(Tabla13[[#This Row],[Cap Vh]]*$AX$2)*0.56</f>
        <v>0</v>
      </c>
      <c r="AV176" s="36" t="e">
        <f>(Tabla13[[#This Row],[Cap Util (kg)]]/(Tabla13[[#This Row],[Cap Inst (Kg)]]))</f>
        <v>#DIV/0!</v>
      </c>
    </row>
    <row r="177" spans="1:48" x14ac:dyDescent="0.25">
      <c r="A177" s="13" t="s">
        <v>1068</v>
      </c>
      <c r="B177" s="14" t="s">
        <v>324</v>
      </c>
      <c r="C177" s="14" t="s">
        <v>44</v>
      </c>
      <c r="D177" s="14" t="s">
        <v>44</v>
      </c>
      <c r="E177" s="14" t="s">
        <v>58</v>
      </c>
      <c r="F177" s="14" t="s">
        <v>46</v>
      </c>
      <c r="G177" s="15" t="s">
        <v>47</v>
      </c>
      <c r="H177" s="16" t="s">
        <v>48</v>
      </c>
      <c r="I177" s="14" t="s">
        <v>49</v>
      </c>
      <c r="J177" s="14">
        <v>830064700</v>
      </c>
      <c r="K177" s="14" t="s">
        <v>50</v>
      </c>
      <c r="L177" s="14" t="s">
        <v>103</v>
      </c>
      <c r="M177" s="14" t="s">
        <v>285</v>
      </c>
      <c r="N177" s="14">
        <v>2007</v>
      </c>
      <c r="O177" s="14">
        <v>13</v>
      </c>
      <c r="P177" s="14" t="s">
        <v>173</v>
      </c>
      <c r="Q177" s="14">
        <v>0</v>
      </c>
      <c r="R177" s="14">
        <v>0</v>
      </c>
      <c r="S177" s="17" t="s">
        <v>54</v>
      </c>
      <c r="T177" s="18">
        <v>0</v>
      </c>
      <c r="U177" s="14">
        <v>30</v>
      </c>
      <c r="V177" s="19">
        <v>1</v>
      </c>
      <c r="W177" s="14">
        <v>0</v>
      </c>
      <c r="X177" s="14">
        <v>0</v>
      </c>
      <c r="Y177" s="14">
        <v>0</v>
      </c>
      <c r="Z177" s="14">
        <v>0</v>
      </c>
      <c r="AA177" s="14">
        <f>Tabla13[[#This Row],[CheckList App]]+Tabla13[[#This Row],[CheckList Fisc]]</f>
        <v>0</v>
      </c>
      <c r="AB177" s="19">
        <f t="shared" si="2"/>
        <v>0</v>
      </c>
      <c r="AC177" s="14">
        <v>0</v>
      </c>
      <c r="AD177" s="14" t="s">
        <v>55</v>
      </c>
      <c r="AE177" s="15" t="str">
        <f>IFERROR((VLOOKUP(Tabla13[[#This Row],[ID]],[1]!Mtto_Pesv[[#Headers],[#Data],[Placa]:[Rutina]],2,FALSE)),"-")</f>
        <v>-</v>
      </c>
      <c r="AF177" s="14">
        <v>0</v>
      </c>
      <c r="AG177" s="20">
        <f>IFERROR((VLOOKUP(Tabla13[[#This Row],[ID]],[1]!Mtto_Pesv[[#Headers],[#Data],[Placa]:[Rutina]],3,FALSE)),0)</f>
        <v>0</v>
      </c>
      <c r="AH177" s="20">
        <f>IFERROR((VLOOKUP(Tabla13[[#This Row],[ID]],[1]!Mtto_Pesv[[#Headers],[#Data],[Placa]:[Rutina]],7,FALSE)),0)</f>
        <v>0</v>
      </c>
      <c r="AI177" s="20">
        <f>IFERROR((VLOOKUP(Tabla13[[#This Row],[ID]],[1]!Mtto_Pesv[[#Headers],[#Data],[Placa]:[Rutina]],8,FALSE)),0)</f>
        <v>0</v>
      </c>
      <c r="AJ177" s="20" t="str">
        <f>IFERROR((VLOOKUP(Tabla13[[#This Row],[ID]],[1]!Mtto_Pesv[[#Headers],[#Data],[Placa]:[Rutina]],9,FALSE)),"-")</f>
        <v>-</v>
      </c>
      <c r="AK177" s="20">
        <f>IFERROR((VLOOKUP(Tabla13[[#This Row],[ID]],[1]!Mtto_Pesv[[#Headers],[#Data],[Placa]:[Rutina]],10,FALSE)),0)</f>
        <v>0</v>
      </c>
      <c r="AL177" s="20">
        <f>IF(Tabla13[[#This Row],[Km Anterior]]=0,0,Tabla13[[#This Row],[Km Ejecut]]-Tabla13[[#This Row],[Km Anterior]])</f>
        <v>0</v>
      </c>
      <c r="AM177" s="20">
        <f>IFERROR((VLOOKUP(Tabla13[[#This Row],[ID]],[1]!Mtto_Pesv[[#Headers],[#Data],[Placa]:[Rutina]],4,FALSE)),0)</f>
        <v>0</v>
      </c>
      <c r="AN177" s="21">
        <f>IFERROR((VLOOKUP(Tabla13[[#This Row],[ID]],[1]!Mtto_Pesv[[#Headers],[#Data],[Placa]:[Rutina]],5,FALSE)),0)</f>
        <v>0</v>
      </c>
      <c r="AO177" s="21">
        <f>+Tabla13[[#This Row],[Km Fin]]-Tabla13[[#This Row],[Km Ini]]</f>
        <v>0</v>
      </c>
      <c r="AP177" s="20">
        <f>IFERROR((VLOOKUP(Tabla13[[#This Row],[ID]],[1]!Estilo_Conduccion[[#All],[Placa]:[Puntuacion]],15,FALSE)),0)</f>
        <v>0</v>
      </c>
      <c r="AQ177" s="15" t="s">
        <v>1070</v>
      </c>
      <c r="AR177" s="15" t="s">
        <v>1071</v>
      </c>
      <c r="AS177" s="20">
        <v>620</v>
      </c>
      <c r="AT177" s="21">
        <v>3775.4166666666665</v>
      </c>
      <c r="AU177" s="21">
        <f>(Tabla13[[#This Row],[Cap Vh]]*$AX$2)*0.56</f>
        <v>0</v>
      </c>
      <c r="AV177" s="36" t="e">
        <f>(Tabla13[[#This Row],[Cap Util (kg)]]/(Tabla13[[#This Row],[Cap Inst (Kg)]]))</f>
        <v>#DIV/0!</v>
      </c>
    </row>
    <row r="178" spans="1:48" x14ac:dyDescent="0.25">
      <c r="A178" s="13" t="s">
        <v>1068</v>
      </c>
      <c r="B178" s="14" t="s">
        <v>325</v>
      </c>
      <c r="C178" s="14" t="s">
        <v>44</v>
      </c>
      <c r="D178" s="14" t="s">
        <v>44</v>
      </c>
      <c r="E178" s="14" t="s">
        <v>58</v>
      </c>
      <c r="F178" s="14" t="s">
        <v>64</v>
      </c>
      <c r="G178" s="15" t="s">
        <v>119</v>
      </c>
      <c r="H178" s="16" t="s">
        <v>120</v>
      </c>
      <c r="I178" s="14" t="s">
        <v>203</v>
      </c>
      <c r="J178" s="14">
        <v>830064700</v>
      </c>
      <c r="K178" s="14" t="s">
        <v>50</v>
      </c>
      <c r="L178" s="14" t="s">
        <v>103</v>
      </c>
      <c r="M178" s="14" t="s">
        <v>285</v>
      </c>
      <c r="N178" s="14">
        <v>2007</v>
      </c>
      <c r="O178" s="14">
        <v>13</v>
      </c>
      <c r="P178" s="14" t="s">
        <v>173</v>
      </c>
      <c r="Q178" s="14">
        <v>0</v>
      </c>
      <c r="R178" s="14">
        <v>0</v>
      </c>
      <c r="S178" s="17" t="s">
        <v>54</v>
      </c>
      <c r="T178" s="18">
        <v>0</v>
      </c>
      <c r="U178" s="14">
        <v>30</v>
      </c>
      <c r="V178" s="19">
        <v>1</v>
      </c>
      <c r="W178" s="14">
        <v>0</v>
      </c>
      <c r="X178" s="14">
        <v>0</v>
      </c>
      <c r="Y178" s="14">
        <v>0</v>
      </c>
      <c r="Z178" s="14">
        <v>0</v>
      </c>
      <c r="AA178" s="14">
        <f>Tabla13[[#This Row],[CheckList App]]+Tabla13[[#This Row],[CheckList Fisc]]</f>
        <v>0</v>
      </c>
      <c r="AB178" s="19">
        <f t="shared" si="2"/>
        <v>0</v>
      </c>
      <c r="AC178" s="14">
        <v>0</v>
      </c>
      <c r="AD178" s="14" t="s">
        <v>70</v>
      </c>
      <c r="AE178" s="22" t="str">
        <f>IFERROR((VLOOKUP(Tabla13[[#This Row],[ID]],[1]!Mtto_Pesv[[#Headers],[#Data],[Placa]:[Rutina]],2,FALSE)),"-")</f>
        <v>-</v>
      </c>
      <c r="AF178" s="14">
        <v>1</v>
      </c>
      <c r="AG178" s="20">
        <f>IFERROR((VLOOKUP(Tabla13[[#This Row],[ID]],[1]!Mtto_Pesv[[#Headers],[#Data],[Placa]:[Rutina]],3,FALSE)),0)</f>
        <v>0</v>
      </c>
      <c r="AH178" s="20">
        <f>IFERROR((VLOOKUP(Tabla13[[#This Row],[ID]],[1]!Mtto_Pesv[[#Headers],[#Data],[Placa]:[Rutina]],7,FALSE)),0)</f>
        <v>0</v>
      </c>
      <c r="AI178" s="20">
        <f>IFERROR((VLOOKUP(Tabla13[[#This Row],[ID]],[1]!Mtto_Pesv[[#Headers],[#Data],[Placa]:[Rutina]],8,FALSE)),0)</f>
        <v>0</v>
      </c>
      <c r="AJ178" s="20" t="str">
        <f>IFERROR((VLOOKUP(Tabla13[[#This Row],[ID]],[1]!Mtto_Pesv[[#Headers],[#Data],[Placa]:[Rutina]],9,FALSE)),"-")</f>
        <v>-</v>
      </c>
      <c r="AK178" s="20">
        <f>IFERROR((VLOOKUP(Tabla13[[#This Row],[ID]],[1]!Mtto_Pesv[[#Headers],[#Data],[Placa]:[Rutina]],10,FALSE)),0)</f>
        <v>0</v>
      </c>
      <c r="AL178" s="20">
        <f>IF(Tabla13[[#This Row],[Km Anterior]]=0,0,Tabla13[[#This Row],[Km Ejecut]]-Tabla13[[#This Row],[Km Anterior]])</f>
        <v>0</v>
      </c>
      <c r="AM178" s="20">
        <f>IFERROR((VLOOKUP(Tabla13[[#This Row],[ID]],[1]!Mtto_Pesv[[#Headers],[#Data],[Placa]:[Rutina]],4,FALSE)),0)</f>
        <v>0</v>
      </c>
      <c r="AN178" s="21">
        <f>IFERROR((VLOOKUP(Tabla13[[#This Row],[ID]],[1]!Mtto_Pesv[[#Headers],[#Data],[Placa]:[Rutina]],5,FALSE)),0)</f>
        <v>0</v>
      </c>
      <c r="AO178" s="21">
        <f>+Tabla13[[#This Row],[Km Fin]]-Tabla13[[#This Row],[Km Ini]]</f>
        <v>0</v>
      </c>
      <c r="AP178" s="20">
        <f>IFERROR((VLOOKUP(Tabla13[[#This Row],[ID]],[1]!Estilo_Conduccion[[#All],[Placa]:[Puntuacion]],15,FALSE)),0)</f>
        <v>0</v>
      </c>
      <c r="AQ178" s="15" t="s">
        <v>54</v>
      </c>
      <c r="AR178" s="15" t="s">
        <v>54</v>
      </c>
      <c r="AS178" s="20">
        <v>620</v>
      </c>
      <c r="AT178" s="21">
        <v>0</v>
      </c>
      <c r="AU178" s="21">
        <f>(Tabla13[[#This Row],[Cap Vh]]*$AX$2)*0.56</f>
        <v>0</v>
      </c>
      <c r="AV178" s="36" t="e">
        <f>(Tabla13[[#This Row],[Cap Util (kg)]]/(Tabla13[[#This Row],[Cap Inst (Kg)]]))</f>
        <v>#DIV/0!</v>
      </c>
    </row>
    <row r="179" spans="1:48" x14ac:dyDescent="0.25">
      <c r="A179" s="13" t="s">
        <v>1068</v>
      </c>
      <c r="B179" s="14" t="s">
        <v>326</v>
      </c>
      <c r="C179" s="14" t="s">
        <v>44</v>
      </c>
      <c r="D179" s="14" t="s">
        <v>44</v>
      </c>
      <c r="E179" s="14" t="s">
        <v>127</v>
      </c>
      <c r="F179" s="14" t="s">
        <v>64</v>
      </c>
      <c r="G179" s="15" t="s">
        <v>119</v>
      </c>
      <c r="H179" s="16" t="s">
        <v>120</v>
      </c>
      <c r="I179" s="14" t="s">
        <v>49</v>
      </c>
      <c r="J179" s="14">
        <v>830064700</v>
      </c>
      <c r="K179" s="14" t="s">
        <v>50</v>
      </c>
      <c r="L179" s="14" t="s">
        <v>103</v>
      </c>
      <c r="M179" s="14" t="s">
        <v>285</v>
      </c>
      <c r="N179" s="14">
        <v>2007</v>
      </c>
      <c r="O179" s="14">
        <v>13</v>
      </c>
      <c r="P179" s="14" t="s">
        <v>173</v>
      </c>
      <c r="Q179" s="14">
        <v>0</v>
      </c>
      <c r="R179" s="14">
        <v>0</v>
      </c>
      <c r="S179" s="17" t="s">
        <v>54</v>
      </c>
      <c r="T179" s="18">
        <v>0</v>
      </c>
      <c r="U179" s="14">
        <v>30</v>
      </c>
      <c r="V179" s="19">
        <v>1</v>
      </c>
      <c r="W179" s="14">
        <v>0</v>
      </c>
      <c r="X179" s="14">
        <v>0</v>
      </c>
      <c r="Y179" s="14">
        <v>0</v>
      </c>
      <c r="Z179" s="14">
        <v>0</v>
      </c>
      <c r="AA179" s="14">
        <f>Tabla13[[#This Row],[CheckList App]]+Tabla13[[#This Row],[CheckList Fisc]]</f>
        <v>0</v>
      </c>
      <c r="AB179" s="19">
        <f t="shared" si="2"/>
        <v>0</v>
      </c>
      <c r="AC179" s="14">
        <v>0</v>
      </c>
      <c r="AD179" s="14" t="s">
        <v>55</v>
      </c>
      <c r="AE179" s="22" t="str">
        <f>IFERROR((VLOOKUP(Tabla13[[#This Row],[ID]],[1]!Mtto_Pesv[[#Headers],[#Data],[Placa]:[Rutina]],2,FALSE)),"-")</f>
        <v>-</v>
      </c>
      <c r="AF179" s="14">
        <v>0</v>
      </c>
      <c r="AG179" s="20">
        <f>IFERROR((VLOOKUP(Tabla13[[#This Row],[ID]],[1]!Mtto_Pesv[[#Headers],[#Data],[Placa]:[Rutina]],3,FALSE)),0)</f>
        <v>0</v>
      </c>
      <c r="AH179" s="20">
        <f>IFERROR((VLOOKUP(Tabla13[[#This Row],[ID]],[1]!Mtto_Pesv[[#Headers],[#Data],[Placa]:[Rutina]],7,FALSE)),0)</f>
        <v>0</v>
      </c>
      <c r="AI179" s="20">
        <f>IFERROR((VLOOKUP(Tabla13[[#This Row],[ID]],[1]!Mtto_Pesv[[#Headers],[#Data],[Placa]:[Rutina]],8,FALSE)),0)</f>
        <v>0</v>
      </c>
      <c r="AJ179" s="20" t="str">
        <f>IFERROR((VLOOKUP(Tabla13[[#This Row],[ID]],[1]!Mtto_Pesv[[#Headers],[#Data],[Placa]:[Rutina]],9,FALSE)),"-")</f>
        <v>-</v>
      </c>
      <c r="AK179" s="20">
        <f>IFERROR((VLOOKUP(Tabla13[[#This Row],[ID]],[1]!Mtto_Pesv[[#Headers],[#Data],[Placa]:[Rutina]],10,FALSE)),0)</f>
        <v>0</v>
      </c>
      <c r="AL179" s="20">
        <f>IF(Tabla13[[#This Row],[Km Anterior]]=0,0,Tabla13[[#This Row],[Km Ejecut]]-Tabla13[[#This Row],[Km Anterior]])</f>
        <v>0</v>
      </c>
      <c r="AM179" s="20">
        <f>IFERROR((VLOOKUP(Tabla13[[#This Row],[ID]],[1]!Mtto_Pesv[[#Headers],[#Data],[Placa]:[Rutina]],4,FALSE)),0)</f>
        <v>0</v>
      </c>
      <c r="AN179" s="21">
        <f>IFERROR((VLOOKUP(Tabla13[[#This Row],[ID]],[1]!Mtto_Pesv[[#Headers],[#Data],[Placa]:[Rutina]],5,FALSE)),0)</f>
        <v>0</v>
      </c>
      <c r="AO179" s="21">
        <f>+Tabla13[[#This Row],[Km Fin]]-Tabla13[[#This Row],[Km Ini]]</f>
        <v>0</v>
      </c>
      <c r="AP179" s="20">
        <f>IFERROR((VLOOKUP(Tabla13[[#This Row],[ID]],[1]!Estilo_Conduccion[[#All],[Placa]:[Puntuacion]],15,FALSE)),0)</f>
        <v>0</v>
      </c>
      <c r="AQ179" s="15" t="s">
        <v>54</v>
      </c>
      <c r="AR179" s="15" t="s">
        <v>54</v>
      </c>
      <c r="AS179" s="20">
        <v>620</v>
      </c>
      <c r="AT179" s="21">
        <v>0</v>
      </c>
      <c r="AU179" s="21">
        <f>(Tabla13[[#This Row],[Cap Vh]]*$AX$2)*0.56</f>
        <v>0</v>
      </c>
      <c r="AV179" s="36" t="e">
        <f>(Tabla13[[#This Row],[Cap Util (kg)]]/(Tabla13[[#This Row],[Cap Inst (Kg)]]))</f>
        <v>#DIV/0!</v>
      </c>
    </row>
    <row r="180" spans="1:48" x14ac:dyDescent="0.25">
      <c r="A180" s="13" t="s">
        <v>1068</v>
      </c>
      <c r="B180" s="14" t="s">
        <v>327</v>
      </c>
      <c r="C180" s="14" t="s">
        <v>44</v>
      </c>
      <c r="D180" s="14" t="s">
        <v>44</v>
      </c>
      <c r="E180" s="14" t="s">
        <v>58</v>
      </c>
      <c r="F180" s="14" t="s">
        <v>46</v>
      </c>
      <c r="G180" s="15" t="s">
        <v>47</v>
      </c>
      <c r="H180" s="16" t="s">
        <v>48</v>
      </c>
      <c r="I180" s="14" t="s">
        <v>49</v>
      </c>
      <c r="J180" s="14">
        <v>830064700</v>
      </c>
      <c r="K180" s="14" t="s">
        <v>50</v>
      </c>
      <c r="L180" s="14" t="s">
        <v>103</v>
      </c>
      <c r="M180" s="14" t="s">
        <v>285</v>
      </c>
      <c r="N180" s="14">
        <v>2007</v>
      </c>
      <c r="O180" s="14">
        <v>13</v>
      </c>
      <c r="P180" s="14" t="s">
        <v>173</v>
      </c>
      <c r="Q180" s="14">
        <v>0</v>
      </c>
      <c r="R180" s="14">
        <v>0</v>
      </c>
      <c r="S180" s="17" t="s">
        <v>54</v>
      </c>
      <c r="T180" s="18">
        <v>0</v>
      </c>
      <c r="U180" s="14">
        <v>30</v>
      </c>
      <c r="V180" s="19">
        <v>1</v>
      </c>
      <c r="W180" s="14">
        <v>0</v>
      </c>
      <c r="X180" s="14">
        <v>0</v>
      </c>
      <c r="Y180" s="14">
        <v>0</v>
      </c>
      <c r="Z180" s="14">
        <v>0</v>
      </c>
      <c r="AA180" s="14">
        <f>Tabla13[[#This Row],[CheckList App]]+Tabla13[[#This Row],[CheckList Fisc]]</f>
        <v>0</v>
      </c>
      <c r="AB180" s="19">
        <f t="shared" si="2"/>
        <v>0</v>
      </c>
      <c r="AC180" s="14">
        <v>0</v>
      </c>
      <c r="AD180" s="14" t="s">
        <v>55</v>
      </c>
      <c r="AE180" s="15" t="str">
        <f>IFERROR((VLOOKUP(Tabla13[[#This Row],[ID]],[1]!Mtto_Pesv[[#Headers],[#Data],[Placa]:[Rutina]],2,FALSE)),"-")</f>
        <v>-</v>
      </c>
      <c r="AF180" s="14">
        <v>0</v>
      </c>
      <c r="AG180" s="20">
        <f>IFERROR((VLOOKUP(Tabla13[[#This Row],[ID]],[1]!Mtto_Pesv[[#Headers],[#Data],[Placa]:[Rutina]],3,FALSE)),0)</f>
        <v>0</v>
      </c>
      <c r="AH180" s="20">
        <f>IFERROR((VLOOKUP(Tabla13[[#This Row],[ID]],[1]!Mtto_Pesv[[#Headers],[#Data],[Placa]:[Rutina]],7,FALSE)),0)</f>
        <v>0</v>
      </c>
      <c r="AI180" s="20">
        <f>IFERROR((VLOOKUP(Tabla13[[#This Row],[ID]],[1]!Mtto_Pesv[[#Headers],[#Data],[Placa]:[Rutina]],8,FALSE)),0)</f>
        <v>0</v>
      </c>
      <c r="AJ180" s="20" t="str">
        <f>IFERROR((VLOOKUP(Tabla13[[#This Row],[ID]],[1]!Mtto_Pesv[[#Headers],[#Data],[Placa]:[Rutina]],9,FALSE)),"-")</f>
        <v>-</v>
      </c>
      <c r="AK180" s="20">
        <f>IFERROR((VLOOKUP(Tabla13[[#This Row],[ID]],[1]!Mtto_Pesv[[#Headers],[#Data],[Placa]:[Rutina]],10,FALSE)),0)</f>
        <v>0</v>
      </c>
      <c r="AL180" s="20">
        <f>IF(Tabla13[[#This Row],[Km Anterior]]=0,0,Tabla13[[#This Row],[Km Ejecut]]-Tabla13[[#This Row],[Km Anterior]])</f>
        <v>0</v>
      </c>
      <c r="AM180" s="20">
        <f>IFERROR((VLOOKUP(Tabla13[[#This Row],[ID]],[1]!Mtto_Pesv[[#Headers],[#Data],[Placa]:[Rutina]],4,FALSE)),0)</f>
        <v>0</v>
      </c>
      <c r="AN180" s="21">
        <f>IFERROR((VLOOKUP(Tabla13[[#This Row],[ID]],[1]!Mtto_Pesv[[#Headers],[#Data],[Placa]:[Rutina]],5,FALSE)),0)</f>
        <v>0</v>
      </c>
      <c r="AO180" s="21">
        <f>+Tabla13[[#This Row],[Km Fin]]-Tabla13[[#This Row],[Km Ini]]</f>
        <v>0</v>
      </c>
      <c r="AP180" s="20">
        <f>IFERROR((VLOOKUP(Tabla13[[#This Row],[ID]],[1]!Estilo_Conduccion[[#All],[Placa]:[Puntuacion]],15,FALSE)),0)</f>
        <v>0</v>
      </c>
      <c r="AQ180" s="15" t="s">
        <v>1070</v>
      </c>
      <c r="AR180" s="15" t="s">
        <v>1071</v>
      </c>
      <c r="AS180" s="20">
        <v>520</v>
      </c>
      <c r="AT180" s="21">
        <v>3775.4166666666665</v>
      </c>
      <c r="AU180" s="21">
        <f>(Tabla13[[#This Row],[Cap Vh]]*$AX$2)*0.56</f>
        <v>0</v>
      </c>
      <c r="AV180" s="36" t="e">
        <f>(Tabla13[[#This Row],[Cap Util (kg)]]/(Tabla13[[#This Row],[Cap Inst (Kg)]]))</f>
        <v>#DIV/0!</v>
      </c>
    </row>
    <row r="181" spans="1:48" x14ac:dyDescent="0.25">
      <c r="A181" s="13" t="s">
        <v>1068</v>
      </c>
      <c r="B181" s="14" t="s">
        <v>328</v>
      </c>
      <c r="C181" s="14" t="s">
        <v>44</v>
      </c>
      <c r="D181" s="14" t="s">
        <v>44</v>
      </c>
      <c r="E181" s="14" t="s">
        <v>63</v>
      </c>
      <c r="F181" s="14" t="s">
        <v>46</v>
      </c>
      <c r="G181" s="15" t="s">
        <v>47</v>
      </c>
      <c r="H181" s="16" t="s">
        <v>48</v>
      </c>
      <c r="I181" s="14" t="s">
        <v>49</v>
      </c>
      <c r="J181" s="14">
        <v>830064700</v>
      </c>
      <c r="K181" s="14" t="s">
        <v>50</v>
      </c>
      <c r="L181" s="14" t="s">
        <v>103</v>
      </c>
      <c r="M181" s="14" t="s">
        <v>285</v>
      </c>
      <c r="N181" s="14">
        <v>2007</v>
      </c>
      <c r="O181" s="14">
        <v>13</v>
      </c>
      <c r="P181" s="14" t="s">
        <v>173</v>
      </c>
      <c r="Q181" s="14">
        <v>0</v>
      </c>
      <c r="R181" s="14">
        <v>0</v>
      </c>
      <c r="S181" s="17" t="s">
        <v>54</v>
      </c>
      <c r="T181" s="18">
        <v>0</v>
      </c>
      <c r="U181" s="14">
        <v>0</v>
      </c>
      <c r="V181" s="19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f>Tabla13[[#This Row],[CheckList App]]+Tabla13[[#This Row],[CheckList Fisc]]</f>
        <v>0</v>
      </c>
      <c r="AB181" s="19" t="str">
        <f t="shared" si="2"/>
        <v/>
      </c>
      <c r="AC181" s="14">
        <v>0</v>
      </c>
      <c r="AD181" s="14" t="s">
        <v>55</v>
      </c>
      <c r="AE181" s="15" t="str">
        <f>IFERROR((VLOOKUP(Tabla13[[#This Row],[ID]],[1]!Mtto_Pesv[[#Headers],[#Data],[Placa]:[Rutina]],2,FALSE)),"-")</f>
        <v>-</v>
      </c>
      <c r="AF181" s="14">
        <v>0</v>
      </c>
      <c r="AG181" s="20">
        <f>IFERROR((VLOOKUP(Tabla13[[#This Row],[ID]],[1]!Mtto_Pesv[[#Headers],[#Data],[Placa]:[Rutina]],3,FALSE)),0)</f>
        <v>0</v>
      </c>
      <c r="AH181" s="20">
        <f>IFERROR((VLOOKUP(Tabla13[[#This Row],[ID]],[1]!Mtto_Pesv[[#Headers],[#Data],[Placa]:[Rutina]],7,FALSE)),0)</f>
        <v>0</v>
      </c>
      <c r="AI181" s="20">
        <f>IFERROR((VLOOKUP(Tabla13[[#This Row],[ID]],[1]!Mtto_Pesv[[#Headers],[#Data],[Placa]:[Rutina]],8,FALSE)),0)</f>
        <v>0</v>
      </c>
      <c r="AJ181" s="20" t="str">
        <f>IFERROR((VLOOKUP(Tabla13[[#This Row],[ID]],[1]!Mtto_Pesv[[#Headers],[#Data],[Placa]:[Rutina]],9,FALSE)),"-")</f>
        <v>-</v>
      </c>
      <c r="AK181" s="20">
        <f>IFERROR((VLOOKUP(Tabla13[[#This Row],[ID]],[1]!Mtto_Pesv[[#Headers],[#Data],[Placa]:[Rutina]],10,FALSE)),0)</f>
        <v>0</v>
      </c>
      <c r="AL181" s="20">
        <f>IF(Tabla13[[#This Row],[Km Anterior]]=0,0,Tabla13[[#This Row],[Km Ejecut]]-Tabla13[[#This Row],[Km Anterior]])</f>
        <v>0</v>
      </c>
      <c r="AM181" s="20">
        <f>IFERROR((VLOOKUP(Tabla13[[#This Row],[ID]],[1]!Mtto_Pesv[[#Headers],[#Data],[Placa]:[Rutina]],4,FALSE)),0)</f>
        <v>0</v>
      </c>
      <c r="AN181" s="21">
        <f>IFERROR((VLOOKUP(Tabla13[[#This Row],[ID]],[1]!Mtto_Pesv[[#Headers],[#Data],[Placa]:[Rutina]],5,FALSE)),0)</f>
        <v>0</v>
      </c>
      <c r="AO181" s="21">
        <f>+Tabla13[[#This Row],[Km Fin]]-Tabla13[[#This Row],[Km Ini]]</f>
        <v>0</v>
      </c>
      <c r="AP181" s="20">
        <f>IFERROR((VLOOKUP(Tabla13[[#This Row],[ID]],[1]!Estilo_Conduccion[[#All],[Placa]:[Puntuacion]],15,FALSE)),0)</f>
        <v>0</v>
      </c>
      <c r="AQ181" s="15" t="s">
        <v>54</v>
      </c>
      <c r="AR181" s="15" t="s">
        <v>54</v>
      </c>
      <c r="AS181" s="20">
        <v>520</v>
      </c>
      <c r="AT181" s="21">
        <v>0</v>
      </c>
      <c r="AU181" s="21">
        <f>(Tabla13[[#This Row],[Cap Vh]]*$AX$2)*0.56</f>
        <v>0</v>
      </c>
      <c r="AV181" s="36" t="e">
        <f>(Tabla13[[#This Row],[Cap Util (kg)]]/(Tabla13[[#This Row],[Cap Inst (Kg)]]))</f>
        <v>#DIV/0!</v>
      </c>
    </row>
    <row r="182" spans="1:48" x14ac:dyDescent="0.25">
      <c r="A182" s="13" t="s">
        <v>1068</v>
      </c>
      <c r="B182" s="14" t="s">
        <v>329</v>
      </c>
      <c r="C182" s="14" t="s">
        <v>44</v>
      </c>
      <c r="D182" s="14" t="s">
        <v>44</v>
      </c>
      <c r="E182" s="14" t="s">
        <v>45</v>
      </c>
      <c r="F182" s="14" t="s">
        <v>46</v>
      </c>
      <c r="G182" s="15" t="s">
        <v>47</v>
      </c>
      <c r="H182" s="16" t="s">
        <v>48</v>
      </c>
      <c r="I182" s="14" t="s">
        <v>49</v>
      </c>
      <c r="J182" s="14">
        <v>830064700</v>
      </c>
      <c r="K182" s="14" t="s">
        <v>50</v>
      </c>
      <c r="L182" s="14" t="s">
        <v>103</v>
      </c>
      <c r="M182" s="14" t="s">
        <v>285</v>
      </c>
      <c r="N182" s="14">
        <v>2008</v>
      </c>
      <c r="O182" s="14">
        <v>12</v>
      </c>
      <c r="P182" s="14" t="s">
        <v>173</v>
      </c>
      <c r="Q182" s="14">
        <v>0</v>
      </c>
      <c r="R182" s="14">
        <v>0</v>
      </c>
      <c r="S182" s="17" t="s">
        <v>54</v>
      </c>
      <c r="T182" s="18">
        <v>0</v>
      </c>
      <c r="U182" s="14">
        <v>30</v>
      </c>
      <c r="V182" s="19">
        <v>1</v>
      </c>
      <c r="W182" s="14">
        <v>0</v>
      </c>
      <c r="X182" s="14">
        <v>0</v>
      </c>
      <c r="Y182" s="14">
        <v>0</v>
      </c>
      <c r="Z182" s="14">
        <v>0</v>
      </c>
      <c r="AA182" s="14">
        <f>Tabla13[[#This Row],[CheckList App]]+Tabla13[[#This Row],[CheckList Fisc]]</f>
        <v>0</v>
      </c>
      <c r="AB182" s="19">
        <f t="shared" si="2"/>
        <v>0</v>
      </c>
      <c r="AC182" s="14">
        <v>0</v>
      </c>
      <c r="AD182" s="14" t="s">
        <v>55</v>
      </c>
      <c r="AE182" s="15" t="str">
        <f>IFERROR((VLOOKUP(Tabla13[[#This Row],[ID]],[1]!Mtto_Pesv[[#Headers],[#Data],[Placa]:[Rutina]],2,FALSE)),"-")</f>
        <v>-</v>
      </c>
      <c r="AF182" s="14">
        <v>0</v>
      </c>
      <c r="AG182" s="20">
        <f>IFERROR((VLOOKUP(Tabla13[[#This Row],[ID]],[1]!Mtto_Pesv[[#Headers],[#Data],[Placa]:[Rutina]],3,FALSE)),0)</f>
        <v>0</v>
      </c>
      <c r="AH182" s="20">
        <f>IFERROR((VLOOKUP(Tabla13[[#This Row],[ID]],[1]!Mtto_Pesv[[#Headers],[#Data],[Placa]:[Rutina]],7,FALSE)),0)</f>
        <v>0</v>
      </c>
      <c r="AI182" s="20">
        <f>IFERROR((VLOOKUP(Tabla13[[#This Row],[ID]],[1]!Mtto_Pesv[[#Headers],[#Data],[Placa]:[Rutina]],8,FALSE)),0)</f>
        <v>0</v>
      </c>
      <c r="AJ182" s="20" t="str">
        <f>IFERROR((VLOOKUP(Tabla13[[#This Row],[ID]],[1]!Mtto_Pesv[[#Headers],[#Data],[Placa]:[Rutina]],9,FALSE)),"-")</f>
        <v>-</v>
      </c>
      <c r="AK182" s="20">
        <f>IFERROR((VLOOKUP(Tabla13[[#This Row],[ID]],[1]!Mtto_Pesv[[#Headers],[#Data],[Placa]:[Rutina]],10,FALSE)),0)</f>
        <v>0</v>
      </c>
      <c r="AL182" s="20">
        <f>IF(Tabla13[[#This Row],[Km Anterior]]=0,0,Tabla13[[#This Row],[Km Ejecut]]-Tabla13[[#This Row],[Km Anterior]])</f>
        <v>0</v>
      </c>
      <c r="AM182" s="20">
        <f>IFERROR((VLOOKUP(Tabla13[[#This Row],[ID]],[1]!Mtto_Pesv[[#Headers],[#Data],[Placa]:[Rutina]],4,FALSE)),0)</f>
        <v>0</v>
      </c>
      <c r="AN182" s="21">
        <f>IFERROR((VLOOKUP(Tabla13[[#This Row],[ID]],[1]!Mtto_Pesv[[#Headers],[#Data],[Placa]:[Rutina]],5,FALSE)),0)</f>
        <v>0</v>
      </c>
      <c r="AO182" s="21">
        <f>+Tabla13[[#This Row],[Km Fin]]-Tabla13[[#This Row],[Km Ini]]</f>
        <v>0</v>
      </c>
      <c r="AP182" s="20">
        <f>IFERROR((VLOOKUP(Tabla13[[#This Row],[ID]],[1]!Estilo_Conduccion[[#All],[Placa]:[Puntuacion]],15,FALSE)),0)</f>
        <v>0</v>
      </c>
      <c r="AQ182" s="15" t="s">
        <v>1205</v>
      </c>
      <c r="AR182" s="15" t="s">
        <v>1206</v>
      </c>
      <c r="AS182" s="20">
        <v>1000</v>
      </c>
      <c r="AT182" s="21">
        <v>4530</v>
      </c>
      <c r="AU182" s="21">
        <f>(Tabla13[[#This Row],[Cap Vh]]*$AX$2)*0.56</f>
        <v>0</v>
      </c>
      <c r="AV182" s="36" t="e">
        <f>(Tabla13[[#This Row],[Cap Util (kg)]]/(Tabla13[[#This Row],[Cap Inst (Kg)]]))</f>
        <v>#DIV/0!</v>
      </c>
    </row>
    <row r="183" spans="1:48" x14ac:dyDescent="0.25">
      <c r="A183" s="13" t="s">
        <v>1068</v>
      </c>
      <c r="B183" s="14" t="s">
        <v>330</v>
      </c>
      <c r="C183" s="14" t="s">
        <v>44</v>
      </c>
      <c r="D183" s="14" t="s">
        <v>44</v>
      </c>
      <c r="E183" s="14" t="s">
        <v>58</v>
      </c>
      <c r="F183" s="14" t="s">
        <v>76</v>
      </c>
      <c r="G183" s="15" t="s">
        <v>89</v>
      </c>
      <c r="H183" s="16" t="s">
        <v>90</v>
      </c>
      <c r="I183" s="14" t="s">
        <v>49</v>
      </c>
      <c r="J183" s="14">
        <v>830064700</v>
      </c>
      <c r="K183" s="14" t="s">
        <v>50</v>
      </c>
      <c r="L183" s="14" t="s">
        <v>103</v>
      </c>
      <c r="M183" s="14" t="s">
        <v>285</v>
      </c>
      <c r="N183" s="14">
        <v>2008</v>
      </c>
      <c r="O183" s="14">
        <v>12</v>
      </c>
      <c r="P183" s="14" t="s">
        <v>173</v>
      </c>
      <c r="Q183" s="14">
        <v>0</v>
      </c>
      <c r="R183" s="14">
        <v>0</v>
      </c>
      <c r="S183" s="17" t="s">
        <v>54</v>
      </c>
      <c r="T183" s="18">
        <v>0</v>
      </c>
      <c r="U183" s="14">
        <v>0</v>
      </c>
      <c r="V183" s="19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f>Tabla13[[#This Row],[CheckList App]]+Tabla13[[#This Row],[CheckList Fisc]]</f>
        <v>0</v>
      </c>
      <c r="AB183" s="19" t="str">
        <f t="shared" si="2"/>
        <v/>
      </c>
      <c r="AC183" s="14">
        <v>0</v>
      </c>
      <c r="AD183" s="14" t="s">
        <v>55</v>
      </c>
      <c r="AE183" s="15" t="str">
        <f>IFERROR((VLOOKUP(Tabla13[[#This Row],[ID]],[1]!Mtto_Pesv[[#Headers],[#Data],[Placa]:[Rutina]],2,FALSE)),"-")</f>
        <v>-</v>
      </c>
      <c r="AF183" s="14">
        <v>0</v>
      </c>
      <c r="AG183" s="20">
        <f>IFERROR((VLOOKUP(Tabla13[[#This Row],[ID]],[1]!Mtto_Pesv[[#Headers],[#Data],[Placa]:[Rutina]],3,FALSE)),0)</f>
        <v>0</v>
      </c>
      <c r="AH183" s="20">
        <f>IFERROR((VLOOKUP(Tabla13[[#This Row],[ID]],[1]!Mtto_Pesv[[#Headers],[#Data],[Placa]:[Rutina]],7,FALSE)),0)</f>
        <v>0</v>
      </c>
      <c r="AI183" s="20">
        <f>IFERROR((VLOOKUP(Tabla13[[#This Row],[ID]],[1]!Mtto_Pesv[[#Headers],[#Data],[Placa]:[Rutina]],8,FALSE)),0)</f>
        <v>0</v>
      </c>
      <c r="AJ183" s="20" t="str">
        <f>IFERROR((VLOOKUP(Tabla13[[#This Row],[ID]],[1]!Mtto_Pesv[[#Headers],[#Data],[Placa]:[Rutina]],9,FALSE)),"-")</f>
        <v>-</v>
      </c>
      <c r="AK183" s="20">
        <f>IFERROR((VLOOKUP(Tabla13[[#This Row],[ID]],[1]!Mtto_Pesv[[#Headers],[#Data],[Placa]:[Rutina]],10,FALSE)),0)</f>
        <v>0</v>
      </c>
      <c r="AL183" s="20">
        <f>IF(Tabla13[[#This Row],[Km Anterior]]=0,0,Tabla13[[#This Row],[Km Ejecut]]-Tabla13[[#This Row],[Km Anterior]])</f>
        <v>0</v>
      </c>
      <c r="AM183" s="20">
        <f>IFERROR((VLOOKUP(Tabla13[[#This Row],[ID]],[1]!Mtto_Pesv[[#Headers],[#Data],[Placa]:[Rutina]],4,FALSE)),0)</f>
        <v>0</v>
      </c>
      <c r="AN183" s="21">
        <f>IFERROR((VLOOKUP(Tabla13[[#This Row],[ID]],[1]!Mtto_Pesv[[#Headers],[#Data],[Placa]:[Rutina]],5,FALSE)),0)</f>
        <v>0</v>
      </c>
      <c r="AO183" s="21">
        <f>+Tabla13[[#This Row],[Km Fin]]-Tabla13[[#This Row],[Km Ini]]</f>
        <v>0</v>
      </c>
      <c r="AP183" s="20">
        <f>IFERROR((VLOOKUP(Tabla13[[#This Row],[ID]],[1]!Estilo_Conduccion[[#All],[Placa]:[Puntuacion]],15,FALSE)),0)</f>
        <v>0</v>
      </c>
      <c r="AQ183" s="15" t="s">
        <v>1147</v>
      </c>
      <c r="AR183" s="15" t="s">
        <v>1148</v>
      </c>
      <c r="AS183" s="20">
        <v>520</v>
      </c>
      <c r="AT183" s="21">
        <v>3595.5</v>
      </c>
      <c r="AU183" s="21">
        <f>(Tabla13[[#This Row],[Cap Vh]]*$AX$2)*0.56</f>
        <v>0</v>
      </c>
      <c r="AV183" s="36" t="e">
        <f>(Tabla13[[#This Row],[Cap Util (kg)]]/(Tabla13[[#This Row],[Cap Inst (Kg)]]))</f>
        <v>#DIV/0!</v>
      </c>
    </row>
    <row r="184" spans="1:48" x14ac:dyDescent="0.25">
      <c r="A184" s="13" t="s">
        <v>1068</v>
      </c>
      <c r="B184" s="14" t="s">
        <v>331</v>
      </c>
      <c r="C184" s="14" t="s">
        <v>44</v>
      </c>
      <c r="D184" s="14" t="s">
        <v>44</v>
      </c>
      <c r="E184" s="14" t="s">
        <v>58</v>
      </c>
      <c r="F184" s="14" t="s">
        <v>46</v>
      </c>
      <c r="G184" s="15" t="s">
        <v>47</v>
      </c>
      <c r="H184" s="16" t="s">
        <v>48</v>
      </c>
      <c r="I184" s="14" t="s">
        <v>49</v>
      </c>
      <c r="J184" s="14">
        <v>830064700</v>
      </c>
      <c r="K184" s="14" t="s">
        <v>50</v>
      </c>
      <c r="L184" s="14" t="s">
        <v>103</v>
      </c>
      <c r="M184" s="14" t="s">
        <v>285</v>
      </c>
      <c r="N184" s="14">
        <v>2008</v>
      </c>
      <c r="O184" s="14">
        <v>12</v>
      </c>
      <c r="P184" s="14" t="s">
        <v>173</v>
      </c>
      <c r="Q184" s="14">
        <v>0</v>
      </c>
      <c r="R184" s="14">
        <v>0</v>
      </c>
      <c r="S184" s="17" t="s">
        <v>54</v>
      </c>
      <c r="T184" s="18">
        <v>0</v>
      </c>
      <c r="U184" s="14">
        <v>30</v>
      </c>
      <c r="V184" s="19">
        <v>1</v>
      </c>
      <c r="W184" s="14">
        <v>0</v>
      </c>
      <c r="X184" s="14">
        <v>0</v>
      </c>
      <c r="Y184" s="14">
        <v>0</v>
      </c>
      <c r="Z184" s="14">
        <v>0</v>
      </c>
      <c r="AA184" s="14">
        <f>Tabla13[[#This Row],[CheckList App]]+Tabla13[[#This Row],[CheckList Fisc]]</f>
        <v>0</v>
      </c>
      <c r="AB184" s="19">
        <f t="shared" si="2"/>
        <v>0</v>
      </c>
      <c r="AC184" s="14">
        <v>0</v>
      </c>
      <c r="AD184" s="14" t="s">
        <v>55</v>
      </c>
      <c r="AE184" s="15" t="str">
        <f>IFERROR((VLOOKUP(Tabla13[[#This Row],[ID]],[1]!Mtto_Pesv[[#Headers],[#Data],[Placa]:[Rutina]],2,FALSE)),"-")</f>
        <v>-</v>
      </c>
      <c r="AF184" s="14">
        <v>0</v>
      </c>
      <c r="AG184" s="20">
        <f>IFERROR((VLOOKUP(Tabla13[[#This Row],[ID]],[1]!Mtto_Pesv[[#Headers],[#Data],[Placa]:[Rutina]],3,FALSE)),0)</f>
        <v>0</v>
      </c>
      <c r="AH184" s="20">
        <f>IFERROR((VLOOKUP(Tabla13[[#This Row],[ID]],[1]!Mtto_Pesv[[#Headers],[#Data],[Placa]:[Rutina]],7,FALSE)),0)</f>
        <v>0</v>
      </c>
      <c r="AI184" s="20">
        <f>IFERROR((VLOOKUP(Tabla13[[#This Row],[ID]],[1]!Mtto_Pesv[[#Headers],[#Data],[Placa]:[Rutina]],8,FALSE)),0)</f>
        <v>0</v>
      </c>
      <c r="AJ184" s="20" t="str">
        <f>IFERROR((VLOOKUP(Tabla13[[#This Row],[ID]],[1]!Mtto_Pesv[[#Headers],[#Data],[Placa]:[Rutina]],9,FALSE)),"-")</f>
        <v>-</v>
      </c>
      <c r="AK184" s="20">
        <f>IFERROR((VLOOKUP(Tabla13[[#This Row],[ID]],[1]!Mtto_Pesv[[#Headers],[#Data],[Placa]:[Rutina]],10,FALSE)),0)</f>
        <v>0</v>
      </c>
      <c r="AL184" s="20">
        <f>IF(Tabla13[[#This Row],[Km Anterior]]=0,0,Tabla13[[#This Row],[Km Ejecut]]-Tabla13[[#This Row],[Km Anterior]])</f>
        <v>0</v>
      </c>
      <c r="AM184" s="20">
        <f>IFERROR((VLOOKUP(Tabla13[[#This Row],[ID]],[1]!Mtto_Pesv[[#Headers],[#Data],[Placa]:[Rutina]],4,FALSE)),0)</f>
        <v>0</v>
      </c>
      <c r="AN184" s="21">
        <f>IFERROR((VLOOKUP(Tabla13[[#This Row],[ID]],[1]!Mtto_Pesv[[#Headers],[#Data],[Placa]:[Rutina]],5,FALSE)),0)</f>
        <v>0</v>
      </c>
      <c r="AO184" s="21">
        <f>+Tabla13[[#This Row],[Km Fin]]-Tabla13[[#This Row],[Km Ini]]</f>
        <v>0</v>
      </c>
      <c r="AP184" s="20">
        <f>IFERROR((VLOOKUP(Tabla13[[#This Row],[ID]],[1]!Estilo_Conduccion[[#All],[Placa]:[Puntuacion]],15,FALSE)),0)</f>
        <v>0</v>
      </c>
      <c r="AQ184" s="15" t="s">
        <v>1207</v>
      </c>
      <c r="AR184" s="15" t="s">
        <v>1208</v>
      </c>
      <c r="AS184" s="20">
        <v>520</v>
      </c>
      <c r="AT184" s="21">
        <v>4425</v>
      </c>
      <c r="AU184" s="21">
        <f>(Tabla13[[#This Row],[Cap Vh]]*$AX$2)*0.56</f>
        <v>0</v>
      </c>
      <c r="AV184" s="36" t="e">
        <f>(Tabla13[[#This Row],[Cap Util (kg)]]/(Tabla13[[#This Row],[Cap Inst (Kg)]]))</f>
        <v>#DIV/0!</v>
      </c>
    </row>
    <row r="185" spans="1:48" x14ac:dyDescent="0.25">
      <c r="A185" s="13" t="s">
        <v>1068</v>
      </c>
      <c r="B185" s="14" t="s">
        <v>332</v>
      </c>
      <c r="C185" s="14" t="s">
        <v>44</v>
      </c>
      <c r="D185" s="14" t="s">
        <v>44</v>
      </c>
      <c r="E185" s="14" t="s">
        <v>58</v>
      </c>
      <c r="F185" s="14" t="s">
        <v>46</v>
      </c>
      <c r="G185" s="15" t="s">
        <v>47</v>
      </c>
      <c r="H185" s="16" t="s">
        <v>48</v>
      </c>
      <c r="I185" s="14" t="s">
        <v>49</v>
      </c>
      <c r="J185" s="14">
        <v>830064700</v>
      </c>
      <c r="K185" s="14" t="s">
        <v>50</v>
      </c>
      <c r="L185" s="14" t="s">
        <v>103</v>
      </c>
      <c r="M185" s="14" t="s">
        <v>285</v>
      </c>
      <c r="N185" s="14">
        <v>2008</v>
      </c>
      <c r="O185" s="14">
        <v>12</v>
      </c>
      <c r="P185" s="14" t="s">
        <v>173</v>
      </c>
      <c r="Q185" s="14">
        <v>0</v>
      </c>
      <c r="R185" s="14">
        <v>0</v>
      </c>
      <c r="S185" s="17" t="s">
        <v>54</v>
      </c>
      <c r="T185" s="18">
        <v>0</v>
      </c>
      <c r="U185" s="14">
        <v>30</v>
      </c>
      <c r="V185" s="19">
        <v>1</v>
      </c>
      <c r="W185" s="14">
        <v>0</v>
      </c>
      <c r="X185" s="14">
        <v>0</v>
      </c>
      <c r="Y185" s="14">
        <v>0</v>
      </c>
      <c r="Z185" s="14">
        <v>0</v>
      </c>
      <c r="AA185" s="14">
        <f>Tabla13[[#This Row],[CheckList App]]+Tabla13[[#This Row],[CheckList Fisc]]</f>
        <v>0</v>
      </c>
      <c r="AB185" s="19">
        <f t="shared" si="2"/>
        <v>0</v>
      </c>
      <c r="AC185" s="14">
        <v>0</v>
      </c>
      <c r="AD185" s="14" t="s">
        <v>55</v>
      </c>
      <c r="AE185" s="15" t="str">
        <f>IFERROR((VLOOKUP(Tabla13[[#This Row],[ID]],[1]!Mtto_Pesv[[#Headers],[#Data],[Placa]:[Rutina]],2,FALSE)),"-")</f>
        <v>-</v>
      </c>
      <c r="AF185" s="14">
        <v>0</v>
      </c>
      <c r="AG185" s="20">
        <f>IFERROR((VLOOKUP(Tabla13[[#This Row],[ID]],[1]!Mtto_Pesv[[#Headers],[#Data],[Placa]:[Rutina]],3,FALSE)),0)</f>
        <v>0</v>
      </c>
      <c r="AH185" s="20">
        <f>IFERROR((VLOOKUP(Tabla13[[#This Row],[ID]],[1]!Mtto_Pesv[[#Headers],[#Data],[Placa]:[Rutina]],7,FALSE)),0)</f>
        <v>0</v>
      </c>
      <c r="AI185" s="20">
        <f>IFERROR((VLOOKUP(Tabla13[[#This Row],[ID]],[1]!Mtto_Pesv[[#Headers],[#Data],[Placa]:[Rutina]],8,FALSE)),0)</f>
        <v>0</v>
      </c>
      <c r="AJ185" s="20" t="str">
        <f>IFERROR((VLOOKUP(Tabla13[[#This Row],[ID]],[1]!Mtto_Pesv[[#Headers],[#Data],[Placa]:[Rutina]],9,FALSE)),"-")</f>
        <v>-</v>
      </c>
      <c r="AK185" s="20">
        <f>IFERROR((VLOOKUP(Tabla13[[#This Row],[ID]],[1]!Mtto_Pesv[[#Headers],[#Data],[Placa]:[Rutina]],10,FALSE)),0)</f>
        <v>0</v>
      </c>
      <c r="AL185" s="20">
        <f>IF(Tabla13[[#This Row],[Km Anterior]]=0,0,Tabla13[[#This Row],[Km Ejecut]]-Tabla13[[#This Row],[Km Anterior]])</f>
        <v>0</v>
      </c>
      <c r="AM185" s="20">
        <f>IFERROR((VLOOKUP(Tabla13[[#This Row],[ID]],[1]!Mtto_Pesv[[#Headers],[#Data],[Placa]:[Rutina]],4,FALSE)),0)</f>
        <v>0</v>
      </c>
      <c r="AN185" s="21">
        <f>IFERROR((VLOOKUP(Tabla13[[#This Row],[ID]],[1]!Mtto_Pesv[[#Headers],[#Data],[Placa]:[Rutina]],5,FALSE)),0)</f>
        <v>0</v>
      </c>
      <c r="AO185" s="21">
        <f>+Tabla13[[#This Row],[Km Fin]]-Tabla13[[#This Row],[Km Ini]]</f>
        <v>0</v>
      </c>
      <c r="AP185" s="20">
        <f>IFERROR((VLOOKUP(Tabla13[[#This Row],[ID]],[1]!Estilo_Conduccion[[#All],[Placa]:[Puntuacion]],15,FALSE)),0)</f>
        <v>0</v>
      </c>
      <c r="AQ185" s="15" t="s">
        <v>1209</v>
      </c>
      <c r="AR185" s="15" t="s">
        <v>1210</v>
      </c>
      <c r="AS185" s="20">
        <v>520</v>
      </c>
      <c r="AT185" s="21">
        <v>1745</v>
      </c>
      <c r="AU185" s="21">
        <f>(Tabla13[[#This Row],[Cap Vh]]*$AX$2)*0.56</f>
        <v>0</v>
      </c>
      <c r="AV185" s="36" t="e">
        <f>(Tabla13[[#This Row],[Cap Util (kg)]]/(Tabla13[[#This Row],[Cap Inst (Kg)]]))</f>
        <v>#DIV/0!</v>
      </c>
    </row>
    <row r="186" spans="1:48" x14ac:dyDescent="0.25">
      <c r="A186" s="13" t="s">
        <v>1068</v>
      </c>
      <c r="B186" s="14" t="s">
        <v>333</v>
      </c>
      <c r="C186" s="14" t="s">
        <v>44</v>
      </c>
      <c r="D186" s="14" t="s">
        <v>44</v>
      </c>
      <c r="E186" s="14" t="s">
        <v>45</v>
      </c>
      <c r="F186" s="14" t="s">
        <v>76</v>
      </c>
      <c r="G186" s="15" t="s">
        <v>47</v>
      </c>
      <c r="H186" s="16" t="s">
        <v>48</v>
      </c>
      <c r="I186" s="14" t="s">
        <v>49</v>
      </c>
      <c r="J186" s="14">
        <v>890300279</v>
      </c>
      <c r="K186" s="14" t="s">
        <v>282</v>
      </c>
      <c r="L186" s="14" t="s">
        <v>103</v>
      </c>
      <c r="M186" s="14" t="s">
        <v>121</v>
      </c>
      <c r="N186" s="14">
        <v>2011</v>
      </c>
      <c r="O186" s="14">
        <v>9</v>
      </c>
      <c r="P186" s="14" t="s">
        <v>53</v>
      </c>
      <c r="Q186" s="14">
        <v>1</v>
      </c>
      <c r="R186" s="14">
        <v>0</v>
      </c>
      <c r="S186" s="17" t="s">
        <v>54</v>
      </c>
      <c r="T186" s="18">
        <v>0</v>
      </c>
      <c r="U186" s="14">
        <v>30</v>
      </c>
      <c r="V186" s="19">
        <v>1</v>
      </c>
      <c r="W186" s="14">
        <v>0</v>
      </c>
      <c r="X186" s="14">
        <v>0</v>
      </c>
      <c r="Y186" s="14">
        <v>0</v>
      </c>
      <c r="Z186" s="14">
        <v>0</v>
      </c>
      <c r="AA186" s="14">
        <f>Tabla13[[#This Row],[CheckList App]]+Tabla13[[#This Row],[CheckList Fisc]]</f>
        <v>0</v>
      </c>
      <c r="AB186" s="19">
        <f t="shared" si="2"/>
        <v>0</v>
      </c>
      <c r="AC186" s="14">
        <v>0</v>
      </c>
      <c r="AD186" s="14" t="s">
        <v>55</v>
      </c>
      <c r="AE186" s="15" t="str">
        <f>IFERROR((VLOOKUP(Tabla13[[#This Row],[ID]],[1]!Mtto_Pesv[[#Headers],[#Data],[Placa]:[Rutina]],2,FALSE)),"-")</f>
        <v>-</v>
      </c>
      <c r="AF186" s="14">
        <v>0</v>
      </c>
      <c r="AG186" s="20">
        <f>IFERROR((VLOOKUP(Tabla13[[#This Row],[ID]],[1]!Mtto_Pesv[[#Headers],[#Data],[Placa]:[Rutina]],3,FALSE)),0)</f>
        <v>0</v>
      </c>
      <c r="AH186" s="20">
        <f>IFERROR((VLOOKUP(Tabla13[[#This Row],[ID]],[1]!Mtto_Pesv[[#Headers],[#Data],[Placa]:[Rutina]],7,FALSE)),0)</f>
        <v>0</v>
      </c>
      <c r="AI186" s="20">
        <f>IFERROR((VLOOKUP(Tabla13[[#This Row],[ID]],[1]!Mtto_Pesv[[#Headers],[#Data],[Placa]:[Rutina]],8,FALSE)),0)</f>
        <v>0</v>
      </c>
      <c r="AJ186" s="20" t="str">
        <f>IFERROR((VLOOKUP(Tabla13[[#This Row],[ID]],[1]!Mtto_Pesv[[#Headers],[#Data],[Placa]:[Rutina]],9,FALSE)),"-")</f>
        <v>-</v>
      </c>
      <c r="AK186" s="20">
        <f>IFERROR((VLOOKUP(Tabla13[[#This Row],[ID]],[1]!Mtto_Pesv[[#Headers],[#Data],[Placa]:[Rutina]],10,FALSE)),0)</f>
        <v>0</v>
      </c>
      <c r="AL186" s="20">
        <f>IF(Tabla13[[#This Row],[Km Anterior]]=0,0,Tabla13[[#This Row],[Km Ejecut]]-Tabla13[[#This Row],[Km Anterior]])</f>
        <v>0</v>
      </c>
      <c r="AM186" s="20">
        <f>IFERROR((VLOOKUP(Tabla13[[#This Row],[ID]],[1]!Mtto_Pesv[[#Headers],[#Data],[Placa]:[Rutina]],4,FALSE)),0)</f>
        <v>0</v>
      </c>
      <c r="AN186" s="21">
        <f>IFERROR((VLOOKUP(Tabla13[[#This Row],[ID]],[1]!Mtto_Pesv[[#Headers],[#Data],[Placa]:[Rutina]],5,FALSE)),0)</f>
        <v>0</v>
      </c>
      <c r="AO186" s="21">
        <f>+Tabla13[[#This Row],[Km Fin]]-Tabla13[[#This Row],[Km Ini]]</f>
        <v>0</v>
      </c>
      <c r="AP186" s="20">
        <f>IFERROR((VLOOKUP(Tabla13[[#This Row],[ID]],[1]!Estilo_Conduccion[[#All],[Placa]:[Puntuacion]],15,FALSE)),0)</f>
        <v>0</v>
      </c>
      <c r="AQ186" s="15" t="s">
        <v>1076</v>
      </c>
      <c r="AR186" s="15" t="s">
        <v>1077</v>
      </c>
      <c r="AS186" s="20">
        <v>2970</v>
      </c>
      <c r="AT186" s="21">
        <v>5065.7142857142853</v>
      </c>
      <c r="AU186" s="21">
        <f>(Tabla13[[#This Row],[Cap Vh]]*$AX$2)*0.56</f>
        <v>0</v>
      </c>
      <c r="AV186" s="36" t="e">
        <f>(Tabla13[[#This Row],[Cap Util (kg)]]/(Tabla13[[#This Row],[Cap Inst (Kg)]]))</f>
        <v>#DIV/0!</v>
      </c>
    </row>
    <row r="187" spans="1:48" x14ac:dyDescent="0.25">
      <c r="A187" s="13" t="s">
        <v>1068</v>
      </c>
      <c r="B187" s="14" t="s">
        <v>334</v>
      </c>
      <c r="C187" s="14" t="s">
        <v>44</v>
      </c>
      <c r="D187" s="14" t="s">
        <v>44</v>
      </c>
      <c r="E187" s="14" t="s">
        <v>45</v>
      </c>
      <c r="F187" s="14" t="s">
        <v>64</v>
      </c>
      <c r="G187" s="14" t="s">
        <v>65</v>
      </c>
      <c r="H187" s="16" t="s">
        <v>66</v>
      </c>
      <c r="I187" s="14" t="s">
        <v>49</v>
      </c>
      <c r="J187" s="14">
        <v>890300279</v>
      </c>
      <c r="K187" s="14" t="s">
        <v>282</v>
      </c>
      <c r="L187" s="14" t="s">
        <v>103</v>
      </c>
      <c r="M187" s="14" t="s">
        <v>121</v>
      </c>
      <c r="N187" s="14">
        <v>2011</v>
      </c>
      <c r="O187" s="14">
        <v>9</v>
      </c>
      <c r="P187" s="14" t="s">
        <v>53</v>
      </c>
      <c r="Q187" s="14">
        <v>0</v>
      </c>
      <c r="R187" s="14">
        <v>0</v>
      </c>
      <c r="S187" s="17" t="s">
        <v>54</v>
      </c>
      <c r="T187" s="18">
        <v>0</v>
      </c>
      <c r="U187" s="14">
        <v>0</v>
      </c>
      <c r="V187" s="19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f>Tabla13[[#This Row],[CheckList App]]+Tabla13[[#This Row],[CheckList Fisc]]</f>
        <v>0</v>
      </c>
      <c r="AB187" s="19" t="str">
        <f t="shared" si="2"/>
        <v/>
      </c>
      <c r="AC187" s="14">
        <v>0</v>
      </c>
      <c r="AD187" s="14" t="s">
        <v>55</v>
      </c>
      <c r="AE187" s="15" t="str">
        <f>IFERROR((VLOOKUP(Tabla13[[#This Row],[ID]],[1]!Mtto_Pesv[[#Headers],[#Data],[Placa]:[Rutina]],2,FALSE)),"-")</f>
        <v>-</v>
      </c>
      <c r="AF187" s="14">
        <v>0</v>
      </c>
      <c r="AG187" s="20">
        <f>IFERROR((VLOOKUP(Tabla13[[#This Row],[ID]],[1]!Mtto_Pesv[[#Headers],[#Data],[Placa]:[Rutina]],3,FALSE)),0)</f>
        <v>0</v>
      </c>
      <c r="AH187" s="20">
        <f>IFERROR((VLOOKUP(Tabla13[[#This Row],[ID]],[1]!Mtto_Pesv[[#Headers],[#Data],[Placa]:[Rutina]],7,FALSE)),0)</f>
        <v>0</v>
      </c>
      <c r="AI187" s="20">
        <f>IFERROR((VLOOKUP(Tabla13[[#This Row],[ID]],[1]!Mtto_Pesv[[#Headers],[#Data],[Placa]:[Rutina]],8,FALSE)),0)</f>
        <v>0</v>
      </c>
      <c r="AJ187" s="20" t="str">
        <f>IFERROR((VLOOKUP(Tabla13[[#This Row],[ID]],[1]!Mtto_Pesv[[#Headers],[#Data],[Placa]:[Rutina]],9,FALSE)),"-")</f>
        <v>-</v>
      </c>
      <c r="AK187" s="20">
        <f>IFERROR((VLOOKUP(Tabla13[[#This Row],[ID]],[1]!Mtto_Pesv[[#Headers],[#Data],[Placa]:[Rutina]],10,FALSE)),0)</f>
        <v>0</v>
      </c>
      <c r="AL187" s="20">
        <f>IF(Tabla13[[#This Row],[Km Anterior]]=0,0,Tabla13[[#This Row],[Km Ejecut]]-Tabla13[[#This Row],[Km Anterior]])</f>
        <v>0</v>
      </c>
      <c r="AM187" s="20">
        <f>IFERROR((VLOOKUP(Tabla13[[#This Row],[ID]],[1]!Mtto_Pesv[[#Headers],[#Data],[Placa]:[Rutina]],4,FALSE)),0)</f>
        <v>0</v>
      </c>
      <c r="AN187" s="21">
        <f>IFERROR((VLOOKUP(Tabla13[[#This Row],[ID]],[1]!Mtto_Pesv[[#Headers],[#Data],[Placa]:[Rutina]],5,FALSE)),0)</f>
        <v>0</v>
      </c>
      <c r="AO187" s="21">
        <f>+Tabla13[[#This Row],[Km Fin]]-Tabla13[[#This Row],[Km Ini]]</f>
        <v>0</v>
      </c>
      <c r="AP187" s="20">
        <f>IFERROR((VLOOKUP(Tabla13[[#This Row],[ID]],[1]!Estilo_Conduccion[[#All],[Placa]:[Puntuacion]],15,FALSE)),0)</f>
        <v>0</v>
      </c>
      <c r="AQ187" s="15" t="s">
        <v>54</v>
      </c>
      <c r="AR187" s="15" t="s">
        <v>54</v>
      </c>
      <c r="AS187" s="20">
        <v>2970</v>
      </c>
      <c r="AT187" s="21">
        <v>0</v>
      </c>
      <c r="AU187" s="21">
        <f>(Tabla13[[#This Row],[Cap Vh]]*$AX$2)*0.56</f>
        <v>0</v>
      </c>
      <c r="AV187" s="36" t="e">
        <f>(Tabla13[[#This Row],[Cap Util (kg)]]/(Tabla13[[#This Row],[Cap Inst (Kg)]]))</f>
        <v>#DIV/0!</v>
      </c>
    </row>
    <row r="188" spans="1:48" x14ac:dyDescent="0.25">
      <c r="A188" s="13" t="s">
        <v>1068</v>
      </c>
      <c r="B188" s="14" t="s">
        <v>335</v>
      </c>
      <c r="C188" s="14" t="s">
        <v>44</v>
      </c>
      <c r="D188" s="14" t="s">
        <v>44</v>
      </c>
      <c r="E188" s="14" t="s">
        <v>127</v>
      </c>
      <c r="F188" s="14" t="s">
        <v>64</v>
      </c>
      <c r="G188" s="15" t="s">
        <v>119</v>
      </c>
      <c r="H188" s="16" t="s">
        <v>120</v>
      </c>
      <c r="I188" s="14" t="s">
        <v>49</v>
      </c>
      <c r="J188" s="14">
        <v>890300279</v>
      </c>
      <c r="K188" s="14" t="s">
        <v>282</v>
      </c>
      <c r="L188" s="14" t="s">
        <v>103</v>
      </c>
      <c r="M188" s="14" t="s">
        <v>104</v>
      </c>
      <c r="N188" s="14">
        <v>2011</v>
      </c>
      <c r="O188" s="14">
        <v>9</v>
      </c>
      <c r="P188" s="14" t="s">
        <v>53</v>
      </c>
      <c r="Q188" s="14">
        <v>1</v>
      </c>
      <c r="R188" s="14">
        <v>0</v>
      </c>
      <c r="S188" s="17" t="s">
        <v>54</v>
      </c>
      <c r="T188" s="18">
        <v>0</v>
      </c>
      <c r="U188" s="14">
        <v>30</v>
      </c>
      <c r="V188" s="19">
        <v>1</v>
      </c>
      <c r="W188" s="14">
        <v>0</v>
      </c>
      <c r="X188" s="14">
        <v>0</v>
      </c>
      <c r="Y188" s="14">
        <v>0</v>
      </c>
      <c r="Z188" s="14">
        <v>0</v>
      </c>
      <c r="AA188" s="14">
        <f>Tabla13[[#This Row],[CheckList App]]+Tabla13[[#This Row],[CheckList Fisc]]</f>
        <v>0</v>
      </c>
      <c r="AB188" s="19">
        <f t="shared" si="2"/>
        <v>0</v>
      </c>
      <c r="AC188" s="14">
        <v>0</v>
      </c>
      <c r="AD188" s="14" t="s">
        <v>55</v>
      </c>
      <c r="AE188" s="15" t="str">
        <f>IFERROR((VLOOKUP(Tabla13[[#This Row],[ID]],[1]!Mtto_Pesv[[#Headers],[#Data],[Placa]:[Rutina]],2,FALSE)),"-")</f>
        <v>-</v>
      </c>
      <c r="AF188" s="14">
        <v>0</v>
      </c>
      <c r="AG188" s="20">
        <f>IFERROR((VLOOKUP(Tabla13[[#This Row],[ID]],[1]!Mtto_Pesv[[#Headers],[#Data],[Placa]:[Rutina]],3,FALSE)),0)</f>
        <v>0</v>
      </c>
      <c r="AH188" s="20">
        <f>IFERROR((VLOOKUP(Tabla13[[#This Row],[ID]],[1]!Mtto_Pesv[[#Headers],[#Data],[Placa]:[Rutina]],7,FALSE)),0)</f>
        <v>0</v>
      </c>
      <c r="AI188" s="20">
        <f>IFERROR((VLOOKUP(Tabla13[[#This Row],[ID]],[1]!Mtto_Pesv[[#Headers],[#Data],[Placa]:[Rutina]],8,FALSE)),0)</f>
        <v>0</v>
      </c>
      <c r="AJ188" s="20" t="str">
        <f>IFERROR((VLOOKUP(Tabla13[[#This Row],[ID]],[1]!Mtto_Pesv[[#Headers],[#Data],[Placa]:[Rutina]],9,FALSE)),"-")</f>
        <v>-</v>
      </c>
      <c r="AK188" s="20">
        <f>IFERROR((VLOOKUP(Tabla13[[#This Row],[ID]],[1]!Mtto_Pesv[[#Headers],[#Data],[Placa]:[Rutina]],10,FALSE)),0)</f>
        <v>0</v>
      </c>
      <c r="AL188" s="20">
        <f>IF(Tabla13[[#This Row],[Km Anterior]]=0,0,Tabla13[[#This Row],[Km Ejecut]]-Tabla13[[#This Row],[Km Anterior]])</f>
        <v>0</v>
      </c>
      <c r="AM188" s="20">
        <f>IFERROR((VLOOKUP(Tabla13[[#This Row],[ID]],[1]!Mtto_Pesv[[#Headers],[#Data],[Placa]:[Rutina]],4,FALSE)),0)</f>
        <v>0</v>
      </c>
      <c r="AN188" s="21">
        <f>IFERROR((VLOOKUP(Tabla13[[#This Row],[ID]],[1]!Mtto_Pesv[[#Headers],[#Data],[Placa]:[Rutina]],5,FALSE)),0)</f>
        <v>0</v>
      </c>
      <c r="AO188" s="21">
        <f>+Tabla13[[#This Row],[Km Fin]]-Tabla13[[#This Row],[Km Ini]]</f>
        <v>0</v>
      </c>
      <c r="AP188" s="20">
        <f>IFERROR((VLOOKUP(Tabla13[[#This Row],[ID]],[1]!Estilo_Conduccion[[#All],[Placa]:[Puntuacion]],15,FALSE)),0)</f>
        <v>175.49999999999997</v>
      </c>
      <c r="AQ188" s="15" t="s">
        <v>54</v>
      </c>
      <c r="AR188" s="15" t="s">
        <v>54</v>
      </c>
      <c r="AS188" s="20">
        <v>1585</v>
      </c>
      <c r="AT188" s="21">
        <v>0</v>
      </c>
      <c r="AU188" s="21">
        <f>(Tabla13[[#This Row],[Cap Vh]]*$AX$2)*0.56</f>
        <v>0</v>
      </c>
      <c r="AV188" s="36" t="e">
        <f>(Tabla13[[#This Row],[Cap Util (kg)]]/(Tabla13[[#This Row],[Cap Inst (Kg)]]))</f>
        <v>#DIV/0!</v>
      </c>
    </row>
    <row r="189" spans="1:48" x14ac:dyDescent="0.25">
      <c r="A189" s="13" t="s">
        <v>1068</v>
      </c>
      <c r="B189" s="14" t="s">
        <v>336</v>
      </c>
      <c r="C189" s="14" t="s">
        <v>44</v>
      </c>
      <c r="D189" s="14" t="s">
        <v>44</v>
      </c>
      <c r="E189" s="14" t="s">
        <v>45</v>
      </c>
      <c r="F189" s="14" t="s">
        <v>337</v>
      </c>
      <c r="G189" s="15" t="s">
        <v>47</v>
      </c>
      <c r="H189" s="16" t="s">
        <v>48</v>
      </c>
      <c r="I189" s="14" t="s">
        <v>49</v>
      </c>
      <c r="J189" s="14">
        <v>890300279</v>
      </c>
      <c r="K189" s="14" t="s">
        <v>282</v>
      </c>
      <c r="L189" s="14" t="s">
        <v>103</v>
      </c>
      <c r="M189" s="14" t="s">
        <v>104</v>
      </c>
      <c r="N189" s="14">
        <v>2011</v>
      </c>
      <c r="O189" s="14">
        <v>9</v>
      </c>
      <c r="P189" s="14" t="s">
        <v>53</v>
      </c>
      <c r="Q189" s="14">
        <v>0</v>
      </c>
      <c r="R189" s="14">
        <v>0</v>
      </c>
      <c r="S189" s="17" t="s">
        <v>54</v>
      </c>
      <c r="T189" s="18">
        <v>0</v>
      </c>
      <c r="U189" s="14">
        <v>30</v>
      </c>
      <c r="V189" s="19">
        <v>1</v>
      </c>
      <c r="W189" s="14">
        <v>0</v>
      </c>
      <c r="X189" s="14">
        <v>0</v>
      </c>
      <c r="Y189" s="14">
        <v>0</v>
      </c>
      <c r="Z189" s="14">
        <v>0</v>
      </c>
      <c r="AA189" s="14">
        <f>Tabla13[[#This Row],[CheckList App]]+Tabla13[[#This Row],[CheckList Fisc]]</f>
        <v>0</v>
      </c>
      <c r="AB189" s="19">
        <f t="shared" si="2"/>
        <v>0</v>
      </c>
      <c r="AC189" s="14">
        <v>0</v>
      </c>
      <c r="AD189" s="14" t="s">
        <v>55</v>
      </c>
      <c r="AE189" s="15" t="str">
        <f>IFERROR((VLOOKUP(Tabla13[[#This Row],[ID]],[1]!Mtto_Pesv[[#Headers],[#Data],[Placa]:[Rutina]],2,FALSE)),"-")</f>
        <v>-</v>
      </c>
      <c r="AF189" s="14">
        <v>0</v>
      </c>
      <c r="AG189" s="20">
        <f>IFERROR((VLOOKUP(Tabla13[[#This Row],[ID]],[1]!Mtto_Pesv[[#Headers],[#Data],[Placa]:[Rutina]],3,FALSE)),0)</f>
        <v>0</v>
      </c>
      <c r="AH189" s="20">
        <f>IFERROR((VLOOKUP(Tabla13[[#This Row],[ID]],[1]!Mtto_Pesv[[#Headers],[#Data],[Placa]:[Rutina]],7,FALSE)),0)</f>
        <v>0</v>
      </c>
      <c r="AI189" s="20">
        <f>IFERROR((VLOOKUP(Tabla13[[#This Row],[ID]],[1]!Mtto_Pesv[[#Headers],[#Data],[Placa]:[Rutina]],8,FALSE)),0)</f>
        <v>0</v>
      </c>
      <c r="AJ189" s="20" t="str">
        <f>IFERROR((VLOOKUP(Tabla13[[#This Row],[ID]],[1]!Mtto_Pesv[[#Headers],[#Data],[Placa]:[Rutina]],9,FALSE)),"-")</f>
        <v>-</v>
      </c>
      <c r="AK189" s="20">
        <f>IFERROR((VLOOKUP(Tabla13[[#This Row],[ID]],[1]!Mtto_Pesv[[#Headers],[#Data],[Placa]:[Rutina]],10,FALSE)),0)</f>
        <v>0</v>
      </c>
      <c r="AL189" s="20">
        <f>IF(Tabla13[[#This Row],[Km Anterior]]=0,0,Tabla13[[#This Row],[Km Ejecut]]-Tabla13[[#This Row],[Km Anterior]])</f>
        <v>0</v>
      </c>
      <c r="AM189" s="20">
        <f>IFERROR((VLOOKUP(Tabla13[[#This Row],[ID]],[1]!Mtto_Pesv[[#Headers],[#Data],[Placa]:[Rutina]],4,FALSE)),0)</f>
        <v>0</v>
      </c>
      <c r="AN189" s="21">
        <f>IFERROR((VLOOKUP(Tabla13[[#This Row],[ID]],[1]!Mtto_Pesv[[#Headers],[#Data],[Placa]:[Rutina]],5,FALSE)),0)</f>
        <v>0</v>
      </c>
      <c r="AO189" s="21">
        <f>+Tabla13[[#This Row],[Km Fin]]-Tabla13[[#This Row],[Km Ini]]</f>
        <v>0</v>
      </c>
      <c r="AP189" s="20">
        <f>IFERROR((VLOOKUP(Tabla13[[#This Row],[ID]],[1]!Estilo_Conduccion[[#All],[Placa]:[Puntuacion]],15,FALSE)),0)</f>
        <v>0</v>
      </c>
      <c r="AQ189" s="15" t="s">
        <v>1164</v>
      </c>
      <c r="AR189" s="15" t="s">
        <v>1165</v>
      </c>
      <c r="AS189" s="20">
        <v>1585</v>
      </c>
      <c r="AT189" s="21">
        <v>4420.3846153846152</v>
      </c>
      <c r="AU189" s="21">
        <f>(Tabla13[[#This Row],[Cap Vh]]*$AX$2)*0.56</f>
        <v>0</v>
      </c>
      <c r="AV189" s="36" t="e">
        <f>(Tabla13[[#This Row],[Cap Util (kg)]]/(Tabla13[[#This Row],[Cap Inst (Kg)]]))</f>
        <v>#DIV/0!</v>
      </c>
    </row>
    <row r="190" spans="1:48" x14ac:dyDescent="0.25">
      <c r="A190" s="13" t="s">
        <v>1068</v>
      </c>
      <c r="B190" s="14" t="s">
        <v>338</v>
      </c>
      <c r="C190" s="14" t="s">
        <v>44</v>
      </c>
      <c r="D190" s="14" t="s">
        <v>44</v>
      </c>
      <c r="E190" s="14" t="s">
        <v>45</v>
      </c>
      <c r="F190" s="14" t="s">
        <v>46</v>
      </c>
      <c r="G190" s="15" t="s">
        <v>47</v>
      </c>
      <c r="H190" s="16" t="s">
        <v>48</v>
      </c>
      <c r="I190" s="14" t="s">
        <v>109</v>
      </c>
      <c r="J190" s="14">
        <v>830064700</v>
      </c>
      <c r="K190" s="14" t="s">
        <v>50</v>
      </c>
      <c r="L190" s="14" t="s">
        <v>103</v>
      </c>
      <c r="M190" s="14" t="s">
        <v>339</v>
      </c>
      <c r="N190" s="14">
        <v>1997</v>
      </c>
      <c r="O190" s="14">
        <v>23</v>
      </c>
      <c r="P190" s="14" t="s">
        <v>173</v>
      </c>
      <c r="Q190" s="14">
        <v>1</v>
      </c>
      <c r="R190" s="14">
        <v>0</v>
      </c>
      <c r="S190" s="17" t="s">
        <v>54</v>
      </c>
      <c r="T190" s="18">
        <v>0</v>
      </c>
      <c r="U190" s="14">
        <v>30</v>
      </c>
      <c r="V190" s="19">
        <v>1</v>
      </c>
      <c r="W190" s="14">
        <v>0</v>
      </c>
      <c r="X190" s="14">
        <v>0</v>
      </c>
      <c r="Y190" s="14">
        <v>0</v>
      </c>
      <c r="Z190" s="14">
        <v>0</v>
      </c>
      <c r="AA190" s="14">
        <f>Tabla13[[#This Row],[CheckList App]]+Tabla13[[#This Row],[CheckList Fisc]]</f>
        <v>0</v>
      </c>
      <c r="AB190" s="19">
        <f t="shared" si="2"/>
        <v>0</v>
      </c>
      <c r="AC190" s="14">
        <v>0</v>
      </c>
      <c r="AD190" s="14" t="s">
        <v>55</v>
      </c>
      <c r="AE190" s="15" t="str">
        <f>IFERROR((VLOOKUP(Tabla13[[#This Row],[ID]],[1]!Mtto_Pesv[[#Headers],[#Data],[Placa]:[Rutina]],2,FALSE)),"-")</f>
        <v>-</v>
      </c>
      <c r="AF190" s="14">
        <v>0</v>
      </c>
      <c r="AG190" s="20">
        <f>IFERROR((VLOOKUP(Tabla13[[#This Row],[ID]],[1]!Mtto_Pesv[[#Headers],[#Data],[Placa]:[Rutina]],3,FALSE)),0)</f>
        <v>0</v>
      </c>
      <c r="AH190" s="20">
        <f>IFERROR((VLOOKUP(Tabla13[[#This Row],[ID]],[1]!Mtto_Pesv[[#Headers],[#Data],[Placa]:[Rutina]],7,FALSE)),0)</f>
        <v>0</v>
      </c>
      <c r="AI190" s="20">
        <f>IFERROR((VLOOKUP(Tabla13[[#This Row],[ID]],[1]!Mtto_Pesv[[#Headers],[#Data],[Placa]:[Rutina]],8,FALSE)),0)</f>
        <v>0</v>
      </c>
      <c r="AJ190" s="20" t="str">
        <f>IFERROR((VLOOKUP(Tabla13[[#This Row],[ID]],[1]!Mtto_Pesv[[#Headers],[#Data],[Placa]:[Rutina]],9,FALSE)),"-")</f>
        <v>-</v>
      </c>
      <c r="AK190" s="20">
        <f>IFERROR((VLOOKUP(Tabla13[[#This Row],[ID]],[1]!Mtto_Pesv[[#Headers],[#Data],[Placa]:[Rutina]],10,FALSE)),0)</f>
        <v>0</v>
      </c>
      <c r="AL190" s="20">
        <f>IF(Tabla13[[#This Row],[Km Anterior]]=0,0,Tabla13[[#This Row],[Km Ejecut]]-Tabla13[[#This Row],[Km Anterior]])</f>
        <v>0</v>
      </c>
      <c r="AM190" s="20">
        <f>IFERROR((VLOOKUP(Tabla13[[#This Row],[ID]],[1]!Mtto_Pesv[[#Headers],[#Data],[Placa]:[Rutina]],4,FALSE)),0)</f>
        <v>0</v>
      </c>
      <c r="AN190" s="21">
        <f>IFERROR((VLOOKUP(Tabla13[[#This Row],[ID]],[1]!Mtto_Pesv[[#Headers],[#Data],[Placa]:[Rutina]],5,FALSE)),0)</f>
        <v>0</v>
      </c>
      <c r="AO190" s="21">
        <f>+Tabla13[[#This Row],[Km Fin]]-Tabla13[[#This Row],[Km Ini]]</f>
        <v>0</v>
      </c>
      <c r="AP190" s="20">
        <f>IFERROR((VLOOKUP(Tabla13[[#This Row],[ID]],[1]!Estilo_Conduccion[[#All],[Placa]:[Puntuacion]],15,FALSE)),0)</f>
        <v>0</v>
      </c>
      <c r="AQ190" s="15" t="s">
        <v>1069</v>
      </c>
      <c r="AR190" s="15" t="s">
        <v>236</v>
      </c>
      <c r="AS190" s="20">
        <v>11000</v>
      </c>
      <c r="AT190" s="21">
        <v>0</v>
      </c>
      <c r="AU190" s="21">
        <f>(Tabla13[[#This Row],[Cap Vh]]*$AX$2)*0.56</f>
        <v>0</v>
      </c>
      <c r="AV190" s="36" t="e">
        <f>(Tabla13[[#This Row],[Cap Util (kg)]]/(Tabla13[[#This Row],[Cap Inst (Kg)]]))</f>
        <v>#DIV/0!</v>
      </c>
    </row>
    <row r="191" spans="1:48" x14ac:dyDescent="0.25">
      <c r="A191" s="13" t="s">
        <v>1068</v>
      </c>
      <c r="B191" s="14" t="s">
        <v>340</v>
      </c>
      <c r="C191" s="14" t="s">
        <v>44</v>
      </c>
      <c r="D191" s="14" t="s">
        <v>44</v>
      </c>
      <c r="E191" s="14" t="s">
        <v>45</v>
      </c>
      <c r="F191" s="14" t="s">
        <v>64</v>
      </c>
      <c r="G191" s="14" t="s">
        <v>65</v>
      </c>
      <c r="H191" s="16" t="s">
        <v>66</v>
      </c>
      <c r="I191" s="14" t="s">
        <v>341</v>
      </c>
      <c r="J191" s="14">
        <v>830064700</v>
      </c>
      <c r="K191" s="14" t="s">
        <v>50</v>
      </c>
      <c r="L191" s="14" t="s">
        <v>103</v>
      </c>
      <c r="M191" s="14" t="s">
        <v>132</v>
      </c>
      <c r="N191" s="14">
        <v>2008</v>
      </c>
      <c r="O191" s="14">
        <v>12</v>
      </c>
      <c r="P191" s="14" t="s">
        <v>173</v>
      </c>
      <c r="Q191" s="14">
        <v>0</v>
      </c>
      <c r="R191" s="14">
        <v>0</v>
      </c>
      <c r="S191" s="17" t="s">
        <v>54</v>
      </c>
      <c r="T191" s="18">
        <v>0</v>
      </c>
      <c r="U191" s="14">
        <v>0</v>
      </c>
      <c r="V191" s="19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f>Tabla13[[#This Row],[CheckList App]]+Tabla13[[#This Row],[CheckList Fisc]]</f>
        <v>0</v>
      </c>
      <c r="AB191" s="19" t="str">
        <f t="shared" si="2"/>
        <v/>
      </c>
      <c r="AC191" s="14">
        <v>0</v>
      </c>
      <c r="AD191" s="14" t="s">
        <v>70</v>
      </c>
      <c r="AE191" s="15" t="str">
        <f>IFERROR((VLOOKUP(Tabla13[[#This Row],[ID]],[1]!Mtto_Pesv[[#Headers],[#Data],[Placa]:[Rutina]],2,FALSE)),"-")</f>
        <v>-</v>
      </c>
      <c r="AF191" s="14">
        <v>1</v>
      </c>
      <c r="AG191" s="20">
        <f>IFERROR((VLOOKUP(Tabla13[[#This Row],[ID]],[1]!Mtto_Pesv[[#Headers],[#Data],[Placa]:[Rutina]],3,FALSE)),0)</f>
        <v>0</v>
      </c>
      <c r="AH191" s="20">
        <f>IFERROR((VLOOKUP(Tabla13[[#This Row],[ID]],[1]!Mtto_Pesv[[#Headers],[#Data],[Placa]:[Rutina]],7,FALSE)),0)</f>
        <v>0</v>
      </c>
      <c r="AI191" s="20">
        <f>IFERROR((VLOOKUP(Tabla13[[#This Row],[ID]],[1]!Mtto_Pesv[[#Headers],[#Data],[Placa]:[Rutina]],8,FALSE)),0)</f>
        <v>0</v>
      </c>
      <c r="AJ191" s="20" t="str">
        <f>IFERROR((VLOOKUP(Tabla13[[#This Row],[ID]],[1]!Mtto_Pesv[[#Headers],[#Data],[Placa]:[Rutina]],9,FALSE)),"-")</f>
        <v>-</v>
      </c>
      <c r="AK191" s="20">
        <f>IFERROR((VLOOKUP(Tabla13[[#This Row],[ID]],[1]!Mtto_Pesv[[#Headers],[#Data],[Placa]:[Rutina]],10,FALSE)),0)</f>
        <v>0</v>
      </c>
      <c r="AL191" s="20">
        <f>IF(Tabla13[[#This Row],[Km Anterior]]=0,0,Tabla13[[#This Row],[Km Ejecut]]-Tabla13[[#This Row],[Km Anterior]])</f>
        <v>0</v>
      </c>
      <c r="AM191" s="20">
        <f>IFERROR((VLOOKUP(Tabla13[[#This Row],[ID]],[1]!Mtto_Pesv[[#Headers],[#Data],[Placa]:[Rutina]],4,FALSE)),0)</f>
        <v>0</v>
      </c>
      <c r="AN191" s="21">
        <f>IFERROR((VLOOKUP(Tabla13[[#This Row],[ID]],[1]!Mtto_Pesv[[#Headers],[#Data],[Placa]:[Rutina]],5,FALSE)),0)</f>
        <v>0</v>
      </c>
      <c r="AO191" s="21">
        <f>+Tabla13[[#This Row],[Km Fin]]-Tabla13[[#This Row],[Km Ini]]</f>
        <v>0</v>
      </c>
      <c r="AP191" s="20">
        <f>IFERROR((VLOOKUP(Tabla13[[#This Row],[ID]],[1]!Estilo_Conduccion[[#All],[Placa]:[Puntuacion]],15,FALSE)),0)</f>
        <v>0</v>
      </c>
      <c r="AQ191" s="15" t="s">
        <v>54</v>
      </c>
      <c r="AR191" s="15" t="s">
        <v>54</v>
      </c>
      <c r="AS191" s="20">
        <v>10000</v>
      </c>
      <c r="AT191" s="21">
        <v>0</v>
      </c>
      <c r="AU191" s="21">
        <f>(Tabla13[[#This Row],[Cap Vh]]*$AX$2)*0.56</f>
        <v>0</v>
      </c>
      <c r="AV191" s="36" t="e">
        <f>(Tabla13[[#This Row],[Cap Util (kg)]]/(Tabla13[[#This Row],[Cap Inst (Kg)]]))</f>
        <v>#DIV/0!</v>
      </c>
    </row>
    <row r="192" spans="1:48" x14ac:dyDescent="0.25">
      <c r="A192" s="13" t="s">
        <v>1068</v>
      </c>
      <c r="B192" s="14" t="s">
        <v>342</v>
      </c>
      <c r="C192" s="14" t="s">
        <v>44</v>
      </c>
      <c r="D192" s="14" t="s">
        <v>44</v>
      </c>
      <c r="E192" s="14" t="s">
        <v>60</v>
      </c>
      <c r="F192" s="14" t="s">
        <v>46</v>
      </c>
      <c r="G192" s="15" t="s">
        <v>47</v>
      </c>
      <c r="H192" s="16" t="s">
        <v>48</v>
      </c>
      <c r="I192" s="14" t="s">
        <v>49</v>
      </c>
      <c r="J192" s="14">
        <v>830064700</v>
      </c>
      <c r="K192" s="14" t="s">
        <v>50</v>
      </c>
      <c r="L192" s="14" t="s">
        <v>103</v>
      </c>
      <c r="M192" s="14" t="s">
        <v>121</v>
      </c>
      <c r="N192" s="14">
        <v>2009</v>
      </c>
      <c r="O192" s="14">
        <v>11</v>
      </c>
      <c r="P192" s="14" t="s">
        <v>53</v>
      </c>
      <c r="Q192" s="14">
        <v>0</v>
      </c>
      <c r="R192" s="14">
        <v>0</v>
      </c>
      <c r="S192" s="17" t="s">
        <v>54</v>
      </c>
      <c r="T192" s="18">
        <v>0</v>
      </c>
      <c r="U192" s="14">
        <v>30</v>
      </c>
      <c r="V192" s="19">
        <v>1</v>
      </c>
      <c r="W192" s="14">
        <v>0</v>
      </c>
      <c r="X192" s="14">
        <v>0</v>
      </c>
      <c r="Y192" s="14">
        <v>0</v>
      </c>
      <c r="Z192" s="14">
        <v>0</v>
      </c>
      <c r="AA192" s="14">
        <f>Tabla13[[#This Row],[CheckList App]]+Tabla13[[#This Row],[CheckList Fisc]]</f>
        <v>0</v>
      </c>
      <c r="AB192" s="19">
        <f t="shared" si="2"/>
        <v>0</v>
      </c>
      <c r="AC192" s="14">
        <v>0</v>
      </c>
      <c r="AD192" s="14" t="s">
        <v>55</v>
      </c>
      <c r="AE192" s="15" t="str">
        <f>IFERROR((VLOOKUP(Tabla13[[#This Row],[ID]],[1]!Mtto_Pesv[[#Headers],[#Data],[Placa]:[Rutina]],2,FALSE)),"-")</f>
        <v>-</v>
      </c>
      <c r="AF192" s="14">
        <v>0</v>
      </c>
      <c r="AG192" s="20">
        <f>IFERROR((VLOOKUP(Tabla13[[#This Row],[ID]],[1]!Mtto_Pesv[[#Headers],[#Data],[Placa]:[Rutina]],3,FALSE)),0)</f>
        <v>0</v>
      </c>
      <c r="AH192" s="20">
        <f>IFERROR((VLOOKUP(Tabla13[[#This Row],[ID]],[1]!Mtto_Pesv[[#Headers],[#Data],[Placa]:[Rutina]],7,FALSE)),0)</f>
        <v>0</v>
      </c>
      <c r="AI192" s="20">
        <f>IFERROR((VLOOKUP(Tabla13[[#This Row],[ID]],[1]!Mtto_Pesv[[#Headers],[#Data],[Placa]:[Rutina]],8,FALSE)),0)</f>
        <v>0</v>
      </c>
      <c r="AJ192" s="20" t="str">
        <f>IFERROR((VLOOKUP(Tabla13[[#This Row],[ID]],[1]!Mtto_Pesv[[#Headers],[#Data],[Placa]:[Rutina]],9,FALSE)),"-")</f>
        <v>-</v>
      </c>
      <c r="AK192" s="20">
        <f>IFERROR((VLOOKUP(Tabla13[[#This Row],[ID]],[1]!Mtto_Pesv[[#Headers],[#Data],[Placa]:[Rutina]],10,FALSE)),0)</f>
        <v>0</v>
      </c>
      <c r="AL192" s="20">
        <f>IF(Tabla13[[#This Row],[Km Anterior]]=0,0,Tabla13[[#This Row],[Km Ejecut]]-Tabla13[[#This Row],[Km Anterior]])</f>
        <v>0</v>
      </c>
      <c r="AM192" s="20">
        <f>IFERROR((VLOOKUP(Tabla13[[#This Row],[ID]],[1]!Mtto_Pesv[[#Headers],[#Data],[Placa]:[Rutina]],4,FALSE)),0)</f>
        <v>0</v>
      </c>
      <c r="AN192" s="21">
        <f>IFERROR((VLOOKUP(Tabla13[[#This Row],[ID]],[1]!Mtto_Pesv[[#Headers],[#Data],[Placa]:[Rutina]],5,FALSE)),0)</f>
        <v>0</v>
      </c>
      <c r="AO192" s="21">
        <f>+Tabla13[[#This Row],[Km Fin]]-Tabla13[[#This Row],[Km Ini]]</f>
        <v>0</v>
      </c>
      <c r="AP192" s="20">
        <f>IFERROR((VLOOKUP(Tabla13[[#This Row],[ID]],[1]!Estilo_Conduccion[[#All],[Placa]:[Puntuacion]],15,FALSE)),0)</f>
        <v>0</v>
      </c>
      <c r="AQ192" s="15" t="s">
        <v>1072</v>
      </c>
      <c r="AR192" s="15" t="s">
        <v>1073</v>
      </c>
      <c r="AS192" s="20">
        <v>3500</v>
      </c>
      <c r="AT192" s="21">
        <v>3080.8846153846152</v>
      </c>
      <c r="AU192" s="21">
        <f>(Tabla13[[#This Row],[Cap Vh]]*$AX$2)*0.56</f>
        <v>0</v>
      </c>
      <c r="AV192" s="36" t="e">
        <f>(Tabla13[[#This Row],[Cap Util (kg)]]/(Tabla13[[#This Row],[Cap Inst (Kg)]]))</f>
        <v>#DIV/0!</v>
      </c>
    </row>
    <row r="193" spans="1:48" x14ac:dyDescent="0.25">
      <c r="A193" s="13" t="s">
        <v>1068</v>
      </c>
      <c r="B193" s="14" t="s">
        <v>343</v>
      </c>
      <c r="C193" s="14" t="s">
        <v>44</v>
      </c>
      <c r="D193" s="14" t="s">
        <v>44</v>
      </c>
      <c r="E193" s="14" t="s">
        <v>60</v>
      </c>
      <c r="F193" s="14" t="s">
        <v>46</v>
      </c>
      <c r="G193" s="15" t="s">
        <v>47</v>
      </c>
      <c r="H193" s="16" t="s">
        <v>48</v>
      </c>
      <c r="I193" s="14" t="s">
        <v>49</v>
      </c>
      <c r="J193" s="14">
        <v>830064700</v>
      </c>
      <c r="K193" s="14" t="s">
        <v>50</v>
      </c>
      <c r="L193" s="14" t="s">
        <v>103</v>
      </c>
      <c r="M193" s="14" t="s">
        <v>121</v>
      </c>
      <c r="N193" s="14">
        <v>2009</v>
      </c>
      <c r="O193" s="14">
        <v>11</v>
      </c>
      <c r="P193" s="14" t="s">
        <v>53</v>
      </c>
      <c r="Q193" s="14">
        <v>0</v>
      </c>
      <c r="R193" s="14">
        <v>0</v>
      </c>
      <c r="S193" s="17" t="s">
        <v>54</v>
      </c>
      <c r="T193" s="18">
        <v>0</v>
      </c>
      <c r="U193" s="14">
        <v>30</v>
      </c>
      <c r="V193" s="19">
        <v>1</v>
      </c>
      <c r="W193" s="14">
        <v>0</v>
      </c>
      <c r="X193" s="14">
        <v>0</v>
      </c>
      <c r="Y193" s="14">
        <v>0</v>
      </c>
      <c r="Z193" s="14">
        <v>0</v>
      </c>
      <c r="AA193" s="14">
        <f>Tabla13[[#This Row],[CheckList App]]+Tabla13[[#This Row],[CheckList Fisc]]</f>
        <v>0</v>
      </c>
      <c r="AB193" s="19">
        <f t="shared" si="2"/>
        <v>0</v>
      </c>
      <c r="AC193" s="14">
        <v>0</v>
      </c>
      <c r="AD193" s="14" t="s">
        <v>55</v>
      </c>
      <c r="AE193" s="15" t="str">
        <f>IFERROR((VLOOKUP(Tabla13[[#This Row],[ID]],[1]!Mtto_Pesv[[#Headers],[#Data],[Placa]:[Rutina]],2,FALSE)),"-")</f>
        <v>-</v>
      </c>
      <c r="AF193" s="14">
        <v>0</v>
      </c>
      <c r="AG193" s="20">
        <f>IFERROR((VLOOKUP(Tabla13[[#This Row],[ID]],[1]!Mtto_Pesv[[#Headers],[#Data],[Placa]:[Rutina]],3,FALSE)),0)</f>
        <v>0</v>
      </c>
      <c r="AH193" s="20">
        <f>IFERROR((VLOOKUP(Tabla13[[#This Row],[ID]],[1]!Mtto_Pesv[[#Headers],[#Data],[Placa]:[Rutina]],7,FALSE)),0)</f>
        <v>0</v>
      </c>
      <c r="AI193" s="20">
        <f>IFERROR((VLOOKUP(Tabla13[[#This Row],[ID]],[1]!Mtto_Pesv[[#Headers],[#Data],[Placa]:[Rutina]],8,FALSE)),0)</f>
        <v>0</v>
      </c>
      <c r="AJ193" s="20" t="str">
        <f>IFERROR((VLOOKUP(Tabla13[[#This Row],[ID]],[1]!Mtto_Pesv[[#Headers],[#Data],[Placa]:[Rutina]],9,FALSE)),"-")</f>
        <v>-</v>
      </c>
      <c r="AK193" s="20">
        <f>IFERROR((VLOOKUP(Tabla13[[#This Row],[ID]],[1]!Mtto_Pesv[[#Headers],[#Data],[Placa]:[Rutina]],10,FALSE)),0)</f>
        <v>0</v>
      </c>
      <c r="AL193" s="20">
        <f>IF(Tabla13[[#This Row],[Km Anterior]]=0,0,Tabla13[[#This Row],[Km Ejecut]]-Tabla13[[#This Row],[Km Anterior]])</f>
        <v>0</v>
      </c>
      <c r="AM193" s="20">
        <f>IFERROR((VLOOKUP(Tabla13[[#This Row],[ID]],[1]!Mtto_Pesv[[#Headers],[#Data],[Placa]:[Rutina]],4,FALSE)),0)</f>
        <v>0</v>
      </c>
      <c r="AN193" s="21">
        <f>IFERROR((VLOOKUP(Tabla13[[#This Row],[ID]],[1]!Mtto_Pesv[[#Headers],[#Data],[Placa]:[Rutina]],5,FALSE)),0)</f>
        <v>0</v>
      </c>
      <c r="AO193" s="21">
        <f>+Tabla13[[#This Row],[Km Fin]]-Tabla13[[#This Row],[Km Ini]]</f>
        <v>0</v>
      </c>
      <c r="AP193" s="20">
        <f>IFERROR((VLOOKUP(Tabla13[[#This Row],[ID]],[1]!Estilo_Conduccion[[#All],[Placa]:[Puntuacion]],15,FALSE)),0)</f>
        <v>0</v>
      </c>
      <c r="AQ193" s="15" t="s">
        <v>1072</v>
      </c>
      <c r="AR193" s="15" t="s">
        <v>1073</v>
      </c>
      <c r="AS193" s="20">
        <v>3500</v>
      </c>
      <c r="AT193" s="21">
        <v>3080.8846153846152</v>
      </c>
      <c r="AU193" s="21">
        <f>(Tabla13[[#This Row],[Cap Vh]]*$AX$2)*0.56</f>
        <v>0</v>
      </c>
      <c r="AV193" s="36" t="e">
        <f>(Tabla13[[#This Row],[Cap Util (kg)]]/(Tabla13[[#This Row],[Cap Inst (Kg)]]))</f>
        <v>#DIV/0!</v>
      </c>
    </row>
    <row r="194" spans="1:48" x14ac:dyDescent="0.25">
      <c r="A194" s="13" t="s">
        <v>1068</v>
      </c>
      <c r="B194" s="14" t="s">
        <v>344</v>
      </c>
      <c r="C194" s="14" t="s">
        <v>44</v>
      </c>
      <c r="D194" s="14" t="s">
        <v>44</v>
      </c>
      <c r="E194" s="14" t="s">
        <v>247</v>
      </c>
      <c r="F194" s="14" t="s">
        <v>64</v>
      </c>
      <c r="G194" s="14" t="s">
        <v>65</v>
      </c>
      <c r="H194" s="16" t="s">
        <v>66</v>
      </c>
      <c r="I194" s="14" t="s">
        <v>49</v>
      </c>
      <c r="J194" s="14">
        <v>830064700</v>
      </c>
      <c r="K194" s="14" t="s">
        <v>50</v>
      </c>
      <c r="L194" s="14" t="s">
        <v>287</v>
      </c>
      <c r="M194" s="14" t="s">
        <v>345</v>
      </c>
      <c r="N194" s="14">
        <v>2009</v>
      </c>
      <c r="O194" s="14">
        <v>11</v>
      </c>
      <c r="P194" s="14" t="s">
        <v>53</v>
      </c>
      <c r="Q194" s="14">
        <v>0</v>
      </c>
      <c r="R194" s="14">
        <v>0</v>
      </c>
      <c r="S194" s="17" t="s">
        <v>54</v>
      </c>
      <c r="T194" s="18">
        <v>0</v>
      </c>
      <c r="U194" s="14">
        <v>0</v>
      </c>
      <c r="V194" s="19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f>Tabla13[[#This Row],[CheckList App]]+Tabla13[[#This Row],[CheckList Fisc]]</f>
        <v>0</v>
      </c>
      <c r="AB194" s="19" t="str">
        <f t="shared" ref="AB194:AB257" si="3">IF(U194=0,"",(IFERROR((AA194/X194),0)))</f>
        <v/>
      </c>
      <c r="AC194" s="14">
        <v>0</v>
      </c>
      <c r="AD194" s="14" t="s">
        <v>55</v>
      </c>
      <c r="AE194" s="15" t="str">
        <f>IFERROR((VLOOKUP(Tabla13[[#This Row],[ID]],[1]!Mtto_Pesv[[#Headers],[#Data],[Placa]:[Rutina]],2,FALSE)),"-")</f>
        <v>-</v>
      </c>
      <c r="AF194" s="14">
        <v>0</v>
      </c>
      <c r="AG194" s="20">
        <f>IFERROR((VLOOKUP(Tabla13[[#This Row],[ID]],[1]!Mtto_Pesv[[#Headers],[#Data],[Placa]:[Rutina]],3,FALSE)),0)</f>
        <v>0</v>
      </c>
      <c r="AH194" s="20">
        <f>IFERROR((VLOOKUP(Tabla13[[#This Row],[ID]],[1]!Mtto_Pesv[[#Headers],[#Data],[Placa]:[Rutina]],7,FALSE)),0)</f>
        <v>0</v>
      </c>
      <c r="AI194" s="20">
        <f>IFERROR((VLOOKUP(Tabla13[[#This Row],[ID]],[1]!Mtto_Pesv[[#Headers],[#Data],[Placa]:[Rutina]],8,FALSE)),0)</f>
        <v>0</v>
      </c>
      <c r="AJ194" s="20" t="str">
        <f>IFERROR((VLOOKUP(Tabla13[[#This Row],[ID]],[1]!Mtto_Pesv[[#Headers],[#Data],[Placa]:[Rutina]],9,FALSE)),"-")</f>
        <v>-</v>
      </c>
      <c r="AK194" s="20">
        <f>IFERROR((VLOOKUP(Tabla13[[#This Row],[ID]],[1]!Mtto_Pesv[[#Headers],[#Data],[Placa]:[Rutina]],10,FALSE)),0)</f>
        <v>0</v>
      </c>
      <c r="AL194" s="20">
        <f>IF(Tabla13[[#This Row],[Km Anterior]]=0,0,Tabla13[[#This Row],[Km Ejecut]]-Tabla13[[#This Row],[Km Anterior]])</f>
        <v>0</v>
      </c>
      <c r="AM194" s="20">
        <f>IFERROR((VLOOKUP(Tabla13[[#This Row],[ID]],[1]!Mtto_Pesv[[#Headers],[#Data],[Placa]:[Rutina]],4,FALSE)),0)</f>
        <v>0</v>
      </c>
      <c r="AN194" s="21">
        <f>IFERROR((VLOOKUP(Tabla13[[#This Row],[ID]],[1]!Mtto_Pesv[[#Headers],[#Data],[Placa]:[Rutina]],5,FALSE)),0)</f>
        <v>0</v>
      </c>
      <c r="AO194" s="21">
        <f>+Tabla13[[#This Row],[Km Fin]]-Tabla13[[#This Row],[Km Ini]]</f>
        <v>0</v>
      </c>
      <c r="AP194" s="20">
        <f>IFERROR((VLOOKUP(Tabla13[[#This Row],[ID]],[1]!Estilo_Conduccion[[#All],[Placa]:[Puntuacion]],15,FALSE)),0)</f>
        <v>0</v>
      </c>
      <c r="AQ194" s="15" t="s">
        <v>54</v>
      </c>
      <c r="AR194" s="15" t="s">
        <v>54</v>
      </c>
      <c r="AS194" s="20">
        <v>2420</v>
      </c>
      <c r="AT194" s="21">
        <v>0</v>
      </c>
      <c r="AU194" s="21">
        <f>(Tabla13[[#This Row],[Cap Vh]]*$AX$2)*0.56</f>
        <v>0</v>
      </c>
      <c r="AV194" s="36" t="e">
        <f>(Tabla13[[#This Row],[Cap Util (kg)]]/(Tabla13[[#This Row],[Cap Inst (Kg)]]))</f>
        <v>#DIV/0!</v>
      </c>
    </row>
    <row r="195" spans="1:48" x14ac:dyDescent="0.25">
      <c r="A195" s="13" t="s">
        <v>1068</v>
      </c>
      <c r="B195" s="14" t="s">
        <v>346</v>
      </c>
      <c r="C195" s="14" t="s">
        <v>44</v>
      </c>
      <c r="D195" s="14" t="s">
        <v>44</v>
      </c>
      <c r="E195" s="14" t="s">
        <v>45</v>
      </c>
      <c r="F195" s="14" t="s">
        <v>64</v>
      </c>
      <c r="G195" s="14" t="s">
        <v>65</v>
      </c>
      <c r="H195" s="16" t="s">
        <v>66</v>
      </c>
      <c r="I195" s="14" t="s">
        <v>49</v>
      </c>
      <c r="J195" s="14">
        <v>830064700</v>
      </c>
      <c r="K195" s="14" t="s">
        <v>50</v>
      </c>
      <c r="L195" s="14" t="s">
        <v>103</v>
      </c>
      <c r="M195" s="14" t="s">
        <v>347</v>
      </c>
      <c r="N195" s="14">
        <v>2009</v>
      </c>
      <c r="O195" s="14">
        <v>11</v>
      </c>
      <c r="P195" s="14" t="s">
        <v>53</v>
      </c>
      <c r="Q195" s="14">
        <v>0</v>
      </c>
      <c r="R195" s="14">
        <v>0</v>
      </c>
      <c r="S195" s="17" t="s">
        <v>54</v>
      </c>
      <c r="T195" s="18">
        <v>0</v>
      </c>
      <c r="U195" s="14">
        <v>0</v>
      </c>
      <c r="V195" s="19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f>Tabla13[[#This Row],[CheckList App]]+Tabla13[[#This Row],[CheckList Fisc]]</f>
        <v>0</v>
      </c>
      <c r="AB195" s="19" t="str">
        <f t="shared" si="3"/>
        <v/>
      </c>
      <c r="AC195" s="14">
        <v>0</v>
      </c>
      <c r="AD195" s="14" t="s">
        <v>70</v>
      </c>
      <c r="AE195" s="15" t="str">
        <f>IFERROR((VLOOKUP(Tabla13[[#This Row],[ID]],[1]!Mtto_Pesv[[#Headers],[#Data],[Placa]:[Rutina]],2,FALSE)),"-")</f>
        <v>-</v>
      </c>
      <c r="AF195" s="14">
        <v>1</v>
      </c>
      <c r="AG195" s="20">
        <f>IFERROR((VLOOKUP(Tabla13[[#This Row],[ID]],[1]!Mtto_Pesv[[#Headers],[#Data],[Placa]:[Rutina]],3,FALSE)),0)</f>
        <v>0</v>
      </c>
      <c r="AH195" s="20">
        <f>IFERROR((VLOOKUP(Tabla13[[#This Row],[ID]],[1]!Mtto_Pesv[[#Headers],[#Data],[Placa]:[Rutina]],7,FALSE)),0)</f>
        <v>0</v>
      </c>
      <c r="AI195" s="20">
        <f>IFERROR((VLOOKUP(Tabla13[[#This Row],[ID]],[1]!Mtto_Pesv[[#Headers],[#Data],[Placa]:[Rutina]],8,FALSE)),0)</f>
        <v>0</v>
      </c>
      <c r="AJ195" s="20" t="str">
        <f>IFERROR((VLOOKUP(Tabla13[[#This Row],[ID]],[1]!Mtto_Pesv[[#Headers],[#Data],[Placa]:[Rutina]],9,FALSE)),"-")</f>
        <v>-</v>
      </c>
      <c r="AK195" s="20">
        <f>IFERROR((VLOOKUP(Tabla13[[#This Row],[ID]],[1]!Mtto_Pesv[[#Headers],[#Data],[Placa]:[Rutina]],10,FALSE)),0)</f>
        <v>0</v>
      </c>
      <c r="AL195" s="20">
        <f>IF(Tabla13[[#This Row],[Km Anterior]]=0,0,Tabla13[[#This Row],[Km Ejecut]]-Tabla13[[#This Row],[Km Anterior]])</f>
        <v>0</v>
      </c>
      <c r="AM195" s="20">
        <f>IFERROR((VLOOKUP(Tabla13[[#This Row],[ID]],[1]!Mtto_Pesv[[#Headers],[#Data],[Placa]:[Rutina]],4,FALSE)),0)</f>
        <v>0</v>
      </c>
      <c r="AN195" s="21">
        <f>IFERROR((VLOOKUP(Tabla13[[#This Row],[ID]],[1]!Mtto_Pesv[[#Headers],[#Data],[Placa]:[Rutina]],5,FALSE)),0)</f>
        <v>0</v>
      </c>
      <c r="AO195" s="21">
        <f>+Tabla13[[#This Row],[Km Fin]]-Tabla13[[#This Row],[Km Ini]]</f>
        <v>0</v>
      </c>
      <c r="AP195" s="20">
        <f>IFERROR((VLOOKUP(Tabla13[[#This Row],[ID]],[1]!Estilo_Conduccion[[#All],[Placa]:[Puntuacion]],15,FALSE)),0)</f>
        <v>0</v>
      </c>
      <c r="AQ195" s="15" t="s">
        <v>54</v>
      </c>
      <c r="AR195" s="15" t="s">
        <v>1176</v>
      </c>
      <c r="AS195" s="20">
        <v>1000</v>
      </c>
      <c r="AT195" s="21">
        <v>0</v>
      </c>
      <c r="AU195" s="21">
        <f>(Tabla13[[#This Row],[Cap Vh]]*$AX$2)*0.56</f>
        <v>0</v>
      </c>
      <c r="AV195" s="36" t="e">
        <f>(Tabla13[[#This Row],[Cap Util (kg)]]/(Tabla13[[#This Row],[Cap Inst (Kg)]]))</f>
        <v>#DIV/0!</v>
      </c>
    </row>
    <row r="196" spans="1:48" x14ac:dyDescent="0.25">
      <c r="A196" s="13" t="s">
        <v>1068</v>
      </c>
      <c r="B196" s="14" t="s">
        <v>348</v>
      </c>
      <c r="C196" s="14" t="s">
        <v>44</v>
      </c>
      <c r="D196" s="14" t="s">
        <v>44</v>
      </c>
      <c r="E196" s="14" t="s">
        <v>45</v>
      </c>
      <c r="F196" s="14" t="s">
        <v>64</v>
      </c>
      <c r="G196" s="14" t="s">
        <v>65</v>
      </c>
      <c r="H196" s="16" t="s">
        <v>66</v>
      </c>
      <c r="I196" s="14" t="s">
        <v>349</v>
      </c>
      <c r="J196" s="14">
        <v>830064700</v>
      </c>
      <c r="K196" s="14" t="s">
        <v>50</v>
      </c>
      <c r="L196" s="14" t="s">
        <v>103</v>
      </c>
      <c r="M196" s="14" t="s">
        <v>347</v>
      </c>
      <c r="N196" s="14">
        <v>2009</v>
      </c>
      <c r="O196" s="14">
        <v>11</v>
      </c>
      <c r="P196" s="14" t="s">
        <v>53</v>
      </c>
      <c r="Q196" s="14">
        <v>0</v>
      </c>
      <c r="R196" s="14">
        <v>0</v>
      </c>
      <c r="S196" s="17" t="s">
        <v>54</v>
      </c>
      <c r="T196" s="18">
        <v>0</v>
      </c>
      <c r="U196" s="14">
        <v>0</v>
      </c>
      <c r="V196" s="19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f>Tabla13[[#This Row],[CheckList App]]+Tabla13[[#This Row],[CheckList Fisc]]</f>
        <v>0</v>
      </c>
      <c r="AB196" s="19" t="str">
        <f t="shared" si="3"/>
        <v/>
      </c>
      <c r="AC196" s="14">
        <v>0</v>
      </c>
      <c r="AD196" s="14" t="s">
        <v>70</v>
      </c>
      <c r="AE196" s="15" t="str">
        <f>IFERROR((VLOOKUP(Tabla13[[#This Row],[ID]],[1]!Mtto_Pesv[[#Headers],[#Data],[Placa]:[Rutina]],2,FALSE)),"-")</f>
        <v>-</v>
      </c>
      <c r="AF196" s="14">
        <v>1</v>
      </c>
      <c r="AG196" s="20">
        <f>IFERROR((VLOOKUP(Tabla13[[#This Row],[ID]],[1]!Mtto_Pesv[[#Headers],[#Data],[Placa]:[Rutina]],3,FALSE)),0)</f>
        <v>0</v>
      </c>
      <c r="AH196" s="20">
        <f>IFERROR((VLOOKUP(Tabla13[[#This Row],[ID]],[1]!Mtto_Pesv[[#Headers],[#Data],[Placa]:[Rutina]],7,FALSE)),0)</f>
        <v>0</v>
      </c>
      <c r="AI196" s="20">
        <f>IFERROR((VLOOKUP(Tabla13[[#This Row],[ID]],[1]!Mtto_Pesv[[#Headers],[#Data],[Placa]:[Rutina]],8,FALSE)),0)</f>
        <v>0</v>
      </c>
      <c r="AJ196" s="20" t="str">
        <f>IFERROR((VLOOKUP(Tabla13[[#This Row],[ID]],[1]!Mtto_Pesv[[#Headers],[#Data],[Placa]:[Rutina]],9,FALSE)),"-")</f>
        <v>-</v>
      </c>
      <c r="AK196" s="20">
        <f>IFERROR((VLOOKUP(Tabla13[[#This Row],[ID]],[1]!Mtto_Pesv[[#Headers],[#Data],[Placa]:[Rutina]],10,FALSE)),0)</f>
        <v>0</v>
      </c>
      <c r="AL196" s="20">
        <f>IF(Tabla13[[#This Row],[Km Anterior]]=0,0,Tabla13[[#This Row],[Km Ejecut]]-Tabla13[[#This Row],[Km Anterior]])</f>
        <v>0</v>
      </c>
      <c r="AM196" s="20">
        <f>IFERROR((VLOOKUP(Tabla13[[#This Row],[ID]],[1]!Mtto_Pesv[[#Headers],[#Data],[Placa]:[Rutina]],4,FALSE)),0)</f>
        <v>0</v>
      </c>
      <c r="AN196" s="21">
        <f>IFERROR((VLOOKUP(Tabla13[[#This Row],[ID]],[1]!Mtto_Pesv[[#Headers],[#Data],[Placa]:[Rutina]],5,FALSE)),0)</f>
        <v>0</v>
      </c>
      <c r="AO196" s="21">
        <f>+Tabla13[[#This Row],[Km Fin]]-Tabla13[[#This Row],[Km Ini]]</f>
        <v>0</v>
      </c>
      <c r="AP196" s="20">
        <f>IFERROR((VLOOKUP(Tabla13[[#This Row],[ID]],[1]!Estilo_Conduccion[[#All],[Placa]:[Puntuacion]],15,FALSE)),0)</f>
        <v>0</v>
      </c>
      <c r="AQ196" s="15" t="s">
        <v>54</v>
      </c>
      <c r="AR196" s="15" t="s">
        <v>54</v>
      </c>
      <c r="AS196" s="20">
        <v>1000</v>
      </c>
      <c r="AT196" s="21">
        <v>0</v>
      </c>
      <c r="AU196" s="21">
        <f>(Tabla13[[#This Row],[Cap Vh]]*$AX$2)*0.56</f>
        <v>0</v>
      </c>
      <c r="AV196" s="36" t="e">
        <f>(Tabla13[[#This Row],[Cap Util (kg)]]/(Tabla13[[#This Row],[Cap Inst (Kg)]]))</f>
        <v>#DIV/0!</v>
      </c>
    </row>
    <row r="197" spans="1:48" x14ac:dyDescent="0.25">
      <c r="A197" s="13" t="s">
        <v>1068</v>
      </c>
      <c r="B197" s="14" t="s">
        <v>350</v>
      </c>
      <c r="C197" s="14" t="s">
        <v>44</v>
      </c>
      <c r="D197" s="14" t="s">
        <v>44</v>
      </c>
      <c r="E197" s="14" t="s">
        <v>45</v>
      </c>
      <c r="F197" s="14" t="s">
        <v>64</v>
      </c>
      <c r="G197" s="14" t="s">
        <v>65</v>
      </c>
      <c r="H197" s="16" t="s">
        <v>66</v>
      </c>
      <c r="I197" s="14" t="s">
        <v>184</v>
      </c>
      <c r="J197" s="14">
        <v>830064700</v>
      </c>
      <c r="K197" s="14" t="s">
        <v>50</v>
      </c>
      <c r="L197" s="14" t="s">
        <v>103</v>
      </c>
      <c r="M197" s="14" t="s">
        <v>347</v>
      </c>
      <c r="N197" s="14">
        <v>2009</v>
      </c>
      <c r="O197" s="14">
        <v>11</v>
      </c>
      <c r="P197" s="14" t="s">
        <v>53</v>
      </c>
      <c r="Q197" s="14">
        <v>0</v>
      </c>
      <c r="R197" s="14">
        <v>0</v>
      </c>
      <c r="S197" s="17" t="s">
        <v>54</v>
      </c>
      <c r="T197" s="18">
        <v>0</v>
      </c>
      <c r="U197" s="14">
        <v>0</v>
      </c>
      <c r="V197" s="19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f>Tabla13[[#This Row],[CheckList App]]+Tabla13[[#This Row],[CheckList Fisc]]</f>
        <v>0</v>
      </c>
      <c r="AB197" s="19" t="str">
        <f t="shared" si="3"/>
        <v/>
      </c>
      <c r="AC197" s="14">
        <v>0</v>
      </c>
      <c r="AD197" s="14" t="s">
        <v>70</v>
      </c>
      <c r="AE197" s="15" t="str">
        <f>IFERROR((VLOOKUP(Tabla13[[#This Row],[ID]],[1]!Mtto_Pesv[[#Headers],[#Data],[Placa]:[Rutina]],2,FALSE)),"-")</f>
        <v>-</v>
      </c>
      <c r="AF197" s="14">
        <v>1</v>
      </c>
      <c r="AG197" s="20">
        <f>IFERROR((VLOOKUP(Tabla13[[#This Row],[ID]],[1]!Mtto_Pesv[[#Headers],[#Data],[Placa]:[Rutina]],3,FALSE)),0)</f>
        <v>0</v>
      </c>
      <c r="AH197" s="20">
        <f>IFERROR((VLOOKUP(Tabla13[[#This Row],[ID]],[1]!Mtto_Pesv[[#Headers],[#Data],[Placa]:[Rutina]],7,FALSE)),0)</f>
        <v>0</v>
      </c>
      <c r="AI197" s="20">
        <f>IFERROR((VLOOKUP(Tabla13[[#This Row],[ID]],[1]!Mtto_Pesv[[#Headers],[#Data],[Placa]:[Rutina]],8,FALSE)),0)</f>
        <v>0</v>
      </c>
      <c r="AJ197" s="20" t="str">
        <f>IFERROR((VLOOKUP(Tabla13[[#This Row],[ID]],[1]!Mtto_Pesv[[#Headers],[#Data],[Placa]:[Rutina]],9,FALSE)),"-")</f>
        <v>-</v>
      </c>
      <c r="AK197" s="20">
        <f>IFERROR((VLOOKUP(Tabla13[[#This Row],[ID]],[1]!Mtto_Pesv[[#Headers],[#Data],[Placa]:[Rutina]],10,FALSE)),0)</f>
        <v>0</v>
      </c>
      <c r="AL197" s="20">
        <f>IF(Tabla13[[#This Row],[Km Anterior]]=0,0,Tabla13[[#This Row],[Km Ejecut]]-Tabla13[[#This Row],[Km Anterior]])</f>
        <v>0</v>
      </c>
      <c r="AM197" s="20">
        <f>IFERROR((VLOOKUP(Tabla13[[#This Row],[ID]],[1]!Mtto_Pesv[[#Headers],[#Data],[Placa]:[Rutina]],4,FALSE)),0)</f>
        <v>0</v>
      </c>
      <c r="AN197" s="21">
        <f>IFERROR((VLOOKUP(Tabla13[[#This Row],[ID]],[1]!Mtto_Pesv[[#Headers],[#Data],[Placa]:[Rutina]],5,FALSE)),0)</f>
        <v>0</v>
      </c>
      <c r="AO197" s="21">
        <f>+Tabla13[[#This Row],[Km Fin]]-Tabla13[[#This Row],[Km Ini]]</f>
        <v>0</v>
      </c>
      <c r="AP197" s="20">
        <f>IFERROR((VLOOKUP(Tabla13[[#This Row],[ID]],[1]!Estilo_Conduccion[[#All],[Placa]:[Puntuacion]],15,FALSE)),0)</f>
        <v>0</v>
      </c>
      <c r="AQ197" s="15" t="s">
        <v>54</v>
      </c>
      <c r="AR197" s="15" t="s">
        <v>54</v>
      </c>
      <c r="AS197" s="20">
        <v>1000</v>
      </c>
      <c r="AT197" s="21">
        <v>0</v>
      </c>
      <c r="AU197" s="21">
        <f>(Tabla13[[#This Row],[Cap Vh]]*$AX$2)*0.56</f>
        <v>0</v>
      </c>
      <c r="AV197" s="36" t="e">
        <f>(Tabla13[[#This Row],[Cap Util (kg)]]/(Tabla13[[#This Row],[Cap Inst (Kg)]]))</f>
        <v>#DIV/0!</v>
      </c>
    </row>
    <row r="198" spans="1:48" x14ac:dyDescent="0.25">
      <c r="A198" s="13" t="s">
        <v>1068</v>
      </c>
      <c r="B198" s="14" t="s">
        <v>351</v>
      </c>
      <c r="C198" s="14" t="s">
        <v>44</v>
      </c>
      <c r="D198" s="14" t="s">
        <v>44</v>
      </c>
      <c r="E198" s="14" t="s">
        <v>45</v>
      </c>
      <c r="F198" s="14" t="s">
        <v>46</v>
      </c>
      <c r="G198" s="15" t="s">
        <v>47</v>
      </c>
      <c r="H198" s="16" t="s">
        <v>48</v>
      </c>
      <c r="I198" s="14" t="s">
        <v>49</v>
      </c>
      <c r="J198" s="14">
        <v>830064700</v>
      </c>
      <c r="K198" s="14" t="s">
        <v>50</v>
      </c>
      <c r="L198" s="14" t="s">
        <v>103</v>
      </c>
      <c r="M198" s="14" t="s">
        <v>132</v>
      </c>
      <c r="N198" s="14">
        <v>2008</v>
      </c>
      <c r="O198" s="14">
        <v>12</v>
      </c>
      <c r="P198" s="14" t="s">
        <v>173</v>
      </c>
      <c r="Q198" s="14">
        <v>0</v>
      </c>
      <c r="R198" s="14">
        <v>0</v>
      </c>
      <c r="S198" s="17" t="s">
        <v>54</v>
      </c>
      <c r="T198" s="18">
        <v>0</v>
      </c>
      <c r="U198" s="14">
        <v>30</v>
      </c>
      <c r="V198" s="19">
        <v>1</v>
      </c>
      <c r="W198" s="14">
        <v>0</v>
      </c>
      <c r="X198" s="14">
        <v>0</v>
      </c>
      <c r="Y198" s="14">
        <v>0</v>
      </c>
      <c r="Z198" s="14">
        <v>0</v>
      </c>
      <c r="AA198" s="14">
        <f>Tabla13[[#This Row],[CheckList App]]+Tabla13[[#This Row],[CheckList Fisc]]</f>
        <v>0</v>
      </c>
      <c r="AB198" s="19">
        <f t="shared" si="3"/>
        <v>0</v>
      </c>
      <c r="AC198" s="14">
        <v>0</v>
      </c>
      <c r="AD198" s="14" t="s">
        <v>55</v>
      </c>
      <c r="AE198" s="15" t="str">
        <f>IFERROR((VLOOKUP(Tabla13[[#This Row],[ID]],[1]!Mtto_Pesv[[#Headers],[#Data],[Placa]:[Rutina]],2,FALSE)),"-")</f>
        <v>-</v>
      </c>
      <c r="AF198" s="14">
        <v>0</v>
      </c>
      <c r="AG198" s="20">
        <f>IFERROR((VLOOKUP(Tabla13[[#This Row],[ID]],[1]!Mtto_Pesv[[#Headers],[#Data],[Placa]:[Rutina]],3,FALSE)),0)</f>
        <v>0</v>
      </c>
      <c r="AH198" s="20">
        <f>IFERROR((VLOOKUP(Tabla13[[#This Row],[ID]],[1]!Mtto_Pesv[[#Headers],[#Data],[Placa]:[Rutina]],7,FALSE)),0)</f>
        <v>0</v>
      </c>
      <c r="AI198" s="20">
        <f>IFERROR((VLOOKUP(Tabla13[[#This Row],[ID]],[1]!Mtto_Pesv[[#Headers],[#Data],[Placa]:[Rutina]],8,FALSE)),0)</f>
        <v>0</v>
      </c>
      <c r="AJ198" s="20" t="str">
        <f>IFERROR((VLOOKUP(Tabla13[[#This Row],[ID]],[1]!Mtto_Pesv[[#Headers],[#Data],[Placa]:[Rutina]],9,FALSE)),"-")</f>
        <v>-</v>
      </c>
      <c r="AK198" s="20">
        <f>IFERROR((VLOOKUP(Tabla13[[#This Row],[ID]],[1]!Mtto_Pesv[[#Headers],[#Data],[Placa]:[Rutina]],10,FALSE)),0)</f>
        <v>0</v>
      </c>
      <c r="AL198" s="20">
        <f>IF(Tabla13[[#This Row],[Km Anterior]]=0,0,Tabla13[[#This Row],[Km Ejecut]]-Tabla13[[#This Row],[Km Anterior]])</f>
        <v>0</v>
      </c>
      <c r="AM198" s="20">
        <f>IFERROR((VLOOKUP(Tabla13[[#This Row],[ID]],[1]!Mtto_Pesv[[#Headers],[#Data],[Placa]:[Rutina]],4,FALSE)),0)</f>
        <v>0</v>
      </c>
      <c r="AN198" s="21">
        <f>IFERROR((VLOOKUP(Tabla13[[#This Row],[ID]],[1]!Mtto_Pesv[[#Headers],[#Data],[Placa]:[Rutina]],5,FALSE)),0)</f>
        <v>0</v>
      </c>
      <c r="AO198" s="21">
        <f>+Tabla13[[#This Row],[Km Fin]]-Tabla13[[#This Row],[Km Ini]]</f>
        <v>0</v>
      </c>
      <c r="AP198" s="20">
        <f>IFERROR((VLOOKUP(Tabla13[[#This Row],[ID]],[1]!Estilo_Conduccion[[#All],[Placa]:[Puntuacion]],15,FALSE)),0)</f>
        <v>0</v>
      </c>
      <c r="AQ198" s="15" t="s">
        <v>1211</v>
      </c>
      <c r="AR198" s="15" t="s">
        <v>1212</v>
      </c>
      <c r="AS198" s="20">
        <v>10000</v>
      </c>
      <c r="AT198" s="21">
        <v>6559.5</v>
      </c>
      <c r="AU198" s="21">
        <f>(Tabla13[[#This Row],[Cap Vh]]*$AX$2)*0.56</f>
        <v>0</v>
      </c>
      <c r="AV198" s="36" t="e">
        <f>(Tabla13[[#This Row],[Cap Util (kg)]]/(Tabla13[[#This Row],[Cap Inst (Kg)]]))</f>
        <v>#DIV/0!</v>
      </c>
    </row>
    <row r="199" spans="1:48" x14ac:dyDescent="0.25">
      <c r="A199" s="13" t="s">
        <v>1068</v>
      </c>
      <c r="B199" s="14" t="s">
        <v>352</v>
      </c>
      <c r="C199" s="14" t="s">
        <v>44</v>
      </c>
      <c r="D199" s="14" t="s">
        <v>44</v>
      </c>
      <c r="E199" s="14" t="s">
        <v>45</v>
      </c>
      <c r="F199" s="14" t="s">
        <v>46</v>
      </c>
      <c r="G199" s="15" t="s">
        <v>47</v>
      </c>
      <c r="H199" s="16" t="s">
        <v>48</v>
      </c>
      <c r="I199" s="14" t="s">
        <v>49</v>
      </c>
      <c r="J199" s="14">
        <v>830064700</v>
      </c>
      <c r="K199" s="14" t="s">
        <v>50</v>
      </c>
      <c r="L199" s="14" t="s">
        <v>103</v>
      </c>
      <c r="M199" s="14" t="s">
        <v>347</v>
      </c>
      <c r="N199" s="14">
        <v>2009</v>
      </c>
      <c r="O199" s="14">
        <v>11</v>
      </c>
      <c r="P199" s="14" t="s">
        <v>53</v>
      </c>
      <c r="Q199" s="14">
        <v>0</v>
      </c>
      <c r="R199" s="14">
        <v>0</v>
      </c>
      <c r="S199" s="17" t="s">
        <v>54</v>
      </c>
      <c r="T199" s="18">
        <v>0</v>
      </c>
      <c r="U199" s="14">
        <v>0</v>
      </c>
      <c r="V199" s="19">
        <v>1</v>
      </c>
      <c r="W199" s="14">
        <v>0</v>
      </c>
      <c r="X199" s="14">
        <v>26</v>
      </c>
      <c r="Y199" s="14">
        <v>1</v>
      </c>
      <c r="Z199" s="14">
        <v>0</v>
      </c>
      <c r="AA199" s="14">
        <f>Tabla13[[#This Row],[CheckList App]]+Tabla13[[#This Row],[CheckList Fisc]]</f>
        <v>1</v>
      </c>
      <c r="AB199" s="19" t="str">
        <f t="shared" si="3"/>
        <v/>
      </c>
      <c r="AC199" s="14">
        <v>0</v>
      </c>
      <c r="AD199" s="14" t="s">
        <v>55</v>
      </c>
      <c r="AE199" s="15" t="str">
        <f>IFERROR((VLOOKUP(Tabla13[[#This Row],[ID]],[1]!Mtto_Pesv[[#Headers],[#Data],[Placa]:[Rutina]],2,FALSE)),"-")</f>
        <v>-</v>
      </c>
      <c r="AF199" s="14">
        <v>0</v>
      </c>
      <c r="AG199" s="20">
        <f>IFERROR((VLOOKUP(Tabla13[[#This Row],[ID]],[1]!Mtto_Pesv[[#Headers],[#Data],[Placa]:[Rutina]],3,FALSE)),0)</f>
        <v>0</v>
      </c>
      <c r="AH199" s="20">
        <f>IFERROR((VLOOKUP(Tabla13[[#This Row],[ID]],[1]!Mtto_Pesv[[#Headers],[#Data],[Placa]:[Rutina]],7,FALSE)),0)</f>
        <v>0</v>
      </c>
      <c r="AI199" s="20">
        <f>IFERROR((VLOOKUP(Tabla13[[#This Row],[ID]],[1]!Mtto_Pesv[[#Headers],[#Data],[Placa]:[Rutina]],8,FALSE)),0)</f>
        <v>0</v>
      </c>
      <c r="AJ199" s="20" t="str">
        <f>IFERROR((VLOOKUP(Tabla13[[#This Row],[ID]],[1]!Mtto_Pesv[[#Headers],[#Data],[Placa]:[Rutina]],9,FALSE)),"-")</f>
        <v>-</v>
      </c>
      <c r="AK199" s="20">
        <f>IFERROR((VLOOKUP(Tabla13[[#This Row],[ID]],[1]!Mtto_Pesv[[#Headers],[#Data],[Placa]:[Rutina]],10,FALSE)),0)</f>
        <v>0</v>
      </c>
      <c r="AL199" s="20">
        <f>IF(Tabla13[[#This Row],[Km Anterior]]=0,0,Tabla13[[#This Row],[Km Ejecut]]-Tabla13[[#This Row],[Km Anterior]])</f>
        <v>0</v>
      </c>
      <c r="AM199" s="20">
        <f>IFERROR((VLOOKUP(Tabla13[[#This Row],[ID]],[1]!Mtto_Pesv[[#Headers],[#Data],[Placa]:[Rutina]],4,FALSE)),0)</f>
        <v>0</v>
      </c>
      <c r="AN199" s="21">
        <f>IFERROR((VLOOKUP(Tabla13[[#This Row],[ID]],[1]!Mtto_Pesv[[#Headers],[#Data],[Placa]:[Rutina]],5,FALSE)),0)</f>
        <v>0</v>
      </c>
      <c r="AO199" s="21">
        <f>+Tabla13[[#This Row],[Km Fin]]-Tabla13[[#This Row],[Km Ini]]</f>
        <v>0</v>
      </c>
      <c r="AP199" s="20">
        <f>IFERROR((VLOOKUP(Tabla13[[#This Row],[ID]],[1]!Estilo_Conduccion[[#All],[Placa]:[Puntuacion]],15,FALSE)),0)</f>
        <v>0</v>
      </c>
      <c r="AQ199" s="15" t="s">
        <v>1149</v>
      </c>
      <c r="AR199" s="15" t="s">
        <v>1150</v>
      </c>
      <c r="AS199" s="20">
        <v>1000</v>
      </c>
      <c r="AT199" s="21">
        <v>5496</v>
      </c>
      <c r="AU199" s="21">
        <f>(Tabla13[[#This Row],[Cap Vh]]*$AX$2)*0.56</f>
        <v>0</v>
      </c>
      <c r="AV199" s="36" t="e">
        <f>(Tabla13[[#This Row],[Cap Util (kg)]]/(Tabla13[[#This Row],[Cap Inst (Kg)]]))</f>
        <v>#DIV/0!</v>
      </c>
    </row>
    <row r="200" spans="1:48" x14ac:dyDescent="0.25">
      <c r="A200" s="13" t="s">
        <v>1068</v>
      </c>
      <c r="B200" s="14" t="s">
        <v>353</v>
      </c>
      <c r="C200" s="14" t="s">
        <v>44</v>
      </c>
      <c r="D200" s="14" t="s">
        <v>44</v>
      </c>
      <c r="E200" s="14" t="s">
        <v>69</v>
      </c>
      <c r="F200" s="14" t="s">
        <v>64</v>
      </c>
      <c r="G200" s="15" t="s">
        <v>65</v>
      </c>
      <c r="H200" s="16" t="s">
        <v>120</v>
      </c>
      <c r="I200" s="14" t="s">
        <v>203</v>
      </c>
      <c r="J200" s="14">
        <v>830064700</v>
      </c>
      <c r="K200" s="14" t="s">
        <v>50</v>
      </c>
      <c r="L200" s="14" t="s">
        <v>103</v>
      </c>
      <c r="M200" s="14" t="s">
        <v>347</v>
      </c>
      <c r="N200" s="14">
        <v>2009</v>
      </c>
      <c r="O200" s="14">
        <v>11</v>
      </c>
      <c r="P200" s="14" t="s">
        <v>53</v>
      </c>
      <c r="Q200" s="14">
        <v>0</v>
      </c>
      <c r="R200" s="14">
        <v>0</v>
      </c>
      <c r="S200" s="17" t="s">
        <v>54</v>
      </c>
      <c r="T200" s="18">
        <v>0</v>
      </c>
      <c r="U200" s="14">
        <v>30</v>
      </c>
      <c r="V200" s="19">
        <v>1</v>
      </c>
      <c r="W200" s="14">
        <v>0</v>
      </c>
      <c r="X200" s="14">
        <v>0</v>
      </c>
      <c r="Y200" s="14">
        <v>0</v>
      </c>
      <c r="Z200" s="14">
        <v>0</v>
      </c>
      <c r="AA200" s="14">
        <f>Tabla13[[#This Row],[CheckList App]]+Tabla13[[#This Row],[CheckList Fisc]]</f>
        <v>0</v>
      </c>
      <c r="AB200" s="19">
        <f t="shared" si="3"/>
        <v>0</v>
      </c>
      <c r="AC200" s="14">
        <v>0</v>
      </c>
      <c r="AD200" s="14" t="s">
        <v>70</v>
      </c>
      <c r="AE200" s="22" t="str">
        <f>IFERROR((VLOOKUP(Tabla13[[#This Row],[ID]],[1]!Mtto_Pesv[[#Headers],[#Data],[Placa]:[Rutina]],2,FALSE)),"-")</f>
        <v>-</v>
      </c>
      <c r="AF200" s="14">
        <v>1</v>
      </c>
      <c r="AG200" s="20">
        <f>IFERROR((VLOOKUP(Tabla13[[#This Row],[ID]],[1]!Mtto_Pesv[[#Headers],[#Data],[Placa]:[Rutina]],3,FALSE)),0)</f>
        <v>0</v>
      </c>
      <c r="AH200" s="20">
        <f>IFERROR((VLOOKUP(Tabla13[[#This Row],[ID]],[1]!Mtto_Pesv[[#Headers],[#Data],[Placa]:[Rutina]],7,FALSE)),0)</f>
        <v>0</v>
      </c>
      <c r="AI200" s="20">
        <f>IFERROR((VLOOKUP(Tabla13[[#This Row],[ID]],[1]!Mtto_Pesv[[#Headers],[#Data],[Placa]:[Rutina]],8,FALSE)),0)</f>
        <v>0</v>
      </c>
      <c r="AJ200" s="20" t="str">
        <f>IFERROR((VLOOKUP(Tabla13[[#This Row],[ID]],[1]!Mtto_Pesv[[#Headers],[#Data],[Placa]:[Rutina]],9,FALSE)),"-")</f>
        <v>-</v>
      </c>
      <c r="AK200" s="20">
        <f>IFERROR((VLOOKUP(Tabla13[[#This Row],[ID]],[1]!Mtto_Pesv[[#Headers],[#Data],[Placa]:[Rutina]],10,FALSE)),0)</f>
        <v>0</v>
      </c>
      <c r="AL200" s="20">
        <f>IF(Tabla13[[#This Row],[Km Anterior]]=0,0,Tabla13[[#This Row],[Km Ejecut]]-Tabla13[[#This Row],[Km Anterior]])</f>
        <v>0</v>
      </c>
      <c r="AM200" s="20">
        <f>IFERROR((VLOOKUP(Tabla13[[#This Row],[ID]],[1]!Mtto_Pesv[[#Headers],[#Data],[Placa]:[Rutina]],4,FALSE)),0)</f>
        <v>0</v>
      </c>
      <c r="AN200" s="21">
        <f>IFERROR((VLOOKUP(Tabla13[[#This Row],[ID]],[1]!Mtto_Pesv[[#Headers],[#Data],[Placa]:[Rutina]],5,FALSE)),0)</f>
        <v>0</v>
      </c>
      <c r="AO200" s="21">
        <f>+Tabla13[[#This Row],[Km Fin]]-Tabla13[[#This Row],[Km Ini]]</f>
        <v>0</v>
      </c>
      <c r="AP200" s="20">
        <f>IFERROR((VLOOKUP(Tabla13[[#This Row],[ID]],[1]!Estilo_Conduccion[[#All],[Placa]:[Puntuacion]],15,FALSE)),0)</f>
        <v>0</v>
      </c>
      <c r="AQ200" s="15" t="s">
        <v>54</v>
      </c>
      <c r="AR200" s="15" t="s">
        <v>54</v>
      </c>
      <c r="AS200" s="20">
        <v>1000</v>
      </c>
      <c r="AT200" s="21">
        <v>0</v>
      </c>
      <c r="AU200" s="21">
        <f>(Tabla13[[#This Row],[Cap Vh]]*$AX$2)*0.56</f>
        <v>0</v>
      </c>
      <c r="AV200" s="36" t="e">
        <f>(Tabla13[[#This Row],[Cap Util (kg)]]/(Tabla13[[#This Row],[Cap Inst (Kg)]]))</f>
        <v>#DIV/0!</v>
      </c>
    </row>
    <row r="201" spans="1:48" x14ac:dyDescent="0.25">
      <c r="A201" s="13" t="s">
        <v>1068</v>
      </c>
      <c r="B201" s="14" t="s">
        <v>354</v>
      </c>
      <c r="C201" s="14" t="s">
        <v>44</v>
      </c>
      <c r="D201" s="14" t="s">
        <v>44</v>
      </c>
      <c r="E201" s="14" t="s">
        <v>45</v>
      </c>
      <c r="F201" s="14" t="s">
        <v>46</v>
      </c>
      <c r="G201" s="15" t="s">
        <v>47</v>
      </c>
      <c r="H201" s="16" t="s">
        <v>48</v>
      </c>
      <c r="I201" s="14" t="s">
        <v>49</v>
      </c>
      <c r="J201" s="14">
        <v>830064700</v>
      </c>
      <c r="K201" s="14" t="s">
        <v>50</v>
      </c>
      <c r="L201" s="14" t="s">
        <v>103</v>
      </c>
      <c r="M201" s="14" t="s">
        <v>104</v>
      </c>
      <c r="N201" s="14">
        <v>2009</v>
      </c>
      <c r="O201" s="14">
        <v>11</v>
      </c>
      <c r="P201" s="14" t="s">
        <v>53</v>
      </c>
      <c r="Q201" s="14">
        <v>0</v>
      </c>
      <c r="R201" s="14">
        <v>0</v>
      </c>
      <c r="S201" s="17" t="s">
        <v>54</v>
      </c>
      <c r="T201" s="18">
        <v>0</v>
      </c>
      <c r="U201" s="14">
        <v>0</v>
      </c>
      <c r="V201" s="19">
        <v>1</v>
      </c>
      <c r="W201" s="14">
        <v>0</v>
      </c>
      <c r="X201" s="14">
        <v>0</v>
      </c>
      <c r="Y201" s="14">
        <v>0</v>
      </c>
      <c r="Z201" s="14">
        <v>0</v>
      </c>
      <c r="AA201" s="14">
        <f>Tabla13[[#This Row],[CheckList App]]+Tabla13[[#This Row],[CheckList Fisc]]</f>
        <v>0</v>
      </c>
      <c r="AB201" s="19" t="str">
        <f t="shared" si="3"/>
        <v/>
      </c>
      <c r="AC201" s="14">
        <v>0</v>
      </c>
      <c r="AD201" s="14" t="s">
        <v>70</v>
      </c>
      <c r="AE201" s="15" t="str">
        <f>IFERROR((VLOOKUP(Tabla13[[#This Row],[ID]],[1]!Mtto_Pesv[[#Headers],[#Data],[Placa]:[Rutina]],2,FALSE)),"-")</f>
        <v>-</v>
      </c>
      <c r="AF201" s="14">
        <v>1</v>
      </c>
      <c r="AG201" s="20">
        <f>IFERROR((VLOOKUP(Tabla13[[#This Row],[ID]],[1]!Mtto_Pesv[[#Headers],[#Data],[Placa]:[Rutina]],3,FALSE)),0)</f>
        <v>0</v>
      </c>
      <c r="AH201" s="20">
        <f>IFERROR((VLOOKUP(Tabla13[[#This Row],[ID]],[1]!Mtto_Pesv[[#Headers],[#Data],[Placa]:[Rutina]],7,FALSE)),0)</f>
        <v>0</v>
      </c>
      <c r="AI201" s="20">
        <f>IFERROR((VLOOKUP(Tabla13[[#This Row],[ID]],[1]!Mtto_Pesv[[#Headers],[#Data],[Placa]:[Rutina]],8,FALSE)),0)</f>
        <v>0</v>
      </c>
      <c r="AJ201" s="20" t="str">
        <f>IFERROR((VLOOKUP(Tabla13[[#This Row],[ID]],[1]!Mtto_Pesv[[#Headers],[#Data],[Placa]:[Rutina]],9,FALSE)),"-")</f>
        <v>-</v>
      </c>
      <c r="AK201" s="20">
        <f>IFERROR((VLOOKUP(Tabla13[[#This Row],[ID]],[1]!Mtto_Pesv[[#Headers],[#Data],[Placa]:[Rutina]],10,FALSE)),0)</f>
        <v>0</v>
      </c>
      <c r="AL201" s="20">
        <f>IF(Tabla13[[#This Row],[Km Anterior]]=0,0,Tabla13[[#This Row],[Km Ejecut]]-Tabla13[[#This Row],[Km Anterior]])</f>
        <v>0</v>
      </c>
      <c r="AM201" s="20">
        <f>IFERROR((VLOOKUP(Tabla13[[#This Row],[ID]],[1]!Mtto_Pesv[[#Headers],[#Data],[Placa]:[Rutina]],4,FALSE)),0)</f>
        <v>0</v>
      </c>
      <c r="AN201" s="21">
        <f>IFERROR((VLOOKUP(Tabla13[[#This Row],[ID]],[1]!Mtto_Pesv[[#Headers],[#Data],[Placa]:[Rutina]],5,FALSE)),0)</f>
        <v>0</v>
      </c>
      <c r="AO201" s="21">
        <f>+Tabla13[[#This Row],[Km Fin]]-Tabla13[[#This Row],[Km Ini]]</f>
        <v>0</v>
      </c>
      <c r="AP201" s="20">
        <f>IFERROR((VLOOKUP(Tabla13[[#This Row],[ID]],[1]!Estilo_Conduccion[[#All],[Placa]:[Puntuacion]],15,FALSE)),0)</f>
        <v>0</v>
      </c>
      <c r="AQ201" s="15" t="s">
        <v>1084</v>
      </c>
      <c r="AR201" s="15" t="s">
        <v>1085</v>
      </c>
      <c r="AS201" s="20">
        <v>1600</v>
      </c>
      <c r="AT201" s="21">
        <v>4974.8571428571431</v>
      </c>
      <c r="AU201" s="21">
        <f>(Tabla13[[#This Row],[Cap Vh]]*$AX$2)*0.56</f>
        <v>0</v>
      </c>
      <c r="AV201" s="36" t="e">
        <f>(Tabla13[[#This Row],[Cap Util (kg)]]/(Tabla13[[#This Row],[Cap Inst (Kg)]]))</f>
        <v>#DIV/0!</v>
      </c>
    </row>
    <row r="202" spans="1:48" x14ac:dyDescent="0.25">
      <c r="A202" s="13" t="s">
        <v>1068</v>
      </c>
      <c r="B202" s="14" t="s">
        <v>355</v>
      </c>
      <c r="C202" s="14" t="s">
        <v>44</v>
      </c>
      <c r="D202" s="14" t="s">
        <v>44</v>
      </c>
      <c r="E202" s="14" t="s">
        <v>45</v>
      </c>
      <c r="F202" s="14" t="s">
        <v>64</v>
      </c>
      <c r="G202" s="15" t="s">
        <v>47</v>
      </c>
      <c r="H202" s="16" t="s">
        <v>48</v>
      </c>
      <c r="I202" s="14" t="s">
        <v>49</v>
      </c>
      <c r="J202" s="14">
        <v>830064700</v>
      </c>
      <c r="K202" s="14" t="s">
        <v>50</v>
      </c>
      <c r="L202" s="14" t="s">
        <v>103</v>
      </c>
      <c r="M202" s="14" t="s">
        <v>104</v>
      </c>
      <c r="N202" s="14">
        <v>2009</v>
      </c>
      <c r="O202" s="14">
        <v>11</v>
      </c>
      <c r="P202" s="14" t="s">
        <v>53</v>
      </c>
      <c r="Q202" s="14">
        <v>0</v>
      </c>
      <c r="R202" s="14">
        <v>0</v>
      </c>
      <c r="S202" s="17" t="s">
        <v>54</v>
      </c>
      <c r="T202" s="18">
        <v>0</v>
      </c>
      <c r="U202" s="14">
        <v>30</v>
      </c>
      <c r="V202" s="19">
        <v>1</v>
      </c>
      <c r="W202" s="14">
        <v>0</v>
      </c>
      <c r="X202" s="14">
        <v>26</v>
      </c>
      <c r="Y202" s="14">
        <v>3</v>
      </c>
      <c r="Z202" s="14">
        <v>0</v>
      </c>
      <c r="AA202" s="14">
        <f>Tabla13[[#This Row],[CheckList App]]+Tabla13[[#This Row],[CheckList Fisc]]</f>
        <v>3</v>
      </c>
      <c r="AB202" s="19">
        <f t="shared" si="3"/>
        <v>0.11538461538461539</v>
      </c>
      <c r="AC202" s="14">
        <v>0</v>
      </c>
      <c r="AD202" s="14" t="s">
        <v>70</v>
      </c>
      <c r="AE202" s="15" t="str">
        <f>IFERROR((VLOOKUP(Tabla13[[#This Row],[ID]],[1]!Mtto_Pesv[[#Headers],[#Data],[Placa]:[Rutina]],2,FALSE)),"-")</f>
        <v>-</v>
      </c>
      <c r="AF202" s="14">
        <v>1</v>
      </c>
      <c r="AG202" s="20">
        <f>IFERROR((VLOOKUP(Tabla13[[#This Row],[ID]],[1]!Mtto_Pesv[[#Headers],[#Data],[Placa]:[Rutina]],3,FALSE)),0)</f>
        <v>0</v>
      </c>
      <c r="AH202" s="20">
        <f>IFERROR((VLOOKUP(Tabla13[[#This Row],[ID]],[1]!Mtto_Pesv[[#Headers],[#Data],[Placa]:[Rutina]],7,FALSE)),0)</f>
        <v>0</v>
      </c>
      <c r="AI202" s="20">
        <f>IFERROR((VLOOKUP(Tabla13[[#This Row],[ID]],[1]!Mtto_Pesv[[#Headers],[#Data],[Placa]:[Rutina]],8,FALSE)),0)</f>
        <v>0</v>
      </c>
      <c r="AJ202" s="20" t="str">
        <f>IFERROR((VLOOKUP(Tabla13[[#This Row],[ID]],[1]!Mtto_Pesv[[#Headers],[#Data],[Placa]:[Rutina]],9,FALSE)),"-")</f>
        <v>-</v>
      </c>
      <c r="AK202" s="20">
        <f>IFERROR((VLOOKUP(Tabla13[[#This Row],[ID]],[1]!Mtto_Pesv[[#Headers],[#Data],[Placa]:[Rutina]],10,FALSE)),0)</f>
        <v>0</v>
      </c>
      <c r="AL202" s="20">
        <f>IF(Tabla13[[#This Row],[Km Anterior]]=0,0,Tabla13[[#This Row],[Km Ejecut]]-Tabla13[[#This Row],[Km Anterior]])</f>
        <v>0</v>
      </c>
      <c r="AM202" s="20">
        <f>IFERROR((VLOOKUP(Tabla13[[#This Row],[ID]],[1]!Mtto_Pesv[[#Headers],[#Data],[Placa]:[Rutina]],4,FALSE)),0)</f>
        <v>0</v>
      </c>
      <c r="AN202" s="21">
        <f>IFERROR((VLOOKUP(Tabla13[[#This Row],[ID]],[1]!Mtto_Pesv[[#Headers],[#Data],[Placa]:[Rutina]],5,FALSE)),0)</f>
        <v>0</v>
      </c>
      <c r="AO202" s="21">
        <f>+Tabla13[[#This Row],[Km Fin]]-Tabla13[[#This Row],[Km Ini]]</f>
        <v>0</v>
      </c>
      <c r="AP202" s="20">
        <f>IFERROR((VLOOKUP(Tabla13[[#This Row],[ID]],[1]!Estilo_Conduccion[[#All],[Placa]:[Puntuacion]],15,FALSE)),0)</f>
        <v>0</v>
      </c>
      <c r="AQ202" s="15" t="s">
        <v>1084</v>
      </c>
      <c r="AR202" s="15" t="s">
        <v>1085</v>
      </c>
      <c r="AS202" s="20">
        <v>1600</v>
      </c>
      <c r="AT202" s="21">
        <v>4974.8571428571431</v>
      </c>
      <c r="AU202" s="21">
        <f>(Tabla13[[#This Row],[Cap Vh]]*$AX$2)*0.56</f>
        <v>0</v>
      </c>
      <c r="AV202" s="36" t="e">
        <f>(Tabla13[[#This Row],[Cap Util (kg)]]/(Tabla13[[#This Row],[Cap Inst (Kg)]]))</f>
        <v>#DIV/0!</v>
      </c>
    </row>
    <row r="203" spans="1:48" x14ac:dyDescent="0.25">
      <c r="A203" s="13" t="s">
        <v>1068</v>
      </c>
      <c r="B203" s="14" t="s">
        <v>356</v>
      </c>
      <c r="C203" s="14" t="s">
        <v>44</v>
      </c>
      <c r="D203" s="14" t="s">
        <v>44</v>
      </c>
      <c r="E203" s="14" t="s">
        <v>60</v>
      </c>
      <c r="F203" s="14" t="s">
        <v>46</v>
      </c>
      <c r="G203" s="15" t="s">
        <v>47</v>
      </c>
      <c r="H203" s="16" t="s">
        <v>48</v>
      </c>
      <c r="I203" s="14" t="s">
        <v>49</v>
      </c>
      <c r="J203" s="14">
        <v>830064700</v>
      </c>
      <c r="K203" s="14" t="s">
        <v>50</v>
      </c>
      <c r="L203" s="14" t="s">
        <v>103</v>
      </c>
      <c r="M203" s="14" t="s">
        <v>104</v>
      </c>
      <c r="N203" s="14">
        <v>2009</v>
      </c>
      <c r="O203" s="14">
        <v>11</v>
      </c>
      <c r="P203" s="14" t="s">
        <v>53</v>
      </c>
      <c r="Q203" s="14">
        <v>0</v>
      </c>
      <c r="R203" s="14">
        <v>0</v>
      </c>
      <c r="S203" s="17" t="s">
        <v>54</v>
      </c>
      <c r="T203" s="18">
        <v>0</v>
      </c>
      <c r="U203" s="14">
        <v>30</v>
      </c>
      <c r="V203" s="19">
        <v>1</v>
      </c>
      <c r="W203" s="14">
        <v>0</v>
      </c>
      <c r="X203" s="14">
        <v>0</v>
      </c>
      <c r="Y203" s="14">
        <v>0</v>
      </c>
      <c r="Z203" s="14">
        <v>0</v>
      </c>
      <c r="AA203" s="14">
        <f>Tabla13[[#This Row],[CheckList App]]+Tabla13[[#This Row],[CheckList Fisc]]</f>
        <v>0</v>
      </c>
      <c r="AB203" s="19">
        <f t="shared" si="3"/>
        <v>0</v>
      </c>
      <c r="AC203" s="14">
        <v>0</v>
      </c>
      <c r="AD203" s="14" t="s">
        <v>55</v>
      </c>
      <c r="AE203" s="15" t="str">
        <f>IFERROR((VLOOKUP(Tabla13[[#This Row],[ID]],[1]!Mtto_Pesv[[#Headers],[#Data],[Placa]:[Rutina]],2,FALSE)),"-")</f>
        <v>-</v>
      </c>
      <c r="AF203" s="14">
        <v>0</v>
      </c>
      <c r="AG203" s="20">
        <f>IFERROR((VLOOKUP(Tabla13[[#This Row],[ID]],[1]!Mtto_Pesv[[#Headers],[#Data],[Placa]:[Rutina]],3,FALSE)),0)</f>
        <v>0</v>
      </c>
      <c r="AH203" s="20">
        <f>IFERROR((VLOOKUP(Tabla13[[#This Row],[ID]],[1]!Mtto_Pesv[[#Headers],[#Data],[Placa]:[Rutina]],7,FALSE)),0)</f>
        <v>0</v>
      </c>
      <c r="AI203" s="20">
        <f>IFERROR((VLOOKUP(Tabla13[[#This Row],[ID]],[1]!Mtto_Pesv[[#Headers],[#Data],[Placa]:[Rutina]],8,FALSE)),0)</f>
        <v>0</v>
      </c>
      <c r="AJ203" s="20" t="str">
        <f>IFERROR((VLOOKUP(Tabla13[[#This Row],[ID]],[1]!Mtto_Pesv[[#Headers],[#Data],[Placa]:[Rutina]],9,FALSE)),"-")</f>
        <v>-</v>
      </c>
      <c r="AK203" s="20">
        <f>IFERROR((VLOOKUP(Tabla13[[#This Row],[ID]],[1]!Mtto_Pesv[[#Headers],[#Data],[Placa]:[Rutina]],10,FALSE)),0)</f>
        <v>0</v>
      </c>
      <c r="AL203" s="20">
        <f>IF(Tabla13[[#This Row],[Km Anterior]]=0,0,Tabla13[[#This Row],[Km Ejecut]]-Tabla13[[#This Row],[Km Anterior]])</f>
        <v>0</v>
      </c>
      <c r="AM203" s="20">
        <f>IFERROR((VLOOKUP(Tabla13[[#This Row],[ID]],[1]!Mtto_Pesv[[#Headers],[#Data],[Placa]:[Rutina]],4,FALSE)),0)</f>
        <v>0</v>
      </c>
      <c r="AN203" s="21">
        <f>IFERROR((VLOOKUP(Tabla13[[#This Row],[ID]],[1]!Mtto_Pesv[[#Headers],[#Data],[Placa]:[Rutina]],5,FALSE)),0)</f>
        <v>0</v>
      </c>
      <c r="AO203" s="21">
        <f>+Tabla13[[#This Row],[Km Fin]]-Tabla13[[#This Row],[Km Ini]]</f>
        <v>0</v>
      </c>
      <c r="AP203" s="20">
        <f>IFERROR((VLOOKUP(Tabla13[[#This Row],[ID]],[1]!Estilo_Conduccion[[#All],[Placa]:[Puntuacion]],15,FALSE)),0)</f>
        <v>0</v>
      </c>
      <c r="AQ203" s="15" t="s">
        <v>1082</v>
      </c>
      <c r="AR203" s="15" t="s">
        <v>1083</v>
      </c>
      <c r="AS203" s="20">
        <v>1600</v>
      </c>
      <c r="AT203" s="21">
        <v>2634.1875</v>
      </c>
      <c r="AU203" s="21">
        <f>(Tabla13[[#This Row],[Cap Vh]]*$AX$2)*0.56</f>
        <v>0</v>
      </c>
      <c r="AV203" s="36" t="e">
        <f>(Tabla13[[#This Row],[Cap Util (kg)]]/(Tabla13[[#This Row],[Cap Inst (Kg)]]))</f>
        <v>#DIV/0!</v>
      </c>
    </row>
    <row r="204" spans="1:48" x14ac:dyDescent="0.25">
      <c r="A204" s="13" t="s">
        <v>1068</v>
      </c>
      <c r="B204" s="14" t="s">
        <v>357</v>
      </c>
      <c r="C204" s="14" t="s">
        <v>44</v>
      </c>
      <c r="D204" s="14" t="s">
        <v>44</v>
      </c>
      <c r="E204" s="14" t="s">
        <v>45</v>
      </c>
      <c r="F204" s="14" t="s">
        <v>64</v>
      </c>
      <c r="G204" s="15" t="s">
        <v>119</v>
      </c>
      <c r="H204" s="16" t="s">
        <v>120</v>
      </c>
      <c r="I204" s="14" t="s">
        <v>177</v>
      </c>
      <c r="J204" s="14">
        <v>830064700</v>
      </c>
      <c r="K204" s="14" t="s">
        <v>50</v>
      </c>
      <c r="L204" s="14" t="s">
        <v>103</v>
      </c>
      <c r="M204" s="14" t="s">
        <v>358</v>
      </c>
      <c r="N204" s="14">
        <v>2008</v>
      </c>
      <c r="O204" s="14">
        <v>12</v>
      </c>
      <c r="P204" s="14" t="s">
        <v>173</v>
      </c>
      <c r="Q204" s="14">
        <v>1</v>
      </c>
      <c r="R204" s="14">
        <v>1</v>
      </c>
      <c r="S204" s="17">
        <v>44834.610682870371</v>
      </c>
      <c r="T204" s="18">
        <v>562.84699999999998</v>
      </c>
      <c r="U204" s="14">
        <v>0</v>
      </c>
      <c r="V204" s="19">
        <v>0.8</v>
      </c>
      <c r="W204" s="14">
        <v>0</v>
      </c>
      <c r="X204" s="14">
        <v>26</v>
      </c>
      <c r="Y204" s="14">
        <v>16</v>
      </c>
      <c r="Z204" s="14">
        <v>0</v>
      </c>
      <c r="AA204" s="14">
        <f>Tabla13[[#This Row],[CheckList App]]+Tabla13[[#This Row],[CheckList Fisc]]</f>
        <v>16</v>
      </c>
      <c r="AB204" s="19" t="str">
        <f t="shared" si="3"/>
        <v/>
      </c>
      <c r="AC204" s="14">
        <v>0</v>
      </c>
      <c r="AD204" s="14" t="s">
        <v>70</v>
      </c>
      <c r="AE204" s="22" t="str">
        <f>IFERROR((VLOOKUP(Tabla13[[#This Row],[ID]],[1]!Mtto_Pesv[[#Headers],[#Data],[Placa]:[Rutina]],2,FALSE)),"-")</f>
        <v>-</v>
      </c>
      <c r="AF204" s="14">
        <v>1</v>
      </c>
      <c r="AG204" s="20">
        <f>IFERROR((VLOOKUP(Tabla13[[#This Row],[ID]],[1]!Mtto_Pesv[[#Headers],[#Data],[Placa]:[Rutina]],3,FALSE)),0)</f>
        <v>0</v>
      </c>
      <c r="AH204" s="20">
        <f>IFERROR((VLOOKUP(Tabla13[[#This Row],[ID]],[1]!Mtto_Pesv[[#Headers],[#Data],[Placa]:[Rutina]],7,FALSE)),0)</f>
        <v>0</v>
      </c>
      <c r="AI204" s="20">
        <f>IFERROR((VLOOKUP(Tabla13[[#This Row],[ID]],[1]!Mtto_Pesv[[#Headers],[#Data],[Placa]:[Rutina]],8,FALSE)),0)</f>
        <v>0</v>
      </c>
      <c r="AJ204" s="20" t="str">
        <f>IFERROR((VLOOKUP(Tabla13[[#This Row],[ID]],[1]!Mtto_Pesv[[#Headers],[#Data],[Placa]:[Rutina]],9,FALSE)),"-")</f>
        <v>-</v>
      </c>
      <c r="AK204" s="20">
        <f>IFERROR((VLOOKUP(Tabla13[[#This Row],[ID]],[1]!Mtto_Pesv[[#Headers],[#Data],[Placa]:[Rutina]],10,FALSE)),0)</f>
        <v>0</v>
      </c>
      <c r="AL204" s="20">
        <f>IF(Tabla13[[#This Row],[Km Anterior]]=0,0,Tabla13[[#This Row],[Km Ejecut]]-Tabla13[[#This Row],[Km Anterior]])</f>
        <v>0</v>
      </c>
      <c r="AM204" s="20">
        <f>IFERROR((VLOOKUP(Tabla13[[#This Row],[ID]],[1]!Mtto_Pesv[[#Headers],[#Data],[Placa]:[Rutina]],4,FALSE)),0)</f>
        <v>0</v>
      </c>
      <c r="AN204" s="21">
        <f>IFERROR((VLOOKUP(Tabla13[[#This Row],[ID]],[1]!Mtto_Pesv[[#Headers],[#Data],[Placa]:[Rutina]],5,FALSE)),0)</f>
        <v>0</v>
      </c>
      <c r="AO204" s="21">
        <f>+Tabla13[[#This Row],[Km Fin]]-Tabla13[[#This Row],[Km Ini]]</f>
        <v>0</v>
      </c>
      <c r="AP204" s="20">
        <f>IFERROR((VLOOKUP(Tabla13[[#This Row],[ID]],[1]!Estilo_Conduccion[[#All],[Placa]:[Puntuacion]],15,FALSE)),0)</f>
        <v>24388.7</v>
      </c>
      <c r="AQ204" s="15" t="s">
        <v>54</v>
      </c>
      <c r="AR204" s="15" t="s">
        <v>54</v>
      </c>
      <c r="AS204" s="20">
        <v>10000</v>
      </c>
      <c r="AT204" s="21">
        <v>0</v>
      </c>
      <c r="AU204" s="21">
        <f>(Tabla13[[#This Row],[Cap Vh]]*$AX$2)*0.56</f>
        <v>0</v>
      </c>
      <c r="AV204" s="36" t="e">
        <f>(Tabla13[[#This Row],[Cap Util (kg)]]/(Tabla13[[#This Row],[Cap Inst (Kg)]]))</f>
        <v>#DIV/0!</v>
      </c>
    </row>
    <row r="205" spans="1:48" x14ac:dyDescent="0.25">
      <c r="A205" s="13" t="s">
        <v>1068</v>
      </c>
      <c r="B205" s="14" t="s">
        <v>359</v>
      </c>
      <c r="C205" s="14" t="s">
        <v>44</v>
      </c>
      <c r="D205" s="14" t="s">
        <v>44</v>
      </c>
      <c r="E205" s="14" t="s">
        <v>45</v>
      </c>
      <c r="F205" s="14" t="s">
        <v>64</v>
      </c>
      <c r="G205" s="14" t="s">
        <v>65</v>
      </c>
      <c r="H205" s="16" t="s">
        <v>66</v>
      </c>
      <c r="I205" s="14" t="s">
        <v>49</v>
      </c>
      <c r="J205" s="14">
        <v>890300279</v>
      </c>
      <c r="K205" s="14" t="s">
        <v>282</v>
      </c>
      <c r="L205" s="14" t="s">
        <v>360</v>
      </c>
      <c r="M205" s="14" t="s">
        <v>361</v>
      </c>
      <c r="N205" s="14">
        <v>2012</v>
      </c>
      <c r="O205" s="14">
        <v>8</v>
      </c>
      <c r="P205" s="14" t="s">
        <v>53</v>
      </c>
      <c r="Q205" s="14">
        <v>0</v>
      </c>
      <c r="R205" s="14">
        <v>0</v>
      </c>
      <c r="S205" s="17" t="s">
        <v>54</v>
      </c>
      <c r="T205" s="18">
        <v>0</v>
      </c>
      <c r="U205" s="14">
        <v>0</v>
      </c>
      <c r="V205" s="19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f>Tabla13[[#This Row],[CheckList App]]+Tabla13[[#This Row],[CheckList Fisc]]</f>
        <v>0</v>
      </c>
      <c r="AB205" s="19" t="str">
        <f t="shared" si="3"/>
        <v/>
      </c>
      <c r="AC205" s="14">
        <v>0</v>
      </c>
      <c r="AD205" s="14" t="s">
        <v>55</v>
      </c>
      <c r="AE205" s="15" t="str">
        <f>IFERROR((VLOOKUP(Tabla13[[#This Row],[ID]],[1]!Mtto_Pesv[[#Headers],[#Data],[Placa]:[Rutina]],2,FALSE)),"-")</f>
        <v>-</v>
      </c>
      <c r="AF205" s="14">
        <v>0</v>
      </c>
      <c r="AG205" s="20">
        <f>IFERROR((VLOOKUP(Tabla13[[#This Row],[ID]],[1]!Mtto_Pesv[[#Headers],[#Data],[Placa]:[Rutina]],3,FALSE)),0)</f>
        <v>0</v>
      </c>
      <c r="AH205" s="20">
        <f>IFERROR((VLOOKUP(Tabla13[[#This Row],[ID]],[1]!Mtto_Pesv[[#Headers],[#Data],[Placa]:[Rutina]],7,FALSE)),0)</f>
        <v>0</v>
      </c>
      <c r="AI205" s="20">
        <f>IFERROR((VLOOKUP(Tabla13[[#This Row],[ID]],[1]!Mtto_Pesv[[#Headers],[#Data],[Placa]:[Rutina]],8,FALSE)),0)</f>
        <v>0</v>
      </c>
      <c r="AJ205" s="20" t="str">
        <f>IFERROR((VLOOKUP(Tabla13[[#This Row],[ID]],[1]!Mtto_Pesv[[#Headers],[#Data],[Placa]:[Rutina]],9,FALSE)),"-")</f>
        <v>-</v>
      </c>
      <c r="AK205" s="20">
        <f>IFERROR((VLOOKUP(Tabla13[[#This Row],[ID]],[1]!Mtto_Pesv[[#Headers],[#Data],[Placa]:[Rutina]],10,FALSE)),0)</f>
        <v>0</v>
      </c>
      <c r="AL205" s="20">
        <f>IF(Tabla13[[#This Row],[Km Anterior]]=0,0,Tabla13[[#This Row],[Km Ejecut]]-Tabla13[[#This Row],[Km Anterior]])</f>
        <v>0</v>
      </c>
      <c r="AM205" s="20">
        <f>IFERROR((VLOOKUP(Tabla13[[#This Row],[ID]],[1]!Mtto_Pesv[[#Headers],[#Data],[Placa]:[Rutina]],4,FALSE)),0)</f>
        <v>0</v>
      </c>
      <c r="AN205" s="21">
        <f>IFERROR((VLOOKUP(Tabla13[[#This Row],[ID]],[1]!Mtto_Pesv[[#Headers],[#Data],[Placa]:[Rutina]],5,FALSE)),0)</f>
        <v>0</v>
      </c>
      <c r="AO205" s="21">
        <f>+Tabla13[[#This Row],[Km Fin]]-Tabla13[[#This Row],[Km Ini]]</f>
        <v>0</v>
      </c>
      <c r="AP205" s="20">
        <f>IFERROR((VLOOKUP(Tabla13[[#This Row],[ID]],[1]!Estilo_Conduccion[[#All],[Placa]:[Puntuacion]],15,FALSE)),0)</f>
        <v>0</v>
      </c>
      <c r="AQ205" s="15" t="s">
        <v>54</v>
      </c>
      <c r="AR205" s="15" t="s">
        <v>54</v>
      </c>
      <c r="AS205" s="20">
        <v>700</v>
      </c>
      <c r="AT205" s="21">
        <v>0</v>
      </c>
      <c r="AU205" s="21">
        <f>(Tabla13[[#This Row],[Cap Vh]]*$AX$2)*0.56</f>
        <v>0</v>
      </c>
      <c r="AV205" s="36" t="e">
        <f>(Tabla13[[#This Row],[Cap Util (kg)]]/(Tabla13[[#This Row],[Cap Inst (Kg)]]))</f>
        <v>#DIV/0!</v>
      </c>
    </row>
    <row r="206" spans="1:48" x14ac:dyDescent="0.25">
      <c r="A206" s="13" t="s">
        <v>1068</v>
      </c>
      <c r="B206" s="14" t="s">
        <v>362</v>
      </c>
      <c r="C206" s="14" t="s">
        <v>44</v>
      </c>
      <c r="D206" s="14" t="s">
        <v>44</v>
      </c>
      <c r="E206" s="14" t="s">
        <v>45</v>
      </c>
      <c r="F206" s="14" t="s">
        <v>64</v>
      </c>
      <c r="G206" s="15" t="s">
        <v>119</v>
      </c>
      <c r="H206" s="16" t="s">
        <v>120</v>
      </c>
      <c r="I206" s="14" t="s">
        <v>203</v>
      </c>
      <c r="J206" s="14">
        <v>890300279</v>
      </c>
      <c r="K206" s="14" t="s">
        <v>282</v>
      </c>
      <c r="L206" s="14" t="s">
        <v>360</v>
      </c>
      <c r="M206" s="14" t="s">
        <v>361</v>
      </c>
      <c r="N206" s="14">
        <v>2012</v>
      </c>
      <c r="O206" s="14">
        <v>8</v>
      </c>
      <c r="P206" s="14" t="s">
        <v>53</v>
      </c>
      <c r="Q206" s="14">
        <v>0</v>
      </c>
      <c r="R206" s="14">
        <v>0</v>
      </c>
      <c r="S206" s="17" t="s">
        <v>54</v>
      </c>
      <c r="T206" s="18">
        <v>0</v>
      </c>
      <c r="U206" s="14">
        <v>0</v>
      </c>
      <c r="V206" s="19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f>Tabla13[[#This Row],[CheckList App]]+Tabla13[[#This Row],[CheckList Fisc]]</f>
        <v>0</v>
      </c>
      <c r="AB206" s="19" t="str">
        <f t="shared" si="3"/>
        <v/>
      </c>
      <c r="AC206" s="14">
        <v>0</v>
      </c>
      <c r="AD206" s="14" t="s">
        <v>70</v>
      </c>
      <c r="AE206" s="15" t="str">
        <f>IFERROR((VLOOKUP(Tabla13[[#This Row],[ID]],[1]!Mtto_Pesv[[#Headers],[#Data],[Placa]:[Rutina]],2,FALSE)),"-")</f>
        <v>-</v>
      </c>
      <c r="AF206" s="14">
        <v>1</v>
      </c>
      <c r="AG206" s="20">
        <f>IFERROR((VLOOKUP(Tabla13[[#This Row],[ID]],[1]!Mtto_Pesv[[#Headers],[#Data],[Placa]:[Rutina]],3,FALSE)),0)</f>
        <v>0</v>
      </c>
      <c r="AH206" s="20">
        <f>IFERROR((VLOOKUP(Tabla13[[#This Row],[ID]],[1]!Mtto_Pesv[[#Headers],[#Data],[Placa]:[Rutina]],7,FALSE)),0)</f>
        <v>0</v>
      </c>
      <c r="AI206" s="20">
        <f>IFERROR((VLOOKUP(Tabla13[[#This Row],[ID]],[1]!Mtto_Pesv[[#Headers],[#Data],[Placa]:[Rutina]],8,FALSE)),0)</f>
        <v>0</v>
      </c>
      <c r="AJ206" s="20" t="str">
        <f>IFERROR((VLOOKUP(Tabla13[[#This Row],[ID]],[1]!Mtto_Pesv[[#Headers],[#Data],[Placa]:[Rutina]],9,FALSE)),"-")</f>
        <v>-</v>
      </c>
      <c r="AK206" s="20">
        <f>IFERROR((VLOOKUP(Tabla13[[#This Row],[ID]],[1]!Mtto_Pesv[[#Headers],[#Data],[Placa]:[Rutina]],10,FALSE)),0)</f>
        <v>0</v>
      </c>
      <c r="AL206" s="20">
        <f>IF(Tabla13[[#This Row],[Km Anterior]]=0,0,Tabla13[[#This Row],[Km Ejecut]]-Tabla13[[#This Row],[Km Anterior]])</f>
        <v>0</v>
      </c>
      <c r="AM206" s="20">
        <f>IFERROR((VLOOKUP(Tabla13[[#This Row],[ID]],[1]!Mtto_Pesv[[#Headers],[#Data],[Placa]:[Rutina]],4,FALSE)),0)</f>
        <v>0</v>
      </c>
      <c r="AN206" s="21">
        <f>IFERROR((VLOOKUP(Tabla13[[#This Row],[ID]],[1]!Mtto_Pesv[[#Headers],[#Data],[Placa]:[Rutina]],5,FALSE)),0)</f>
        <v>0</v>
      </c>
      <c r="AO206" s="21">
        <f>+Tabla13[[#This Row],[Km Fin]]-Tabla13[[#This Row],[Km Ini]]</f>
        <v>0</v>
      </c>
      <c r="AP206" s="20">
        <f>IFERROR((VLOOKUP(Tabla13[[#This Row],[ID]],[1]!Estilo_Conduccion[[#All],[Placa]:[Puntuacion]],15,FALSE)),0)</f>
        <v>0</v>
      </c>
      <c r="AQ206" s="15" t="s">
        <v>54</v>
      </c>
      <c r="AR206" s="15" t="s">
        <v>1176</v>
      </c>
      <c r="AS206" s="20">
        <v>700</v>
      </c>
      <c r="AT206" s="21">
        <v>0</v>
      </c>
      <c r="AU206" s="21">
        <f>(Tabla13[[#This Row],[Cap Vh]]*$AX$2)*0.56</f>
        <v>0</v>
      </c>
      <c r="AV206" s="36" t="e">
        <f>(Tabla13[[#This Row],[Cap Util (kg)]]/(Tabla13[[#This Row],[Cap Inst (Kg)]]))</f>
        <v>#DIV/0!</v>
      </c>
    </row>
    <row r="207" spans="1:48" x14ac:dyDescent="0.25">
      <c r="A207" s="13" t="s">
        <v>1068</v>
      </c>
      <c r="B207" s="14" t="s">
        <v>363</v>
      </c>
      <c r="C207" s="14" t="s">
        <v>44</v>
      </c>
      <c r="D207" s="14" t="s">
        <v>44</v>
      </c>
      <c r="E207" s="14" t="s">
        <v>45</v>
      </c>
      <c r="F207" s="14" t="s">
        <v>64</v>
      </c>
      <c r="G207" s="15" t="s">
        <v>47</v>
      </c>
      <c r="H207" s="16" t="s">
        <v>48</v>
      </c>
      <c r="I207" s="14" t="s">
        <v>49</v>
      </c>
      <c r="J207" s="14">
        <v>900335279</v>
      </c>
      <c r="K207" s="14" t="s">
        <v>77</v>
      </c>
      <c r="L207" s="14" t="s">
        <v>103</v>
      </c>
      <c r="M207" s="14" t="s">
        <v>121</v>
      </c>
      <c r="N207" s="14">
        <v>2011</v>
      </c>
      <c r="O207" s="14">
        <v>9</v>
      </c>
      <c r="P207" s="14" t="s">
        <v>53</v>
      </c>
      <c r="Q207" s="14">
        <v>0</v>
      </c>
      <c r="R207" s="14">
        <v>0</v>
      </c>
      <c r="S207" s="17" t="s">
        <v>54</v>
      </c>
      <c r="T207" s="18">
        <v>0</v>
      </c>
      <c r="U207" s="14">
        <v>30</v>
      </c>
      <c r="V207" s="19">
        <v>1</v>
      </c>
      <c r="W207" s="14">
        <v>0</v>
      </c>
      <c r="X207" s="14">
        <v>0</v>
      </c>
      <c r="Y207" s="14">
        <v>0</v>
      </c>
      <c r="Z207" s="14">
        <v>0</v>
      </c>
      <c r="AA207" s="14">
        <f>Tabla13[[#This Row],[CheckList App]]+Tabla13[[#This Row],[CheckList Fisc]]</f>
        <v>0</v>
      </c>
      <c r="AB207" s="19">
        <f t="shared" si="3"/>
        <v>0</v>
      </c>
      <c r="AC207" s="14">
        <v>0</v>
      </c>
      <c r="AD207" s="14" t="s">
        <v>70</v>
      </c>
      <c r="AE207" s="15" t="str">
        <f>IFERROR((VLOOKUP(Tabla13[[#This Row],[ID]],[1]!Mtto_Pesv[[#Headers],[#Data],[Placa]:[Rutina]],2,FALSE)),"-")</f>
        <v>-</v>
      </c>
      <c r="AF207" s="14">
        <v>1</v>
      </c>
      <c r="AG207" s="20">
        <f>IFERROR((VLOOKUP(Tabla13[[#This Row],[ID]],[1]!Mtto_Pesv[[#Headers],[#Data],[Placa]:[Rutina]],3,FALSE)),0)</f>
        <v>0</v>
      </c>
      <c r="AH207" s="20">
        <f>IFERROR((VLOOKUP(Tabla13[[#This Row],[ID]],[1]!Mtto_Pesv[[#Headers],[#Data],[Placa]:[Rutina]],7,FALSE)),0)</f>
        <v>0</v>
      </c>
      <c r="AI207" s="20">
        <f>IFERROR((VLOOKUP(Tabla13[[#This Row],[ID]],[1]!Mtto_Pesv[[#Headers],[#Data],[Placa]:[Rutina]],8,FALSE)),0)</f>
        <v>0</v>
      </c>
      <c r="AJ207" s="20" t="str">
        <f>IFERROR((VLOOKUP(Tabla13[[#This Row],[ID]],[1]!Mtto_Pesv[[#Headers],[#Data],[Placa]:[Rutina]],9,FALSE)),"-")</f>
        <v>-</v>
      </c>
      <c r="AK207" s="20">
        <f>IFERROR((VLOOKUP(Tabla13[[#This Row],[ID]],[1]!Mtto_Pesv[[#Headers],[#Data],[Placa]:[Rutina]],10,FALSE)),0)</f>
        <v>0</v>
      </c>
      <c r="AL207" s="20">
        <f>IF(Tabla13[[#This Row],[Km Anterior]]=0,0,Tabla13[[#This Row],[Km Ejecut]]-Tabla13[[#This Row],[Km Anterior]])</f>
        <v>0</v>
      </c>
      <c r="AM207" s="20">
        <f>IFERROR((VLOOKUP(Tabla13[[#This Row],[ID]],[1]!Mtto_Pesv[[#Headers],[#Data],[Placa]:[Rutina]],4,FALSE)),0)</f>
        <v>0</v>
      </c>
      <c r="AN207" s="21">
        <f>IFERROR((VLOOKUP(Tabla13[[#This Row],[ID]],[1]!Mtto_Pesv[[#Headers],[#Data],[Placa]:[Rutina]],5,FALSE)),0)</f>
        <v>0</v>
      </c>
      <c r="AO207" s="21">
        <f>+Tabla13[[#This Row],[Km Fin]]-Tabla13[[#This Row],[Km Ini]]</f>
        <v>0</v>
      </c>
      <c r="AP207" s="20">
        <f>IFERROR((VLOOKUP(Tabla13[[#This Row],[ID]],[1]!Estilo_Conduccion[[#All],[Placa]:[Puntuacion]],15,FALSE)),0)</f>
        <v>0</v>
      </c>
      <c r="AQ207" s="15" t="s">
        <v>1137</v>
      </c>
      <c r="AR207" s="15" t="s">
        <v>1138</v>
      </c>
      <c r="AS207" s="20">
        <v>2970</v>
      </c>
      <c r="AT207" s="21">
        <v>7317.75</v>
      </c>
      <c r="AU207" s="21">
        <f>(Tabla13[[#This Row],[Cap Vh]]*$AX$2)*0.56</f>
        <v>0</v>
      </c>
      <c r="AV207" s="36" t="e">
        <f>(Tabla13[[#This Row],[Cap Util (kg)]]/(Tabla13[[#This Row],[Cap Inst (Kg)]]))</f>
        <v>#DIV/0!</v>
      </c>
    </row>
    <row r="208" spans="1:48" x14ac:dyDescent="0.25">
      <c r="A208" s="13" t="s">
        <v>1068</v>
      </c>
      <c r="B208" s="14" t="s">
        <v>364</v>
      </c>
      <c r="C208" s="14" t="s">
        <v>44</v>
      </c>
      <c r="D208" s="14" t="s">
        <v>44</v>
      </c>
      <c r="E208" s="14" t="s">
        <v>69</v>
      </c>
      <c r="F208" s="14" t="s">
        <v>76</v>
      </c>
      <c r="G208" s="15" t="s">
        <v>47</v>
      </c>
      <c r="H208" s="16" t="s">
        <v>48</v>
      </c>
      <c r="I208" s="14" t="s">
        <v>49</v>
      </c>
      <c r="J208" s="14">
        <v>890300279</v>
      </c>
      <c r="K208" s="14" t="s">
        <v>282</v>
      </c>
      <c r="L208" s="14" t="s">
        <v>103</v>
      </c>
      <c r="M208" s="14" t="s">
        <v>121</v>
      </c>
      <c r="N208" s="14">
        <v>2011</v>
      </c>
      <c r="O208" s="14">
        <v>9</v>
      </c>
      <c r="P208" s="14" t="s">
        <v>53</v>
      </c>
      <c r="Q208" s="14">
        <v>0</v>
      </c>
      <c r="R208" s="14">
        <v>0</v>
      </c>
      <c r="S208" s="17" t="s">
        <v>54</v>
      </c>
      <c r="T208" s="18">
        <v>0</v>
      </c>
      <c r="U208" s="14">
        <v>30</v>
      </c>
      <c r="V208" s="19">
        <v>1</v>
      </c>
      <c r="W208" s="14">
        <v>0</v>
      </c>
      <c r="X208" s="14">
        <v>0</v>
      </c>
      <c r="Y208" s="14">
        <v>0</v>
      </c>
      <c r="Z208" s="14">
        <v>0</v>
      </c>
      <c r="AA208" s="14">
        <f>Tabla13[[#This Row],[CheckList App]]+Tabla13[[#This Row],[CheckList Fisc]]</f>
        <v>0</v>
      </c>
      <c r="AB208" s="19">
        <f t="shared" si="3"/>
        <v>0</v>
      </c>
      <c r="AC208" s="14">
        <v>0</v>
      </c>
      <c r="AD208" s="14" t="s">
        <v>55</v>
      </c>
      <c r="AE208" s="15" t="str">
        <f>IFERROR((VLOOKUP(Tabla13[[#This Row],[ID]],[1]!Mtto_Pesv[[#Headers],[#Data],[Placa]:[Rutina]],2,FALSE)),"-")</f>
        <v>-</v>
      </c>
      <c r="AF208" s="14">
        <v>0</v>
      </c>
      <c r="AG208" s="20">
        <f>IFERROR((VLOOKUP(Tabla13[[#This Row],[ID]],[1]!Mtto_Pesv[[#Headers],[#Data],[Placa]:[Rutina]],3,FALSE)),0)</f>
        <v>0</v>
      </c>
      <c r="AH208" s="20">
        <f>IFERROR((VLOOKUP(Tabla13[[#This Row],[ID]],[1]!Mtto_Pesv[[#Headers],[#Data],[Placa]:[Rutina]],7,FALSE)),0)</f>
        <v>0</v>
      </c>
      <c r="AI208" s="20">
        <f>IFERROR((VLOOKUP(Tabla13[[#This Row],[ID]],[1]!Mtto_Pesv[[#Headers],[#Data],[Placa]:[Rutina]],8,FALSE)),0)</f>
        <v>0</v>
      </c>
      <c r="AJ208" s="20" t="str">
        <f>IFERROR((VLOOKUP(Tabla13[[#This Row],[ID]],[1]!Mtto_Pesv[[#Headers],[#Data],[Placa]:[Rutina]],9,FALSE)),"-")</f>
        <v>-</v>
      </c>
      <c r="AK208" s="20">
        <f>IFERROR((VLOOKUP(Tabla13[[#This Row],[ID]],[1]!Mtto_Pesv[[#Headers],[#Data],[Placa]:[Rutina]],10,FALSE)),0)</f>
        <v>0</v>
      </c>
      <c r="AL208" s="20">
        <f>IF(Tabla13[[#This Row],[Km Anterior]]=0,0,Tabla13[[#This Row],[Km Ejecut]]-Tabla13[[#This Row],[Km Anterior]])</f>
        <v>0</v>
      </c>
      <c r="AM208" s="20">
        <f>IFERROR((VLOOKUP(Tabla13[[#This Row],[ID]],[1]!Mtto_Pesv[[#Headers],[#Data],[Placa]:[Rutina]],4,FALSE)),0)</f>
        <v>0</v>
      </c>
      <c r="AN208" s="21">
        <f>IFERROR((VLOOKUP(Tabla13[[#This Row],[ID]],[1]!Mtto_Pesv[[#Headers],[#Data],[Placa]:[Rutina]],5,FALSE)),0)</f>
        <v>0</v>
      </c>
      <c r="AO208" s="21">
        <f>+Tabla13[[#This Row],[Km Fin]]-Tabla13[[#This Row],[Km Ini]]</f>
        <v>0</v>
      </c>
      <c r="AP208" s="20">
        <f>IFERROR((VLOOKUP(Tabla13[[#This Row],[ID]],[1]!Estilo_Conduccion[[#All],[Placa]:[Puntuacion]],15,FALSE)),0)</f>
        <v>0</v>
      </c>
      <c r="AQ208" s="15" t="s">
        <v>1213</v>
      </c>
      <c r="AR208" s="15" t="s">
        <v>1214</v>
      </c>
      <c r="AS208" s="20">
        <v>2970</v>
      </c>
      <c r="AT208" s="21">
        <v>6207</v>
      </c>
      <c r="AU208" s="21">
        <f>(Tabla13[[#This Row],[Cap Vh]]*$AX$2)*0.56</f>
        <v>0</v>
      </c>
      <c r="AV208" s="36" t="e">
        <f>(Tabla13[[#This Row],[Cap Util (kg)]]/(Tabla13[[#This Row],[Cap Inst (Kg)]]))</f>
        <v>#DIV/0!</v>
      </c>
    </row>
    <row r="209" spans="1:48" x14ac:dyDescent="0.25">
      <c r="A209" s="13" t="s">
        <v>1068</v>
      </c>
      <c r="B209" s="14" t="s">
        <v>365</v>
      </c>
      <c r="C209" s="14" t="s">
        <v>44</v>
      </c>
      <c r="D209" s="14" t="s">
        <v>44</v>
      </c>
      <c r="E209" s="14" t="s">
        <v>45</v>
      </c>
      <c r="F209" s="14" t="s">
        <v>64</v>
      </c>
      <c r="G209" s="15" t="s">
        <v>119</v>
      </c>
      <c r="H209" s="16" t="s">
        <v>120</v>
      </c>
      <c r="I209" s="14" t="s">
        <v>203</v>
      </c>
      <c r="J209" s="14">
        <v>890300279</v>
      </c>
      <c r="K209" s="14" t="s">
        <v>282</v>
      </c>
      <c r="L209" s="14" t="s">
        <v>103</v>
      </c>
      <c r="M209" s="14" t="s">
        <v>121</v>
      </c>
      <c r="N209" s="14">
        <v>2011</v>
      </c>
      <c r="O209" s="14">
        <v>9</v>
      </c>
      <c r="P209" s="14" t="s">
        <v>53</v>
      </c>
      <c r="Q209" s="14">
        <v>1</v>
      </c>
      <c r="R209" s="14">
        <v>0</v>
      </c>
      <c r="S209" s="17" t="s">
        <v>54</v>
      </c>
      <c r="T209" s="18">
        <v>0</v>
      </c>
      <c r="U209" s="14">
        <v>30</v>
      </c>
      <c r="V209" s="19">
        <v>1</v>
      </c>
      <c r="W209" s="14">
        <v>0</v>
      </c>
      <c r="X209" s="14">
        <v>0</v>
      </c>
      <c r="Y209" s="14">
        <v>0</v>
      </c>
      <c r="Z209" s="14">
        <v>0</v>
      </c>
      <c r="AA209" s="14">
        <f>Tabla13[[#This Row],[CheckList App]]+Tabla13[[#This Row],[CheckList Fisc]]</f>
        <v>0</v>
      </c>
      <c r="AB209" s="19">
        <f t="shared" si="3"/>
        <v>0</v>
      </c>
      <c r="AC209" s="14">
        <v>0</v>
      </c>
      <c r="AD209" s="14" t="s">
        <v>70</v>
      </c>
      <c r="AE209" s="22" t="str">
        <f>IFERROR((VLOOKUP(Tabla13[[#This Row],[ID]],[1]!Mtto_Pesv[[#Headers],[#Data],[Placa]:[Rutina]],2,FALSE)),"-")</f>
        <v>-</v>
      </c>
      <c r="AF209" s="14">
        <v>1</v>
      </c>
      <c r="AG209" s="20">
        <f>IFERROR((VLOOKUP(Tabla13[[#This Row],[ID]],[1]!Mtto_Pesv[[#Headers],[#Data],[Placa]:[Rutina]],3,FALSE)),0)</f>
        <v>0</v>
      </c>
      <c r="AH209" s="20">
        <f>IFERROR((VLOOKUP(Tabla13[[#This Row],[ID]],[1]!Mtto_Pesv[[#Headers],[#Data],[Placa]:[Rutina]],7,FALSE)),0)</f>
        <v>0</v>
      </c>
      <c r="AI209" s="20">
        <f>IFERROR((VLOOKUP(Tabla13[[#This Row],[ID]],[1]!Mtto_Pesv[[#Headers],[#Data],[Placa]:[Rutina]],8,FALSE)),0)</f>
        <v>0</v>
      </c>
      <c r="AJ209" s="20" t="str">
        <f>IFERROR((VLOOKUP(Tabla13[[#This Row],[ID]],[1]!Mtto_Pesv[[#Headers],[#Data],[Placa]:[Rutina]],9,FALSE)),"-")</f>
        <v>-</v>
      </c>
      <c r="AK209" s="20">
        <f>IFERROR((VLOOKUP(Tabla13[[#This Row],[ID]],[1]!Mtto_Pesv[[#Headers],[#Data],[Placa]:[Rutina]],10,FALSE)),0)</f>
        <v>0</v>
      </c>
      <c r="AL209" s="20">
        <f>IF(Tabla13[[#This Row],[Km Anterior]]=0,0,Tabla13[[#This Row],[Km Ejecut]]-Tabla13[[#This Row],[Km Anterior]])</f>
        <v>0</v>
      </c>
      <c r="AM209" s="20">
        <f>IFERROR((VLOOKUP(Tabla13[[#This Row],[ID]],[1]!Mtto_Pesv[[#Headers],[#Data],[Placa]:[Rutina]],4,FALSE)),0)</f>
        <v>0</v>
      </c>
      <c r="AN209" s="21">
        <f>IFERROR((VLOOKUP(Tabla13[[#This Row],[ID]],[1]!Mtto_Pesv[[#Headers],[#Data],[Placa]:[Rutina]],5,FALSE)),0)</f>
        <v>0</v>
      </c>
      <c r="AO209" s="21">
        <f>+Tabla13[[#This Row],[Km Fin]]-Tabla13[[#This Row],[Km Ini]]</f>
        <v>0</v>
      </c>
      <c r="AP209" s="20">
        <f>IFERROR((VLOOKUP(Tabla13[[#This Row],[ID]],[1]!Estilo_Conduccion[[#All],[Placa]:[Puntuacion]],15,FALSE)),0)</f>
        <v>2.5</v>
      </c>
      <c r="AQ209" s="15" t="s">
        <v>54</v>
      </c>
      <c r="AR209" s="15" t="s">
        <v>54</v>
      </c>
      <c r="AS209" s="20">
        <v>2970</v>
      </c>
      <c r="AT209" s="21">
        <v>0</v>
      </c>
      <c r="AU209" s="21">
        <f>(Tabla13[[#This Row],[Cap Vh]]*$AX$2)*0.56</f>
        <v>0</v>
      </c>
      <c r="AV209" s="36" t="e">
        <f>(Tabla13[[#This Row],[Cap Util (kg)]]/(Tabla13[[#This Row],[Cap Inst (Kg)]]))</f>
        <v>#DIV/0!</v>
      </c>
    </row>
    <row r="210" spans="1:48" x14ac:dyDescent="0.25">
      <c r="A210" s="13" t="s">
        <v>1068</v>
      </c>
      <c r="B210" s="14" t="s">
        <v>366</v>
      </c>
      <c r="C210" s="14" t="s">
        <v>44</v>
      </c>
      <c r="D210" s="14" t="s">
        <v>44</v>
      </c>
      <c r="E210" s="14" t="s">
        <v>69</v>
      </c>
      <c r="F210" s="14" t="s">
        <v>337</v>
      </c>
      <c r="G210" s="15" t="s">
        <v>47</v>
      </c>
      <c r="H210" s="16" t="s">
        <v>48</v>
      </c>
      <c r="I210" s="14" t="s">
        <v>49</v>
      </c>
      <c r="J210" s="14">
        <v>890300279</v>
      </c>
      <c r="K210" s="14" t="s">
        <v>282</v>
      </c>
      <c r="L210" s="14" t="s">
        <v>103</v>
      </c>
      <c r="M210" s="14" t="s">
        <v>104</v>
      </c>
      <c r="N210" s="14">
        <v>2011</v>
      </c>
      <c r="O210" s="14">
        <v>9</v>
      </c>
      <c r="P210" s="14" t="s">
        <v>53</v>
      </c>
      <c r="Q210" s="14">
        <v>0</v>
      </c>
      <c r="R210" s="14">
        <v>0</v>
      </c>
      <c r="S210" s="17" t="s">
        <v>54</v>
      </c>
      <c r="T210" s="18">
        <v>0</v>
      </c>
      <c r="U210" s="14">
        <v>30</v>
      </c>
      <c r="V210" s="19">
        <v>1</v>
      </c>
      <c r="W210" s="14">
        <v>0</v>
      </c>
      <c r="X210" s="14">
        <v>0</v>
      </c>
      <c r="Y210" s="14">
        <v>0</v>
      </c>
      <c r="Z210" s="14">
        <v>0</v>
      </c>
      <c r="AA210" s="14">
        <f>Tabla13[[#This Row],[CheckList App]]+Tabla13[[#This Row],[CheckList Fisc]]</f>
        <v>0</v>
      </c>
      <c r="AB210" s="19">
        <f t="shared" si="3"/>
        <v>0</v>
      </c>
      <c r="AC210" s="14">
        <v>0</v>
      </c>
      <c r="AD210" s="14" t="s">
        <v>55</v>
      </c>
      <c r="AE210" s="15" t="str">
        <f>IFERROR((VLOOKUP(Tabla13[[#This Row],[ID]],[1]!Mtto_Pesv[[#Headers],[#Data],[Placa]:[Rutina]],2,FALSE)),"-")</f>
        <v>-</v>
      </c>
      <c r="AF210" s="14">
        <v>0</v>
      </c>
      <c r="AG210" s="20">
        <f>IFERROR((VLOOKUP(Tabla13[[#This Row],[ID]],[1]!Mtto_Pesv[[#Headers],[#Data],[Placa]:[Rutina]],3,FALSE)),0)</f>
        <v>0</v>
      </c>
      <c r="AH210" s="20">
        <f>IFERROR((VLOOKUP(Tabla13[[#This Row],[ID]],[1]!Mtto_Pesv[[#Headers],[#Data],[Placa]:[Rutina]],7,FALSE)),0)</f>
        <v>0</v>
      </c>
      <c r="AI210" s="20">
        <f>IFERROR((VLOOKUP(Tabla13[[#This Row],[ID]],[1]!Mtto_Pesv[[#Headers],[#Data],[Placa]:[Rutina]],8,FALSE)),0)</f>
        <v>0</v>
      </c>
      <c r="AJ210" s="20" t="str">
        <f>IFERROR((VLOOKUP(Tabla13[[#This Row],[ID]],[1]!Mtto_Pesv[[#Headers],[#Data],[Placa]:[Rutina]],9,FALSE)),"-")</f>
        <v>-</v>
      </c>
      <c r="AK210" s="20">
        <f>IFERROR((VLOOKUP(Tabla13[[#This Row],[ID]],[1]!Mtto_Pesv[[#Headers],[#Data],[Placa]:[Rutina]],10,FALSE)),0)</f>
        <v>0</v>
      </c>
      <c r="AL210" s="20">
        <f>IF(Tabla13[[#This Row],[Km Anterior]]=0,0,Tabla13[[#This Row],[Km Ejecut]]-Tabla13[[#This Row],[Km Anterior]])</f>
        <v>0</v>
      </c>
      <c r="AM210" s="20">
        <f>IFERROR((VLOOKUP(Tabla13[[#This Row],[ID]],[1]!Mtto_Pesv[[#Headers],[#Data],[Placa]:[Rutina]],4,FALSE)),0)</f>
        <v>0</v>
      </c>
      <c r="AN210" s="21">
        <f>IFERROR((VLOOKUP(Tabla13[[#This Row],[ID]],[1]!Mtto_Pesv[[#Headers],[#Data],[Placa]:[Rutina]],5,FALSE)),0)</f>
        <v>0</v>
      </c>
      <c r="AO210" s="21">
        <f>+Tabla13[[#This Row],[Km Fin]]-Tabla13[[#This Row],[Km Ini]]</f>
        <v>0</v>
      </c>
      <c r="AP210" s="20">
        <f>IFERROR((VLOOKUP(Tabla13[[#This Row],[ID]],[1]!Estilo_Conduccion[[#All],[Placa]:[Puntuacion]],15,FALSE)),0)</f>
        <v>0</v>
      </c>
      <c r="AQ210" s="15" t="s">
        <v>1069</v>
      </c>
      <c r="AR210" s="15" t="s">
        <v>367</v>
      </c>
      <c r="AS210" s="20">
        <v>1585</v>
      </c>
      <c r="AT210" s="21">
        <v>0</v>
      </c>
      <c r="AU210" s="21">
        <f>(Tabla13[[#This Row],[Cap Vh]]*$AX$2)*0.56</f>
        <v>0</v>
      </c>
      <c r="AV210" s="36" t="e">
        <f>(Tabla13[[#This Row],[Cap Util (kg)]]/(Tabla13[[#This Row],[Cap Inst (Kg)]]))</f>
        <v>#DIV/0!</v>
      </c>
    </row>
    <row r="211" spans="1:48" x14ac:dyDescent="0.25">
      <c r="A211" s="13" t="s">
        <v>1068</v>
      </c>
      <c r="B211" s="14" t="s">
        <v>368</v>
      </c>
      <c r="C211" s="14" t="s">
        <v>44</v>
      </c>
      <c r="D211" s="14" t="s">
        <v>44</v>
      </c>
      <c r="E211" s="14" t="s">
        <v>45</v>
      </c>
      <c r="F211" s="14" t="s">
        <v>46</v>
      </c>
      <c r="G211" s="15" t="s">
        <v>47</v>
      </c>
      <c r="H211" s="16" t="s">
        <v>48</v>
      </c>
      <c r="I211" s="14" t="s">
        <v>49</v>
      </c>
      <c r="J211" s="14">
        <v>860007660</v>
      </c>
      <c r="K211" s="14" t="s">
        <v>369</v>
      </c>
      <c r="L211" s="14" t="s">
        <v>103</v>
      </c>
      <c r="M211" s="14" t="s">
        <v>104</v>
      </c>
      <c r="N211" s="14">
        <v>2012</v>
      </c>
      <c r="O211" s="14">
        <v>8</v>
      </c>
      <c r="P211" s="14" t="s">
        <v>53</v>
      </c>
      <c r="Q211" s="14">
        <v>1</v>
      </c>
      <c r="R211" s="14">
        <v>0</v>
      </c>
      <c r="S211" s="17" t="s">
        <v>54</v>
      </c>
      <c r="T211" s="18">
        <v>0</v>
      </c>
      <c r="U211" s="14">
        <v>30</v>
      </c>
      <c r="V211" s="19">
        <v>1</v>
      </c>
      <c r="W211" s="14">
        <v>0</v>
      </c>
      <c r="X211" s="14">
        <v>0</v>
      </c>
      <c r="Y211" s="14">
        <v>0</v>
      </c>
      <c r="Z211" s="14">
        <v>0</v>
      </c>
      <c r="AA211" s="14">
        <f>Tabla13[[#This Row],[CheckList App]]+Tabla13[[#This Row],[CheckList Fisc]]</f>
        <v>0</v>
      </c>
      <c r="AB211" s="19">
        <f t="shared" si="3"/>
        <v>0</v>
      </c>
      <c r="AC211" s="14">
        <v>0</v>
      </c>
      <c r="AD211" s="14" t="s">
        <v>70</v>
      </c>
      <c r="AE211" s="15" t="str">
        <f>IFERROR((VLOOKUP(Tabla13[[#This Row],[ID]],[1]!Mtto_Pesv[[#Headers],[#Data],[Placa]:[Rutina]],2,FALSE)),"-")</f>
        <v>-</v>
      </c>
      <c r="AF211" s="14">
        <v>1</v>
      </c>
      <c r="AG211" s="20">
        <f>IFERROR((VLOOKUP(Tabla13[[#This Row],[ID]],[1]!Mtto_Pesv[[#Headers],[#Data],[Placa]:[Rutina]],3,FALSE)),0)</f>
        <v>0</v>
      </c>
      <c r="AH211" s="20">
        <f>IFERROR((VLOOKUP(Tabla13[[#This Row],[ID]],[1]!Mtto_Pesv[[#Headers],[#Data],[Placa]:[Rutina]],7,FALSE)),0)</f>
        <v>0</v>
      </c>
      <c r="AI211" s="20">
        <f>IFERROR((VLOOKUP(Tabla13[[#This Row],[ID]],[1]!Mtto_Pesv[[#Headers],[#Data],[Placa]:[Rutina]],8,FALSE)),0)</f>
        <v>0</v>
      </c>
      <c r="AJ211" s="20" t="str">
        <f>IFERROR((VLOOKUP(Tabla13[[#This Row],[ID]],[1]!Mtto_Pesv[[#Headers],[#Data],[Placa]:[Rutina]],9,FALSE)),"-")</f>
        <v>-</v>
      </c>
      <c r="AK211" s="20">
        <f>IFERROR((VLOOKUP(Tabla13[[#This Row],[ID]],[1]!Mtto_Pesv[[#Headers],[#Data],[Placa]:[Rutina]],10,FALSE)),0)</f>
        <v>0</v>
      </c>
      <c r="AL211" s="20">
        <f>IF(Tabla13[[#This Row],[Km Anterior]]=0,0,Tabla13[[#This Row],[Km Ejecut]]-Tabla13[[#This Row],[Km Anterior]])</f>
        <v>0</v>
      </c>
      <c r="AM211" s="20">
        <f>IFERROR((VLOOKUP(Tabla13[[#This Row],[ID]],[1]!Mtto_Pesv[[#Headers],[#Data],[Placa]:[Rutina]],4,FALSE)),0)</f>
        <v>0</v>
      </c>
      <c r="AN211" s="21">
        <f>IFERROR((VLOOKUP(Tabla13[[#This Row],[ID]],[1]!Mtto_Pesv[[#Headers],[#Data],[Placa]:[Rutina]],5,FALSE)),0)</f>
        <v>0</v>
      </c>
      <c r="AO211" s="21">
        <f>+Tabla13[[#This Row],[Km Fin]]-Tabla13[[#This Row],[Km Ini]]</f>
        <v>0</v>
      </c>
      <c r="AP211" s="20">
        <f>IFERROR((VLOOKUP(Tabla13[[#This Row],[ID]],[1]!Estilo_Conduccion[[#All],[Placa]:[Puntuacion]],15,FALSE)),0)</f>
        <v>52.5</v>
      </c>
      <c r="AQ211" s="15" t="s">
        <v>1084</v>
      </c>
      <c r="AR211" s="15" t="s">
        <v>1085</v>
      </c>
      <c r="AS211" s="20">
        <v>1575</v>
      </c>
      <c r="AT211" s="21">
        <v>4974.8571428571431</v>
      </c>
      <c r="AU211" s="21">
        <f>(Tabla13[[#This Row],[Cap Vh]]*$AX$2)*0.56</f>
        <v>0</v>
      </c>
      <c r="AV211" s="36" t="e">
        <f>(Tabla13[[#This Row],[Cap Util (kg)]]/(Tabla13[[#This Row],[Cap Inst (Kg)]]))</f>
        <v>#DIV/0!</v>
      </c>
    </row>
    <row r="212" spans="1:48" x14ac:dyDescent="0.25">
      <c r="A212" s="13" t="s">
        <v>1068</v>
      </c>
      <c r="B212" s="14" t="s">
        <v>370</v>
      </c>
      <c r="C212" s="14" t="s">
        <v>44</v>
      </c>
      <c r="D212" s="14" t="s">
        <v>44</v>
      </c>
      <c r="E212" s="14" t="s">
        <v>45</v>
      </c>
      <c r="F212" s="14" t="s">
        <v>64</v>
      </c>
      <c r="G212" s="14" t="s">
        <v>65</v>
      </c>
      <c r="H212" s="16" t="s">
        <v>66</v>
      </c>
      <c r="I212" s="14" t="s">
        <v>49</v>
      </c>
      <c r="J212" s="14">
        <v>830064700</v>
      </c>
      <c r="K212" s="14" t="s">
        <v>50</v>
      </c>
      <c r="L212" s="14" t="s">
        <v>360</v>
      </c>
      <c r="M212" s="14" t="s">
        <v>361</v>
      </c>
      <c r="N212" s="14">
        <v>2011</v>
      </c>
      <c r="O212" s="14">
        <v>9</v>
      </c>
      <c r="P212" s="14" t="s">
        <v>53</v>
      </c>
      <c r="Q212" s="14">
        <v>0</v>
      </c>
      <c r="R212" s="14">
        <v>0</v>
      </c>
      <c r="S212" s="17" t="s">
        <v>54</v>
      </c>
      <c r="T212" s="18">
        <v>0</v>
      </c>
      <c r="U212" s="14">
        <v>0</v>
      </c>
      <c r="V212" s="19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f>Tabla13[[#This Row],[CheckList App]]+Tabla13[[#This Row],[CheckList Fisc]]</f>
        <v>0</v>
      </c>
      <c r="AB212" s="19" t="str">
        <f t="shared" si="3"/>
        <v/>
      </c>
      <c r="AC212" s="14">
        <v>0</v>
      </c>
      <c r="AD212" s="14" t="s">
        <v>55</v>
      </c>
      <c r="AE212" s="15" t="str">
        <f>IFERROR((VLOOKUP(Tabla13[[#This Row],[ID]],[1]!Mtto_Pesv[[#Headers],[#Data],[Placa]:[Rutina]],2,FALSE)),"-")</f>
        <v>-</v>
      </c>
      <c r="AF212" s="14">
        <v>0</v>
      </c>
      <c r="AG212" s="20">
        <f>IFERROR((VLOOKUP(Tabla13[[#This Row],[ID]],[1]!Mtto_Pesv[[#Headers],[#Data],[Placa]:[Rutina]],3,FALSE)),0)</f>
        <v>0</v>
      </c>
      <c r="AH212" s="20">
        <f>IFERROR((VLOOKUP(Tabla13[[#This Row],[ID]],[1]!Mtto_Pesv[[#Headers],[#Data],[Placa]:[Rutina]],7,FALSE)),0)</f>
        <v>0</v>
      </c>
      <c r="AI212" s="20">
        <f>IFERROR((VLOOKUP(Tabla13[[#This Row],[ID]],[1]!Mtto_Pesv[[#Headers],[#Data],[Placa]:[Rutina]],8,FALSE)),0)</f>
        <v>0</v>
      </c>
      <c r="AJ212" s="20" t="str">
        <f>IFERROR((VLOOKUP(Tabla13[[#This Row],[ID]],[1]!Mtto_Pesv[[#Headers],[#Data],[Placa]:[Rutina]],9,FALSE)),"-")</f>
        <v>-</v>
      </c>
      <c r="AK212" s="20">
        <f>IFERROR((VLOOKUP(Tabla13[[#This Row],[ID]],[1]!Mtto_Pesv[[#Headers],[#Data],[Placa]:[Rutina]],10,FALSE)),0)</f>
        <v>0</v>
      </c>
      <c r="AL212" s="20">
        <f>IF(Tabla13[[#This Row],[Km Anterior]]=0,0,Tabla13[[#This Row],[Km Ejecut]]-Tabla13[[#This Row],[Km Anterior]])</f>
        <v>0</v>
      </c>
      <c r="AM212" s="20">
        <f>IFERROR((VLOOKUP(Tabla13[[#This Row],[ID]],[1]!Mtto_Pesv[[#Headers],[#Data],[Placa]:[Rutina]],4,FALSE)),0)</f>
        <v>0</v>
      </c>
      <c r="AN212" s="21">
        <f>IFERROR((VLOOKUP(Tabla13[[#This Row],[ID]],[1]!Mtto_Pesv[[#Headers],[#Data],[Placa]:[Rutina]],5,FALSE)),0)</f>
        <v>0</v>
      </c>
      <c r="AO212" s="21">
        <f>+Tabla13[[#This Row],[Km Fin]]-Tabla13[[#This Row],[Km Ini]]</f>
        <v>0</v>
      </c>
      <c r="AP212" s="20">
        <f>IFERROR((VLOOKUP(Tabla13[[#This Row],[ID]],[1]!Estilo_Conduccion[[#All],[Placa]:[Puntuacion]],15,FALSE)),0)</f>
        <v>0</v>
      </c>
      <c r="AQ212" s="15" t="s">
        <v>54</v>
      </c>
      <c r="AR212" s="15" t="s">
        <v>1176</v>
      </c>
      <c r="AS212" s="20">
        <v>700</v>
      </c>
      <c r="AT212" s="21">
        <v>0</v>
      </c>
      <c r="AU212" s="21">
        <f>(Tabla13[[#This Row],[Cap Vh]]*$AX$2)*0.56</f>
        <v>0</v>
      </c>
      <c r="AV212" s="36" t="e">
        <f>(Tabla13[[#This Row],[Cap Util (kg)]]/(Tabla13[[#This Row],[Cap Inst (Kg)]]))</f>
        <v>#DIV/0!</v>
      </c>
    </row>
    <row r="213" spans="1:48" x14ac:dyDescent="0.25">
      <c r="A213" s="13" t="s">
        <v>1068</v>
      </c>
      <c r="B213" s="14" t="s">
        <v>371</v>
      </c>
      <c r="C213" s="14" t="s">
        <v>44</v>
      </c>
      <c r="D213" s="14" t="s">
        <v>44</v>
      </c>
      <c r="E213" s="14" t="s">
        <v>63</v>
      </c>
      <c r="F213" s="14" t="s">
        <v>46</v>
      </c>
      <c r="G213" s="15" t="s">
        <v>47</v>
      </c>
      <c r="H213" s="16" t="s">
        <v>48</v>
      </c>
      <c r="I213" s="14" t="s">
        <v>49</v>
      </c>
      <c r="J213" s="14">
        <v>830064700</v>
      </c>
      <c r="K213" s="14" t="s">
        <v>50</v>
      </c>
      <c r="L213" s="14" t="s">
        <v>103</v>
      </c>
      <c r="M213" s="14" t="s">
        <v>104</v>
      </c>
      <c r="N213" s="14">
        <v>2012</v>
      </c>
      <c r="O213" s="14">
        <v>8</v>
      </c>
      <c r="P213" s="14" t="s">
        <v>53</v>
      </c>
      <c r="Q213" s="14">
        <v>0</v>
      </c>
      <c r="R213" s="14">
        <v>0</v>
      </c>
      <c r="S213" s="17" t="s">
        <v>54</v>
      </c>
      <c r="T213" s="18">
        <v>0</v>
      </c>
      <c r="U213" s="14">
        <v>30</v>
      </c>
      <c r="V213" s="19">
        <v>1</v>
      </c>
      <c r="W213" s="14">
        <v>0</v>
      </c>
      <c r="X213" s="14">
        <v>0</v>
      </c>
      <c r="Y213" s="14">
        <v>0</v>
      </c>
      <c r="Z213" s="14">
        <v>0</v>
      </c>
      <c r="AA213" s="14">
        <f>Tabla13[[#This Row],[CheckList App]]+Tabla13[[#This Row],[CheckList Fisc]]</f>
        <v>0</v>
      </c>
      <c r="AB213" s="19">
        <f t="shared" si="3"/>
        <v>0</v>
      </c>
      <c r="AC213" s="14">
        <v>0</v>
      </c>
      <c r="AD213" s="14" t="s">
        <v>55</v>
      </c>
      <c r="AE213" s="15" t="str">
        <f>IFERROR((VLOOKUP(Tabla13[[#This Row],[ID]],[1]!Mtto_Pesv[[#Headers],[#Data],[Placa]:[Rutina]],2,FALSE)),"-")</f>
        <v>-</v>
      </c>
      <c r="AF213" s="14">
        <v>0</v>
      </c>
      <c r="AG213" s="20">
        <f>IFERROR((VLOOKUP(Tabla13[[#This Row],[ID]],[1]!Mtto_Pesv[[#Headers],[#Data],[Placa]:[Rutina]],3,FALSE)),0)</f>
        <v>0</v>
      </c>
      <c r="AH213" s="20">
        <f>IFERROR((VLOOKUP(Tabla13[[#This Row],[ID]],[1]!Mtto_Pesv[[#Headers],[#Data],[Placa]:[Rutina]],7,FALSE)),0)</f>
        <v>0</v>
      </c>
      <c r="AI213" s="20">
        <f>IFERROR((VLOOKUP(Tabla13[[#This Row],[ID]],[1]!Mtto_Pesv[[#Headers],[#Data],[Placa]:[Rutina]],8,FALSE)),0)</f>
        <v>0</v>
      </c>
      <c r="AJ213" s="20" t="str">
        <f>IFERROR((VLOOKUP(Tabla13[[#This Row],[ID]],[1]!Mtto_Pesv[[#Headers],[#Data],[Placa]:[Rutina]],9,FALSE)),"-")</f>
        <v>-</v>
      </c>
      <c r="AK213" s="20">
        <f>IFERROR((VLOOKUP(Tabla13[[#This Row],[ID]],[1]!Mtto_Pesv[[#Headers],[#Data],[Placa]:[Rutina]],10,FALSE)),0)</f>
        <v>0</v>
      </c>
      <c r="AL213" s="20">
        <f>IF(Tabla13[[#This Row],[Km Anterior]]=0,0,Tabla13[[#This Row],[Km Ejecut]]-Tabla13[[#This Row],[Km Anterior]])</f>
        <v>0</v>
      </c>
      <c r="AM213" s="20">
        <f>IFERROR((VLOOKUP(Tabla13[[#This Row],[ID]],[1]!Mtto_Pesv[[#Headers],[#Data],[Placa]:[Rutina]],4,FALSE)),0)</f>
        <v>0</v>
      </c>
      <c r="AN213" s="21">
        <f>IFERROR((VLOOKUP(Tabla13[[#This Row],[ID]],[1]!Mtto_Pesv[[#Headers],[#Data],[Placa]:[Rutina]],5,FALSE)),0)</f>
        <v>0</v>
      </c>
      <c r="AO213" s="21">
        <f>+Tabla13[[#This Row],[Km Fin]]-Tabla13[[#This Row],[Km Ini]]</f>
        <v>0</v>
      </c>
      <c r="AP213" s="20">
        <f>IFERROR((VLOOKUP(Tabla13[[#This Row],[ID]],[1]!Estilo_Conduccion[[#All],[Placa]:[Puntuacion]],15,FALSE)),0)</f>
        <v>0</v>
      </c>
      <c r="AQ213" s="15" t="s">
        <v>1215</v>
      </c>
      <c r="AR213" s="15" t="s">
        <v>1216</v>
      </c>
      <c r="AS213" s="20">
        <v>1585</v>
      </c>
      <c r="AT213" s="21">
        <v>7014</v>
      </c>
      <c r="AU213" s="21">
        <f>(Tabla13[[#This Row],[Cap Vh]]*$AX$2)*0.56</f>
        <v>0</v>
      </c>
      <c r="AV213" s="36" t="e">
        <f>(Tabla13[[#This Row],[Cap Util (kg)]]/(Tabla13[[#This Row],[Cap Inst (Kg)]]))</f>
        <v>#DIV/0!</v>
      </c>
    </row>
    <row r="214" spans="1:48" x14ac:dyDescent="0.25">
      <c r="A214" s="13" t="s">
        <v>1068</v>
      </c>
      <c r="B214" s="14" t="s">
        <v>372</v>
      </c>
      <c r="C214" s="14" t="s">
        <v>44</v>
      </c>
      <c r="D214" s="14" t="s">
        <v>44</v>
      </c>
      <c r="E214" s="14" t="s">
        <v>45</v>
      </c>
      <c r="F214" s="14" t="s">
        <v>76</v>
      </c>
      <c r="G214" s="15" t="s">
        <v>89</v>
      </c>
      <c r="H214" s="16" t="s">
        <v>90</v>
      </c>
      <c r="I214" s="14" t="s">
        <v>49</v>
      </c>
      <c r="J214" s="14">
        <v>830064700</v>
      </c>
      <c r="K214" s="14" t="s">
        <v>50</v>
      </c>
      <c r="L214" s="14" t="s">
        <v>103</v>
      </c>
      <c r="M214" s="14" t="s">
        <v>104</v>
      </c>
      <c r="N214" s="14">
        <v>2012</v>
      </c>
      <c r="O214" s="14">
        <v>8</v>
      </c>
      <c r="P214" s="14" t="s">
        <v>53</v>
      </c>
      <c r="Q214" s="14">
        <v>0</v>
      </c>
      <c r="R214" s="14">
        <v>0</v>
      </c>
      <c r="S214" s="17" t="s">
        <v>54</v>
      </c>
      <c r="T214" s="18">
        <v>0</v>
      </c>
      <c r="U214" s="14">
        <v>0</v>
      </c>
      <c r="V214" s="19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f>Tabla13[[#This Row],[CheckList App]]+Tabla13[[#This Row],[CheckList Fisc]]</f>
        <v>0</v>
      </c>
      <c r="AB214" s="19" t="str">
        <f t="shared" si="3"/>
        <v/>
      </c>
      <c r="AC214" s="14">
        <v>0</v>
      </c>
      <c r="AD214" s="14" t="s">
        <v>55</v>
      </c>
      <c r="AE214" s="15" t="str">
        <f>IFERROR((VLOOKUP(Tabla13[[#This Row],[ID]],[1]!Mtto_Pesv[[#Headers],[#Data],[Placa]:[Rutina]],2,FALSE)),"-")</f>
        <v>-</v>
      </c>
      <c r="AF214" s="14">
        <v>0</v>
      </c>
      <c r="AG214" s="20">
        <f>IFERROR((VLOOKUP(Tabla13[[#This Row],[ID]],[1]!Mtto_Pesv[[#Headers],[#Data],[Placa]:[Rutina]],3,FALSE)),0)</f>
        <v>0</v>
      </c>
      <c r="AH214" s="20">
        <f>IFERROR((VLOOKUP(Tabla13[[#This Row],[ID]],[1]!Mtto_Pesv[[#Headers],[#Data],[Placa]:[Rutina]],7,FALSE)),0)</f>
        <v>0</v>
      </c>
      <c r="AI214" s="20">
        <f>IFERROR((VLOOKUP(Tabla13[[#This Row],[ID]],[1]!Mtto_Pesv[[#Headers],[#Data],[Placa]:[Rutina]],8,FALSE)),0)</f>
        <v>0</v>
      </c>
      <c r="AJ214" s="20" t="str">
        <f>IFERROR((VLOOKUP(Tabla13[[#This Row],[ID]],[1]!Mtto_Pesv[[#Headers],[#Data],[Placa]:[Rutina]],9,FALSE)),"-")</f>
        <v>-</v>
      </c>
      <c r="AK214" s="20">
        <f>IFERROR((VLOOKUP(Tabla13[[#This Row],[ID]],[1]!Mtto_Pesv[[#Headers],[#Data],[Placa]:[Rutina]],10,FALSE)),0)</f>
        <v>0</v>
      </c>
      <c r="AL214" s="20">
        <f>IF(Tabla13[[#This Row],[Km Anterior]]=0,0,Tabla13[[#This Row],[Km Ejecut]]-Tabla13[[#This Row],[Km Anterior]])</f>
        <v>0</v>
      </c>
      <c r="AM214" s="20">
        <f>IFERROR((VLOOKUP(Tabla13[[#This Row],[ID]],[1]!Mtto_Pesv[[#Headers],[#Data],[Placa]:[Rutina]],4,FALSE)),0)</f>
        <v>0</v>
      </c>
      <c r="AN214" s="21">
        <f>IFERROR((VLOOKUP(Tabla13[[#This Row],[ID]],[1]!Mtto_Pesv[[#Headers],[#Data],[Placa]:[Rutina]],5,FALSE)),0)</f>
        <v>0</v>
      </c>
      <c r="AO214" s="21">
        <f>+Tabla13[[#This Row],[Km Fin]]-Tabla13[[#This Row],[Km Ini]]</f>
        <v>0</v>
      </c>
      <c r="AP214" s="20">
        <f>IFERROR((VLOOKUP(Tabla13[[#This Row],[ID]],[1]!Estilo_Conduccion[[#All],[Placa]:[Puntuacion]],15,FALSE)),0)</f>
        <v>0</v>
      </c>
      <c r="AQ214" s="15" t="s">
        <v>1069</v>
      </c>
      <c r="AR214" s="15" t="s">
        <v>276</v>
      </c>
      <c r="AS214" s="20">
        <v>1585</v>
      </c>
      <c r="AT214" s="21">
        <v>0</v>
      </c>
      <c r="AU214" s="21">
        <f>(Tabla13[[#This Row],[Cap Vh]]*$AX$2)*0.56</f>
        <v>0</v>
      </c>
      <c r="AV214" s="36" t="e">
        <f>(Tabla13[[#This Row],[Cap Util (kg)]]/(Tabla13[[#This Row],[Cap Inst (Kg)]]))</f>
        <v>#DIV/0!</v>
      </c>
    </row>
    <row r="215" spans="1:48" x14ac:dyDescent="0.25">
      <c r="A215" s="13" t="s">
        <v>1068</v>
      </c>
      <c r="B215" s="14" t="s">
        <v>373</v>
      </c>
      <c r="C215" s="14" t="s">
        <v>44</v>
      </c>
      <c r="D215" s="14" t="s">
        <v>44</v>
      </c>
      <c r="E215" s="14" t="s">
        <v>127</v>
      </c>
      <c r="F215" s="14" t="s">
        <v>46</v>
      </c>
      <c r="G215" s="15" t="s">
        <v>47</v>
      </c>
      <c r="H215" s="16" t="s">
        <v>48</v>
      </c>
      <c r="I215" s="14" t="s">
        <v>49</v>
      </c>
      <c r="J215" s="14">
        <v>830064700</v>
      </c>
      <c r="K215" s="14" t="s">
        <v>50</v>
      </c>
      <c r="L215" s="14" t="s">
        <v>103</v>
      </c>
      <c r="M215" s="14" t="s">
        <v>104</v>
      </c>
      <c r="N215" s="14">
        <v>2012</v>
      </c>
      <c r="O215" s="14">
        <v>8</v>
      </c>
      <c r="P215" s="14" t="s">
        <v>53</v>
      </c>
      <c r="Q215" s="14">
        <v>0</v>
      </c>
      <c r="R215" s="14">
        <v>0</v>
      </c>
      <c r="S215" s="17" t="s">
        <v>54</v>
      </c>
      <c r="T215" s="18">
        <v>0</v>
      </c>
      <c r="U215" s="14">
        <v>30</v>
      </c>
      <c r="V215" s="19">
        <v>1</v>
      </c>
      <c r="W215" s="14">
        <v>0</v>
      </c>
      <c r="X215" s="14">
        <v>0</v>
      </c>
      <c r="Y215" s="14">
        <v>0</v>
      </c>
      <c r="Z215" s="14">
        <v>0</v>
      </c>
      <c r="AA215" s="14">
        <f>Tabla13[[#This Row],[CheckList App]]+Tabla13[[#This Row],[CheckList Fisc]]</f>
        <v>0</v>
      </c>
      <c r="AB215" s="19">
        <f t="shared" si="3"/>
        <v>0</v>
      </c>
      <c r="AC215" s="14">
        <v>0</v>
      </c>
      <c r="AD215" s="14" t="s">
        <v>55</v>
      </c>
      <c r="AE215" s="15" t="str">
        <f>IFERROR((VLOOKUP(Tabla13[[#This Row],[ID]],[1]!Mtto_Pesv[[#Headers],[#Data],[Placa]:[Rutina]],2,FALSE)),"-")</f>
        <v>-</v>
      </c>
      <c r="AF215" s="14">
        <v>0</v>
      </c>
      <c r="AG215" s="20">
        <f>IFERROR((VLOOKUP(Tabla13[[#This Row],[ID]],[1]!Mtto_Pesv[[#Headers],[#Data],[Placa]:[Rutina]],3,FALSE)),0)</f>
        <v>0</v>
      </c>
      <c r="AH215" s="20">
        <f>IFERROR((VLOOKUP(Tabla13[[#This Row],[ID]],[1]!Mtto_Pesv[[#Headers],[#Data],[Placa]:[Rutina]],7,FALSE)),0)</f>
        <v>0</v>
      </c>
      <c r="AI215" s="20">
        <f>IFERROR((VLOOKUP(Tabla13[[#This Row],[ID]],[1]!Mtto_Pesv[[#Headers],[#Data],[Placa]:[Rutina]],8,FALSE)),0)</f>
        <v>0</v>
      </c>
      <c r="AJ215" s="20" t="str">
        <f>IFERROR((VLOOKUP(Tabla13[[#This Row],[ID]],[1]!Mtto_Pesv[[#Headers],[#Data],[Placa]:[Rutina]],9,FALSE)),"-")</f>
        <v>-</v>
      </c>
      <c r="AK215" s="20">
        <f>IFERROR((VLOOKUP(Tabla13[[#This Row],[ID]],[1]!Mtto_Pesv[[#Headers],[#Data],[Placa]:[Rutina]],10,FALSE)),0)</f>
        <v>0</v>
      </c>
      <c r="AL215" s="20">
        <f>IF(Tabla13[[#This Row],[Km Anterior]]=0,0,Tabla13[[#This Row],[Km Ejecut]]-Tabla13[[#This Row],[Km Anterior]])</f>
        <v>0</v>
      </c>
      <c r="AM215" s="20">
        <f>IFERROR((VLOOKUP(Tabla13[[#This Row],[ID]],[1]!Mtto_Pesv[[#Headers],[#Data],[Placa]:[Rutina]],4,FALSE)),0)</f>
        <v>0</v>
      </c>
      <c r="AN215" s="21">
        <f>IFERROR((VLOOKUP(Tabla13[[#This Row],[ID]],[1]!Mtto_Pesv[[#Headers],[#Data],[Placa]:[Rutina]],5,FALSE)),0)</f>
        <v>0</v>
      </c>
      <c r="AO215" s="21">
        <f>+Tabla13[[#This Row],[Km Fin]]-Tabla13[[#This Row],[Km Ini]]</f>
        <v>0</v>
      </c>
      <c r="AP215" s="20">
        <f>IFERROR((VLOOKUP(Tabla13[[#This Row],[ID]],[1]!Estilo_Conduccion[[#All],[Placa]:[Puntuacion]],15,FALSE)),0)</f>
        <v>0</v>
      </c>
      <c r="AQ215" s="15" t="s">
        <v>54</v>
      </c>
      <c r="AR215" s="15" t="s">
        <v>54</v>
      </c>
      <c r="AS215" s="20">
        <v>1585</v>
      </c>
      <c r="AT215" s="21">
        <v>0</v>
      </c>
      <c r="AU215" s="21">
        <f>(Tabla13[[#This Row],[Cap Vh]]*$AX$2)*0.56</f>
        <v>0</v>
      </c>
      <c r="AV215" s="36" t="e">
        <f>(Tabla13[[#This Row],[Cap Util (kg)]]/(Tabla13[[#This Row],[Cap Inst (Kg)]]))</f>
        <v>#DIV/0!</v>
      </c>
    </row>
    <row r="216" spans="1:48" x14ac:dyDescent="0.25">
      <c r="A216" s="13" t="s">
        <v>1068</v>
      </c>
      <c r="B216" s="14" t="s">
        <v>374</v>
      </c>
      <c r="C216" s="14" t="s">
        <v>44</v>
      </c>
      <c r="D216" s="14" t="s">
        <v>44</v>
      </c>
      <c r="E216" s="14" t="s">
        <v>63</v>
      </c>
      <c r="F216" s="14" t="s">
        <v>46</v>
      </c>
      <c r="G216" s="15" t="s">
        <v>47</v>
      </c>
      <c r="H216" s="16" t="s">
        <v>48</v>
      </c>
      <c r="I216" s="14" t="s">
        <v>49</v>
      </c>
      <c r="J216" s="14">
        <v>830064700</v>
      </c>
      <c r="K216" s="14" t="s">
        <v>50</v>
      </c>
      <c r="L216" s="14" t="s">
        <v>103</v>
      </c>
      <c r="M216" s="14" t="s">
        <v>104</v>
      </c>
      <c r="N216" s="14">
        <v>2012</v>
      </c>
      <c r="O216" s="14">
        <v>8</v>
      </c>
      <c r="P216" s="14" t="s">
        <v>53</v>
      </c>
      <c r="Q216" s="14">
        <v>0</v>
      </c>
      <c r="R216" s="14">
        <v>0</v>
      </c>
      <c r="S216" s="17" t="s">
        <v>54</v>
      </c>
      <c r="T216" s="18">
        <v>0</v>
      </c>
      <c r="U216" s="14">
        <v>30</v>
      </c>
      <c r="V216" s="19">
        <v>1</v>
      </c>
      <c r="W216" s="14">
        <v>0</v>
      </c>
      <c r="X216" s="14">
        <v>0</v>
      </c>
      <c r="Y216" s="14">
        <v>0</v>
      </c>
      <c r="Z216" s="14">
        <v>0</v>
      </c>
      <c r="AA216" s="14">
        <f>Tabla13[[#This Row],[CheckList App]]+Tabla13[[#This Row],[CheckList Fisc]]</f>
        <v>0</v>
      </c>
      <c r="AB216" s="19">
        <f t="shared" si="3"/>
        <v>0</v>
      </c>
      <c r="AC216" s="14">
        <v>0</v>
      </c>
      <c r="AD216" s="14" t="s">
        <v>55</v>
      </c>
      <c r="AE216" s="15" t="str">
        <f>IFERROR((VLOOKUP(Tabla13[[#This Row],[ID]],[1]!Mtto_Pesv[[#Headers],[#Data],[Placa]:[Rutina]],2,FALSE)),"-")</f>
        <v>-</v>
      </c>
      <c r="AF216" s="14">
        <v>0</v>
      </c>
      <c r="AG216" s="20">
        <f>IFERROR((VLOOKUP(Tabla13[[#This Row],[ID]],[1]!Mtto_Pesv[[#Headers],[#Data],[Placa]:[Rutina]],3,FALSE)),0)</f>
        <v>0</v>
      </c>
      <c r="AH216" s="20">
        <f>IFERROR((VLOOKUP(Tabla13[[#This Row],[ID]],[1]!Mtto_Pesv[[#Headers],[#Data],[Placa]:[Rutina]],7,FALSE)),0)</f>
        <v>0</v>
      </c>
      <c r="AI216" s="20">
        <f>IFERROR((VLOOKUP(Tabla13[[#This Row],[ID]],[1]!Mtto_Pesv[[#Headers],[#Data],[Placa]:[Rutina]],8,FALSE)),0)</f>
        <v>0</v>
      </c>
      <c r="AJ216" s="20" t="str">
        <f>IFERROR((VLOOKUP(Tabla13[[#This Row],[ID]],[1]!Mtto_Pesv[[#Headers],[#Data],[Placa]:[Rutina]],9,FALSE)),"-")</f>
        <v>-</v>
      </c>
      <c r="AK216" s="20">
        <f>IFERROR((VLOOKUP(Tabla13[[#This Row],[ID]],[1]!Mtto_Pesv[[#Headers],[#Data],[Placa]:[Rutina]],10,FALSE)),0)</f>
        <v>0</v>
      </c>
      <c r="AL216" s="20">
        <f>IF(Tabla13[[#This Row],[Km Anterior]]=0,0,Tabla13[[#This Row],[Km Ejecut]]-Tabla13[[#This Row],[Km Anterior]])</f>
        <v>0</v>
      </c>
      <c r="AM216" s="20">
        <f>IFERROR((VLOOKUP(Tabla13[[#This Row],[ID]],[1]!Mtto_Pesv[[#Headers],[#Data],[Placa]:[Rutina]],4,FALSE)),0)</f>
        <v>0</v>
      </c>
      <c r="AN216" s="21">
        <f>IFERROR((VLOOKUP(Tabla13[[#This Row],[ID]],[1]!Mtto_Pesv[[#Headers],[#Data],[Placa]:[Rutina]],5,FALSE)),0)</f>
        <v>0</v>
      </c>
      <c r="AO216" s="21">
        <f>+Tabla13[[#This Row],[Km Fin]]-Tabla13[[#This Row],[Km Ini]]</f>
        <v>0</v>
      </c>
      <c r="AP216" s="20">
        <f>IFERROR((VLOOKUP(Tabla13[[#This Row],[ID]],[1]!Estilo_Conduccion[[#All],[Placa]:[Puntuacion]],15,FALSE)),0)</f>
        <v>0</v>
      </c>
      <c r="AQ216" s="15" t="s">
        <v>1094</v>
      </c>
      <c r="AR216" s="15" t="s">
        <v>1095</v>
      </c>
      <c r="AS216" s="20">
        <v>1585</v>
      </c>
      <c r="AT216" s="21">
        <v>13621.5</v>
      </c>
      <c r="AU216" s="21">
        <f>(Tabla13[[#This Row],[Cap Vh]]*$AX$2)*0.56</f>
        <v>0</v>
      </c>
      <c r="AV216" s="36" t="e">
        <f>(Tabla13[[#This Row],[Cap Util (kg)]]/(Tabla13[[#This Row],[Cap Inst (Kg)]]))</f>
        <v>#DIV/0!</v>
      </c>
    </row>
    <row r="217" spans="1:48" x14ac:dyDescent="0.25">
      <c r="A217" s="13" t="s">
        <v>1068</v>
      </c>
      <c r="B217" s="14" t="s">
        <v>375</v>
      </c>
      <c r="C217" s="14" t="s">
        <v>44</v>
      </c>
      <c r="D217" s="14" t="s">
        <v>44</v>
      </c>
      <c r="E217" s="14" t="s">
        <v>113</v>
      </c>
      <c r="F217" s="14" t="s">
        <v>46</v>
      </c>
      <c r="G217" s="15" t="s">
        <v>47</v>
      </c>
      <c r="H217" s="16" t="s">
        <v>48</v>
      </c>
      <c r="I217" s="14" t="s">
        <v>49</v>
      </c>
      <c r="J217" s="14">
        <v>830064700</v>
      </c>
      <c r="K217" s="14" t="s">
        <v>50</v>
      </c>
      <c r="L217" s="14" t="s">
        <v>103</v>
      </c>
      <c r="M217" s="14" t="s">
        <v>104</v>
      </c>
      <c r="N217" s="14">
        <v>2012</v>
      </c>
      <c r="O217" s="14">
        <v>8</v>
      </c>
      <c r="P217" s="14" t="s">
        <v>53</v>
      </c>
      <c r="Q217" s="14">
        <v>0</v>
      </c>
      <c r="R217" s="14">
        <v>0</v>
      </c>
      <c r="S217" s="17" t="s">
        <v>54</v>
      </c>
      <c r="T217" s="18">
        <v>0</v>
      </c>
      <c r="U217" s="14">
        <v>30</v>
      </c>
      <c r="V217" s="19">
        <v>1</v>
      </c>
      <c r="W217" s="14">
        <v>0</v>
      </c>
      <c r="X217" s="14">
        <v>0</v>
      </c>
      <c r="Y217" s="14">
        <v>0</v>
      </c>
      <c r="Z217" s="14">
        <v>0</v>
      </c>
      <c r="AA217" s="14">
        <f>Tabla13[[#This Row],[CheckList App]]+Tabla13[[#This Row],[CheckList Fisc]]</f>
        <v>0</v>
      </c>
      <c r="AB217" s="19">
        <f t="shared" si="3"/>
        <v>0</v>
      </c>
      <c r="AC217" s="14">
        <v>0</v>
      </c>
      <c r="AD217" s="14" t="s">
        <v>55</v>
      </c>
      <c r="AE217" s="15" t="str">
        <f>IFERROR((VLOOKUP(Tabla13[[#This Row],[ID]],[1]!Mtto_Pesv[[#Headers],[#Data],[Placa]:[Rutina]],2,FALSE)),"-")</f>
        <v>-</v>
      </c>
      <c r="AF217" s="14">
        <v>0</v>
      </c>
      <c r="AG217" s="20">
        <f>IFERROR((VLOOKUP(Tabla13[[#This Row],[ID]],[1]!Mtto_Pesv[[#Headers],[#Data],[Placa]:[Rutina]],3,FALSE)),0)</f>
        <v>0</v>
      </c>
      <c r="AH217" s="20">
        <f>IFERROR((VLOOKUP(Tabla13[[#This Row],[ID]],[1]!Mtto_Pesv[[#Headers],[#Data],[Placa]:[Rutina]],7,FALSE)),0)</f>
        <v>0</v>
      </c>
      <c r="AI217" s="20">
        <f>IFERROR((VLOOKUP(Tabla13[[#This Row],[ID]],[1]!Mtto_Pesv[[#Headers],[#Data],[Placa]:[Rutina]],8,FALSE)),0)</f>
        <v>0</v>
      </c>
      <c r="AJ217" s="20" t="str">
        <f>IFERROR((VLOOKUP(Tabla13[[#This Row],[ID]],[1]!Mtto_Pesv[[#Headers],[#Data],[Placa]:[Rutina]],9,FALSE)),"-")</f>
        <v>-</v>
      </c>
      <c r="AK217" s="20">
        <f>IFERROR((VLOOKUP(Tabla13[[#This Row],[ID]],[1]!Mtto_Pesv[[#Headers],[#Data],[Placa]:[Rutina]],10,FALSE)),0)</f>
        <v>0</v>
      </c>
      <c r="AL217" s="20">
        <f>IF(Tabla13[[#This Row],[Km Anterior]]=0,0,Tabla13[[#This Row],[Km Ejecut]]-Tabla13[[#This Row],[Km Anterior]])</f>
        <v>0</v>
      </c>
      <c r="AM217" s="20">
        <f>IFERROR((VLOOKUP(Tabla13[[#This Row],[ID]],[1]!Mtto_Pesv[[#Headers],[#Data],[Placa]:[Rutina]],4,FALSE)),0)</f>
        <v>0</v>
      </c>
      <c r="AN217" s="21">
        <f>IFERROR((VLOOKUP(Tabla13[[#This Row],[ID]],[1]!Mtto_Pesv[[#Headers],[#Data],[Placa]:[Rutina]],5,FALSE)),0)</f>
        <v>0</v>
      </c>
      <c r="AO217" s="21">
        <f>+Tabla13[[#This Row],[Km Fin]]-Tabla13[[#This Row],[Km Ini]]</f>
        <v>0</v>
      </c>
      <c r="AP217" s="20">
        <f>IFERROR((VLOOKUP(Tabla13[[#This Row],[ID]],[1]!Estilo_Conduccion[[#All],[Placa]:[Puntuacion]],15,FALSE)),0)</f>
        <v>0</v>
      </c>
      <c r="AQ217" s="15" t="s">
        <v>1069</v>
      </c>
      <c r="AR217" s="15" t="s">
        <v>376</v>
      </c>
      <c r="AS217" s="20">
        <v>1585</v>
      </c>
      <c r="AT217" s="21">
        <v>0</v>
      </c>
      <c r="AU217" s="21">
        <f>(Tabla13[[#This Row],[Cap Vh]]*$AX$2)*0.56</f>
        <v>0</v>
      </c>
      <c r="AV217" s="36" t="e">
        <f>(Tabla13[[#This Row],[Cap Util (kg)]]/(Tabla13[[#This Row],[Cap Inst (Kg)]]))</f>
        <v>#DIV/0!</v>
      </c>
    </row>
    <row r="218" spans="1:48" x14ac:dyDescent="0.25">
      <c r="A218" s="13" t="s">
        <v>1068</v>
      </c>
      <c r="B218" s="14" t="s">
        <v>377</v>
      </c>
      <c r="C218" s="14" t="s">
        <v>44</v>
      </c>
      <c r="D218" s="14" t="s">
        <v>44</v>
      </c>
      <c r="E218" s="14" t="s">
        <v>63</v>
      </c>
      <c r="F218" s="14" t="s">
        <v>46</v>
      </c>
      <c r="G218" s="15" t="s">
        <v>47</v>
      </c>
      <c r="H218" s="16" t="s">
        <v>48</v>
      </c>
      <c r="I218" s="14" t="s">
        <v>49</v>
      </c>
      <c r="J218" s="14">
        <v>830064700</v>
      </c>
      <c r="K218" s="14" t="s">
        <v>50</v>
      </c>
      <c r="L218" s="14" t="s">
        <v>103</v>
      </c>
      <c r="M218" s="14" t="s">
        <v>104</v>
      </c>
      <c r="N218" s="14">
        <v>2012</v>
      </c>
      <c r="O218" s="14">
        <v>8</v>
      </c>
      <c r="P218" s="14" t="s">
        <v>53</v>
      </c>
      <c r="Q218" s="14">
        <v>0</v>
      </c>
      <c r="R218" s="14">
        <v>0</v>
      </c>
      <c r="S218" s="17" t="s">
        <v>54</v>
      </c>
      <c r="T218" s="18">
        <v>0</v>
      </c>
      <c r="U218" s="14">
        <v>30</v>
      </c>
      <c r="V218" s="19">
        <v>1</v>
      </c>
      <c r="W218" s="14">
        <v>0</v>
      </c>
      <c r="X218" s="14">
        <v>0</v>
      </c>
      <c r="Y218" s="14">
        <v>0</v>
      </c>
      <c r="Z218" s="14">
        <v>0</v>
      </c>
      <c r="AA218" s="14">
        <f>Tabla13[[#This Row],[CheckList App]]+Tabla13[[#This Row],[CheckList Fisc]]</f>
        <v>0</v>
      </c>
      <c r="AB218" s="19">
        <f t="shared" si="3"/>
        <v>0</v>
      </c>
      <c r="AC218" s="14">
        <v>0</v>
      </c>
      <c r="AD218" s="14" t="s">
        <v>55</v>
      </c>
      <c r="AE218" s="15" t="str">
        <f>IFERROR((VLOOKUP(Tabla13[[#This Row],[ID]],[1]!Mtto_Pesv[[#Headers],[#Data],[Placa]:[Rutina]],2,FALSE)),"-")</f>
        <v>-</v>
      </c>
      <c r="AF218" s="14">
        <v>0</v>
      </c>
      <c r="AG218" s="20">
        <f>IFERROR((VLOOKUP(Tabla13[[#This Row],[ID]],[1]!Mtto_Pesv[[#Headers],[#Data],[Placa]:[Rutina]],3,FALSE)),0)</f>
        <v>0</v>
      </c>
      <c r="AH218" s="20">
        <f>IFERROR((VLOOKUP(Tabla13[[#This Row],[ID]],[1]!Mtto_Pesv[[#Headers],[#Data],[Placa]:[Rutina]],7,FALSE)),0)</f>
        <v>0</v>
      </c>
      <c r="AI218" s="20">
        <f>IFERROR((VLOOKUP(Tabla13[[#This Row],[ID]],[1]!Mtto_Pesv[[#Headers],[#Data],[Placa]:[Rutina]],8,FALSE)),0)</f>
        <v>0</v>
      </c>
      <c r="AJ218" s="20" t="str">
        <f>IFERROR((VLOOKUP(Tabla13[[#This Row],[ID]],[1]!Mtto_Pesv[[#Headers],[#Data],[Placa]:[Rutina]],9,FALSE)),"-")</f>
        <v>-</v>
      </c>
      <c r="AK218" s="20">
        <f>IFERROR((VLOOKUP(Tabla13[[#This Row],[ID]],[1]!Mtto_Pesv[[#Headers],[#Data],[Placa]:[Rutina]],10,FALSE)),0)</f>
        <v>0</v>
      </c>
      <c r="AL218" s="20">
        <f>IF(Tabla13[[#This Row],[Km Anterior]]=0,0,Tabla13[[#This Row],[Km Ejecut]]-Tabla13[[#This Row],[Km Anterior]])</f>
        <v>0</v>
      </c>
      <c r="AM218" s="20">
        <f>IFERROR((VLOOKUP(Tabla13[[#This Row],[ID]],[1]!Mtto_Pesv[[#Headers],[#Data],[Placa]:[Rutina]],4,FALSE)),0)</f>
        <v>0</v>
      </c>
      <c r="AN218" s="21">
        <f>IFERROR((VLOOKUP(Tabla13[[#This Row],[ID]],[1]!Mtto_Pesv[[#Headers],[#Data],[Placa]:[Rutina]],5,FALSE)),0)</f>
        <v>0</v>
      </c>
      <c r="AO218" s="21">
        <f>+Tabla13[[#This Row],[Km Fin]]-Tabla13[[#This Row],[Km Ini]]</f>
        <v>0</v>
      </c>
      <c r="AP218" s="20">
        <f>IFERROR((VLOOKUP(Tabla13[[#This Row],[ID]],[1]!Estilo_Conduccion[[#All],[Placa]:[Puntuacion]],15,FALSE)),0)</f>
        <v>0</v>
      </c>
      <c r="AQ218" s="15" t="s">
        <v>1074</v>
      </c>
      <c r="AR218" s="15" t="s">
        <v>1075</v>
      </c>
      <c r="AS218" s="20">
        <v>1600</v>
      </c>
      <c r="AT218" s="21">
        <v>1990.7142857142858</v>
      </c>
      <c r="AU218" s="21">
        <f>(Tabla13[[#This Row],[Cap Vh]]*$AX$2)*0.56</f>
        <v>0</v>
      </c>
      <c r="AV218" s="36" t="e">
        <f>(Tabla13[[#This Row],[Cap Util (kg)]]/(Tabla13[[#This Row],[Cap Inst (Kg)]]))</f>
        <v>#DIV/0!</v>
      </c>
    </row>
    <row r="219" spans="1:48" x14ac:dyDescent="0.25">
      <c r="A219" s="13" t="s">
        <v>1068</v>
      </c>
      <c r="B219" s="14" t="s">
        <v>378</v>
      </c>
      <c r="C219" s="14" t="s">
        <v>44</v>
      </c>
      <c r="D219" s="14" t="s">
        <v>44</v>
      </c>
      <c r="E219" s="14" t="s">
        <v>45</v>
      </c>
      <c r="F219" s="14" t="s">
        <v>46</v>
      </c>
      <c r="G219" s="15" t="s">
        <v>47</v>
      </c>
      <c r="H219" s="16" t="s">
        <v>48</v>
      </c>
      <c r="I219" s="14" t="s">
        <v>49</v>
      </c>
      <c r="J219" s="14">
        <v>830064700</v>
      </c>
      <c r="K219" s="14" t="s">
        <v>50</v>
      </c>
      <c r="L219" s="14" t="s">
        <v>103</v>
      </c>
      <c r="M219" s="14" t="s">
        <v>104</v>
      </c>
      <c r="N219" s="14">
        <v>2012</v>
      </c>
      <c r="O219" s="14">
        <v>8</v>
      </c>
      <c r="P219" s="14" t="s">
        <v>53</v>
      </c>
      <c r="Q219" s="14">
        <v>0</v>
      </c>
      <c r="R219" s="14">
        <v>0</v>
      </c>
      <c r="S219" s="17" t="s">
        <v>54</v>
      </c>
      <c r="T219" s="18">
        <v>0</v>
      </c>
      <c r="U219" s="14">
        <v>30</v>
      </c>
      <c r="V219" s="19">
        <v>1</v>
      </c>
      <c r="W219" s="14">
        <v>0</v>
      </c>
      <c r="X219" s="14">
        <v>0</v>
      </c>
      <c r="Y219" s="14">
        <v>0</v>
      </c>
      <c r="Z219" s="14">
        <v>0</v>
      </c>
      <c r="AA219" s="14">
        <f>Tabla13[[#This Row],[CheckList App]]+Tabla13[[#This Row],[CheckList Fisc]]</f>
        <v>0</v>
      </c>
      <c r="AB219" s="19">
        <f t="shared" si="3"/>
        <v>0</v>
      </c>
      <c r="AC219" s="14">
        <v>0</v>
      </c>
      <c r="AD219" s="14" t="s">
        <v>70</v>
      </c>
      <c r="AE219" s="15" t="str">
        <f>IFERROR((VLOOKUP(Tabla13[[#This Row],[ID]],[1]!Mtto_Pesv[[#Headers],[#Data],[Placa]:[Rutina]],2,FALSE)),"-")</f>
        <v>-</v>
      </c>
      <c r="AF219" s="14">
        <v>1</v>
      </c>
      <c r="AG219" s="20">
        <f>IFERROR((VLOOKUP(Tabla13[[#This Row],[ID]],[1]!Mtto_Pesv[[#Headers],[#Data],[Placa]:[Rutina]],3,FALSE)),0)</f>
        <v>0</v>
      </c>
      <c r="AH219" s="20">
        <f>IFERROR((VLOOKUP(Tabla13[[#This Row],[ID]],[1]!Mtto_Pesv[[#Headers],[#Data],[Placa]:[Rutina]],7,FALSE)),0)</f>
        <v>0</v>
      </c>
      <c r="AI219" s="20">
        <f>IFERROR((VLOOKUP(Tabla13[[#This Row],[ID]],[1]!Mtto_Pesv[[#Headers],[#Data],[Placa]:[Rutina]],8,FALSE)),0)</f>
        <v>0</v>
      </c>
      <c r="AJ219" s="20" t="str">
        <f>IFERROR((VLOOKUP(Tabla13[[#This Row],[ID]],[1]!Mtto_Pesv[[#Headers],[#Data],[Placa]:[Rutina]],9,FALSE)),"-")</f>
        <v>-</v>
      </c>
      <c r="AK219" s="20">
        <f>IFERROR((VLOOKUP(Tabla13[[#This Row],[ID]],[1]!Mtto_Pesv[[#Headers],[#Data],[Placa]:[Rutina]],10,FALSE)),0)</f>
        <v>0</v>
      </c>
      <c r="AL219" s="20">
        <f>IF(Tabla13[[#This Row],[Km Anterior]]=0,0,Tabla13[[#This Row],[Km Ejecut]]-Tabla13[[#This Row],[Km Anterior]])</f>
        <v>0</v>
      </c>
      <c r="AM219" s="20">
        <f>IFERROR((VLOOKUP(Tabla13[[#This Row],[ID]],[1]!Mtto_Pesv[[#Headers],[#Data],[Placa]:[Rutina]],4,FALSE)),0)</f>
        <v>0</v>
      </c>
      <c r="AN219" s="21">
        <f>IFERROR((VLOOKUP(Tabla13[[#This Row],[ID]],[1]!Mtto_Pesv[[#Headers],[#Data],[Placa]:[Rutina]],5,FALSE)),0)</f>
        <v>0</v>
      </c>
      <c r="AO219" s="21">
        <f>+Tabla13[[#This Row],[Km Fin]]-Tabla13[[#This Row],[Km Ini]]</f>
        <v>0</v>
      </c>
      <c r="AP219" s="20">
        <f>IFERROR((VLOOKUP(Tabla13[[#This Row],[ID]],[1]!Estilo_Conduccion[[#All],[Placa]:[Puntuacion]],15,FALSE)),0)</f>
        <v>0</v>
      </c>
      <c r="AQ219" s="15" t="s">
        <v>1141</v>
      </c>
      <c r="AR219" s="15" t="s">
        <v>1142</v>
      </c>
      <c r="AS219" s="20">
        <v>1600</v>
      </c>
      <c r="AT219" s="21">
        <v>525.75</v>
      </c>
      <c r="AU219" s="21">
        <f>(Tabla13[[#This Row],[Cap Vh]]*$AX$2)*0.56</f>
        <v>0</v>
      </c>
      <c r="AV219" s="36" t="e">
        <f>(Tabla13[[#This Row],[Cap Util (kg)]]/(Tabla13[[#This Row],[Cap Inst (Kg)]]))</f>
        <v>#DIV/0!</v>
      </c>
    </row>
    <row r="220" spans="1:48" x14ac:dyDescent="0.25">
      <c r="A220" s="13" t="s">
        <v>1068</v>
      </c>
      <c r="B220" s="14" t="s">
        <v>379</v>
      </c>
      <c r="C220" s="14" t="s">
        <v>44</v>
      </c>
      <c r="D220" s="14" t="s">
        <v>44</v>
      </c>
      <c r="E220" s="14" t="s">
        <v>45</v>
      </c>
      <c r="F220" s="14" t="s">
        <v>46</v>
      </c>
      <c r="G220" s="15" t="s">
        <v>47</v>
      </c>
      <c r="H220" s="16" t="s">
        <v>48</v>
      </c>
      <c r="I220" s="14" t="s">
        <v>49</v>
      </c>
      <c r="J220" s="14">
        <v>830064700</v>
      </c>
      <c r="K220" s="14" t="s">
        <v>50</v>
      </c>
      <c r="L220" s="14" t="s">
        <v>103</v>
      </c>
      <c r="M220" s="14" t="s">
        <v>104</v>
      </c>
      <c r="N220" s="14">
        <v>2012</v>
      </c>
      <c r="O220" s="14">
        <v>8</v>
      </c>
      <c r="P220" s="14" t="s">
        <v>53</v>
      </c>
      <c r="Q220" s="14">
        <v>0</v>
      </c>
      <c r="R220" s="14">
        <v>0</v>
      </c>
      <c r="S220" s="17" t="s">
        <v>54</v>
      </c>
      <c r="T220" s="18">
        <v>0</v>
      </c>
      <c r="U220" s="14">
        <v>30</v>
      </c>
      <c r="V220" s="19">
        <v>1</v>
      </c>
      <c r="W220" s="14">
        <v>0</v>
      </c>
      <c r="X220" s="14">
        <v>26</v>
      </c>
      <c r="Y220" s="14">
        <v>4</v>
      </c>
      <c r="Z220" s="14">
        <v>0</v>
      </c>
      <c r="AA220" s="14">
        <f>Tabla13[[#This Row],[CheckList App]]+Tabla13[[#This Row],[CheckList Fisc]]</f>
        <v>4</v>
      </c>
      <c r="AB220" s="19">
        <f t="shared" si="3"/>
        <v>0.15384615384615385</v>
      </c>
      <c r="AC220" s="14">
        <v>0</v>
      </c>
      <c r="AD220" s="14" t="s">
        <v>55</v>
      </c>
      <c r="AE220" s="15" t="str">
        <f>IFERROR((VLOOKUP(Tabla13[[#This Row],[ID]],[1]!Mtto_Pesv[[#Headers],[#Data],[Placa]:[Rutina]],2,FALSE)),"-")</f>
        <v>-</v>
      </c>
      <c r="AF220" s="14">
        <v>0</v>
      </c>
      <c r="AG220" s="20">
        <f>IFERROR((VLOOKUP(Tabla13[[#This Row],[ID]],[1]!Mtto_Pesv[[#Headers],[#Data],[Placa]:[Rutina]],3,FALSE)),0)</f>
        <v>0</v>
      </c>
      <c r="AH220" s="20">
        <f>IFERROR((VLOOKUP(Tabla13[[#This Row],[ID]],[1]!Mtto_Pesv[[#Headers],[#Data],[Placa]:[Rutina]],7,FALSE)),0)</f>
        <v>0</v>
      </c>
      <c r="AI220" s="20">
        <f>IFERROR((VLOOKUP(Tabla13[[#This Row],[ID]],[1]!Mtto_Pesv[[#Headers],[#Data],[Placa]:[Rutina]],8,FALSE)),0)</f>
        <v>0</v>
      </c>
      <c r="AJ220" s="20" t="str">
        <f>IFERROR((VLOOKUP(Tabla13[[#This Row],[ID]],[1]!Mtto_Pesv[[#Headers],[#Data],[Placa]:[Rutina]],9,FALSE)),"-")</f>
        <v>-</v>
      </c>
      <c r="AK220" s="20">
        <f>IFERROR((VLOOKUP(Tabla13[[#This Row],[ID]],[1]!Mtto_Pesv[[#Headers],[#Data],[Placa]:[Rutina]],10,FALSE)),0)</f>
        <v>0</v>
      </c>
      <c r="AL220" s="20">
        <f>IF(Tabla13[[#This Row],[Km Anterior]]=0,0,Tabla13[[#This Row],[Km Ejecut]]-Tabla13[[#This Row],[Km Anterior]])</f>
        <v>0</v>
      </c>
      <c r="AM220" s="20">
        <f>IFERROR((VLOOKUP(Tabla13[[#This Row],[ID]],[1]!Mtto_Pesv[[#Headers],[#Data],[Placa]:[Rutina]],4,FALSE)),0)</f>
        <v>0</v>
      </c>
      <c r="AN220" s="21">
        <f>IFERROR((VLOOKUP(Tabla13[[#This Row],[ID]],[1]!Mtto_Pesv[[#Headers],[#Data],[Placa]:[Rutina]],5,FALSE)),0)</f>
        <v>0</v>
      </c>
      <c r="AO220" s="21">
        <f>+Tabla13[[#This Row],[Km Fin]]-Tabla13[[#This Row],[Km Ini]]</f>
        <v>0</v>
      </c>
      <c r="AP220" s="20">
        <f>IFERROR((VLOOKUP(Tabla13[[#This Row],[ID]],[1]!Estilo_Conduccion[[#All],[Placa]:[Puntuacion]],15,FALSE)),0)</f>
        <v>0</v>
      </c>
      <c r="AQ220" s="15" t="s">
        <v>1084</v>
      </c>
      <c r="AR220" s="15" t="s">
        <v>1085</v>
      </c>
      <c r="AS220" s="20">
        <v>1600</v>
      </c>
      <c r="AT220" s="21">
        <v>4974.8571428571431</v>
      </c>
      <c r="AU220" s="21">
        <f>(Tabla13[[#This Row],[Cap Vh]]*$AX$2)*0.56</f>
        <v>0</v>
      </c>
      <c r="AV220" s="36" t="e">
        <f>(Tabla13[[#This Row],[Cap Util (kg)]]/(Tabla13[[#This Row],[Cap Inst (Kg)]]))</f>
        <v>#DIV/0!</v>
      </c>
    </row>
    <row r="221" spans="1:48" x14ac:dyDescent="0.25">
      <c r="A221" s="13" t="s">
        <v>1068</v>
      </c>
      <c r="B221" s="14" t="s">
        <v>380</v>
      </c>
      <c r="C221" s="14" t="s">
        <v>44</v>
      </c>
      <c r="D221" s="14" t="s">
        <v>44</v>
      </c>
      <c r="E221" s="14" t="s">
        <v>60</v>
      </c>
      <c r="F221" s="14" t="s">
        <v>46</v>
      </c>
      <c r="G221" s="15" t="s">
        <v>47</v>
      </c>
      <c r="H221" s="16" t="s">
        <v>48</v>
      </c>
      <c r="I221" s="14" t="s">
        <v>49</v>
      </c>
      <c r="J221" s="14">
        <v>830064700</v>
      </c>
      <c r="K221" s="14" t="s">
        <v>50</v>
      </c>
      <c r="L221" s="14" t="s">
        <v>103</v>
      </c>
      <c r="M221" s="14" t="s">
        <v>104</v>
      </c>
      <c r="N221" s="14">
        <v>2012</v>
      </c>
      <c r="O221" s="14">
        <v>8</v>
      </c>
      <c r="P221" s="14" t="s">
        <v>53</v>
      </c>
      <c r="Q221" s="14">
        <v>0</v>
      </c>
      <c r="R221" s="14">
        <v>0</v>
      </c>
      <c r="S221" s="17" t="s">
        <v>54</v>
      </c>
      <c r="T221" s="18">
        <v>0</v>
      </c>
      <c r="U221" s="14">
        <v>30</v>
      </c>
      <c r="V221" s="19">
        <v>1</v>
      </c>
      <c r="W221" s="14">
        <v>0</v>
      </c>
      <c r="X221" s="14">
        <v>0</v>
      </c>
      <c r="Y221" s="14">
        <v>0</v>
      </c>
      <c r="Z221" s="14">
        <v>0</v>
      </c>
      <c r="AA221" s="14">
        <f>Tabla13[[#This Row],[CheckList App]]+Tabla13[[#This Row],[CheckList Fisc]]</f>
        <v>0</v>
      </c>
      <c r="AB221" s="19">
        <f t="shared" si="3"/>
        <v>0</v>
      </c>
      <c r="AC221" s="14">
        <v>0</v>
      </c>
      <c r="AD221" s="14" t="s">
        <v>55</v>
      </c>
      <c r="AE221" s="15" t="str">
        <f>IFERROR((VLOOKUP(Tabla13[[#This Row],[ID]],[1]!Mtto_Pesv[[#Headers],[#Data],[Placa]:[Rutina]],2,FALSE)),"-")</f>
        <v>-</v>
      </c>
      <c r="AF221" s="14">
        <v>0</v>
      </c>
      <c r="AG221" s="20">
        <f>IFERROR((VLOOKUP(Tabla13[[#This Row],[ID]],[1]!Mtto_Pesv[[#Headers],[#Data],[Placa]:[Rutina]],3,FALSE)),0)</f>
        <v>0</v>
      </c>
      <c r="AH221" s="20">
        <f>IFERROR((VLOOKUP(Tabla13[[#This Row],[ID]],[1]!Mtto_Pesv[[#Headers],[#Data],[Placa]:[Rutina]],7,FALSE)),0)</f>
        <v>0</v>
      </c>
      <c r="AI221" s="20">
        <f>IFERROR((VLOOKUP(Tabla13[[#This Row],[ID]],[1]!Mtto_Pesv[[#Headers],[#Data],[Placa]:[Rutina]],8,FALSE)),0)</f>
        <v>0</v>
      </c>
      <c r="AJ221" s="20" t="str">
        <f>IFERROR((VLOOKUP(Tabla13[[#This Row],[ID]],[1]!Mtto_Pesv[[#Headers],[#Data],[Placa]:[Rutina]],9,FALSE)),"-")</f>
        <v>-</v>
      </c>
      <c r="AK221" s="20">
        <f>IFERROR((VLOOKUP(Tabla13[[#This Row],[ID]],[1]!Mtto_Pesv[[#Headers],[#Data],[Placa]:[Rutina]],10,FALSE)),0)</f>
        <v>0</v>
      </c>
      <c r="AL221" s="20">
        <f>IF(Tabla13[[#This Row],[Km Anterior]]=0,0,Tabla13[[#This Row],[Km Ejecut]]-Tabla13[[#This Row],[Km Anterior]])</f>
        <v>0</v>
      </c>
      <c r="AM221" s="20">
        <f>IFERROR((VLOOKUP(Tabla13[[#This Row],[ID]],[1]!Mtto_Pesv[[#Headers],[#Data],[Placa]:[Rutina]],4,FALSE)),0)</f>
        <v>0</v>
      </c>
      <c r="AN221" s="21">
        <f>IFERROR((VLOOKUP(Tabla13[[#This Row],[ID]],[1]!Mtto_Pesv[[#Headers],[#Data],[Placa]:[Rutina]],5,FALSE)),0)</f>
        <v>0</v>
      </c>
      <c r="AO221" s="21">
        <f>+Tabla13[[#This Row],[Km Fin]]-Tabla13[[#This Row],[Km Ini]]</f>
        <v>0</v>
      </c>
      <c r="AP221" s="20">
        <f>IFERROR((VLOOKUP(Tabla13[[#This Row],[ID]],[1]!Estilo_Conduccion[[#All],[Placa]:[Puntuacion]],15,FALSE)),0)</f>
        <v>0</v>
      </c>
      <c r="AQ221" s="15" t="s">
        <v>1082</v>
      </c>
      <c r="AR221" s="15" t="s">
        <v>1083</v>
      </c>
      <c r="AS221" s="20">
        <v>1585</v>
      </c>
      <c r="AT221" s="21">
        <v>2634.1875</v>
      </c>
      <c r="AU221" s="21">
        <f>(Tabla13[[#This Row],[Cap Vh]]*$AX$2)*0.56</f>
        <v>0</v>
      </c>
      <c r="AV221" s="36" t="e">
        <f>(Tabla13[[#This Row],[Cap Util (kg)]]/(Tabla13[[#This Row],[Cap Inst (Kg)]]))</f>
        <v>#DIV/0!</v>
      </c>
    </row>
    <row r="222" spans="1:48" x14ac:dyDescent="0.25">
      <c r="A222" s="13" t="s">
        <v>1068</v>
      </c>
      <c r="B222" s="14" t="s">
        <v>381</v>
      </c>
      <c r="C222" s="14" t="s">
        <v>44</v>
      </c>
      <c r="D222" s="14" t="s">
        <v>44</v>
      </c>
      <c r="E222" s="14" t="s">
        <v>247</v>
      </c>
      <c r="F222" s="14" t="s">
        <v>64</v>
      </c>
      <c r="G222" s="15" t="s">
        <v>65</v>
      </c>
      <c r="H222" s="16" t="s">
        <v>120</v>
      </c>
      <c r="I222" s="14" t="s">
        <v>49</v>
      </c>
      <c r="J222" s="14">
        <v>830064700</v>
      </c>
      <c r="K222" s="14" t="s">
        <v>50</v>
      </c>
      <c r="L222" s="14" t="s">
        <v>103</v>
      </c>
      <c r="M222" s="14" t="s">
        <v>104</v>
      </c>
      <c r="N222" s="14">
        <v>2012</v>
      </c>
      <c r="O222" s="14">
        <v>8</v>
      </c>
      <c r="P222" s="14" t="s">
        <v>53</v>
      </c>
      <c r="Q222" s="14">
        <v>0</v>
      </c>
      <c r="R222" s="14">
        <v>0</v>
      </c>
      <c r="S222" s="17" t="s">
        <v>54</v>
      </c>
      <c r="T222" s="18">
        <v>0</v>
      </c>
      <c r="U222" s="14">
        <v>0</v>
      </c>
      <c r="V222" s="19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f>Tabla13[[#This Row],[CheckList App]]+Tabla13[[#This Row],[CheckList Fisc]]</f>
        <v>0</v>
      </c>
      <c r="AB222" s="19" t="str">
        <f t="shared" si="3"/>
        <v/>
      </c>
      <c r="AC222" s="14">
        <v>0</v>
      </c>
      <c r="AD222" s="14" t="s">
        <v>55</v>
      </c>
      <c r="AE222" s="15" t="str">
        <f>IFERROR((VLOOKUP(Tabla13[[#This Row],[ID]],[1]!Mtto_Pesv[[#Headers],[#Data],[Placa]:[Rutina]],2,FALSE)),"-")</f>
        <v>-</v>
      </c>
      <c r="AF222" s="14">
        <v>0</v>
      </c>
      <c r="AG222" s="20">
        <f>IFERROR((VLOOKUP(Tabla13[[#This Row],[ID]],[1]!Mtto_Pesv[[#Headers],[#Data],[Placa]:[Rutina]],3,FALSE)),0)</f>
        <v>0</v>
      </c>
      <c r="AH222" s="20">
        <f>IFERROR((VLOOKUP(Tabla13[[#This Row],[ID]],[1]!Mtto_Pesv[[#Headers],[#Data],[Placa]:[Rutina]],7,FALSE)),0)</f>
        <v>0</v>
      </c>
      <c r="AI222" s="20">
        <f>IFERROR((VLOOKUP(Tabla13[[#This Row],[ID]],[1]!Mtto_Pesv[[#Headers],[#Data],[Placa]:[Rutina]],8,FALSE)),0)</f>
        <v>0</v>
      </c>
      <c r="AJ222" s="20" t="str">
        <f>IFERROR((VLOOKUP(Tabla13[[#This Row],[ID]],[1]!Mtto_Pesv[[#Headers],[#Data],[Placa]:[Rutina]],9,FALSE)),"-")</f>
        <v>-</v>
      </c>
      <c r="AK222" s="20">
        <f>IFERROR((VLOOKUP(Tabla13[[#This Row],[ID]],[1]!Mtto_Pesv[[#Headers],[#Data],[Placa]:[Rutina]],10,FALSE)),0)</f>
        <v>0</v>
      </c>
      <c r="AL222" s="20">
        <f>IF(Tabla13[[#This Row],[Km Anterior]]=0,0,Tabla13[[#This Row],[Km Ejecut]]-Tabla13[[#This Row],[Km Anterior]])</f>
        <v>0</v>
      </c>
      <c r="AM222" s="20">
        <f>IFERROR((VLOOKUP(Tabla13[[#This Row],[ID]],[1]!Mtto_Pesv[[#Headers],[#Data],[Placa]:[Rutina]],4,FALSE)),0)</f>
        <v>0</v>
      </c>
      <c r="AN222" s="21">
        <f>IFERROR((VLOOKUP(Tabla13[[#This Row],[ID]],[1]!Mtto_Pesv[[#Headers],[#Data],[Placa]:[Rutina]],5,FALSE)),0)</f>
        <v>0</v>
      </c>
      <c r="AO222" s="21">
        <f>+Tabla13[[#This Row],[Km Fin]]-Tabla13[[#This Row],[Km Ini]]</f>
        <v>0</v>
      </c>
      <c r="AP222" s="20">
        <f>IFERROR((VLOOKUP(Tabla13[[#This Row],[ID]],[1]!Estilo_Conduccion[[#All],[Placa]:[Puntuacion]],15,FALSE)),0)</f>
        <v>0</v>
      </c>
      <c r="AQ222" s="15" t="s">
        <v>54</v>
      </c>
      <c r="AR222" s="15" t="s">
        <v>54</v>
      </c>
      <c r="AS222" s="20">
        <v>1585</v>
      </c>
      <c r="AT222" s="21">
        <v>0</v>
      </c>
      <c r="AU222" s="21">
        <f>(Tabla13[[#This Row],[Cap Vh]]*$AX$2)*0.56</f>
        <v>0</v>
      </c>
      <c r="AV222" s="36" t="e">
        <f>(Tabla13[[#This Row],[Cap Util (kg)]]/(Tabla13[[#This Row],[Cap Inst (Kg)]]))</f>
        <v>#DIV/0!</v>
      </c>
    </row>
    <row r="223" spans="1:48" x14ac:dyDescent="0.25">
      <c r="A223" s="13" t="s">
        <v>1068</v>
      </c>
      <c r="B223" s="14" t="s">
        <v>382</v>
      </c>
      <c r="C223" s="14" t="s">
        <v>44</v>
      </c>
      <c r="D223" s="14" t="s">
        <v>44</v>
      </c>
      <c r="E223" s="14" t="s">
        <v>45</v>
      </c>
      <c r="F223" s="14" t="s">
        <v>46</v>
      </c>
      <c r="G223" s="15" t="s">
        <v>47</v>
      </c>
      <c r="H223" s="16" t="s">
        <v>48</v>
      </c>
      <c r="I223" s="14" t="s">
        <v>49</v>
      </c>
      <c r="J223" s="14">
        <v>830064700</v>
      </c>
      <c r="K223" s="14" t="s">
        <v>50</v>
      </c>
      <c r="L223" s="14" t="s">
        <v>103</v>
      </c>
      <c r="M223" s="14" t="s">
        <v>104</v>
      </c>
      <c r="N223" s="14">
        <v>2012</v>
      </c>
      <c r="O223" s="14">
        <v>8</v>
      </c>
      <c r="P223" s="14" t="s">
        <v>53</v>
      </c>
      <c r="Q223" s="14">
        <v>0</v>
      </c>
      <c r="R223" s="14">
        <v>0</v>
      </c>
      <c r="S223" s="17" t="s">
        <v>54</v>
      </c>
      <c r="T223" s="18">
        <v>0</v>
      </c>
      <c r="U223" s="14">
        <v>30</v>
      </c>
      <c r="V223" s="19">
        <v>1</v>
      </c>
      <c r="W223" s="14">
        <v>0</v>
      </c>
      <c r="X223" s="14">
        <v>0</v>
      </c>
      <c r="Y223" s="14">
        <v>0</v>
      </c>
      <c r="Z223" s="14">
        <v>0</v>
      </c>
      <c r="AA223" s="14">
        <f>Tabla13[[#This Row],[CheckList App]]+Tabla13[[#This Row],[CheckList Fisc]]</f>
        <v>0</v>
      </c>
      <c r="AB223" s="19">
        <f t="shared" si="3"/>
        <v>0</v>
      </c>
      <c r="AC223" s="14">
        <v>0</v>
      </c>
      <c r="AD223" s="14" t="s">
        <v>55</v>
      </c>
      <c r="AE223" s="15" t="str">
        <f>IFERROR((VLOOKUP(Tabla13[[#This Row],[ID]],[1]!Mtto_Pesv[[#Headers],[#Data],[Placa]:[Rutina]],2,FALSE)),"-")</f>
        <v>-</v>
      </c>
      <c r="AF223" s="14">
        <v>0</v>
      </c>
      <c r="AG223" s="20">
        <f>IFERROR((VLOOKUP(Tabla13[[#This Row],[ID]],[1]!Mtto_Pesv[[#Headers],[#Data],[Placa]:[Rutina]],3,FALSE)),0)</f>
        <v>0</v>
      </c>
      <c r="AH223" s="20">
        <f>IFERROR((VLOOKUP(Tabla13[[#This Row],[ID]],[1]!Mtto_Pesv[[#Headers],[#Data],[Placa]:[Rutina]],7,FALSE)),0)</f>
        <v>0</v>
      </c>
      <c r="AI223" s="20">
        <f>IFERROR((VLOOKUP(Tabla13[[#This Row],[ID]],[1]!Mtto_Pesv[[#Headers],[#Data],[Placa]:[Rutina]],8,FALSE)),0)</f>
        <v>0</v>
      </c>
      <c r="AJ223" s="20" t="str">
        <f>IFERROR((VLOOKUP(Tabla13[[#This Row],[ID]],[1]!Mtto_Pesv[[#Headers],[#Data],[Placa]:[Rutina]],9,FALSE)),"-")</f>
        <v>-</v>
      </c>
      <c r="AK223" s="20">
        <f>IFERROR((VLOOKUP(Tabla13[[#This Row],[ID]],[1]!Mtto_Pesv[[#Headers],[#Data],[Placa]:[Rutina]],10,FALSE)),0)</f>
        <v>0</v>
      </c>
      <c r="AL223" s="20">
        <f>IF(Tabla13[[#This Row],[Km Anterior]]=0,0,Tabla13[[#This Row],[Km Ejecut]]-Tabla13[[#This Row],[Km Anterior]])</f>
        <v>0</v>
      </c>
      <c r="AM223" s="20">
        <f>IFERROR((VLOOKUP(Tabla13[[#This Row],[ID]],[1]!Mtto_Pesv[[#Headers],[#Data],[Placa]:[Rutina]],4,FALSE)),0)</f>
        <v>0</v>
      </c>
      <c r="AN223" s="21">
        <f>IFERROR((VLOOKUP(Tabla13[[#This Row],[ID]],[1]!Mtto_Pesv[[#Headers],[#Data],[Placa]:[Rutina]],5,FALSE)),0)</f>
        <v>0</v>
      </c>
      <c r="AO223" s="21">
        <f>+Tabla13[[#This Row],[Km Fin]]-Tabla13[[#This Row],[Km Ini]]</f>
        <v>0</v>
      </c>
      <c r="AP223" s="20">
        <f>IFERROR((VLOOKUP(Tabla13[[#This Row],[ID]],[1]!Estilo_Conduccion[[#All],[Placa]:[Puntuacion]],15,FALSE)),0)</f>
        <v>0</v>
      </c>
      <c r="AQ223" s="15" t="s">
        <v>1185</v>
      </c>
      <c r="AR223" s="15" t="s">
        <v>1186</v>
      </c>
      <c r="AS223" s="20">
        <v>1585</v>
      </c>
      <c r="AT223" s="21">
        <v>5956.5</v>
      </c>
      <c r="AU223" s="21">
        <f>(Tabla13[[#This Row],[Cap Vh]]*$AX$2)*0.56</f>
        <v>0</v>
      </c>
      <c r="AV223" s="36" t="e">
        <f>(Tabla13[[#This Row],[Cap Util (kg)]]/(Tabla13[[#This Row],[Cap Inst (Kg)]]))</f>
        <v>#DIV/0!</v>
      </c>
    </row>
    <row r="224" spans="1:48" x14ac:dyDescent="0.25">
      <c r="A224" s="13" t="s">
        <v>1068</v>
      </c>
      <c r="B224" s="14" t="s">
        <v>383</v>
      </c>
      <c r="C224" s="14" t="s">
        <v>44</v>
      </c>
      <c r="D224" s="14" t="s">
        <v>44</v>
      </c>
      <c r="E224" s="14" t="s">
        <v>45</v>
      </c>
      <c r="F224" s="14" t="s">
        <v>46</v>
      </c>
      <c r="G224" s="15" t="s">
        <v>47</v>
      </c>
      <c r="H224" s="16" t="s">
        <v>48</v>
      </c>
      <c r="I224" s="14" t="s">
        <v>49</v>
      </c>
      <c r="J224" s="14">
        <v>830064700</v>
      </c>
      <c r="K224" s="14" t="s">
        <v>50</v>
      </c>
      <c r="L224" s="14" t="s">
        <v>103</v>
      </c>
      <c r="M224" s="14" t="s">
        <v>121</v>
      </c>
      <c r="N224" s="14">
        <v>2012</v>
      </c>
      <c r="O224" s="14">
        <v>8</v>
      </c>
      <c r="P224" s="14" t="s">
        <v>53</v>
      </c>
      <c r="Q224" s="14">
        <v>0</v>
      </c>
      <c r="R224" s="14">
        <v>0</v>
      </c>
      <c r="S224" s="17" t="s">
        <v>54</v>
      </c>
      <c r="T224" s="18">
        <v>0</v>
      </c>
      <c r="U224" s="14">
        <v>30</v>
      </c>
      <c r="V224" s="19">
        <v>1</v>
      </c>
      <c r="W224" s="14">
        <v>0</v>
      </c>
      <c r="X224" s="14">
        <v>26</v>
      </c>
      <c r="Y224" s="14">
        <v>21</v>
      </c>
      <c r="Z224" s="14">
        <v>0</v>
      </c>
      <c r="AA224" s="14">
        <f>Tabla13[[#This Row],[CheckList App]]+Tabla13[[#This Row],[CheckList Fisc]]</f>
        <v>21</v>
      </c>
      <c r="AB224" s="19">
        <f t="shared" si="3"/>
        <v>0.80769230769230771</v>
      </c>
      <c r="AC224" s="14">
        <v>0</v>
      </c>
      <c r="AD224" s="14" t="s">
        <v>70</v>
      </c>
      <c r="AE224" s="15" t="str">
        <f>IFERROR((VLOOKUP(Tabla13[[#This Row],[ID]],[1]!Mtto_Pesv[[#Headers],[#Data],[Placa]:[Rutina]],2,FALSE)),"-")</f>
        <v>-</v>
      </c>
      <c r="AF224" s="14">
        <v>1</v>
      </c>
      <c r="AG224" s="20">
        <f>IFERROR((VLOOKUP(Tabla13[[#This Row],[ID]],[1]!Mtto_Pesv[[#Headers],[#Data],[Placa]:[Rutina]],3,FALSE)),0)</f>
        <v>0</v>
      </c>
      <c r="AH224" s="20">
        <f>IFERROR((VLOOKUP(Tabla13[[#This Row],[ID]],[1]!Mtto_Pesv[[#Headers],[#Data],[Placa]:[Rutina]],7,FALSE)),0)</f>
        <v>0</v>
      </c>
      <c r="AI224" s="20">
        <f>IFERROR((VLOOKUP(Tabla13[[#This Row],[ID]],[1]!Mtto_Pesv[[#Headers],[#Data],[Placa]:[Rutina]],8,FALSE)),0)</f>
        <v>0</v>
      </c>
      <c r="AJ224" s="20" t="str">
        <f>IFERROR((VLOOKUP(Tabla13[[#This Row],[ID]],[1]!Mtto_Pesv[[#Headers],[#Data],[Placa]:[Rutina]],9,FALSE)),"-")</f>
        <v>-</v>
      </c>
      <c r="AK224" s="20">
        <f>IFERROR((VLOOKUP(Tabla13[[#This Row],[ID]],[1]!Mtto_Pesv[[#Headers],[#Data],[Placa]:[Rutina]],10,FALSE)),0)</f>
        <v>0</v>
      </c>
      <c r="AL224" s="20">
        <f>IF(Tabla13[[#This Row],[Km Anterior]]=0,0,Tabla13[[#This Row],[Km Ejecut]]-Tabla13[[#This Row],[Km Anterior]])</f>
        <v>0</v>
      </c>
      <c r="AM224" s="20">
        <f>IFERROR((VLOOKUP(Tabla13[[#This Row],[ID]],[1]!Mtto_Pesv[[#Headers],[#Data],[Placa]:[Rutina]],4,FALSE)),0)</f>
        <v>0</v>
      </c>
      <c r="AN224" s="21">
        <f>IFERROR((VLOOKUP(Tabla13[[#This Row],[ID]],[1]!Mtto_Pesv[[#Headers],[#Data],[Placa]:[Rutina]],5,FALSE)),0)</f>
        <v>0</v>
      </c>
      <c r="AO224" s="21">
        <f>+Tabla13[[#This Row],[Km Fin]]-Tabla13[[#This Row],[Km Ini]]</f>
        <v>0</v>
      </c>
      <c r="AP224" s="20">
        <f>IFERROR((VLOOKUP(Tabla13[[#This Row],[ID]],[1]!Estilo_Conduccion[[#All],[Placa]:[Puntuacion]],15,FALSE)),0)</f>
        <v>0</v>
      </c>
      <c r="AQ224" s="15" t="s">
        <v>1084</v>
      </c>
      <c r="AR224" s="15" t="s">
        <v>1085</v>
      </c>
      <c r="AS224" s="20">
        <v>2900</v>
      </c>
      <c r="AT224" s="21">
        <v>4974.8571428571431</v>
      </c>
      <c r="AU224" s="21">
        <f>(Tabla13[[#This Row],[Cap Vh]]*$AX$2)*0.56</f>
        <v>0</v>
      </c>
      <c r="AV224" s="36" t="e">
        <f>(Tabla13[[#This Row],[Cap Util (kg)]]/(Tabla13[[#This Row],[Cap Inst (Kg)]]))</f>
        <v>#DIV/0!</v>
      </c>
    </row>
    <row r="225" spans="1:48" x14ac:dyDescent="0.25">
      <c r="A225" s="13" t="s">
        <v>1068</v>
      </c>
      <c r="B225" s="14" t="s">
        <v>384</v>
      </c>
      <c r="C225" s="14" t="s">
        <v>44</v>
      </c>
      <c r="D225" s="14" t="s">
        <v>44</v>
      </c>
      <c r="E225" s="14" t="s">
        <v>69</v>
      </c>
      <c r="F225" s="14" t="s">
        <v>46</v>
      </c>
      <c r="G225" s="15" t="s">
        <v>47</v>
      </c>
      <c r="H225" s="16" t="s">
        <v>48</v>
      </c>
      <c r="I225" s="14" t="s">
        <v>49</v>
      </c>
      <c r="J225" s="14">
        <v>830064700</v>
      </c>
      <c r="K225" s="14" t="s">
        <v>50</v>
      </c>
      <c r="L225" s="14" t="s">
        <v>103</v>
      </c>
      <c r="M225" s="14" t="s">
        <v>104</v>
      </c>
      <c r="N225" s="14">
        <v>2012</v>
      </c>
      <c r="O225" s="14">
        <v>8</v>
      </c>
      <c r="P225" s="14" t="s">
        <v>53</v>
      </c>
      <c r="Q225" s="14">
        <v>0</v>
      </c>
      <c r="R225" s="14">
        <v>0</v>
      </c>
      <c r="S225" s="17" t="s">
        <v>54</v>
      </c>
      <c r="T225" s="18">
        <v>0</v>
      </c>
      <c r="U225" s="14">
        <v>30</v>
      </c>
      <c r="V225" s="19">
        <v>1</v>
      </c>
      <c r="W225" s="14">
        <v>0</v>
      </c>
      <c r="X225" s="14">
        <v>26</v>
      </c>
      <c r="Y225" s="14">
        <v>5</v>
      </c>
      <c r="Z225" s="14">
        <v>0</v>
      </c>
      <c r="AA225" s="14">
        <f>Tabla13[[#This Row],[CheckList App]]+Tabla13[[#This Row],[CheckList Fisc]]</f>
        <v>5</v>
      </c>
      <c r="AB225" s="19">
        <f t="shared" si="3"/>
        <v>0.19230769230769232</v>
      </c>
      <c r="AC225" s="14">
        <v>32</v>
      </c>
      <c r="AD225" s="14" t="s">
        <v>55</v>
      </c>
      <c r="AE225" s="15" t="str">
        <f>IFERROR((VLOOKUP(Tabla13[[#This Row],[ID]],[1]!Mtto_Pesv[[#Headers],[#Data],[Placa]:[Rutina]],2,FALSE)),"-")</f>
        <v>-</v>
      </c>
      <c r="AF225" s="14">
        <v>0</v>
      </c>
      <c r="AG225" s="20">
        <f>IFERROR((VLOOKUP(Tabla13[[#This Row],[ID]],[1]!Mtto_Pesv[[#Headers],[#Data],[Placa]:[Rutina]],3,FALSE)),0)</f>
        <v>0</v>
      </c>
      <c r="AH225" s="20">
        <f>IFERROR((VLOOKUP(Tabla13[[#This Row],[ID]],[1]!Mtto_Pesv[[#Headers],[#Data],[Placa]:[Rutina]],7,FALSE)),0)</f>
        <v>0</v>
      </c>
      <c r="AI225" s="20">
        <f>IFERROR((VLOOKUP(Tabla13[[#This Row],[ID]],[1]!Mtto_Pesv[[#Headers],[#Data],[Placa]:[Rutina]],8,FALSE)),0)</f>
        <v>0</v>
      </c>
      <c r="AJ225" s="20" t="str">
        <f>IFERROR((VLOOKUP(Tabla13[[#This Row],[ID]],[1]!Mtto_Pesv[[#Headers],[#Data],[Placa]:[Rutina]],9,FALSE)),"-")</f>
        <v>-</v>
      </c>
      <c r="AK225" s="20">
        <f>IFERROR((VLOOKUP(Tabla13[[#This Row],[ID]],[1]!Mtto_Pesv[[#Headers],[#Data],[Placa]:[Rutina]],10,FALSE)),0)</f>
        <v>0</v>
      </c>
      <c r="AL225" s="20">
        <f>IF(Tabla13[[#This Row],[Km Anterior]]=0,0,Tabla13[[#This Row],[Km Ejecut]]-Tabla13[[#This Row],[Km Anterior]])</f>
        <v>0</v>
      </c>
      <c r="AM225" s="20">
        <f>IFERROR((VLOOKUP(Tabla13[[#This Row],[ID]],[1]!Mtto_Pesv[[#Headers],[#Data],[Placa]:[Rutina]],4,FALSE)),0)</f>
        <v>0</v>
      </c>
      <c r="AN225" s="21">
        <f>IFERROR((VLOOKUP(Tabla13[[#This Row],[ID]],[1]!Mtto_Pesv[[#Headers],[#Data],[Placa]:[Rutina]],5,FALSE)),0)</f>
        <v>0</v>
      </c>
      <c r="AO225" s="21">
        <f>+Tabla13[[#This Row],[Km Fin]]-Tabla13[[#This Row],[Km Ini]]</f>
        <v>0</v>
      </c>
      <c r="AP225" s="20">
        <f>IFERROR((VLOOKUP(Tabla13[[#This Row],[ID]],[1]!Estilo_Conduccion[[#All],[Placa]:[Puntuacion]],15,FALSE)),0)</f>
        <v>0</v>
      </c>
      <c r="AQ225" s="15" t="s">
        <v>1217</v>
      </c>
      <c r="AR225" s="15" t="s">
        <v>1218</v>
      </c>
      <c r="AS225" s="20">
        <v>1300</v>
      </c>
      <c r="AT225" s="21">
        <v>7542</v>
      </c>
      <c r="AU225" s="21">
        <f>(Tabla13[[#This Row],[Cap Vh]]*$AX$2)*0.56</f>
        <v>0</v>
      </c>
      <c r="AV225" s="36" t="e">
        <f>(Tabla13[[#This Row],[Cap Util (kg)]]/(Tabla13[[#This Row],[Cap Inst (Kg)]]))</f>
        <v>#DIV/0!</v>
      </c>
    </row>
    <row r="226" spans="1:48" x14ac:dyDescent="0.25">
      <c r="A226" s="13" t="s">
        <v>1068</v>
      </c>
      <c r="B226" s="14" t="s">
        <v>385</v>
      </c>
      <c r="C226" s="14" t="s">
        <v>44</v>
      </c>
      <c r="D226" s="14" t="s">
        <v>44</v>
      </c>
      <c r="E226" s="14" t="s">
        <v>85</v>
      </c>
      <c r="F226" s="14" t="s">
        <v>46</v>
      </c>
      <c r="G226" s="15" t="s">
        <v>47</v>
      </c>
      <c r="H226" s="16" t="s">
        <v>48</v>
      </c>
      <c r="I226" s="14" t="s">
        <v>49</v>
      </c>
      <c r="J226" s="14">
        <v>830064700</v>
      </c>
      <c r="K226" s="14" t="s">
        <v>50</v>
      </c>
      <c r="L226" s="14" t="s">
        <v>103</v>
      </c>
      <c r="M226" s="14" t="s">
        <v>104</v>
      </c>
      <c r="N226" s="14">
        <v>2012</v>
      </c>
      <c r="O226" s="14">
        <v>8</v>
      </c>
      <c r="P226" s="14" t="s">
        <v>53</v>
      </c>
      <c r="Q226" s="14">
        <v>0</v>
      </c>
      <c r="R226" s="14">
        <v>0</v>
      </c>
      <c r="S226" s="17" t="s">
        <v>54</v>
      </c>
      <c r="T226" s="18">
        <v>0</v>
      </c>
      <c r="U226" s="14">
        <v>30</v>
      </c>
      <c r="V226" s="19">
        <v>1</v>
      </c>
      <c r="W226" s="14">
        <v>0</v>
      </c>
      <c r="X226" s="14">
        <v>0</v>
      </c>
      <c r="Y226" s="14">
        <v>0</v>
      </c>
      <c r="Z226" s="14">
        <v>0</v>
      </c>
      <c r="AA226" s="14">
        <f>Tabla13[[#This Row],[CheckList App]]+Tabla13[[#This Row],[CheckList Fisc]]</f>
        <v>0</v>
      </c>
      <c r="AB226" s="19">
        <f t="shared" si="3"/>
        <v>0</v>
      </c>
      <c r="AC226" s="14">
        <v>0</v>
      </c>
      <c r="AD226" s="14" t="s">
        <v>55</v>
      </c>
      <c r="AE226" s="15" t="str">
        <f>IFERROR((VLOOKUP(Tabla13[[#This Row],[ID]],[1]!Mtto_Pesv[[#Headers],[#Data],[Placa]:[Rutina]],2,FALSE)),"-")</f>
        <v>-</v>
      </c>
      <c r="AF226" s="14">
        <v>0</v>
      </c>
      <c r="AG226" s="20">
        <f>IFERROR((VLOOKUP(Tabla13[[#This Row],[ID]],[1]!Mtto_Pesv[[#Headers],[#Data],[Placa]:[Rutina]],3,FALSE)),0)</f>
        <v>0</v>
      </c>
      <c r="AH226" s="20">
        <f>IFERROR((VLOOKUP(Tabla13[[#This Row],[ID]],[1]!Mtto_Pesv[[#Headers],[#Data],[Placa]:[Rutina]],7,FALSE)),0)</f>
        <v>0</v>
      </c>
      <c r="AI226" s="20">
        <f>IFERROR((VLOOKUP(Tabla13[[#This Row],[ID]],[1]!Mtto_Pesv[[#Headers],[#Data],[Placa]:[Rutina]],8,FALSE)),0)</f>
        <v>0</v>
      </c>
      <c r="AJ226" s="20" t="str">
        <f>IFERROR((VLOOKUP(Tabla13[[#This Row],[ID]],[1]!Mtto_Pesv[[#Headers],[#Data],[Placa]:[Rutina]],9,FALSE)),"-")</f>
        <v>-</v>
      </c>
      <c r="AK226" s="20">
        <f>IFERROR((VLOOKUP(Tabla13[[#This Row],[ID]],[1]!Mtto_Pesv[[#Headers],[#Data],[Placa]:[Rutina]],10,FALSE)),0)</f>
        <v>0</v>
      </c>
      <c r="AL226" s="20">
        <f>IF(Tabla13[[#This Row],[Km Anterior]]=0,0,Tabla13[[#This Row],[Km Ejecut]]-Tabla13[[#This Row],[Km Anterior]])</f>
        <v>0</v>
      </c>
      <c r="AM226" s="20">
        <f>IFERROR((VLOOKUP(Tabla13[[#This Row],[ID]],[1]!Mtto_Pesv[[#Headers],[#Data],[Placa]:[Rutina]],4,FALSE)),0)</f>
        <v>0</v>
      </c>
      <c r="AN226" s="21">
        <f>IFERROR((VLOOKUP(Tabla13[[#This Row],[ID]],[1]!Mtto_Pesv[[#Headers],[#Data],[Placa]:[Rutina]],5,FALSE)),0)</f>
        <v>0</v>
      </c>
      <c r="AO226" s="21">
        <f>+Tabla13[[#This Row],[Km Fin]]-Tabla13[[#This Row],[Km Ini]]</f>
        <v>0</v>
      </c>
      <c r="AP226" s="20">
        <f>IFERROR((VLOOKUP(Tabla13[[#This Row],[ID]],[1]!Estilo_Conduccion[[#All],[Placa]:[Puntuacion]],15,FALSE)),0)</f>
        <v>0</v>
      </c>
      <c r="AQ226" s="15" t="s">
        <v>1219</v>
      </c>
      <c r="AR226" s="15" t="s">
        <v>1220</v>
      </c>
      <c r="AS226" s="20">
        <v>1300</v>
      </c>
      <c r="AT226" s="21">
        <v>17040</v>
      </c>
      <c r="AU226" s="21">
        <f>(Tabla13[[#This Row],[Cap Vh]]*$AX$2)*0.56</f>
        <v>0</v>
      </c>
      <c r="AV226" s="36" t="e">
        <f>(Tabla13[[#This Row],[Cap Util (kg)]]/(Tabla13[[#This Row],[Cap Inst (Kg)]]))</f>
        <v>#DIV/0!</v>
      </c>
    </row>
    <row r="227" spans="1:48" x14ac:dyDescent="0.25">
      <c r="A227" s="13" t="s">
        <v>1068</v>
      </c>
      <c r="B227" s="14" t="s">
        <v>386</v>
      </c>
      <c r="C227" s="14" t="s">
        <v>44</v>
      </c>
      <c r="D227" s="14" t="s">
        <v>44</v>
      </c>
      <c r="E227" s="14" t="s">
        <v>45</v>
      </c>
      <c r="F227" s="14" t="s">
        <v>46</v>
      </c>
      <c r="G227" s="15" t="s">
        <v>47</v>
      </c>
      <c r="H227" s="16" t="s">
        <v>48</v>
      </c>
      <c r="I227" s="14" t="s">
        <v>49</v>
      </c>
      <c r="J227" s="14">
        <v>830064700</v>
      </c>
      <c r="K227" s="14" t="s">
        <v>50</v>
      </c>
      <c r="L227" s="14" t="s">
        <v>103</v>
      </c>
      <c r="M227" s="14" t="s">
        <v>104</v>
      </c>
      <c r="N227" s="14">
        <v>2012</v>
      </c>
      <c r="O227" s="14">
        <v>8</v>
      </c>
      <c r="P227" s="14" t="s">
        <v>53</v>
      </c>
      <c r="Q227" s="14">
        <v>0</v>
      </c>
      <c r="R227" s="14">
        <v>0</v>
      </c>
      <c r="S227" s="17" t="s">
        <v>54</v>
      </c>
      <c r="T227" s="18">
        <v>0</v>
      </c>
      <c r="U227" s="14">
        <v>30</v>
      </c>
      <c r="V227" s="19">
        <v>1</v>
      </c>
      <c r="W227" s="14">
        <v>0</v>
      </c>
      <c r="X227" s="14">
        <v>0</v>
      </c>
      <c r="Y227" s="14">
        <v>0</v>
      </c>
      <c r="Z227" s="14">
        <v>0</v>
      </c>
      <c r="AA227" s="14">
        <f>Tabla13[[#This Row],[CheckList App]]+Tabla13[[#This Row],[CheckList Fisc]]</f>
        <v>0</v>
      </c>
      <c r="AB227" s="19">
        <f t="shared" si="3"/>
        <v>0</v>
      </c>
      <c r="AC227" s="14">
        <v>0</v>
      </c>
      <c r="AD227" s="14" t="s">
        <v>55</v>
      </c>
      <c r="AE227" s="15" t="str">
        <f>IFERROR((VLOOKUP(Tabla13[[#This Row],[ID]],[1]!Mtto_Pesv[[#Headers],[#Data],[Placa]:[Rutina]],2,FALSE)),"-")</f>
        <v>-</v>
      </c>
      <c r="AF227" s="14">
        <v>0</v>
      </c>
      <c r="AG227" s="20">
        <f>IFERROR((VLOOKUP(Tabla13[[#This Row],[ID]],[1]!Mtto_Pesv[[#Headers],[#Data],[Placa]:[Rutina]],3,FALSE)),0)</f>
        <v>0</v>
      </c>
      <c r="AH227" s="20">
        <f>IFERROR((VLOOKUP(Tabla13[[#This Row],[ID]],[1]!Mtto_Pesv[[#Headers],[#Data],[Placa]:[Rutina]],7,FALSE)),0)</f>
        <v>0</v>
      </c>
      <c r="AI227" s="20">
        <f>IFERROR((VLOOKUP(Tabla13[[#This Row],[ID]],[1]!Mtto_Pesv[[#Headers],[#Data],[Placa]:[Rutina]],8,FALSE)),0)</f>
        <v>0</v>
      </c>
      <c r="AJ227" s="20" t="str">
        <f>IFERROR((VLOOKUP(Tabla13[[#This Row],[ID]],[1]!Mtto_Pesv[[#Headers],[#Data],[Placa]:[Rutina]],9,FALSE)),"-")</f>
        <v>-</v>
      </c>
      <c r="AK227" s="20">
        <f>IFERROR((VLOOKUP(Tabla13[[#This Row],[ID]],[1]!Mtto_Pesv[[#Headers],[#Data],[Placa]:[Rutina]],10,FALSE)),0)</f>
        <v>0</v>
      </c>
      <c r="AL227" s="20">
        <f>IF(Tabla13[[#This Row],[Km Anterior]]=0,0,Tabla13[[#This Row],[Km Ejecut]]-Tabla13[[#This Row],[Km Anterior]])</f>
        <v>0</v>
      </c>
      <c r="AM227" s="20">
        <f>IFERROR((VLOOKUP(Tabla13[[#This Row],[ID]],[1]!Mtto_Pesv[[#Headers],[#Data],[Placa]:[Rutina]],4,FALSE)),0)</f>
        <v>0</v>
      </c>
      <c r="AN227" s="21">
        <f>IFERROR((VLOOKUP(Tabla13[[#This Row],[ID]],[1]!Mtto_Pesv[[#Headers],[#Data],[Placa]:[Rutina]],5,FALSE)),0)</f>
        <v>0</v>
      </c>
      <c r="AO227" s="21">
        <f>+Tabla13[[#This Row],[Km Fin]]-Tabla13[[#This Row],[Km Ini]]</f>
        <v>0</v>
      </c>
      <c r="AP227" s="20">
        <f>IFERROR((VLOOKUP(Tabla13[[#This Row],[ID]],[1]!Estilo_Conduccion[[#All],[Placa]:[Puntuacion]],15,FALSE)),0)</f>
        <v>0</v>
      </c>
      <c r="AQ227" s="15" t="s">
        <v>1164</v>
      </c>
      <c r="AR227" s="15" t="s">
        <v>1165</v>
      </c>
      <c r="AS227" s="20">
        <v>1300</v>
      </c>
      <c r="AT227" s="21">
        <v>4420.3846153846152</v>
      </c>
      <c r="AU227" s="21">
        <f>(Tabla13[[#This Row],[Cap Vh]]*$AX$2)*0.56</f>
        <v>0</v>
      </c>
      <c r="AV227" s="36" t="e">
        <f>(Tabla13[[#This Row],[Cap Util (kg)]]/(Tabla13[[#This Row],[Cap Inst (Kg)]]))</f>
        <v>#DIV/0!</v>
      </c>
    </row>
    <row r="228" spans="1:48" x14ac:dyDescent="0.25">
      <c r="A228" s="13" t="s">
        <v>1068</v>
      </c>
      <c r="B228" s="14" t="s">
        <v>387</v>
      </c>
      <c r="C228" s="14" t="s">
        <v>44</v>
      </c>
      <c r="D228" s="14" t="s">
        <v>44</v>
      </c>
      <c r="E228" s="14" t="s">
        <v>45</v>
      </c>
      <c r="F228" s="14" t="s">
        <v>76</v>
      </c>
      <c r="G228" s="15" t="s">
        <v>89</v>
      </c>
      <c r="H228" s="16" t="s">
        <v>90</v>
      </c>
      <c r="I228" s="14" t="s">
        <v>49</v>
      </c>
      <c r="J228" s="14">
        <v>830064700</v>
      </c>
      <c r="K228" s="14" t="s">
        <v>50</v>
      </c>
      <c r="L228" s="14" t="s">
        <v>103</v>
      </c>
      <c r="M228" s="14" t="s">
        <v>104</v>
      </c>
      <c r="N228" s="14">
        <v>2012</v>
      </c>
      <c r="O228" s="14">
        <v>8</v>
      </c>
      <c r="P228" s="14" t="s">
        <v>53</v>
      </c>
      <c r="Q228" s="14">
        <v>0</v>
      </c>
      <c r="R228" s="14">
        <v>0</v>
      </c>
      <c r="S228" s="17" t="s">
        <v>54</v>
      </c>
      <c r="T228" s="18">
        <v>0</v>
      </c>
      <c r="U228" s="14">
        <v>0</v>
      </c>
      <c r="V228" s="19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f>Tabla13[[#This Row],[CheckList App]]+Tabla13[[#This Row],[CheckList Fisc]]</f>
        <v>0</v>
      </c>
      <c r="AB228" s="19" t="str">
        <f t="shared" si="3"/>
        <v/>
      </c>
      <c r="AC228" s="14">
        <v>0</v>
      </c>
      <c r="AD228" s="14" t="s">
        <v>55</v>
      </c>
      <c r="AE228" s="15" t="str">
        <f>IFERROR((VLOOKUP(Tabla13[[#This Row],[ID]],[1]!Mtto_Pesv[[#Headers],[#Data],[Placa]:[Rutina]],2,FALSE)),"-")</f>
        <v>-</v>
      </c>
      <c r="AF228" s="14">
        <v>0</v>
      </c>
      <c r="AG228" s="20">
        <f>IFERROR((VLOOKUP(Tabla13[[#This Row],[ID]],[1]!Mtto_Pesv[[#Headers],[#Data],[Placa]:[Rutina]],3,FALSE)),0)</f>
        <v>0</v>
      </c>
      <c r="AH228" s="20">
        <f>IFERROR((VLOOKUP(Tabla13[[#This Row],[ID]],[1]!Mtto_Pesv[[#Headers],[#Data],[Placa]:[Rutina]],7,FALSE)),0)</f>
        <v>0</v>
      </c>
      <c r="AI228" s="20">
        <f>IFERROR((VLOOKUP(Tabla13[[#This Row],[ID]],[1]!Mtto_Pesv[[#Headers],[#Data],[Placa]:[Rutina]],8,FALSE)),0)</f>
        <v>0</v>
      </c>
      <c r="AJ228" s="20" t="str">
        <f>IFERROR((VLOOKUP(Tabla13[[#This Row],[ID]],[1]!Mtto_Pesv[[#Headers],[#Data],[Placa]:[Rutina]],9,FALSE)),"-")</f>
        <v>-</v>
      </c>
      <c r="AK228" s="20">
        <f>IFERROR((VLOOKUP(Tabla13[[#This Row],[ID]],[1]!Mtto_Pesv[[#Headers],[#Data],[Placa]:[Rutina]],10,FALSE)),0)</f>
        <v>0</v>
      </c>
      <c r="AL228" s="20">
        <f>IF(Tabla13[[#This Row],[Km Anterior]]=0,0,Tabla13[[#This Row],[Km Ejecut]]-Tabla13[[#This Row],[Km Anterior]])</f>
        <v>0</v>
      </c>
      <c r="AM228" s="20">
        <f>IFERROR((VLOOKUP(Tabla13[[#This Row],[ID]],[1]!Mtto_Pesv[[#Headers],[#Data],[Placa]:[Rutina]],4,FALSE)),0)</f>
        <v>0</v>
      </c>
      <c r="AN228" s="21">
        <f>IFERROR((VLOOKUP(Tabla13[[#This Row],[ID]],[1]!Mtto_Pesv[[#Headers],[#Data],[Placa]:[Rutina]],5,FALSE)),0)</f>
        <v>0</v>
      </c>
      <c r="AO228" s="21">
        <f>+Tabla13[[#This Row],[Km Fin]]-Tabla13[[#This Row],[Km Ini]]</f>
        <v>0</v>
      </c>
      <c r="AP228" s="20">
        <f>IFERROR((VLOOKUP(Tabla13[[#This Row],[ID]],[1]!Estilo_Conduccion[[#All],[Placa]:[Puntuacion]],15,FALSE)),0)</f>
        <v>0</v>
      </c>
      <c r="AQ228" s="15" t="s">
        <v>1221</v>
      </c>
      <c r="AR228" s="15" t="s">
        <v>1222</v>
      </c>
      <c r="AS228" s="20">
        <v>1580</v>
      </c>
      <c r="AT228" s="21">
        <v>8055</v>
      </c>
      <c r="AU228" s="21">
        <f>(Tabla13[[#This Row],[Cap Vh]]*$AX$2)*0.56</f>
        <v>0</v>
      </c>
      <c r="AV228" s="36" t="e">
        <f>(Tabla13[[#This Row],[Cap Util (kg)]]/(Tabla13[[#This Row],[Cap Inst (Kg)]]))</f>
        <v>#DIV/0!</v>
      </c>
    </row>
    <row r="229" spans="1:48" x14ac:dyDescent="0.25">
      <c r="A229" s="13" t="s">
        <v>1068</v>
      </c>
      <c r="B229" s="14" t="s">
        <v>388</v>
      </c>
      <c r="C229" s="14" t="s">
        <v>44</v>
      </c>
      <c r="D229" s="14" t="s">
        <v>44</v>
      </c>
      <c r="E229" s="14" t="s">
        <v>45</v>
      </c>
      <c r="F229" s="14" t="s">
        <v>46</v>
      </c>
      <c r="G229" s="15" t="s">
        <v>47</v>
      </c>
      <c r="H229" s="16" t="s">
        <v>48</v>
      </c>
      <c r="I229" s="14" t="s">
        <v>49</v>
      </c>
      <c r="J229" s="14">
        <v>830064700</v>
      </c>
      <c r="K229" s="14" t="s">
        <v>50</v>
      </c>
      <c r="L229" s="14" t="s">
        <v>103</v>
      </c>
      <c r="M229" s="14" t="s">
        <v>104</v>
      </c>
      <c r="N229" s="14">
        <v>2012</v>
      </c>
      <c r="O229" s="14">
        <v>8</v>
      </c>
      <c r="P229" s="14" t="s">
        <v>53</v>
      </c>
      <c r="Q229" s="14">
        <v>0</v>
      </c>
      <c r="R229" s="14">
        <v>0</v>
      </c>
      <c r="S229" s="17" t="s">
        <v>54</v>
      </c>
      <c r="T229" s="18">
        <v>0</v>
      </c>
      <c r="U229" s="14">
        <v>30</v>
      </c>
      <c r="V229" s="19">
        <v>1</v>
      </c>
      <c r="W229" s="14">
        <v>0</v>
      </c>
      <c r="X229" s="14">
        <v>0</v>
      </c>
      <c r="Y229" s="14">
        <v>0</v>
      </c>
      <c r="Z229" s="14">
        <v>0</v>
      </c>
      <c r="AA229" s="14">
        <f>Tabla13[[#This Row],[CheckList App]]+Tabla13[[#This Row],[CheckList Fisc]]</f>
        <v>0</v>
      </c>
      <c r="AB229" s="19">
        <f t="shared" si="3"/>
        <v>0</v>
      </c>
      <c r="AC229" s="14">
        <v>0</v>
      </c>
      <c r="AD229" s="14" t="s">
        <v>55</v>
      </c>
      <c r="AE229" s="15" t="str">
        <f>IFERROR((VLOOKUP(Tabla13[[#This Row],[ID]],[1]!Mtto_Pesv[[#Headers],[#Data],[Placa]:[Rutina]],2,FALSE)),"-")</f>
        <v>-</v>
      </c>
      <c r="AF229" s="14">
        <v>0</v>
      </c>
      <c r="AG229" s="20">
        <f>IFERROR((VLOOKUP(Tabla13[[#This Row],[ID]],[1]!Mtto_Pesv[[#Headers],[#Data],[Placa]:[Rutina]],3,FALSE)),0)</f>
        <v>0</v>
      </c>
      <c r="AH229" s="20">
        <f>IFERROR((VLOOKUP(Tabla13[[#This Row],[ID]],[1]!Mtto_Pesv[[#Headers],[#Data],[Placa]:[Rutina]],7,FALSE)),0)</f>
        <v>0</v>
      </c>
      <c r="AI229" s="20">
        <f>IFERROR((VLOOKUP(Tabla13[[#This Row],[ID]],[1]!Mtto_Pesv[[#Headers],[#Data],[Placa]:[Rutina]],8,FALSE)),0)</f>
        <v>0</v>
      </c>
      <c r="AJ229" s="20" t="str">
        <f>IFERROR((VLOOKUP(Tabla13[[#This Row],[ID]],[1]!Mtto_Pesv[[#Headers],[#Data],[Placa]:[Rutina]],9,FALSE)),"-")</f>
        <v>-</v>
      </c>
      <c r="AK229" s="20">
        <f>IFERROR((VLOOKUP(Tabla13[[#This Row],[ID]],[1]!Mtto_Pesv[[#Headers],[#Data],[Placa]:[Rutina]],10,FALSE)),0)</f>
        <v>0</v>
      </c>
      <c r="AL229" s="20">
        <f>IF(Tabla13[[#This Row],[Km Anterior]]=0,0,Tabla13[[#This Row],[Km Ejecut]]-Tabla13[[#This Row],[Km Anterior]])</f>
        <v>0</v>
      </c>
      <c r="AM229" s="20">
        <f>IFERROR((VLOOKUP(Tabla13[[#This Row],[ID]],[1]!Mtto_Pesv[[#Headers],[#Data],[Placa]:[Rutina]],4,FALSE)),0)</f>
        <v>0</v>
      </c>
      <c r="AN229" s="21">
        <f>IFERROR((VLOOKUP(Tabla13[[#This Row],[ID]],[1]!Mtto_Pesv[[#Headers],[#Data],[Placa]:[Rutina]],5,FALSE)),0)</f>
        <v>0</v>
      </c>
      <c r="AO229" s="21">
        <f>+Tabla13[[#This Row],[Km Fin]]-Tabla13[[#This Row],[Km Ini]]</f>
        <v>0</v>
      </c>
      <c r="AP229" s="20">
        <f>IFERROR((VLOOKUP(Tabla13[[#This Row],[ID]],[1]!Estilo_Conduccion[[#All],[Placa]:[Puntuacion]],15,FALSE)),0)</f>
        <v>0</v>
      </c>
      <c r="AQ229" s="15" t="s">
        <v>1131</v>
      </c>
      <c r="AR229" s="15" t="s">
        <v>1132</v>
      </c>
      <c r="AS229" s="20">
        <v>1580</v>
      </c>
      <c r="AT229" s="21">
        <v>3514</v>
      </c>
      <c r="AU229" s="21">
        <f>(Tabla13[[#This Row],[Cap Vh]]*$AX$2)*0.56</f>
        <v>0</v>
      </c>
      <c r="AV229" s="36" t="e">
        <f>(Tabla13[[#This Row],[Cap Util (kg)]]/(Tabla13[[#This Row],[Cap Inst (Kg)]]))</f>
        <v>#DIV/0!</v>
      </c>
    </row>
    <row r="230" spans="1:48" x14ac:dyDescent="0.25">
      <c r="A230" s="13" t="s">
        <v>1068</v>
      </c>
      <c r="B230" s="14" t="s">
        <v>389</v>
      </c>
      <c r="C230" s="14" t="s">
        <v>44</v>
      </c>
      <c r="D230" s="14" t="s">
        <v>44</v>
      </c>
      <c r="E230" s="14" t="s">
        <v>45</v>
      </c>
      <c r="F230" s="14" t="s">
        <v>46</v>
      </c>
      <c r="G230" s="15" t="s">
        <v>47</v>
      </c>
      <c r="H230" s="16" t="s">
        <v>48</v>
      </c>
      <c r="I230" s="14" t="s">
        <v>49</v>
      </c>
      <c r="J230" s="14">
        <v>830064700</v>
      </c>
      <c r="K230" s="14" t="s">
        <v>50</v>
      </c>
      <c r="L230" s="14" t="s">
        <v>103</v>
      </c>
      <c r="M230" s="14" t="s">
        <v>104</v>
      </c>
      <c r="N230" s="14">
        <v>2012</v>
      </c>
      <c r="O230" s="14">
        <v>8</v>
      </c>
      <c r="P230" s="14" t="s">
        <v>53</v>
      </c>
      <c r="Q230" s="14">
        <v>0</v>
      </c>
      <c r="R230" s="14">
        <v>0</v>
      </c>
      <c r="S230" s="17" t="s">
        <v>54</v>
      </c>
      <c r="T230" s="18">
        <v>0</v>
      </c>
      <c r="U230" s="14">
        <v>30</v>
      </c>
      <c r="V230" s="19">
        <v>1</v>
      </c>
      <c r="W230" s="14">
        <v>0</v>
      </c>
      <c r="X230" s="14">
        <v>0</v>
      </c>
      <c r="Y230" s="14">
        <v>0</v>
      </c>
      <c r="Z230" s="14">
        <v>0</v>
      </c>
      <c r="AA230" s="14">
        <f>Tabla13[[#This Row],[CheckList App]]+Tabla13[[#This Row],[CheckList Fisc]]</f>
        <v>0</v>
      </c>
      <c r="AB230" s="19">
        <f t="shared" si="3"/>
        <v>0</v>
      </c>
      <c r="AC230" s="14">
        <v>0</v>
      </c>
      <c r="AD230" s="14" t="s">
        <v>55</v>
      </c>
      <c r="AE230" s="15" t="str">
        <f>IFERROR((VLOOKUP(Tabla13[[#This Row],[ID]],[1]!Mtto_Pesv[[#Headers],[#Data],[Placa]:[Rutina]],2,FALSE)),"-")</f>
        <v>-</v>
      </c>
      <c r="AF230" s="14">
        <v>0</v>
      </c>
      <c r="AG230" s="20">
        <f>IFERROR((VLOOKUP(Tabla13[[#This Row],[ID]],[1]!Mtto_Pesv[[#Headers],[#Data],[Placa]:[Rutina]],3,FALSE)),0)</f>
        <v>0</v>
      </c>
      <c r="AH230" s="20">
        <f>IFERROR((VLOOKUP(Tabla13[[#This Row],[ID]],[1]!Mtto_Pesv[[#Headers],[#Data],[Placa]:[Rutina]],7,FALSE)),0)</f>
        <v>0</v>
      </c>
      <c r="AI230" s="20">
        <f>IFERROR((VLOOKUP(Tabla13[[#This Row],[ID]],[1]!Mtto_Pesv[[#Headers],[#Data],[Placa]:[Rutina]],8,FALSE)),0)</f>
        <v>0</v>
      </c>
      <c r="AJ230" s="20" t="str">
        <f>IFERROR((VLOOKUP(Tabla13[[#This Row],[ID]],[1]!Mtto_Pesv[[#Headers],[#Data],[Placa]:[Rutina]],9,FALSE)),"-")</f>
        <v>-</v>
      </c>
      <c r="AK230" s="20">
        <f>IFERROR((VLOOKUP(Tabla13[[#This Row],[ID]],[1]!Mtto_Pesv[[#Headers],[#Data],[Placa]:[Rutina]],10,FALSE)),0)</f>
        <v>0</v>
      </c>
      <c r="AL230" s="20">
        <f>IF(Tabla13[[#This Row],[Km Anterior]]=0,0,Tabla13[[#This Row],[Km Ejecut]]-Tabla13[[#This Row],[Km Anterior]])</f>
        <v>0</v>
      </c>
      <c r="AM230" s="20">
        <f>IFERROR((VLOOKUP(Tabla13[[#This Row],[ID]],[1]!Mtto_Pesv[[#Headers],[#Data],[Placa]:[Rutina]],4,FALSE)),0)</f>
        <v>0</v>
      </c>
      <c r="AN230" s="21">
        <f>IFERROR((VLOOKUP(Tabla13[[#This Row],[ID]],[1]!Mtto_Pesv[[#Headers],[#Data],[Placa]:[Rutina]],5,FALSE)),0)</f>
        <v>0</v>
      </c>
      <c r="AO230" s="21">
        <f>+Tabla13[[#This Row],[Km Fin]]-Tabla13[[#This Row],[Km Ini]]</f>
        <v>0</v>
      </c>
      <c r="AP230" s="20">
        <f>IFERROR((VLOOKUP(Tabla13[[#This Row],[ID]],[1]!Estilo_Conduccion[[#All],[Placa]:[Puntuacion]],15,FALSE)),0)</f>
        <v>0</v>
      </c>
      <c r="AQ230" s="15" t="s">
        <v>1069</v>
      </c>
      <c r="AR230" s="15" t="s">
        <v>390</v>
      </c>
      <c r="AS230" s="20">
        <v>1300</v>
      </c>
      <c r="AT230" s="21">
        <v>0</v>
      </c>
      <c r="AU230" s="21">
        <f>(Tabla13[[#This Row],[Cap Vh]]*$AX$2)*0.56</f>
        <v>0</v>
      </c>
      <c r="AV230" s="36" t="e">
        <f>(Tabla13[[#This Row],[Cap Util (kg)]]/(Tabla13[[#This Row],[Cap Inst (Kg)]]))</f>
        <v>#DIV/0!</v>
      </c>
    </row>
    <row r="231" spans="1:48" x14ac:dyDescent="0.25">
      <c r="A231" s="13" t="s">
        <v>1068</v>
      </c>
      <c r="B231" s="14" t="s">
        <v>391</v>
      </c>
      <c r="C231" s="14" t="s">
        <v>44</v>
      </c>
      <c r="D231" s="14" t="s">
        <v>44</v>
      </c>
      <c r="E231" s="14" t="s">
        <v>45</v>
      </c>
      <c r="F231" s="14" t="s">
        <v>64</v>
      </c>
      <c r="G231" s="15" t="s">
        <v>119</v>
      </c>
      <c r="H231" s="16" t="s">
        <v>120</v>
      </c>
      <c r="I231" s="14" t="s">
        <v>49</v>
      </c>
      <c r="J231" s="14">
        <v>830064700</v>
      </c>
      <c r="K231" s="14" t="s">
        <v>50</v>
      </c>
      <c r="L231" s="14" t="s">
        <v>103</v>
      </c>
      <c r="M231" s="14" t="s">
        <v>104</v>
      </c>
      <c r="N231" s="14">
        <v>2012</v>
      </c>
      <c r="O231" s="14">
        <v>8</v>
      </c>
      <c r="P231" s="14" t="s">
        <v>53</v>
      </c>
      <c r="Q231" s="14">
        <v>0</v>
      </c>
      <c r="R231" s="14">
        <v>0</v>
      </c>
      <c r="S231" s="17" t="s">
        <v>54</v>
      </c>
      <c r="T231" s="18">
        <v>0</v>
      </c>
      <c r="U231" s="14">
        <v>30</v>
      </c>
      <c r="V231" s="19">
        <v>1</v>
      </c>
      <c r="W231" s="14">
        <v>0</v>
      </c>
      <c r="X231" s="14">
        <v>0</v>
      </c>
      <c r="Y231" s="14">
        <v>0</v>
      </c>
      <c r="Z231" s="14">
        <v>0</v>
      </c>
      <c r="AA231" s="14">
        <f>Tabla13[[#This Row],[CheckList App]]+Tabla13[[#This Row],[CheckList Fisc]]</f>
        <v>0</v>
      </c>
      <c r="AB231" s="19">
        <f t="shared" si="3"/>
        <v>0</v>
      </c>
      <c r="AC231" s="14">
        <v>0</v>
      </c>
      <c r="AD231" s="14" t="s">
        <v>55</v>
      </c>
      <c r="AE231" s="15" t="str">
        <f>IFERROR((VLOOKUP(Tabla13[[#This Row],[ID]],[1]!Mtto_Pesv[[#Headers],[#Data],[Placa]:[Rutina]],2,FALSE)),"-")</f>
        <v>-</v>
      </c>
      <c r="AF231" s="14">
        <v>0</v>
      </c>
      <c r="AG231" s="20">
        <f>IFERROR((VLOOKUP(Tabla13[[#This Row],[ID]],[1]!Mtto_Pesv[[#Headers],[#Data],[Placa]:[Rutina]],3,FALSE)),0)</f>
        <v>0</v>
      </c>
      <c r="AH231" s="20">
        <f>IFERROR((VLOOKUP(Tabla13[[#This Row],[ID]],[1]!Mtto_Pesv[[#Headers],[#Data],[Placa]:[Rutina]],7,FALSE)),0)</f>
        <v>0</v>
      </c>
      <c r="AI231" s="20">
        <f>IFERROR((VLOOKUP(Tabla13[[#This Row],[ID]],[1]!Mtto_Pesv[[#Headers],[#Data],[Placa]:[Rutina]],8,FALSE)),0)</f>
        <v>0</v>
      </c>
      <c r="AJ231" s="20" t="str">
        <f>IFERROR((VLOOKUP(Tabla13[[#This Row],[ID]],[1]!Mtto_Pesv[[#Headers],[#Data],[Placa]:[Rutina]],9,FALSE)),"-")</f>
        <v>-</v>
      </c>
      <c r="AK231" s="20">
        <f>IFERROR((VLOOKUP(Tabla13[[#This Row],[ID]],[1]!Mtto_Pesv[[#Headers],[#Data],[Placa]:[Rutina]],10,FALSE)),0)</f>
        <v>0</v>
      </c>
      <c r="AL231" s="20">
        <f>IF(Tabla13[[#This Row],[Km Anterior]]=0,0,Tabla13[[#This Row],[Km Ejecut]]-Tabla13[[#This Row],[Km Anterior]])</f>
        <v>0</v>
      </c>
      <c r="AM231" s="20">
        <f>IFERROR((VLOOKUP(Tabla13[[#This Row],[ID]],[1]!Mtto_Pesv[[#Headers],[#Data],[Placa]:[Rutina]],4,FALSE)),0)</f>
        <v>0</v>
      </c>
      <c r="AN231" s="21">
        <f>IFERROR((VLOOKUP(Tabla13[[#This Row],[ID]],[1]!Mtto_Pesv[[#Headers],[#Data],[Placa]:[Rutina]],5,FALSE)),0)</f>
        <v>0</v>
      </c>
      <c r="AO231" s="21">
        <f>+Tabla13[[#This Row],[Km Fin]]-Tabla13[[#This Row],[Km Ini]]</f>
        <v>0</v>
      </c>
      <c r="AP231" s="20">
        <f>IFERROR((VLOOKUP(Tabla13[[#This Row],[ID]],[1]!Estilo_Conduccion[[#All],[Placa]:[Puntuacion]],15,FALSE)),0)</f>
        <v>0</v>
      </c>
      <c r="AQ231" s="15" t="s">
        <v>54</v>
      </c>
      <c r="AR231" s="15" t="s">
        <v>54</v>
      </c>
      <c r="AS231" s="20">
        <v>1580</v>
      </c>
      <c r="AT231" s="21">
        <v>0</v>
      </c>
      <c r="AU231" s="21">
        <f>(Tabla13[[#This Row],[Cap Vh]]*$AX$2)*0.56</f>
        <v>0</v>
      </c>
      <c r="AV231" s="36" t="e">
        <f>(Tabla13[[#This Row],[Cap Util (kg)]]/(Tabla13[[#This Row],[Cap Inst (Kg)]]))</f>
        <v>#DIV/0!</v>
      </c>
    </row>
    <row r="232" spans="1:48" x14ac:dyDescent="0.25">
      <c r="A232" s="13" t="s">
        <v>1068</v>
      </c>
      <c r="B232" s="14" t="s">
        <v>392</v>
      </c>
      <c r="C232" s="14" t="s">
        <v>44</v>
      </c>
      <c r="D232" s="14" t="s">
        <v>44</v>
      </c>
      <c r="E232" s="14" t="s">
        <v>63</v>
      </c>
      <c r="F232" s="14" t="s">
        <v>46</v>
      </c>
      <c r="G232" s="15" t="s">
        <v>47</v>
      </c>
      <c r="H232" s="16" t="s">
        <v>48</v>
      </c>
      <c r="I232" s="14" t="s">
        <v>49</v>
      </c>
      <c r="J232" s="14">
        <v>830064700</v>
      </c>
      <c r="K232" s="14" t="s">
        <v>50</v>
      </c>
      <c r="L232" s="14" t="s">
        <v>103</v>
      </c>
      <c r="M232" s="14" t="s">
        <v>104</v>
      </c>
      <c r="N232" s="14">
        <v>2012</v>
      </c>
      <c r="O232" s="14">
        <v>8</v>
      </c>
      <c r="P232" s="14" t="s">
        <v>53</v>
      </c>
      <c r="Q232" s="14">
        <v>0</v>
      </c>
      <c r="R232" s="14">
        <v>0</v>
      </c>
      <c r="S232" s="17" t="s">
        <v>54</v>
      </c>
      <c r="T232" s="18">
        <v>0</v>
      </c>
      <c r="U232" s="14">
        <v>30</v>
      </c>
      <c r="V232" s="19">
        <v>1</v>
      </c>
      <c r="W232" s="14">
        <v>0</v>
      </c>
      <c r="X232" s="14">
        <v>0</v>
      </c>
      <c r="Y232" s="14">
        <v>0</v>
      </c>
      <c r="Z232" s="14">
        <v>0</v>
      </c>
      <c r="AA232" s="14">
        <f>Tabla13[[#This Row],[CheckList App]]+Tabla13[[#This Row],[CheckList Fisc]]</f>
        <v>0</v>
      </c>
      <c r="AB232" s="19">
        <f t="shared" si="3"/>
        <v>0</v>
      </c>
      <c r="AC232" s="14">
        <v>0</v>
      </c>
      <c r="AD232" s="14" t="s">
        <v>55</v>
      </c>
      <c r="AE232" s="15" t="str">
        <f>IFERROR((VLOOKUP(Tabla13[[#This Row],[ID]],[1]!Mtto_Pesv[[#Headers],[#Data],[Placa]:[Rutina]],2,FALSE)),"-")</f>
        <v>-</v>
      </c>
      <c r="AF232" s="14">
        <v>0</v>
      </c>
      <c r="AG232" s="20">
        <f>IFERROR((VLOOKUP(Tabla13[[#This Row],[ID]],[1]!Mtto_Pesv[[#Headers],[#Data],[Placa]:[Rutina]],3,FALSE)),0)</f>
        <v>0</v>
      </c>
      <c r="AH232" s="20">
        <f>IFERROR((VLOOKUP(Tabla13[[#This Row],[ID]],[1]!Mtto_Pesv[[#Headers],[#Data],[Placa]:[Rutina]],7,FALSE)),0)</f>
        <v>0</v>
      </c>
      <c r="AI232" s="20">
        <f>IFERROR((VLOOKUP(Tabla13[[#This Row],[ID]],[1]!Mtto_Pesv[[#Headers],[#Data],[Placa]:[Rutina]],8,FALSE)),0)</f>
        <v>0</v>
      </c>
      <c r="AJ232" s="20" t="str">
        <f>IFERROR((VLOOKUP(Tabla13[[#This Row],[ID]],[1]!Mtto_Pesv[[#Headers],[#Data],[Placa]:[Rutina]],9,FALSE)),"-")</f>
        <v>-</v>
      </c>
      <c r="AK232" s="20">
        <f>IFERROR((VLOOKUP(Tabla13[[#This Row],[ID]],[1]!Mtto_Pesv[[#Headers],[#Data],[Placa]:[Rutina]],10,FALSE)),0)</f>
        <v>0</v>
      </c>
      <c r="AL232" s="20">
        <f>IF(Tabla13[[#This Row],[Km Anterior]]=0,0,Tabla13[[#This Row],[Km Ejecut]]-Tabla13[[#This Row],[Km Anterior]])</f>
        <v>0</v>
      </c>
      <c r="AM232" s="20">
        <f>IFERROR((VLOOKUP(Tabla13[[#This Row],[ID]],[1]!Mtto_Pesv[[#Headers],[#Data],[Placa]:[Rutina]],4,FALSE)),0)</f>
        <v>0</v>
      </c>
      <c r="AN232" s="21">
        <f>IFERROR((VLOOKUP(Tabla13[[#This Row],[ID]],[1]!Mtto_Pesv[[#Headers],[#Data],[Placa]:[Rutina]],5,FALSE)),0)</f>
        <v>0</v>
      </c>
      <c r="AO232" s="21">
        <f>+Tabla13[[#This Row],[Km Fin]]-Tabla13[[#This Row],[Km Ini]]</f>
        <v>0</v>
      </c>
      <c r="AP232" s="20">
        <f>IFERROR((VLOOKUP(Tabla13[[#This Row],[ID]],[1]!Estilo_Conduccion[[#All],[Placa]:[Puntuacion]],15,FALSE)),0)</f>
        <v>0</v>
      </c>
      <c r="AQ232" s="15" t="s">
        <v>1069</v>
      </c>
      <c r="AR232" s="15" t="s">
        <v>291</v>
      </c>
      <c r="AS232" s="20">
        <v>1300</v>
      </c>
      <c r="AT232" s="21">
        <v>0</v>
      </c>
      <c r="AU232" s="21">
        <f>(Tabla13[[#This Row],[Cap Vh]]*$AX$2)*0.56</f>
        <v>0</v>
      </c>
      <c r="AV232" s="36" t="e">
        <f>(Tabla13[[#This Row],[Cap Util (kg)]]/(Tabla13[[#This Row],[Cap Inst (Kg)]]))</f>
        <v>#DIV/0!</v>
      </c>
    </row>
    <row r="233" spans="1:48" x14ac:dyDescent="0.25">
      <c r="A233" s="13" t="s">
        <v>1068</v>
      </c>
      <c r="B233" s="14" t="s">
        <v>393</v>
      </c>
      <c r="C233" s="14" t="s">
        <v>44</v>
      </c>
      <c r="D233" s="14" t="s">
        <v>44</v>
      </c>
      <c r="E233" s="14" t="s">
        <v>113</v>
      </c>
      <c r="F233" s="14" t="s">
        <v>46</v>
      </c>
      <c r="G233" s="15" t="s">
        <v>47</v>
      </c>
      <c r="H233" s="16" t="s">
        <v>48</v>
      </c>
      <c r="I233" s="14" t="s">
        <v>49</v>
      </c>
      <c r="J233" s="14">
        <v>830064700</v>
      </c>
      <c r="K233" s="14" t="s">
        <v>50</v>
      </c>
      <c r="L233" s="14" t="s">
        <v>103</v>
      </c>
      <c r="M233" s="14" t="s">
        <v>104</v>
      </c>
      <c r="N233" s="14">
        <v>2012</v>
      </c>
      <c r="O233" s="14">
        <v>8</v>
      </c>
      <c r="P233" s="14" t="s">
        <v>53</v>
      </c>
      <c r="Q233" s="14">
        <v>0</v>
      </c>
      <c r="R233" s="14">
        <v>0</v>
      </c>
      <c r="S233" s="17" t="s">
        <v>54</v>
      </c>
      <c r="T233" s="18">
        <v>0</v>
      </c>
      <c r="U233" s="14">
        <v>30</v>
      </c>
      <c r="V233" s="19">
        <v>1</v>
      </c>
      <c r="W233" s="14">
        <v>0</v>
      </c>
      <c r="X233" s="14">
        <v>0</v>
      </c>
      <c r="Y233" s="14">
        <v>0</v>
      </c>
      <c r="Z233" s="14">
        <v>0</v>
      </c>
      <c r="AA233" s="14">
        <f>Tabla13[[#This Row],[CheckList App]]+Tabla13[[#This Row],[CheckList Fisc]]</f>
        <v>0</v>
      </c>
      <c r="AB233" s="19">
        <f t="shared" si="3"/>
        <v>0</v>
      </c>
      <c r="AC233" s="14">
        <v>0</v>
      </c>
      <c r="AD233" s="14" t="s">
        <v>55</v>
      </c>
      <c r="AE233" s="15" t="str">
        <f>IFERROR((VLOOKUP(Tabla13[[#This Row],[ID]],[1]!Mtto_Pesv[[#Headers],[#Data],[Placa]:[Rutina]],2,FALSE)),"-")</f>
        <v>-</v>
      </c>
      <c r="AF233" s="14">
        <v>0</v>
      </c>
      <c r="AG233" s="20">
        <f>IFERROR((VLOOKUP(Tabla13[[#This Row],[ID]],[1]!Mtto_Pesv[[#Headers],[#Data],[Placa]:[Rutina]],3,FALSE)),0)</f>
        <v>0</v>
      </c>
      <c r="AH233" s="20">
        <f>IFERROR((VLOOKUP(Tabla13[[#This Row],[ID]],[1]!Mtto_Pesv[[#Headers],[#Data],[Placa]:[Rutina]],7,FALSE)),0)</f>
        <v>0</v>
      </c>
      <c r="AI233" s="20">
        <f>IFERROR((VLOOKUP(Tabla13[[#This Row],[ID]],[1]!Mtto_Pesv[[#Headers],[#Data],[Placa]:[Rutina]],8,FALSE)),0)</f>
        <v>0</v>
      </c>
      <c r="AJ233" s="20" t="str">
        <f>IFERROR((VLOOKUP(Tabla13[[#This Row],[ID]],[1]!Mtto_Pesv[[#Headers],[#Data],[Placa]:[Rutina]],9,FALSE)),"-")</f>
        <v>-</v>
      </c>
      <c r="AK233" s="20">
        <f>IFERROR((VLOOKUP(Tabla13[[#This Row],[ID]],[1]!Mtto_Pesv[[#Headers],[#Data],[Placa]:[Rutina]],10,FALSE)),0)</f>
        <v>0</v>
      </c>
      <c r="AL233" s="20">
        <f>IF(Tabla13[[#This Row],[Km Anterior]]=0,0,Tabla13[[#This Row],[Km Ejecut]]-Tabla13[[#This Row],[Km Anterior]])</f>
        <v>0</v>
      </c>
      <c r="AM233" s="20">
        <f>IFERROR((VLOOKUP(Tabla13[[#This Row],[ID]],[1]!Mtto_Pesv[[#Headers],[#Data],[Placa]:[Rutina]],4,FALSE)),0)</f>
        <v>0</v>
      </c>
      <c r="AN233" s="21">
        <f>IFERROR((VLOOKUP(Tabla13[[#This Row],[ID]],[1]!Mtto_Pesv[[#Headers],[#Data],[Placa]:[Rutina]],5,FALSE)),0)</f>
        <v>0</v>
      </c>
      <c r="AO233" s="21">
        <f>+Tabla13[[#This Row],[Km Fin]]-Tabla13[[#This Row],[Km Ini]]</f>
        <v>0</v>
      </c>
      <c r="AP233" s="20">
        <f>IFERROR((VLOOKUP(Tabla13[[#This Row],[ID]],[1]!Estilo_Conduccion[[#All],[Placa]:[Puntuacion]],15,FALSE)),0)</f>
        <v>0</v>
      </c>
      <c r="AQ233" s="15" t="s">
        <v>1223</v>
      </c>
      <c r="AR233" s="15" t="s">
        <v>1224</v>
      </c>
      <c r="AS233" s="20">
        <v>1600</v>
      </c>
      <c r="AT233" s="21">
        <v>8004</v>
      </c>
      <c r="AU233" s="21">
        <f>(Tabla13[[#This Row],[Cap Vh]]*$AX$2)*0.56</f>
        <v>0</v>
      </c>
      <c r="AV233" s="36" t="e">
        <f>(Tabla13[[#This Row],[Cap Util (kg)]]/(Tabla13[[#This Row],[Cap Inst (Kg)]]))</f>
        <v>#DIV/0!</v>
      </c>
    </row>
    <row r="234" spans="1:48" x14ac:dyDescent="0.25">
      <c r="A234" s="13" t="s">
        <v>1068</v>
      </c>
      <c r="B234" s="14" t="s">
        <v>394</v>
      </c>
      <c r="C234" s="14" t="s">
        <v>44</v>
      </c>
      <c r="D234" s="14" t="s">
        <v>44</v>
      </c>
      <c r="E234" s="14" t="s">
        <v>58</v>
      </c>
      <c r="F234" s="14" t="s">
        <v>46</v>
      </c>
      <c r="G234" s="15" t="s">
        <v>47</v>
      </c>
      <c r="H234" s="16" t="s">
        <v>48</v>
      </c>
      <c r="I234" s="14" t="s">
        <v>49</v>
      </c>
      <c r="J234" s="14">
        <v>830064700</v>
      </c>
      <c r="K234" s="14" t="s">
        <v>50</v>
      </c>
      <c r="L234" s="14" t="s">
        <v>103</v>
      </c>
      <c r="M234" s="14" t="s">
        <v>104</v>
      </c>
      <c r="N234" s="14">
        <v>2012</v>
      </c>
      <c r="O234" s="14">
        <v>8</v>
      </c>
      <c r="P234" s="14" t="s">
        <v>53</v>
      </c>
      <c r="Q234" s="14">
        <v>0</v>
      </c>
      <c r="R234" s="14">
        <v>0</v>
      </c>
      <c r="S234" s="17" t="s">
        <v>54</v>
      </c>
      <c r="T234" s="18">
        <v>0</v>
      </c>
      <c r="U234" s="14">
        <v>30</v>
      </c>
      <c r="V234" s="19">
        <v>1</v>
      </c>
      <c r="W234" s="14">
        <v>0</v>
      </c>
      <c r="X234" s="14">
        <v>0</v>
      </c>
      <c r="Y234" s="14">
        <v>0</v>
      </c>
      <c r="Z234" s="14">
        <v>0</v>
      </c>
      <c r="AA234" s="14">
        <f>Tabla13[[#This Row],[CheckList App]]+Tabla13[[#This Row],[CheckList Fisc]]</f>
        <v>0</v>
      </c>
      <c r="AB234" s="19">
        <f t="shared" si="3"/>
        <v>0</v>
      </c>
      <c r="AC234" s="14">
        <v>0</v>
      </c>
      <c r="AD234" s="14" t="s">
        <v>55</v>
      </c>
      <c r="AE234" s="15" t="str">
        <f>IFERROR((VLOOKUP(Tabla13[[#This Row],[ID]],[1]!Mtto_Pesv[[#Headers],[#Data],[Placa]:[Rutina]],2,FALSE)),"-")</f>
        <v>-</v>
      </c>
      <c r="AF234" s="14">
        <v>0</v>
      </c>
      <c r="AG234" s="20">
        <f>IFERROR((VLOOKUP(Tabla13[[#This Row],[ID]],[1]!Mtto_Pesv[[#Headers],[#Data],[Placa]:[Rutina]],3,FALSE)),0)</f>
        <v>0</v>
      </c>
      <c r="AH234" s="20">
        <f>IFERROR((VLOOKUP(Tabla13[[#This Row],[ID]],[1]!Mtto_Pesv[[#Headers],[#Data],[Placa]:[Rutina]],7,FALSE)),0)</f>
        <v>0</v>
      </c>
      <c r="AI234" s="20">
        <f>IFERROR((VLOOKUP(Tabla13[[#This Row],[ID]],[1]!Mtto_Pesv[[#Headers],[#Data],[Placa]:[Rutina]],8,FALSE)),0)</f>
        <v>0</v>
      </c>
      <c r="AJ234" s="20" t="str">
        <f>IFERROR((VLOOKUP(Tabla13[[#This Row],[ID]],[1]!Mtto_Pesv[[#Headers],[#Data],[Placa]:[Rutina]],9,FALSE)),"-")</f>
        <v>-</v>
      </c>
      <c r="AK234" s="20">
        <f>IFERROR((VLOOKUP(Tabla13[[#This Row],[ID]],[1]!Mtto_Pesv[[#Headers],[#Data],[Placa]:[Rutina]],10,FALSE)),0)</f>
        <v>0</v>
      </c>
      <c r="AL234" s="20">
        <f>IF(Tabla13[[#This Row],[Km Anterior]]=0,0,Tabla13[[#This Row],[Km Ejecut]]-Tabla13[[#This Row],[Km Anterior]])</f>
        <v>0</v>
      </c>
      <c r="AM234" s="20">
        <f>IFERROR((VLOOKUP(Tabla13[[#This Row],[ID]],[1]!Mtto_Pesv[[#Headers],[#Data],[Placa]:[Rutina]],4,FALSE)),0)</f>
        <v>0</v>
      </c>
      <c r="AN234" s="21">
        <f>IFERROR((VLOOKUP(Tabla13[[#This Row],[ID]],[1]!Mtto_Pesv[[#Headers],[#Data],[Placa]:[Rutina]],5,FALSE)),0)</f>
        <v>0</v>
      </c>
      <c r="AO234" s="21">
        <f>+Tabla13[[#This Row],[Km Fin]]-Tabla13[[#This Row],[Km Ini]]</f>
        <v>0</v>
      </c>
      <c r="AP234" s="20">
        <f>IFERROR((VLOOKUP(Tabla13[[#This Row],[ID]],[1]!Estilo_Conduccion[[#All],[Placa]:[Puntuacion]],15,FALSE)),0)</f>
        <v>0</v>
      </c>
      <c r="AQ234" s="15" t="s">
        <v>1225</v>
      </c>
      <c r="AR234" s="15" t="s">
        <v>1226</v>
      </c>
      <c r="AS234" s="20">
        <v>1600</v>
      </c>
      <c r="AT234" s="21">
        <v>5315</v>
      </c>
      <c r="AU234" s="21">
        <f>(Tabla13[[#This Row],[Cap Vh]]*$AX$2)*0.56</f>
        <v>0</v>
      </c>
      <c r="AV234" s="36" t="e">
        <f>(Tabla13[[#This Row],[Cap Util (kg)]]/(Tabla13[[#This Row],[Cap Inst (Kg)]]))</f>
        <v>#DIV/0!</v>
      </c>
    </row>
    <row r="235" spans="1:48" x14ac:dyDescent="0.25">
      <c r="A235" s="13" t="s">
        <v>1068</v>
      </c>
      <c r="B235" s="14" t="s">
        <v>395</v>
      </c>
      <c r="C235" s="14" t="s">
        <v>44</v>
      </c>
      <c r="D235" s="14" t="s">
        <v>44</v>
      </c>
      <c r="E235" s="14" t="s">
        <v>63</v>
      </c>
      <c r="F235" s="14" t="s">
        <v>46</v>
      </c>
      <c r="G235" s="15" t="s">
        <v>47</v>
      </c>
      <c r="H235" s="16" t="s">
        <v>48</v>
      </c>
      <c r="I235" s="14" t="s">
        <v>49</v>
      </c>
      <c r="J235" s="14">
        <v>830064700</v>
      </c>
      <c r="K235" s="14" t="s">
        <v>50</v>
      </c>
      <c r="L235" s="14" t="s">
        <v>103</v>
      </c>
      <c r="M235" s="14" t="s">
        <v>104</v>
      </c>
      <c r="N235" s="14">
        <v>2012</v>
      </c>
      <c r="O235" s="14">
        <v>8</v>
      </c>
      <c r="P235" s="14" t="s">
        <v>53</v>
      </c>
      <c r="Q235" s="14">
        <v>0</v>
      </c>
      <c r="R235" s="14">
        <v>0</v>
      </c>
      <c r="S235" s="17" t="s">
        <v>54</v>
      </c>
      <c r="T235" s="18">
        <v>0</v>
      </c>
      <c r="U235" s="14">
        <v>0</v>
      </c>
      <c r="V235" s="19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f>Tabla13[[#This Row],[CheckList App]]+Tabla13[[#This Row],[CheckList Fisc]]</f>
        <v>0</v>
      </c>
      <c r="AB235" s="19" t="str">
        <f t="shared" si="3"/>
        <v/>
      </c>
      <c r="AC235" s="14">
        <v>0</v>
      </c>
      <c r="AD235" s="14" t="s">
        <v>55</v>
      </c>
      <c r="AE235" s="15" t="str">
        <f>IFERROR((VLOOKUP(Tabla13[[#This Row],[ID]],[1]!Mtto_Pesv[[#Headers],[#Data],[Placa]:[Rutina]],2,FALSE)),"-")</f>
        <v>-</v>
      </c>
      <c r="AF235" s="14">
        <v>0</v>
      </c>
      <c r="AG235" s="20">
        <f>IFERROR((VLOOKUP(Tabla13[[#This Row],[ID]],[1]!Mtto_Pesv[[#Headers],[#Data],[Placa]:[Rutina]],3,FALSE)),0)</f>
        <v>0</v>
      </c>
      <c r="AH235" s="20">
        <f>IFERROR((VLOOKUP(Tabla13[[#This Row],[ID]],[1]!Mtto_Pesv[[#Headers],[#Data],[Placa]:[Rutina]],7,FALSE)),0)</f>
        <v>0</v>
      </c>
      <c r="AI235" s="20">
        <f>IFERROR((VLOOKUP(Tabla13[[#This Row],[ID]],[1]!Mtto_Pesv[[#Headers],[#Data],[Placa]:[Rutina]],8,FALSE)),0)</f>
        <v>0</v>
      </c>
      <c r="AJ235" s="20" t="str">
        <f>IFERROR((VLOOKUP(Tabla13[[#This Row],[ID]],[1]!Mtto_Pesv[[#Headers],[#Data],[Placa]:[Rutina]],9,FALSE)),"-")</f>
        <v>-</v>
      </c>
      <c r="AK235" s="20">
        <f>IFERROR((VLOOKUP(Tabla13[[#This Row],[ID]],[1]!Mtto_Pesv[[#Headers],[#Data],[Placa]:[Rutina]],10,FALSE)),0)</f>
        <v>0</v>
      </c>
      <c r="AL235" s="20">
        <f>IF(Tabla13[[#This Row],[Km Anterior]]=0,0,Tabla13[[#This Row],[Km Ejecut]]-Tabla13[[#This Row],[Km Anterior]])</f>
        <v>0</v>
      </c>
      <c r="AM235" s="20">
        <f>IFERROR((VLOOKUP(Tabla13[[#This Row],[ID]],[1]!Mtto_Pesv[[#Headers],[#Data],[Placa]:[Rutina]],4,FALSE)),0)</f>
        <v>0</v>
      </c>
      <c r="AN235" s="21">
        <f>IFERROR((VLOOKUP(Tabla13[[#This Row],[ID]],[1]!Mtto_Pesv[[#Headers],[#Data],[Placa]:[Rutina]],5,FALSE)),0)</f>
        <v>0</v>
      </c>
      <c r="AO235" s="21">
        <f>+Tabla13[[#This Row],[Km Fin]]-Tabla13[[#This Row],[Km Ini]]</f>
        <v>0</v>
      </c>
      <c r="AP235" s="20">
        <f>IFERROR((VLOOKUP(Tabla13[[#This Row],[ID]],[1]!Estilo_Conduccion[[#All],[Placa]:[Puntuacion]],15,FALSE)),0)</f>
        <v>0</v>
      </c>
      <c r="AQ235" s="15" t="s">
        <v>1227</v>
      </c>
      <c r="AR235" s="15" t="s">
        <v>1228</v>
      </c>
      <c r="AS235" s="20">
        <v>1580</v>
      </c>
      <c r="AT235" s="21">
        <v>14151</v>
      </c>
      <c r="AU235" s="21">
        <f>(Tabla13[[#This Row],[Cap Vh]]*$AX$2)*0.56</f>
        <v>0</v>
      </c>
      <c r="AV235" s="36" t="e">
        <f>(Tabla13[[#This Row],[Cap Util (kg)]]/(Tabla13[[#This Row],[Cap Inst (Kg)]]))</f>
        <v>#DIV/0!</v>
      </c>
    </row>
    <row r="236" spans="1:48" x14ac:dyDescent="0.25">
      <c r="A236" s="13" t="s">
        <v>1068</v>
      </c>
      <c r="B236" s="14" t="s">
        <v>396</v>
      </c>
      <c r="C236" s="14" t="s">
        <v>44</v>
      </c>
      <c r="D236" s="14" t="s">
        <v>44</v>
      </c>
      <c r="E236" s="14" t="s">
        <v>113</v>
      </c>
      <c r="F236" s="14" t="s">
        <v>46</v>
      </c>
      <c r="G236" s="15" t="s">
        <v>47</v>
      </c>
      <c r="H236" s="16" t="s">
        <v>48</v>
      </c>
      <c r="I236" s="14" t="s">
        <v>49</v>
      </c>
      <c r="J236" s="14">
        <v>830064700</v>
      </c>
      <c r="K236" s="14" t="s">
        <v>50</v>
      </c>
      <c r="L236" s="14" t="s">
        <v>103</v>
      </c>
      <c r="M236" s="14" t="s">
        <v>104</v>
      </c>
      <c r="N236" s="14">
        <v>2012</v>
      </c>
      <c r="O236" s="14">
        <v>8</v>
      </c>
      <c r="P236" s="14" t="s">
        <v>53</v>
      </c>
      <c r="Q236" s="14">
        <v>0</v>
      </c>
      <c r="R236" s="14">
        <v>0</v>
      </c>
      <c r="S236" s="17" t="s">
        <v>54</v>
      </c>
      <c r="T236" s="18">
        <v>0</v>
      </c>
      <c r="U236" s="14">
        <v>30</v>
      </c>
      <c r="V236" s="19">
        <v>1</v>
      </c>
      <c r="W236" s="14">
        <v>0</v>
      </c>
      <c r="X236" s="14">
        <v>0</v>
      </c>
      <c r="Y236" s="14">
        <v>0</v>
      </c>
      <c r="Z236" s="14">
        <v>0</v>
      </c>
      <c r="AA236" s="14">
        <f>Tabla13[[#This Row],[CheckList App]]+Tabla13[[#This Row],[CheckList Fisc]]</f>
        <v>0</v>
      </c>
      <c r="AB236" s="19">
        <f t="shared" si="3"/>
        <v>0</v>
      </c>
      <c r="AC236" s="14">
        <v>0</v>
      </c>
      <c r="AD236" s="14" t="s">
        <v>55</v>
      </c>
      <c r="AE236" s="15" t="str">
        <f>IFERROR((VLOOKUP(Tabla13[[#This Row],[ID]],[1]!Mtto_Pesv[[#Headers],[#Data],[Placa]:[Rutina]],2,FALSE)),"-")</f>
        <v>-</v>
      </c>
      <c r="AF236" s="14">
        <v>0</v>
      </c>
      <c r="AG236" s="20">
        <f>IFERROR((VLOOKUP(Tabla13[[#This Row],[ID]],[1]!Mtto_Pesv[[#Headers],[#Data],[Placa]:[Rutina]],3,FALSE)),0)</f>
        <v>0</v>
      </c>
      <c r="AH236" s="20">
        <f>IFERROR((VLOOKUP(Tabla13[[#This Row],[ID]],[1]!Mtto_Pesv[[#Headers],[#Data],[Placa]:[Rutina]],7,FALSE)),0)</f>
        <v>0</v>
      </c>
      <c r="AI236" s="20">
        <f>IFERROR((VLOOKUP(Tabla13[[#This Row],[ID]],[1]!Mtto_Pesv[[#Headers],[#Data],[Placa]:[Rutina]],8,FALSE)),0)</f>
        <v>0</v>
      </c>
      <c r="AJ236" s="20" t="str">
        <f>IFERROR((VLOOKUP(Tabla13[[#This Row],[ID]],[1]!Mtto_Pesv[[#Headers],[#Data],[Placa]:[Rutina]],9,FALSE)),"-")</f>
        <v>-</v>
      </c>
      <c r="AK236" s="20">
        <f>IFERROR((VLOOKUP(Tabla13[[#This Row],[ID]],[1]!Mtto_Pesv[[#Headers],[#Data],[Placa]:[Rutina]],10,FALSE)),0)</f>
        <v>0</v>
      </c>
      <c r="AL236" s="20">
        <f>IF(Tabla13[[#This Row],[Km Anterior]]=0,0,Tabla13[[#This Row],[Km Ejecut]]-Tabla13[[#This Row],[Km Anterior]])</f>
        <v>0</v>
      </c>
      <c r="AM236" s="20">
        <f>IFERROR((VLOOKUP(Tabla13[[#This Row],[ID]],[1]!Mtto_Pesv[[#Headers],[#Data],[Placa]:[Rutina]],4,FALSE)),0)</f>
        <v>0</v>
      </c>
      <c r="AN236" s="21">
        <f>IFERROR((VLOOKUP(Tabla13[[#This Row],[ID]],[1]!Mtto_Pesv[[#Headers],[#Data],[Placa]:[Rutina]],5,FALSE)),0)</f>
        <v>0</v>
      </c>
      <c r="AO236" s="21">
        <f>+Tabla13[[#This Row],[Km Fin]]-Tabla13[[#This Row],[Km Ini]]</f>
        <v>0</v>
      </c>
      <c r="AP236" s="20">
        <f>IFERROR((VLOOKUP(Tabla13[[#This Row],[ID]],[1]!Estilo_Conduccion[[#All],[Placa]:[Puntuacion]],15,FALSE)),0)</f>
        <v>0</v>
      </c>
      <c r="AQ236" s="15" t="s">
        <v>1229</v>
      </c>
      <c r="AR236" s="15" t="s">
        <v>1230</v>
      </c>
      <c r="AS236" s="20">
        <v>1300</v>
      </c>
      <c r="AT236" s="21">
        <v>12201</v>
      </c>
      <c r="AU236" s="21">
        <f>(Tabla13[[#This Row],[Cap Vh]]*$AX$2)*0.56</f>
        <v>0</v>
      </c>
      <c r="AV236" s="36" t="e">
        <f>(Tabla13[[#This Row],[Cap Util (kg)]]/(Tabla13[[#This Row],[Cap Inst (Kg)]]))</f>
        <v>#DIV/0!</v>
      </c>
    </row>
    <row r="237" spans="1:48" x14ac:dyDescent="0.25">
      <c r="A237" s="13" t="s">
        <v>1068</v>
      </c>
      <c r="B237" s="14" t="s">
        <v>397</v>
      </c>
      <c r="C237" s="14" t="s">
        <v>44</v>
      </c>
      <c r="D237" s="14" t="s">
        <v>44</v>
      </c>
      <c r="E237" s="14" t="s">
        <v>45</v>
      </c>
      <c r="F237" s="14" t="s">
        <v>46</v>
      </c>
      <c r="G237" s="15" t="s">
        <v>47</v>
      </c>
      <c r="H237" s="16" t="s">
        <v>48</v>
      </c>
      <c r="I237" s="14" t="s">
        <v>49</v>
      </c>
      <c r="J237" s="14">
        <v>830064700</v>
      </c>
      <c r="K237" s="14" t="s">
        <v>50</v>
      </c>
      <c r="L237" s="14" t="s">
        <v>103</v>
      </c>
      <c r="M237" s="14" t="s">
        <v>104</v>
      </c>
      <c r="N237" s="14">
        <v>2012</v>
      </c>
      <c r="O237" s="14">
        <v>8</v>
      </c>
      <c r="P237" s="14" t="s">
        <v>53</v>
      </c>
      <c r="Q237" s="14">
        <v>0</v>
      </c>
      <c r="R237" s="14">
        <v>0</v>
      </c>
      <c r="S237" s="17" t="s">
        <v>54</v>
      </c>
      <c r="T237" s="18">
        <v>0</v>
      </c>
      <c r="U237" s="14">
        <v>30</v>
      </c>
      <c r="V237" s="19">
        <v>1</v>
      </c>
      <c r="W237" s="14">
        <v>0</v>
      </c>
      <c r="X237" s="14">
        <v>0</v>
      </c>
      <c r="Y237" s="14">
        <v>0</v>
      </c>
      <c r="Z237" s="14">
        <v>0</v>
      </c>
      <c r="AA237" s="14">
        <f>Tabla13[[#This Row],[CheckList App]]+Tabla13[[#This Row],[CheckList Fisc]]</f>
        <v>0</v>
      </c>
      <c r="AB237" s="19">
        <f t="shared" si="3"/>
        <v>0</v>
      </c>
      <c r="AC237" s="14">
        <v>0</v>
      </c>
      <c r="AD237" s="14" t="s">
        <v>70</v>
      </c>
      <c r="AE237" s="15" t="str">
        <f>IFERROR((VLOOKUP(Tabla13[[#This Row],[ID]],[1]!Mtto_Pesv[[#Headers],[#Data],[Placa]:[Rutina]],2,FALSE)),"-")</f>
        <v>-</v>
      </c>
      <c r="AF237" s="14">
        <v>1</v>
      </c>
      <c r="AG237" s="20">
        <f>IFERROR((VLOOKUP(Tabla13[[#This Row],[ID]],[1]!Mtto_Pesv[[#Headers],[#Data],[Placa]:[Rutina]],3,FALSE)),0)</f>
        <v>0</v>
      </c>
      <c r="AH237" s="20">
        <f>IFERROR((VLOOKUP(Tabla13[[#This Row],[ID]],[1]!Mtto_Pesv[[#Headers],[#Data],[Placa]:[Rutina]],7,FALSE)),0)</f>
        <v>0</v>
      </c>
      <c r="AI237" s="20">
        <f>IFERROR((VLOOKUP(Tabla13[[#This Row],[ID]],[1]!Mtto_Pesv[[#Headers],[#Data],[Placa]:[Rutina]],8,FALSE)),0)</f>
        <v>0</v>
      </c>
      <c r="AJ237" s="20" t="str">
        <f>IFERROR((VLOOKUP(Tabla13[[#This Row],[ID]],[1]!Mtto_Pesv[[#Headers],[#Data],[Placa]:[Rutina]],9,FALSE)),"-")</f>
        <v>-</v>
      </c>
      <c r="AK237" s="20">
        <f>IFERROR((VLOOKUP(Tabla13[[#This Row],[ID]],[1]!Mtto_Pesv[[#Headers],[#Data],[Placa]:[Rutina]],10,FALSE)),0)</f>
        <v>0</v>
      </c>
      <c r="AL237" s="20">
        <f>IF(Tabla13[[#This Row],[Km Anterior]]=0,0,Tabla13[[#This Row],[Km Ejecut]]-Tabla13[[#This Row],[Km Anterior]])</f>
        <v>0</v>
      </c>
      <c r="AM237" s="20">
        <f>IFERROR((VLOOKUP(Tabla13[[#This Row],[ID]],[1]!Mtto_Pesv[[#Headers],[#Data],[Placa]:[Rutina]],4,FALSE)),0)</f>
        <v>0</v>
      </c>
      <c r="AN237" s="21">
        <f>IFERROR((VLOOKUP(Tabla13[[#This Row],[ID]],[1]!Mtto_Pesv[[#Headers],[#Data],[Placa]:[Rutina]],5,FALSE)),0)</f>
        <v>0</v>
      </c>
      <c r="AO237" s="21">
        <f>+Tabla13[[#This Row],[Km Fin]]-Tabla13[[#This Row],[Km Ini]]</f>
        <v>0</v>
      </c>
      <c r="AP237" s="20">
        <f>IFERROR((VLOOKUP(Tabla13[[#This Row],[ID]],[1]!Estilo_Conduccion[[#All],[Placa]:[Puntuacion]],15,FALSE)),0)</f>
        <v>0</v>
      </c>
      <c r="AQ237" s="15" t="s">
        <v>1141</v>
      </c>
      <c r="AR237" s="15" t="s">
        <v>1142</v>
      </c>
      <c r="AS237" s="20">
        <v>1600</v>
      </c>
      <c r="AT237" s="21">
        <v>525.75</v>
      </c>
      <c r="AU237" s="21">
        <f>(Tabla13[[#This Row],[Cap Vh]]*$AX$2)*0.56</f>
        <v>0</v>
      </c>
      <c r="AV237" s="36" t="e">
        <f>(Tabla13[[#This Row],[Cap Util (kg)]]/(Tabla13[[#This Row],[Cap Inst (Kg)]]))</f>
        <v>#DIV/0!</v>
      </c>
    </row>
    <row r="238" spans="1:48" x14ac:dyDescent="0.25">
      <c r="A238" s="13" t="s">
        <v>1068</v>
      </c>
      <c r="B238" s="14" t="s">
        <v>398</v>
      </c>
      <c r="C238" s="14" t="s">
        <v>44</v>
      </c>
      <c r="D238" s="14" t="s">
        <v>44</v>
      </c>
      <c r="E238" s="14" t="s">
        <v>63</v>
      </c>
      <c r="F238" s="14" t="s">
        <v>46</v>
      </c>
      <c r="G238" s="15" t="s">
        <v>47</v>
      </c>
      <c r="H238" s="16" t="s">
        <v>48</v>
      </c>
      <c r="I238" s="14" t="s">
        <v>49</v>
      </c>
      <c r="J238" s="14">
        <v>830064700</v>
      </c>
      <c r="K238" s="14" t="s">
        <v>50</v>
      </c>
      <c r="L238" s="14" t="s">
        <v>103</v>
      </c>
      <c r="M238" s="14" t="s">
        <v>104</v>
      </c>
      <c r="N238" s="14">
        <v>2012</v>
      </c>
      <c r="O238" s="14">
        <v>8</v>
      </c>
      <c r="P238" s="14" t="s">
        <v>53</v>
      </c>
      <c r="Q238" s="14">
        <v>0</v>
      </c>
      <c r="R238" s="14">
        <v>0</v>
      </c>
      <c r="S238" s="17" t="s">
        <v>54</v>
      </c>
      <c r="T238" s="18">
        <v>0</v>
      </c>
      <c r="U238" s="14">
        <v>30</v>
      </c>
      <c r="V238" s="19">
        <v>1</v>
      </c>
      <c r="W238" s="14">
        <v>0</v>
      </c>
      <c r="X238" s="14">
        <v>0</v>
      </c>
      <c r="Y238" s="14">
        <v>0</v>
      </c>
      <c r="Z238" s="14">
        <v>0</v>
      </c>
      <c r="AA238" s="14">
        <f>Tabla13[[#This Row],[CheckList App]]+Tabla13[[#This Row],[CheckList Fisc]]</f>
        <v>0</v>
      </c>
      <c r="AB238" s="19">
        <f t="shared" si="3"/>
        <v>0</v>
      </c>
      <c r="AC238" s="14">
        <v>0</v>
      </c>
      <c r="AD238" s="14" t="s">
        <v>55</v>
      </c>
      <c r="AE238" s="15" t="str">
        <f>IFERROR((VLOOKUP(Tabla13[[#This Row],[ID]],[1]!Mtto_Pesv[[#Headers],[#Data],[Placa]:[Rutina]],2,FALSE)),"-")</f>
        <v>-</v>
      </c>
      <c r="AF238" s="14">
        <v>0</v>
      </c>
      <c r="AG238" s="20">
        <f>IFERROR((VLOOKUP(Tabla13[[#This Row],[ID]],[1]!Mtto_Pesv[[#Headers],[#Data],[Placa]:[Rutina]],3,FALSE)),0)</f>
        <v>0</v>
      </c>
      <c r="AH238" s="20">
        <f>IFERROR((VLOOKUP(Tabla13[[#This Row],[ID]],[1]!Mtto_Pesv[[#Headers],[#Data],[Placa]:[Rutina]],7,FALSE)),0)</f>
        <v>0</v>
      </c>
      <c r="AI238" s="20">
        <f>IFERROR((VLOOKUP(Tabla13[[#This Row],[ID]],[1]!Mtto_Pesv[[#Headers],[#Data],[Placa]:[Rutina]],8,FALSE)),0)</f>
        <v>0</v>
      </c>
      <c r="AJ238" s="20" t="str">
        <f>IFERROR((VLOOKUP(Tabla13[[#This Row],[ID]],[1]!Mtto_Pesv[[#Headers],[#Data],[Placa]:[Rutina]],9,FALSE)),"-")</f>
        <v>-</v>
      </c>
      <c r="AK238" s="20">
        <f>IFERROR((VLOOKUP(Tabla13[[#This Row],[ID]],[1]!Mtto_Pesv[[#Headers],[#Data],[Placa]:[Rutina]],10,FALSE)),0)</f>
        <v>0</v>
      </c>
      <c r="AL238" s="20">
        <f>IF(Tabla13[[#This Row],[Km Anterior]]=0,0,Tabla13[[#This Row],[Km Ejecut]]-Tabla13[[#This Row],[Km Anterior]])</f>
        <v>0</v>
      </c>
      <c r="AM238" s="20">
        <f>IFERROR((VLOOKUP(Tabla13[[#This Row],[ID]],[1]!Mtto_Pesv[[#Headers],[#Data],[Placa]:[Rutina]],4,FALSE)),0)</f>
        <v>0</v>
      </c>
      <c r="AN238" s="21">
        <f>IFERROR((VLOOKUP(Tabla13[[#This Row],[ID]],[1]!Mtto_Pesv[[#Headers],[#Data],[Placa]:[Rutina]],5,FALSE)),0)</f>
        <v>0</v>
      </c>
      <c r="AO238" s="21">
        <f>+Tabla13[[#This Row],[Km Fin]]-Tabla13[[#This Row],[Km Ini]]</f>
        <v>0</v>
      </c>
      <c r="AP238" s="20">
        <f>IFERROR((VLOOKUP(Tabla13[[#This Row],[ID]],[1]!Estilo_Conduccion[[#All],[Placa]:[Puntuacion]],15,FALSE)),0)</f>
        <v>0</v>
      </c>
      <c r="AQ238" s="15" t="s">
        <v>1069</v>
      </c>
      <c r="AR238" s="15" t="s">
        <v>92</v>
      </c>
      <c r="AS238" s="20">
        <v>1600</v>
      </c>
      <c r="AT238" s="21">
        <v>0</v>
      </c>
      <c r="AU238" s="21">
        <f>(Tabla13[[#This Row],[Cap Vh]]*$AX$2)*0.56</f>
        <v>0</v>
      </c>
      <c r="AV238" s="36" t="e">
        <f>(Tabla13[[#This Row],[Cap Util (kg)]]/(Tabla13[[#This Row],[Cap Inst (Kg)]]))</f>
        <v>#DIV/0!</v>
      </c>
    </row>
    <row r="239" spans="1:48" x14ac:dyDescent="0.25">
      <c r="A239" s="13" t="s">
        <v>1068</v>
      </c>
      <c r="B239" s="14" t="s">
        <v>399</v>
      </c>
      <c r="C239" s="14" t="s">
        <v>44</v>
      </c>
      <c r="D239" s="14" t="s">
        <v>44</v>
      </c>
      <c r="E239" s="14" t="s">
        <v>127</v>
      </c>
      <c r="F239" s="14" t="s">
        <v>46</v>
      </c>
      <c r="G239" s="15" t="s">
        <v>47</v>
      </c>
      <c r="H239" s="16" t="s">
        <v>48</v>
      </c>
      <c r="I239" s="14" t="s">
        <v>49</v>
      </c>
      <c r="J239" s="14">
        <v>830064700</v>
      </c>
      <c r="K239" s="14" t="s">
        <v>50</v>
      </c>
      <c r="L239" s="14" t="s">
        <v>400</v>
      </c>
      <c r="M239" s="14" t="s">
        <v>401</v>
      </c>
      <c r="N239" s="14">
        <v>2008</v>
      </c>
      <c r="O239" s="14">
        <v>12</v>
      </c>
      <c r="P239" s="14" t="s">
        <v>173</v>
      </c>
      <c r="Q239" s="14">
        <v>0</v>
      </c>
      <c r="R239" s="14">
        <v>0</v>
      </c>
      <c r="S239" s="17" t="s">
        <v>54</v>
      </c>
      <c r="T239" s="18">
        <v>0</v>
      </c>
      <c r="U239" s="14">
        <v>30</v>
      </c>
      <c r="V239" s="19">
        <v>1</v>
      </c>
      <c r="W239" s="14">
        <v>0</v>
      </c>
      <c r="X239" s="14">
        <v>0</v>
      </c>
      <c r="Y239" s="14">
        <v>0</v>
      </c>
      <c r="Z239" s="14">
        <v>0</v>
      </c>
      <c r="AA239" s="14">
        <f>Tabla13[[#This Row],[CheckList App]]+Tabla13[[#This Row],[CheckList Fisc]]</f>
        <v>0</v>
      </c>
      <c r="AB239" s="19">
        <f t="shared" si="3"/>
        <v>0</v>
      </c>
      <c r="AC239" s="14">
        <v>0</v>
      </c>
      <c r="AD239" s="14" t="s">
        <v>55</v>
      </c>
      <c r="AE239" s="15" t="str">
        <f>IFERROR((VLOOKUP(Tabla13[[#This Row],[ID]],[1]!Mtto_Pesv[[#Headers],[#Data],[Placa]:[Rutina]],2,FALSE)),"-")</f>
        <v>-</v>
      </c>
      <c r="AF239" s="14">
        <v>0</v>
      </c>
      <c r="AG239" s="20">
        <f>IFERROR((VLOOKUP(Tabla13[[#This Row],[ID]],[1]!Mtto_Pesv[[#Headers],[#Data],[Placa]:[Rutina]],3,FALSE)),0)</f>
        <v>0</v>
      </c>
      <c r="AH239" s="20">
        <f>IFERROR((VLOOKUP(Tabla13[[#This Row],[ID]],[1]!Mtto_Pesv[[#Headers],[#Data],[Placa]:[Rutina]],7,FALSE)),0)</f>
        <v>0</v>
      </c>
      <c r="AI239" s="20">
        <f>IFERROR((VLOOKUP(Tabla13[[#This Row],[ID]],[1]!Mtto_Pesv[[#Headers],[#Data],[Placa]:[Rutina]],8,FALSE)),0)</f>
        <v>0</v>
      </c>
      <c r="AJ239" s="20" t="str">
        <f>IFERROR((VLOOKUP(Tabla13[[#This Row],[ID]],[1]!Mtto_Pesv[[#Headers],[#Data],[Placa]:[Rutina]],9,FALSE)),"-")</f>
        <v>-</v>
      </c>
      <c r="AK239" s="20">
        <f>IFERROR((VLOOKUP(Tabla13[[#This Row],[ID]],[1]!Mtto_Pesv[[#Headers],[#Data],[Placa]:[Rutina]],10,FALSE)),0)</f>
        <v>0</v>
      </c>
      <c r="AL239" s="20">
        <f>IF(Tabla13[[#This Row],[Km Anterior]]=0,0,Tabla13[[#This Row],[Km Ejecut]]-Tabla13[[#This Row],[Km Anterior]])</f>
        <v>0</v>
      </c>
      <c r="AM239" s="20">
        <f>IFERROR((VLOOKUP(Tabla13[[#This Row],[ID]],[1]!Mtto_Pesv[[#Headers],[#Data],[Placa]:[Rutina]],4,FALSE)),0)</f>
        <v>0</v>
      </c>
      <c r="AN239" s="21">
        <f>IFERROR((VLOOKUP(Tabla13[[#This Row],[ID]],[1]!Mtto_Pesv[[#Headers],[#Data],[Placa]:[Rutina]],5,FALSE)),0)</f>
        <v>0</v>
      </c>
      <c r="AO239" s="21">
        <f>+Tabla13[[#This Row],[Km Fin]]-Tabla13[[#This Row],[Km Ini]]</f>
        <v>0</v>
      </c>
      <c r="AP239" s="20">
        <f>IFERROR((VLOOKUP(Tabla13[[#This Row],[ID]],[1]!Estilo_Conduccion[[#All],[Placa]:[Puntuacion]],15,FALSE)),0)</f>
        <v>0</v>
      </c>
      <c r="AQ239" s="15" t="s">
        <v>1231</v>
      </c>
      <c r="AR239" s="15" t="s">
        <v>1232</v>
      </c>
      <c r="AS239" s="20">
        <v>500</v>
      </c>
      <c r="AT239" s="21">
        <v>7362</v>
      </c>
      <c r="AU239" s="21">
        <f>(Tabla13[[#This Row],[Cap Vh]]*$AX$2)*0.56</f>
        <v>0</v>
      </c>
      <c r="AV239" s="36" t="e">
        <f>(Tabla13[[#This Row],[Cap Util (kg)]]/(Tabla13[[#This Row],[Cap Inst (Kg)]]))</f>
        <v>#DIV/0!</v>
      </c>
    </row>
    <row r="240" spans="1:48" x14ac:dyDescent="0.25">
      <c r="A240" s="13" t="s">
        <v>1068</v>
      </c>
      <c r="B240" s="14" t="s">
        <v>402</v>
      </c>
      <c r="C240" s="14" t="s">
        <v>44</v>
      </c>
      <c r="D240" s="14" t="s">
        <v>44</v>
      </c>
      <c r="E240" s="14" t="s">
        <v>113</v>
      </c>
      <c r="F240" s="14" t="s">
        <v>46</v>
      </c>
      <c r="G240" s="15" t="s">
        <v>47</v>
      </c>
      <c r="H240" s="16" t="s">
        <v>48</v>
      </c>
      <c r="I240" s="14" t="s">
        <v>49</v>
      </c>
      <c r="J240" s="14">
        <v>830064700</v>
      </c>
      <c r="K240" s="14" t="s">
        <v>50</v>
      </c>
      <c r="L240" s="14" t="s">
        <v>360</v>
      </c>
      <c r="M240" s="14" t="s">
        <v>361</v>
      </c>
      <c r="N240" s="14">
        <v>2012</v>
      </c>
      <c r="O240" s="14">
        <v>8</v>
      </c>
      <c r="P240" s="14" t="s">
        <v>53</v>
      </c>
      <c r="Q240" s="14">
        <v>0</v>
      </c>
      <c r="R240" s="14">
        <v>0</v>
      </c>
      <c r="S240" s="17" t="s">
        <v>54</v>
      </c>
      <c r="T240" s="18">
        <v>0</v>
      </c>
      <c r="U240" s="14">
        <v>30</v>
      </c>
      <c r="V240" s="19">
        <v>1</v>
      </c>
      <c r="W240" s="14">
        <v>0</v>
      </c>
      <c r="X240" s="14">
        <v>0</v>
      </c>
      <c r="Y240" s="14">
        <v>0</v>
      </c>
      <c r="Z240" s="14">
        <v>0</v>
      </c>
      <c r="AA240" s="14">
        <f>Tabla13[[#This Row],[CheckList App]]+Tabla13[[#This Row],[CheckList Fisc]]</f>
        <v>0</v>
      </c>
      <c r="AB240" s="19">
        <f t="shared" si="3"/>
        <v>0</v>
      </c>
      <c r="AC240" s="14">
        <v>0</v>
      </c>
      <c r="AD240" s="14" t="s">
        <v>55</v>
      </c>
      <c r="AE240" s="15" t="str">
        <f>IFERROR((VLOOKUP(Tabla13[[#This Row],[ID]],[1]!Mtto_Pesv[[#Headers],[#Data],[Placa]:[Rutina]],2,FALSE)),"-")</f>
        <v>-</v>
      </c>
      <c r="AF240" s="14">
        <v>0</v>
      </c>
      <c r="AG240" s="20">
        <f>IFERROR((VLOOKUP(Tabla13[[#This Row],[ID]],[1]!Mtto_Pesv[[#Headers],[#Data],[Placa]:[Rutina]],3,FALSE)),0)</f>
        <v>0</v>
      </c>
      <c r="AH240" s="20">
        <f>IFERROR((VLOOKUP(Tabla13[[#This Row],[ID]],[1]!Mtto_Pesv[[#Headers],[#Data],[Placa]:[Rutina]],7,FALSE)),0)</f>
        <v>0</v>
      </c>
      <c r="AI240" s="20">
        <f>IFERROR((VLOOKUP(Tabla13[[#This Row],[ID]],[1]!Mtto_Pesv[[#Headers],[#Data],[Placa]:[Rutina]],8,FALSE)),0)</f>
        <v>0</v>
      </c>
      <c r="AJ240" s="20" t="str">
        <f>IFERROR((VLOOKUP(Tabla13[[#This Row],[ID]],[1]!Mtto_Pesv[[#Headers],[#Data],[Placa]:[Rutina]],9,FALSE)),"-")</f>
        <v>-</v>
      </c>
      <c r="AK240" s="20">
        <f>IFERROR((VLOOKUP(Tabla13[[#This Row],[ID]],[1]!Mtto_Pesv[[#Headers],[#Data],[Placa]:[Rutina]],10,FALSE)),0)</f>
        <v>0</v>
      </c>
      <c r="AL240" s="20">
        <f>IF(Tabla13[[#This Row],[Km Anterior]]=0,0,Tabla13[[#This Row],[Km Ejecut]]-Tabla13[[#This Row],[Km Anterior]])</f>
        <v>0</v>
      </c>
      <c r="AM240" s="20">
        <f>IFERROR((VLOOKUP(Tabla13[[#This Row],[ID]],[1]!Mtto_Pesv[[#Headers],[#Data],[Placa]:[Rutina]],4,FALSE)),0)</f>
        <v>0</v>
      </c>
      <c r="AN240" s="21">
        <f>IFERROR((VLOOKUP(Tabla13[[#This Row],[ID]],[1]!Mtto_Pesv[[#Headers],[#Data],[Placa]:[Rutina]],5,FALSE)),0)</f>
        <v>0</v>
      </c>
      <c r="AO240" s="21">
        <f>+Tabla13[[#This Row],[Km Fin]]-Tabla13[[#This Row],[Km Ini]]</f>
        <v>0</v>
      </c>
      <c r="AP240" s="20">
        <f>IFERROR((VLOOKUP(Tabla13[[#This Row],[ID]],[1]!Estilo_Conduccion[[#All],[Placa]:[Puntuacion]],15,FALSE)),0)</f>
        <v>0</v>
      </c>
      <c r="AQ240" s="15" t="s">
        <v>1233</v>
      </c>
      <c r="AR240" s="15" t="s">
        <v>1234</v>
      </c>
      <c r="AS240" s="20">
        <v>700</v>
      </c>
      <c r="AT240" s="21">
        <v>19551</v>
      </c>
      <c r="AU240" s="21">
        <f>(Tabla13[[#This Row],[Cap Vh]]*$AX$2)*0.56</f>
        <v>0</v>
      </c>
      <c r="AV240" s="36" t="e">
        <f>(Tabla13[[#This Row],[Cap Util (kg)]]/(Tabla13[[#This Row],[Cap Inst (Kg)]]))</f>
        <v>#DIV/0!</v>
      </c>
    </row>
    <row r="241" spans="1:48" x14ac:dyDescent="0.25">
      <c r="A241" s="13" t="s">
        <v>1068</v>
      </c>
      <c r="B241" s="14" t="s">
        <v>403</v>
      </c>
      <c r="C241" s="14" t="s">
        <v>44</v>
      </c>
      <c r="D241" s="14" t="s">
        <v>44</v>
      </c>
      <c r="E241" s="14" t="s">
        <v>58</v>
      </c>
      <c r="F241" s="14" t="s">
        <v>46</v>
      </c>
      <c r="G241" s="15" t="s">
        <v>47</v>
      </c>
      <c r="H241" s="16" t="s">
        <v>48</v>
      </c>
      <c r="I241" s="14" t="s">
        <v>49</v>
      </c>
      <c r="J241" s="14">
        <v>830064700</v>
      </c>
      <c r="K241" s="14" t="s">
        <v>50</v>
      </c>
      <c r="L241" s="14" t="s">
        <v>360</v>
      </c>
      <c r="M241" s="14" t="s">
        <v>361</v>
      </c>
      <c r="N241" s="14">
        <v>2012</v>
      </c>
      <c r="O241" s="14">
        <v>8</v>
      </c>
      <c r="P241" s="14" t="s">
        <v>53</v>
      </c>
      <c r="Q241" s="14">
        <v>0</v>
      </c>
      <c r="R241" s="14">
        <v>0</v>
      </c>
      <c r="S241" s="17" t="s">
        <v>54</v>
      </c>
      <c r="T241" s="18">
        <v>0</v>
      </c>
      <c r="U241" s="14">
        <v>30</v>
      </c>
      <c r="V241" s="19">
        <v>1</v>
      </c>
      <c r="W241" s="14">
        <v>0</v>
      </c>
      <c r="X241" s="14">
        <v>0</v>
      </c>
      <c r="Y241" s="14">
        <v>0</v>
      </c>
      <c r="Z241" s="14">
        <v>0</v>
      </c>
      <c r="AA241" s="14">
        <f>Tabla13[[#This Row],[CheckList App]]+Tabla13[[#This Row],[CheckList Fisc]]</f>
        <v>0</v>
      </c>
      <c r="AB241" s="19">
        <f t="shared" si="3"/>
        <v>0</v>
      </c>
      <c r="AC241" s="14">
        <v>0</v>
      </c>
      <c r="AD241" s="14" t="s">
        <v>55</v>
      </c>
      <c r="AE241" s="15" t="str">
        <f>IFERROR((VLOOKUP(Tabla13[[#This Row],[ID]],[1]!Mtto_Pesv[[#Headers],[#Data],[Placa]:[Rutina]],2,FALSE)),"-")</f>
        <v>-</v>
      </c>
      <c r="AF241" s="14">
        <v>0</v>
      </c>
      <c r="AG241" s="20">
        <f>IFERROR((VLOOKUP(Tabla13[[#This Row],[ID]],[1]!Mtto_Pesv[[#Headers],[#Data],[Placa]:[Rutina]],3,FALSE)),0)</f>
        <v>0</v>
      </c>
      <c r="AH241" s="20">
        <f>IFERROR((VLOOKUP(Tabla13[[#This Row],[ID]],[1]!Mtto_Pesv[[#Headers],[#Data],[Placa]:[Rutina]],7,FALSE)),0)</f>
        <v>0</v>
      </c>
      <c r="AI241" s="20">
        <f>IFERROR((VLOOKUP(Tabla13[[#This Row],[ID]],[1]!Mtto_Pesv[[#Headers],[#Data],[Placa]:[Rutina]],8,FALSE)),0)</f>
        <v>0</v>
      </c>
      <c r="AJ241" s="20" t="str">
        <f>IFERROR((VLOOKUP(Tabla13[[#This Row],[ID]],[1]!Mtto_Pesv[[#Headers],[#Data],[Placa]:[Rutina]],9,FALSE)),"-")</f>
        <v>-</v>
      </c>
      <c r="AK241" s="20">
        <f>IFERROR((VLOOKUP(Tabla13[[#This Row],[ID]],[1]!Mtto_Pesv[[#Headers],[#Data],[Placa]:[Rutina]],10,FALSE)),0)</f>
        <v>0</v>
      </c>
      <c r="AL241" s="20">
        <f>IF(Tabla13[[#This Row],[Km Anterior]]=0,0,Tabla13[[#This Row],[Km Ejecut]]-Tabla13[[#This Row],[Km Anterior]])</f>
        <v>0</v>
      </c>
      <c r="AM241" s="20">
        <f>IFERROR((VLOOKUP(Tabla13[[#This Row],[ID]],[1]!Mtto_Pesv[[#Headers],[#Data],[Placa]:[Rutina]],4,FALSE)),0)</f>
        <v>0</v>
      </c>
      <c r="AN241" s="21">
        <f>IFERROR((VLOOKUP(Tabla13[[#This Row],[ID]],[1]!Mtto_Pesv[[#Headers],[#Data],[Placa]:[Rutina]],5,FALSE)),0)</f>
        <v>0</v>
      </c>
      <c r="AO241" s="21">
        <f>+Tabla13[[#This Row],[Km Fin]]-Tabla13[[#This Row],[Km Ini]]</f>
        <v>0</v>
      </c>
      <c r="AP241" s="20">
        <f>IFERROR((VLOOKUP(Tabla13[[#This Row],[ID]],[1]!Estilo_Conduccion[[#All],[Placa]:[Puntuacion]],15,FALSE)),0)</f>
        <v>0</v>
      </c>
      <c r="AQ241" s="15" t="s">
        <v>1070</v>
      </c>
      <c r="AR241" s="15" t="s">
        <v>1071</v>
      </c>
      <c r="AS241" s="20">
        <v>700</v>
      </c>
      <c r="AT241" s="21">
        <v>3775.4166666666665</v>
      </c>
      <c r="AU241" s="21">
        <f>(Tabla13[[#This Row],[Cap Vh]]*$AX$2)*0.56</f>
        <v>0</v>
      </c>
      <c r="AV241" s="36" t="e">
        <f>(Tabla13[[#This Row],[Cap Util (kg)]]/(Tabla13[[#This Row],[Cap Inst (Kg)]]))</f>
        <v>#DIV/0!</v>
      </c>
    </row>
    <row r="242" spans="1:48" x14ac:dyDescent="0.25">
      <c r="A242" s="13" t="s">
        <v>1068</v>
      </c>
      <c r="B242" s="14" t="s">
        <v>404</v>
      </c>
      <c r="C242" s="14" t="s">
        <v>44</v>
      </c>
      <c r="D242" s="14" t="s">
        <v>44</v>
      </c>
      <c r="E242" s="14" t="s">
        <v>127</v>
      </c>
      <c r="F242" s="14" t="s">
        <v>337</v>
      </c>
      <c r="G242" s="15" t="s">
        <v>47</v>
      </c>
      <c r="H242" s="16" t="s">
        <v>48</v>
      </c>
      <c r="I242" s="14" t="s">
        <v>49</v>
      </c>
      <c r="J242" s="14">
        <v>890300279</v>
      </c>
      <c r="K242" s="14" t="s">
        <v>282</v>
      </c>
      <c r="L242" s="14" t="s">
        <v>405</v>
      </c>
      <c r="M242" s="14" t="s">
        <v>406</v>
      </c>
      <c r="N242" s="14">
        <v>2012</v>
      </c>
      <c r="O242" s="14">
        <v>8</v>
      </c>
      <c r="P242" s="14" t="s">
        <v>53</v>
      </c>
      <c r="Q242" s="14">
        <v>1</v>
      </c>
      <c r="R242" s="14">
        <v>0</v>
      </c>
      <c r="S242" s="17" t="s">
        <v>54</v>
      </c>
      <c r="T242" s="18">
        <v>0</v>
      </c>
      <c r="U242" s="14">
        <v>30</v>
      </c>
      <c r="V242" s="19">
        <v>1</v>
      </c>
      <c r="W242" s="14">
        <v>0</v>
      </c>
      <c r="X242" s="14">
        <v>0</v>
      </c>
      <c r="Y242" s="14">
        <v>0</v>
      </c>
      <c r="Z242" s="14">
        <v>0</v>
      </c>
      <c r="AA242" s="14">
        <f>Tabla13[[#This Row],[CheckList App]]+Tabla13[[#This Row],[CheckList Fisc]]</f>
        <v>0</v>
      </c>
      <c r="AB242" s="19">
        <f t="shared" si="3"/>
        <v>0</v>
      </c>
      <c r="AC242" s="14">
        <v>0</v>
      </c>
      <c r="AD242" s="14" t="s">
        <v>55</v>
      </c>
      <c r="AE242" s="15" t="str">
        <f>IFERROR((VLOOKUP(Tabla13[[#This Row],[ID]],[1]!Mtto_Pesv[[#Headers],[#Data],[Placa]:[Rutina]],2,FALSE)),"-")</f>
        <v>-</v>
      </c>
      <c r="AF242" s="14">
        <v>0</v>
      </c>
      <c r="AG242" s="20">
        <f>IFERROR((VLOOKUP(Tabla13[[#This Row],[ID]],[1]!Mtto_Pesv[[#Headers],[#Data],[Placa]:[Rutina]],3,FALSE)),0)</f>
        <v>0</v>
      </c>
      <c r="AH242" s="20">
        <f>IFERROR((VLOOKUP(Tabla13[[#This Row],[ID]],[1]!Mtto_Pesv[[#Headers],[#Data],[Placa]:[Rutina]],7,FALSE)),0)</f>
        <v>0</v>
      </c>
      <c r="AI242" s="20">
        <f>IFERROR((VLOOKUP(Tabla13[[#This Row],[ID]],[1]!Mtto_Pesv[[#Headers],[#Data],[Placa]:[Rutina]],8,FALSE)),0)</f>
        <v>0</v>
      </c>
      <c r="AJ242" s="20" t="str">
        <f>IFERROR((VLOOKUP(Tabla13[[#This Row],[ID]],[1]!Mtto_Pesv[[#Headers],[#Data],[Placa]:[Rutina]],9,FALSE)),"-")</f>
        <v>-</v>
      </c>
      <c r="AK242" s="20">
        <f>IFERROR((VLOOKUP(Tabla13[[#This Row],[ID]],[1]!Mtto_Pesv[[#Headers],[#Data],[Placa]:[Rutina]],10,FALSE)),0)</f>
        <v>0</v>
      </c>
      <c r="AL242" s="20">
        <f>IF(Tabla13[[#This Row],[Km Anterior]]=0,0,Tabla13[[#This Row],[Km Ejecut]]-Tabla13[[#This Row],[Km Anterior]])</f>
        <v>0</v>
      </c>
      <c r="AM242" s="20">
        <f>IFERROR((VLOOKUP(Tabla13[[#This Row],[ID]],[1]!Mtto_Pesv[[#Headers],[#Data],[Placa]:[Rutina]],4,FALSE)),0)</f>
        <v>0</v>
      </c>
      <c r="AN242" s="21">
        <f>IFERROR((VLOOKUP(Tabla13[[#This Row],[ID]],[1]!Mtto_Pesv[[#Headers],[#Data],[Placa]:[Rutina]],5,FALSE)),0)</f>
        <v>0</v>
      </c>
      <c r="AO242" s="21">
        <f>+Tabla13[[#This Row],[Km Fin]]-Tabla13[[#This Row],[Km Ini]]</f>
        <v>0</v>
      </c>
      <c r="AP242" s="20">
        <f>IFERROR((VLOOKUP(Tabla13[[#This Row],[ID]],[1]!Estilo_Conduccion[[#All],[Placa]:[Puntuacion]],15,FALSE)),0)</f>
        <v>475</v>
      </c>
      <c r="AQ242" s="15" t="s">
        <v>1235</v>
      </c>
      <c r="AR242" s="15" t="s">
        <v>1236</v>
      </c>
      <c r="AS242" s="20">
        <v>1013</v>
      </c>
      <c r="AT242" s="21">
        <v>1206</v>
      </c>
      <c r="AU242" s="21">
        <f>(Tabla13[[#This Row],[Cap Vh]]*$AX$2)*0.56</f>
        <v>0</v>
      </c>
      <c r="AV242" s="36" t="e">
        <f>(Tabla13[[#This Row],[Cap Util (kg)]]/(Tabla13[[#This Row],[Cap Inst (Kg)]]))</f>
        <v>#DIV/0!</v>
      </c>
    </row>
    <row r="243" spans="1:48" x14ac:dyDescent="0.25">
      <c r="A243" s="13" t="s">
        <v>1068</v>
      </c>
      <c r="B243" s="14" t="s">
        <v>407</v>
      </c>
      <c r="C243" s="14" t="s">
        <v>44</v>
      </c>
      <c r="D243" s="14" t="s">
        <v>44</v>
      </c>
      <c r="E243" s="14" t="s">
        <v>60</v>
      </c>
      <c r="F243" s="14" t="s">
        <v>64</v>
      </c>
      <c r="G243" s="14" t="s">
        <v>65</v>
      </c>
      <c r="H243" s="16" t="s">
        <v>66</v>
      </c>
      <c r="I243" s="14" t="s">
        <v>49</v>
      </c>
      <c r="J243" s="14">
        <v>830064700</v>
      </c>
      <c r="K243" s="14" t="s">
        <v>50</v>
      </c>
      <c r="L243" s="14" t="s">
        <v>360</v>
      </c>
      <c r="M243" s="14" t="s">
        <v>361</v>
      </c>
      <c r="N243" s="14">
        <v>2012</v>
      </c>
      <c r="O243" s="14">
        <v>8</v>
      </c>
      <c r="P243" s="14" t="s">
        <v>53</v>
      </c>
      <c r="Q243" s="14">
        <v>0</v>
      </c>
      <c r="R243" s="14">
        <v>0</v>
      </c>
      <c r="S243" s="17" t="s">
        <v>54</v>
      </c>
      <c r="T243" s="18">
        <v>0</v>
      </c>
      <c r="U243" s="14">
        <v>0</v>
      </c>
      <c r="V243" s="19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f>Tabla13[[#This Row],[CheckList App]]+Tabla13[[#This Row],[CheckList Fisc]]</f>
        <v>0</v>
      </c>
      <c r="AB243" s="19" t="str">
        <f t="shared" si="3"/>
        <v/>
      </c>
      <c r="AC243" s="14">
        <v>0</v>
      </c>
      <c r="AD243" s="14" t="s">
        <v>55</v>
      </c>
      <c r="AE243" s="15" t="str">
        <f>IFERROR((VLOOKUP(Tabla13[[#This Row],[ID]],[1]!Mtto_Pesv[[#Headers],[#Data],[Placa]:[Rutina]],2,FALSE)),"-")</f>
        <v>-</v>
      </c>
      <c r="AF243" s="14">
        <v>0</v>
      </c>
      <c r="AG243" s="20">
        <f>IFERROR((VLOOKUP(Tabla13[[#This Row],[ID]],[1]!Mtto_Pesv[[#Headers],[#Data],[Placa]:[Rutina]],3,FALSE)),0)</f>
        <v>0</v>
      </c>
      <c r="AH243" s="20">
        <f>IFERROR((VLOOKUP(Tabla13[[#This Row],[ID]],[1]!Mtto_Pesv[[#Headers],[#Data],[Placa]:[Rutina]],7,FALSE)),0)</f>
        <v>0</v>
      </c>
      <c r="AI243" s="20">
        <f>IFERROR((VLOOKUP(Tabla13[[#This Row],[ID]],[1]!Mtto_Pesv[[#Headers],[#Data],[Placa]:[Rutina]],8,FALSE)),0)</f>
        <v>0</v>
      </c>
      <c r="AJ243" s="20" t="str">
        <f>IFERROR((VLOOKUP(Tabla13[[#This Row],[ID]],[1]!Mtto_Pesv[[#Headers],[#Data],[Placa]:[Rutina]],9,FALSE)),"-")</f>
        <v>-</v>
      </c>
      <c r="AK243" s="20">
        <f>IFERROR((VLOOKUP(Tabla13[[#This Row],[ID]],[1]!Mtto_Pesv[[#Headers],[#Data],[Placa]:[Rutina]],10,FALSE)),0)</f>
        <v>0</v>
      </c>
      <c r="AL243" s="20">
        <f>IF(Tabla13[[#This Row],[Km Anterior]]=0,0,Tabla13[[#This Row],[Km Ejecut]]-Tabla13[[#This Row],[Km Anterior]])</f>
        <v>0</v>
      </c>
      <c r="AM243" s="20">
        <f>IFERROR((VLOOKUP(Tabla13[[#This Row],[ID]],[1]!Mtto_Pesv[[#Headers],[#Data],[Placa]:[Rutina]],4,FALSE)),0)</f>
        <v>0</v>
      </c>
      <c r="AN243" s="21">
        <f>IFERROR((VLOOKUP(Tabla13[[#This Row],[ID]],[1]!Mtto_Pesv[[#Headers],[#Data],[Placa]:[Rutina]],5,FALSE)),0)</f>
        <v>0</v>
      </c>
      <c r="AO243" s="21">
        <f>+Tabla13[[#This Row],[Km Fin]]-Tabla13[[#This Row],[Km Ini]]</f>
        <v>0</v>
      </c>
      <c r="AP243" s="20">
        <f>IFERROR((VLOOKUP(Tabla13[[#This Row],[ID]],[1]!Estilo_Conduccion[[#All],[Placa]:[Puntuacion]],15,FALSE)),0)</f>
        <v>0</v>
      </c>
      <c r="AQ243" s="15" t="s">
        <v>54</v>
      </c>
      <c r="AR243" s="15" t="s">
        <v>54</v>
      </c>
      <c r="AS243" s="20">
        <v>700</v>
      </c>
      <c r="AT243" s="21">
        <v>0</v>
      </c>
      <c r="AU243" s="21">
        <f>(Tabla13[[#This Row],[Cap Vh]]*$AX$2)*0.56</f>
        <v>0</v>
      </c>
      <c r="AV243" s="36" t="e">
        <f>(Tabla13[[#This Row],[Cap Util (kg)]]/(Tabla13[[#This Row],[Cap Inst (Kg)]]))</f>
        <v>#DIV/0!</v>
      </c>
    </row>
    <row r="244" spans="1:48" x14ac:dyDescent="0.25">
      <c r="A244" s="13" t="s">
        <v>1068</v>
      </c>
      <c r="B244" s="14" t="s">
        <v>408</v>
      </c>
      <c r="C244" s="14" t="s">
        <v>44</v>
      </c>
      <c r="D244" s="14" t="s">
        <v>44</v>
      </c>
      <c r="E244" s="14" t="s">
        <v>85</v>
      </c>
      <c r="F244" s="14" t="s">
        <v>64</v>
      </c>
      <c r="G244" s="15" t="s">
        <v>119</v>
      </c>
      <c r="H244" s="16" t="s">
        <v>120</v>
      </c>
      <c r="I244" s="14" t="s">
        <v>49</v>
      </c>
      <c r="J244" s="14">
        <v>830064700</v>
      </c>
      <c r="K244" s="14" t="s">
        <v>50</v>
      </c>
      <c r="L244" s="14" t="s">
        <v>360</v>
      </c>
      <c r="M244" s="14" t="s">
        <v>361</v>
      </c>
      <c r="N244" s="14">
        <v>2012</v>
      </c>
      <c r="O244" s="14">
        <v>8</v>
      </c>
      <c r="P244" s="14" t="s">
        <v>53</v>
      </c>
      <c r="Q244" s="14">
        <v>0</v>
      </c>
      <c r="R244" s="14">
        <v>0</v>
      </c>
      <c r="S244" s="17" t="s">
        <v>54</v>
      </c>
      <c r="T244" s="18">
        <v>0</v>
      </c>
      <c r="U244" s="14">
        <v>30</v>
      </c>
      <c r="V244" s="19">
        <v>1</v>
      </c>
      <c r="W244" s="14">
        <v>0</v>
      </c>
      <c r="X244" s="14">
        <v>0</v>
      </c>
      <c r="Y244" s="14">
        <v>0</v>
      </c>
      <c r="Z244" s="14">
        <v>0</v>
      </c>
      <c r="AA244" s="14">
        <f>Tabla13[[#This Row],[CheckList App]]+Tabla13[[#This Row],[CheckList Fisc]]</f>
        <v>0</v>
      </c>
      <c r="AB244" s="19">
        <f t="shared" si="3"/>
        <v>0</v>
      </c>
      <c r="AC244" s="14">
        <v>0</v>
      </c>
      <c r="AD244" s="14" t="s">
        <v>55</v>
      </c>
      <c r="AE244" s="22" t="str">
        <f>IFERROR((VLOOKUP(Tabla13[[#This Row],[ID]],[1]!Mtto_Pesv[[#Headers],[#Data],[Placa]:[Rutina]],2,FALSE)),"-")</f>
        <v>-</v>
      </c>
      <c r="AF244" s="14">
        <v>0</v>
      </c>
      <c r="AG244" s="20">
        <f>IFERROR((VLOOKUP(Tabla13[[#This Row],[ID]],[1]!Mtto_Pesv[[#Headers],[#Data],[Placa]:[Rutina]],3,FALSE)),0)</f>
        <v>0</v>
      </c>
      <c r="AH244" s="20">
        <f>IFERROR((VLOOKUP(Tabla13[[#This Row],[ID]],[1]!Mtto_Pesv[[#Headers],[#Data],[Placa]:[Rutina]],7,FALSE)),0)</f>
        <v>0</v>
      </c>
      <c r="AI244" s="20">
        <f>IFERROR((VLOOKUP(Tabla13[[#This Row],[ID]],[1]!Mtto_Pesv[[#Headers],[#Data],[Placa]:[Rutina]],8,FALSE)),0)</f>
        <v>0</v>
      </c>
      <c r="AJ244" s="20" t="str">
        <f>IFERROR((VLOOKUP(Tabla13[[#This Row],[ID]],[1]!Mtto_Pesv[[#Headers],[#Data],[Placa]:[Rutina]],9,FALSE)),"-")</f>
        <v>-</v>
      </c>
      <c r="AK244" s="20">
        <f>IFERROR((VLOOKUP(Tabla13[[#This Row],[ID]],[1]!Mtto_Pesv[[#Headers],[#Data],[Placa]:[Rutina]],10,FALSE)),0)</f>
        <v>0</v>
      </c>
      <c r="AL244" s="20">
        <f>IF(Tabla13[[#This Row],[Km Anterior]]=0,0,Tabla13[[#This Row],[Km Ejecut]]-Tabla13[[#This Row],[Km Anterior]])</f>
        <v>0</v>
      </c>
      <c r="AM244" s="20">
        <f>IFERROR((VLOOKUP(Tabla13[[#This Row],[ID]],[1]!Mtto_Pesv[[#Headers],[#Data],[Placa]:[Rutina]],4,FALSE)),0)</f>
        <v>0</v>
      </c>
      <c r="AN244" s="21">
        <f>IFERROR((VLOOKUP(Tabla13[[#This Row],[ID]],[1]!Mtto_Pesv[[#Headers],[#Data],[Placa]:[Rutina]],5,FALSE)),0)</f>
        <v>0</v>
      </c>
      <c r="AO244" s="21">
        <f>+Tabla13[[#This Row],[Km Fin]]-Tabla13[[#This Row],[Km Ini]]</f>
        <v>0</v>
      </c>
      <c r="AP244" s="20">
        <f>IFERROR((VLOOKUP(Tabla13[[#This Row],[ID]],[1]!Estilo_Conduccion[[#All],[Placa]:[Puntuacion]],15,FALSE)),0)</f>
        <v>0</v>
      </c>
      <c r="AQ244" s="15" t="s">
        <v>54</v>
      </c>
      <c r="AR244" s="15" t="s">
        <v>54</v>
      </c>
      <c r="AS244" s="20">
        <v>700</v>
      </c>
      <c r="AT244" s="21">
        <v>0</v>
      </c>
      <c r="AU244" s="21">
        <f>(Tabla13[[#This Row],[Cap Vh]]*$AX$2)*0.56</f>
        <v>0</v>
      </c>
      <c r="AV244" s="36" t="e">
        <f>(Tabla13[[#This Row],[Cap Util (kg)]]/(Tabla13[[#This Row],[Cap Inst (Kg)]]))</f>
        <v>#DIV/0!</v>
      </c>
    </row>
    <row r="245" spans="1:48" x14ac:dyDescent="0.25">
      <c r="A245" s="13" t="s">
        <v>1068</v>
      </c>
      <c r="B245" s="14" t="s">
        <v>409</v>
      </c>
      <c r="C245" s="14" t="s">
        <v>44</v>
      </c>
      <c r="D245" s="14" t="s">
        <v>44</v>
      </c>
      <c r="E245" s="14" t="s">
        <v>69</v>
      </c>
      <c r="F245" s="14" t="s">
        <v>46</v>
      </c>
      <c r="G245" s="15" t="s">
        <v>47</v>
      </c>
      <c r="H245" s="16" t="s">
        <v>48</v>
      </c>
      <c r="I245" s="14" t="s">
        <v>49</v>
      </c>
      <c r="J245" s="14">
        <v>830064700</v>
      </c>
      <c r="K245" s="14" t="s">
        <v>50</v>
      </c>
      <c r="L245" s="14" t="s">
        <v>360</v>
      </c>
      <c r="M245" s="14" t="s">
        <v>361</v>
      </c>
      <c r="N245" s="14">
        <v>2012</v>
      </c>
      <c r="O245" s="14">
        <v>8</v>
      </c>
      <c r="P245" s="14" t="s">
        <v>53</v>
      </c>
      <c r="Q245" s="14">
        <v>0</v>
      </c>
      <c r="R245" s="14">
        <v>0</v>
      </c>
      <c r="S245" s="17" t="s">
        <v>54</v>
      </c>
      <c r="T245" s="18">
        <v>0</v>
      </c>
      <c r="U245" s="14">
        <v>30</v>
      </c>
      <c r="V245" s="19">
        <v>1</v>
      </c>
      <c r="W245" s="14">
        <v>0</v>
      </c>
      <c r="X245" s="14">
        <v>0</v>
      </c>
      <c r="Y245" s="14">
        <v>0</v>
      </c>
      <c r="Z245" s="14">
        <v>0</v>
      </c>
      <c r="AA245" s="14">
        <f>Tabla13[[#This Row],[CheckList App]]+Tabla13[[#This Row],[CheckList Fisc]]</f>
        <v>0</v>
      </c>
      <c r="AB245" s="19">
        <f t="shared" si="3"/>
        <v>0</v>
      </c>
      <c r="AC245" s="14">
        <v>0</v>
      </c>
      <c r="AD245" s="14" t="s">
        <v>55</v>
      </c>
      <c r="AE245" s="15" t="str">
        <f>IFERROR((VLOOKUP(Tabla13[[#This Row],[ID]],[1]!Mtto_Pesv[[#Headers],[#Data],[Placa]:[Rutina]],2,FALSE)),"-")</f>
        <v>-</v>
      </c>
      <c r="AF245" s="14">
        <v>0</v>
      </c>
      <c r="AG245" s="20">
        <f>IFERROR((VLOOKUP(Tabla13[[#This Row],[ID]],[1]!Mtto_Pesv[[#Headers],[#Data],[Placa]:[Rutina]],3,FALSE)),0)</f>
        <v>0</v>
      </c>
      <c r="AH245" s="20">
        <f>IFERROR((VLOOKUP(Tabla13[[#This Row],[ID]],[1]!Mtto_Pesv[[#Headers],[#Data],[Placa]:[Rutina]],7,FALSE)),0)</f>
        <v>0</v>
      </c>
      <c r="AI245" s="20">
        <f>IFERROR((VLOOKUP(Tabla13[[#This Row],[ID]],[1]!Mtto_Pesv[[#Headers],[#Data],[Placa]:[Rutina]],8,FALSE)),0)</f>
        <v>0</v>
      </c>
      <c r="AJ245" s="20" t="str">
        <f>IFERROR((VLOOKUP(Tabla13[[#This Row],[ID]],[1]!Mtto_Pesv[[#Headers],[#Data],[Placa]:[Rutina]],9,FALSE)),"-")</f>
        <v>-</v>
      </c>
      <c r="AK245" s="20">
        <f>IFERROR((VLOOKUP(Tabla13[[#This Row],[ID]],[1]!Mtto_Pesv[[#Headers],[#Data],[Placa]:[Rutina]],10,FALSE)),0)</f>
        <v>0</v>
      </c>
      <c r="AL245" s="20">
        <f>IF(Tabla13[[#This Row],[Km Anterior]]=0,0,Tabla13[[#This Row],[Km Ejecut]]-Tabla13[[#This Row],[Km Anterior]])</f>
        <v>0</v>
      </c>
      <c r="AM245" s="20">
        <f>IFERROR((VLOOKUP(Tabla13[[#This Row],[ID]],[1]!Mtto_Pesv[[#Headers],[#Data],[Placa]:[Rutina]],4,FALSE)),0)</f>
        <v>0</v>
      </c>
      <c r="AN245" s="21">
        <f>IFERROR((VLOOKUP(Tabla13[[#This Row],[ID]],[1]!Mtto_Pesv[[#Headers],[#Data],[Placa]:[Rutina]],5,FALSE)),0)</f>
        <v>0</v>
      </c>
      <c r="AO245" s="21">
        <f>+Tabla13[[#This Row],[Km Fin]]-Tabla13[[#This Row],[Km Ini]]</f>
        <v>0</v>
      </c>
      <c r="AP245" s="20">
        <f>IFERROR((VLOOKUP(Tabla13[[#This Row],[ID]],[1]!Estilo_Conduccion[[#All],[Placa]:[Puntuacion]],15,FALSE)),0)</f>
        <v>0</v>
      </c>
      <c r="AQ245" s="15" t="s">
        <v>1069</v>
      </c>
      <c r="AR245" s="15" t="s">
        <v>410</v>
      </c>
      <c r="AS245" s="20">
        <v>700</v>
      </c>
      <c r="AT245" s="21">
        <v>0</v>
      </c>
      <c r="AU245" s="21">
        <f>(Tabla13[[#This Row],[Cap Vh]]*$AX$2)*0.56</f>
        <v>0</v>
      </c>
      <c r="AV245" s="36" t="e">
        <f>(Tabla13[[#This Row],[Cap Util (kg)]]/(Tabla13[[#This Row],[Cap Inst (Kg)]]))</f>
        <v>#DIV/0!</v>
      </c>
    </row>
    <row r="246" spans="1:48" x14ac:dyDescent="0.25">
      <c r="A246" s="13" t="s">
        <v>1068</v>
      </c>
      <c r="B246" s="14" t="s">
        <v>411</v>
      </c>
      <c r="C246" s="14" t="s">
        <v>44</v>
      </c>
      <c r="D246" s="14" t="s">
        <v>44</v>
      </c>
      <c r="E246" s="14" t="s">
        <v>60</v>
      </c>
      <c r="F246" s="14" t="s">
        <v>46</v>
      </c>
      <c r="G246" s="15" t="s">
        <v>47</v>
      </c>
      <c r="H246" s="16" t="s">
        <v>48</v>
      </c>
      <c r="I246" s="14" t="s">
        <v>49</v>
      </c>
      <c r="J246" s="14">
        <v>830064700</v>
      </c>
      <c r="K246" s="14" t="s">
        <v>50</v>
      </c>
      <c r="L246" s="14" t="s">
        <v>360</v>
      </c>
      <c r="M246" s="14" t="s">
        <v>361</v>
      </c>
      <c r="N246" s="14">
        <v>2012</v>
      </c>
      <c r="O246" s="14">
        <v>8</v>
      </c>
      <c r="P246" s="14" t="s">
        <v>53</v>
      </c>
      <c r="Q246" s="14">
        <v>0</v>
      </c>
      <c r="R246" s="14">
        <v>0</v>
      </c>
      <c r="S246" s="17" t="s">
        <v>54</v>
      </c>
      <c r="T246" s="18">
        <v>0</v>
      </c>
      <c r="U246" s="14">
        <v>30</v>
      </c>
      <c r="V246" s="19">
        <v>1</v>
      </c>
      <c r="W246" s="14">
        <v>0</v>
      </c>
      <c r="X246" s="14">
        <v>0</v>
      </c>
      <c r="Y246" s="14">
        <v>0</v>
      </c>
      <c r="Z246" s="14">
        <v>0</v>
      </c>
      <c r="AA246" s="14">
        <f>Tabla13[[#This Row],[CheckList App]]+Tabla13[[#This Row],[CheckList Fisc]]</f>
        <v>0</v>
      </c>
      <c r="AB246" s="19">
        <f t="shared" si="3"/>
        <v>0</v>
      </c>
      <c r="AC246" s="14">
        <v>0</v>
      </c>
      <c r="AD246" s="14" t="s">
        <v>55</v>
      </c>
      <c r="AE246" s="15" t="str">
        <f>IFERROR((VLOOKUP(Tabla13[[#This Row],[ID]],[1]!Mtto_Pesv[[#Headers],[#Data],[Placa]:[Rutina]],2,FALSE)),"-")</f>
        <v>-</v>
      </c>
      <c r="AF246" s="14">
        <v>0</v>
      </c>
      <c r="AG246" s="20">
        <f>IFERROR((VLOOKUP(Tabla13[[#This Row],[ID]],[1]!Mtto_Pesv[[#Headers],[#Data],[Placa]:[Rutina]],3,FALSE)),0)</f>
        <v>0</v>
      </c>
      <c r="AH246" s="20">
        <f>IFERROR((VLOOKUP(Tabla13[[#This Row],[ID]],[1]!Mtto_Pesv[[#Headers],[#Data],[Placa]:[Rutina]],7,FALSE)),0)</f>
        <v>0</v>
      </c>
      <c r="AI246" s="20">
        <f>IFERROR((VLOOKUP(Tabla13[[#This Row],[ID]],[1]!Mtto_Pesv[[#Headers],[#Data],[Placa]:[Rutina]],8,FALSE)),0)</f>
        <v>0</v>
      </c>
      <c r="AJ246" s="20" t="str">
        <f>IFERROR((VLOOKUP(Tabla13[[#This Row],[ID]],[1]!Mtto_Pesv[[#Headers],[#Data],[Placa]:[Rutina]],9,FALSE)),"-")</f>
        <v>-</v>
      </c>
      <c r="AK246" s="20">
        <f>IFERROR((VLOOKUP(Tabla13[[#This Row],[ID]],[1]!Mtto_Pesv[[#Headers],[#Data],[Placa]:[Rutina]],10,FALSE)),0)</f>
        <v>0</v>
      </c>
      <c r="AL246" s="20">
        <f>IF(Tabla13[[#This Row],[Km Anterior]]=0,0,Tabla13[[#This Row],[Km Ejecut]]-Tabla13[[#This Row],[Km Anterior]])</f>
        <v>0</v>
      </c>
      <c r="AM246" s="20">
        <f>IFERROR((VLOOKUP(Tabla13[[#This Row],[ID]],[1]!Mtto_Pesv[[#Headers],[#Data],[Placa]:[Rutina]],4,FALSE)),0)</f>
        <v>0</v>
      </c>
      <c r="AN246" s="21">
        <f>IFERROR((VLOOKUP(Tabla13[[#This Row],[ID]],[1]!Mtto_Pesv[[#Headers],[#Data],[Placa]:[Rutina]],5,FALSE)),0)</f>
        <v>0</v>
      </c>
      <c r="AO246" s="21">
        <f>+Tabla13[[#This Row],[Km Fin]]-Tabla13[[#This Row],[Km Ini]]</f>
        <v>0</v>
      </c>
      <c r="AP246" s="20">
        <f>IFERROR((VLOOKUP(Tabla13[[#This Row],[ID]],[1]!Estilo_Conduccion[[#All],[Placa]:[Puntuacion]],15,FALSE)),0)</f>
        <v>0</v>
      </c>
      <c r="AQ246" s="15" t="s">
        <v>54</v>
      </c>
      <c r="AR246" s="15" t="s">
        <v>1237</v>
      </c>
      <c r="AS246" s="20">
        <v>700</v>
      </c>
      <c r="AT246" s="21">
        <v>0</v>
      </c>
      <c r="AU246" s="21">
        <f>(Tabla13[[#This Row],[Cap Vh]]*$AX$2)*0.56</f>
        <v>0</v>
      </c>
      <c r="AV246" s="36" t="e">
        <f>(Tabla13[[#This Row],[Cap Util (kg)]]/(Tabla13[[#This Row],[Cap Inst (Kg)]]))</f>
        <v>#DIV/0!</v>
      </c>
    </row>
    <row r="247" spans="1:48" x14ac:dyDescent="0.25">
      <c r="A247" s="13" t="s">
        <v>1068</v>
      </c>
      <c r="B247" s="14" t="s">
        <v>412</v>
      </c>
      <c r="C247" s="14" t="s">
        <v>44</v>
      </c>
      <c r="D247" s="14" t="s">
        <v>44</v>
      </c>
      <c r="E247" s="14" t="s">
        <v>63</v>
      </c>
      <c r="F247" s="14" t="s">
        <v>46</v>
      </c>
      <c r="G247" s="15" t="s">
        <v>47</v>
      </c>
      <c r="H247" s="16" t="s">
        <v>48</v>
      </c>
      <c r="I247" s="14" t="s">
        <v>49</v>
      </c>
      <c r="J247" s="14">
        <v>830064700</v>
      </c>
      <c r="K247" s="14" t="s">
        <v>50</v>
      </c>
      <c r="L247" s="14" t="s">
        <v>360</v>
      </c>
      <c r="M247" s="14" t="s">
        <v>361</v>
      </c>
      <c r="N247" s="14">
        <v>2012</v>
      </c>
      <c r="O247" s="14">
        <v>8</v>
      </c>
      <c r="P247" s="14" t="s">
        <v>53</v>
      </c>
      <c r="Q247" s="14">
        <v>0</v>
      </c>
      <c r="R247" s="14">
        <v>0</v>
      </c>
      <c r="S247" s="17" t="s">
        <v>54</v>
      </c>
      <c r="T247" s="18">
        <v>0</v>
      </c>
      <c r="U247" s="14">
        <v>30</v>
      </c>
      <c r="V247" s="19">
        <v>1</v>
      </c>
      <c r="W247" s="14">
        <v>0</v>
      </c>
      <c r="X247" s="14">
        <v>0</v>
      </c>
      <c r="Y247" s="14">
        <v>0</v>
      </c>
      <c r="Z247" s="14">
        <v>0</v>
      </c>
      <c r="AA247" s="14">
        <f>Tabla13[[#This Row],[CheckList App]]+Tabla13[[#This Row],[CheckList Fisc]]</f>
        <v>0</v>
      </c>
      <c r="AB247" s="19">
        <f t="shared" si="3"/>
        <v>0</v>
      </c>
      <c r="AC247" s="14">
        <v>0</v>
      </c>
      <c r="AD247" s="14" t="s">
        <v>55</v>
      </c>
      <c r="AE247" s="15" t="str">
        <f>IFERROR((VLOOKUP(Tabla13[[#This Row],[ID]],[1]!Mtto_Pesv[[#Headers],[#Data],[Placa]:[Rutina]],2,FALSE)),"-")</f>
        <v>-</v>
      </c>
      <c r="AF247" s="14">
        <v>0</v>
      </c>
      <c r="AG247" s="20">
        <f>IFERROR((VLOOKUP(Tabla13[[#This Row],[ID]],[1]!Mtto_Pesv[[#Headers],[#Data],[Placa]:[Rutina]],3,FALSE)),0)</f>
        <v>0</v>
      </c>
      <c r="AH247" s="20">
        <f>IFERROR((VLOOKUP(Tabla13[[#This Row],[ID]],[1]!Mtto_Pesv[[#Headers],[#Data],[Placa]:[Rutina]],7,FALSE)),0)</f>
        <v>0</v>
      </c>
      <c r="AI247" s="20">
        <f>IFERROR((VLOOKUP(Tabla13[[#This Row],[ID]],[1]!Mtto_Pesv[[#Headers],[#Data],[Placa]:[Rutina]],8,FALSE)),0)</f>
        <v>0</v>
      </c>
      <c r="AJ247" s="20" t="str">
        <f>IFERROR((VLOOKUP(Tabla13[[#This Row],[ID]],[1]!Mtto_Pesv[[#Headers],[#Data],[Placa]:[Rutina]],9,FALSE)),"-")</f>
        <v>-</v>
      </c>
      <c r="AK247" s="20">
        <f>IFERROR((VLOOKUP(Tabla13[[#This Row],[ID]],[1]!Mtto_Pesv[[#Headers],[#Data],[Placa]:[Rutina]],10,FALSE)),0)</f>
        <v>0</v>
      </c>
      <c r="AL247" s="20">
        <f>IF(Tabla13[[#This Row],[Km Anterior]]=0,0,Tabla13[[#This Row],[Km Ejecut]]-Tabla13[[#This Row],[Km Anterior]])</f>
        <v>0</v>
      </c>
      <c r="AM247" s="20">
        <f>IFERROR((VLOOKUP(Tabla13[[#This Row],[ID]],[1]!Mtto_Pesv[[#Headers],[#Data],[Placa]:[Rutina]],4,FALSE)),0)</f>
        <v>0</v>
      </c>
      <c r="AN247" s="21">
        <f>IFERROR((VLOOKUP(Tabla13[[#This Row],[ID]],[1]!Mtto_Pesv[[#Headers],[#Data],[Placa]:[Rutina]],5,FALSE)),0)</f>
        <v>0</v>
      </c>
      <c r="AO247" s="21">
        <f>+Tabla13[[#This Row],[Km Fin]]-Tabla13[[#This Row],[Km Ini]]</f>
        <v>0</v>
      </c>
      <c r="AP247" s="20">
        <f>IFERROR((VLOOKUP(Tabla13[[#This Row],[ID]],[1]!Estilo_Conduccion[[#All],[Placa]:[Puntuacion]],15,FALSE)),0)</f>
        <v>0</v>
      </c>
      <c r="AQ247" s="15" t="s">
        <v>1074</v>
      </c>
      <c r="AR247" s="15" t="s">
        <v>1075</v>
      </c>
      <c r="AS247" s="20">
        <v>700</v>
      </c>
      <c r="AT247" s="21">
        <v>1990.7142857142858</v>
      </c>
      <c r="AU247" s="21">
        <f>(Tabla13[[#This Row],[Cap Vh]]*$AX$2)*0.56</f>
        <v>0</v>
      </c>
      <c r="AV247" s="36" t="e">
        <f>(Tabla13[[#This Row],[Cap Util (kg)]]/(Tabla13[[#This Row],[Cap Inst (Kg)]]))</f>
        <v>#DIV/0!</v>
      </c>
    </row>
    <row r="248" spans="1:48" x14ac:dyDescent="0.25">
      <c r="A248" s="13" t="s">
        <v>1068</v>
      </c>
      <c r="B248" s="14" t="s">
        <v>413</v>
      </c>
      <c r="C248" s="14" t="s">
        <v>44</v>
      </c>
      <c r="D248" s="14" t="s">
        <v>44</v>
      </c>
      <c r="E248" s="14" t="s">
        <v>113</v>
      </c>
      <c r="F248" s="14" t="s">
        <v>46</v>
      </c>
      <c r="G248" s="15" t="s">
        <v>47</v>
      </c>
      <c r="H248" s="16" t="s">
        <v>48</v>
      </c>
      <c r="I248" s="14" t="s">
        <v>49</v>
      </c>
      <c r="J248" s="14">
        <v>830064700</v>
      </c>
      <c r="K248" s="14" t="s">
        <v>50</v>
      </c>
      <c r="L248" s="14" t="s">
        <v>360</v>
      </c>
      <c r="M248" s="14" t="s">
        <v>361</v>
      </c>
      <c r="N248" s="14">
        <v>2012</v>
      </c>
      <c r="O248" s="14">
        <v>8</v>
      </c>
      <c r="P248" s="14" t="s">
        <v>53</v>
      </c>
      <c r="Q248" s="14">
        <v>0</v>
      </c>
      <c r="R248" s="14">
        <v>0</v>
      </c>
      <c r="S248" s="17" t="s">
        <v>54</v>
      </c>
      <c r="T248" s="18">
        <v>0</v>
      </c>
      <c r="U248" s="14">
        <v>30</v>
      </c>
      <c r="V248" s="19">
        <v>1</v>
      </c>
      <c r="W248" s="14">
        <v>0</v>
      </c>
      <c r="X248" s="14">
        <v>0</v>
      </c>
      <c r="Y248" s="14">
        <v>0</v>
      </c>
      <c r="Z248" s="14">
        <v>0</v>
      </c>
      <c r="AA248" s="14">
        <f>Tabla13[[#This Row],[CheckList App]]+Tabla13[[#This Row],[CheckList Fisc]]</f>
        <v>0</v>
      </c>
      <c r="AB248" s="19">
        <f t="shared" si="3"/>
        <v>0</v>
      </c>
      <c r="AC248" s="14">
        <v>0</v>
      </c>
      <c r="AD248" s="14" t="s">
        <v>70</v>
      </c>
      <c r="AE248" s="15" t="str">
        <f>IFERROR((VLOOKUP(Tabla13[[#This Row],[ID]],[1]!Mtto_Pesv[[#Headers],[#Data],[Placa]:[Rutina]],2,FALSE)),"-")</f>
        <v>-</v>
      </c>
      <c r="AF248" s="14">
        <v>1</v>
      </c>
      <c r="AG248" s="20">
        <f>IFERROR((VLOOKUP(Tabla13[[#This Row],[ID]],[1]!Mtto_Pesv[[#Headers],[#Data],[Placa]:[Rutina]],3,FALSE)),0)</f>
        <v>0</v>
      </c>
      <c r="AH248" s="20">
        <f>IFERROR((VLOOKUP(Tabla13[[#This Row],[ID]],[1]!Mtto_Pesv[[#Headers],[#Data],[Placa]:[Rutina]],7,FALSE)),0)</f>
        <v>0</v>
      </c>
      <c r="AI248" s="20">
        <f>IFERROR((VLOOKUP(Tabla13[[#This Row],[ID]],[1]!Mtto_Pesv[[#Headers],[#Data],[Placa]:[Rutina]],8,FALSE)),0)</f>
        <v>0</v>
      </c>
      <c r="AJ248" s="20" t="str">
        <f>IFERROR((VLOOKUP(Tabla13[[#This Row],[ID]],[1]!Mtto_Pesv[[#Headers],[#Data],[Placa]:[Rutina]],9,FALSE)),"-")</f>
        <v>-</v>
      </c>
      <c r="AK248" s="20">
        <f>IFERROR((VLOOKUP(Tabla13[[#This Row],[ID]],[1]!Mtto_Pesv[[#Headers],[#Data],[Placa]:[Rutina]],10,FALSE)),0)</f>
        <v>0</v>
      </c>
      <c r="AL248" s="20">
        <f>IF(Tabla13[[#This Row],[Km Anterior]]=0,0,Tabla13[[#This Row],[Km Ejecut]]-Tabla13[[#This Row],[Km Anterior]])</f>
        <v>0</v>
      </c>
      <c r="AM248" s="20">
        <f>IFERROR((VLOOKUP(Tabla13[[#This Row],[ID]],[1]!Mtto_Pesv[[#Headers],[#Data],[Placa]:[Rutina]],4,FALSE)),0)</f>
        <v>0</v>
      </c>
      <c r="AN248" s="21">
        <f>IFERROR((VLOOKUP(Tabla13[[#This Row],[ID]],[1]!Mtto_Pesv[[#Headers],[#Data],[Placa]:[Rutina]],5,FALSE)),0)</f>
        <v>0</v>
      </c>
      <c r="AO248" s="21">
        <f>+Tabla13[[#This Row],[Km Fin]]-Tabla13[[#This Row],[Km Ini]]</f>
        <v>0</v>
      </c>
      <c r="AP248" s="20">
        <f>IFERROR((VLOOKUP(Tabla13[[#This Row],[ID]],[1]!Estilo_Conduccion[[#All],[Placa]:[Puntuacion]],15,FALSE)),0)</f>
        <v>0</v>
      </c>
      <c r="AQ248" s="15" t="s">
        <v>1238</v>
      </c>
      <c r="AR248" s="15" t="s">
        <v>1239</v>
      </c>
      <c r="AS248" s="20">
        <v>700</v>
      </c>
      <c r="AT248" s="21">
        <v>8103</v>
      </c>
      <c r="AU248" s="21">
        <f>(Tabla13[[#This Row],[Cap Vh]]*$AX$2)*0.56</f>
        <v>0</v>
      </c>
      <c r="AV248" s="36" t="e">
        <f>(Tabla13[[#This Row],[Cap Util (kg)]]/(Tabla13[[#This Row],[Cap Inst (Kg)]]))</f>
        <v>#DIV/0!</v>
      </c>
    </row>
    <row r="249" spans="1:48" x14ac:dyDescent="0.25">
      <c r="A249" s="13" t="s">
        <v>1068</v>
      </c>
      <c r="B249" s="14" t="s">
        <v>414</v>
      </c>
      <c r="C249" s="14" t="s">
        <v>44</v>
      </c>
      <c r="D249" s="14" t="s">
        <v>44</v>
      </c>
      <c r="E249" s="14" t="s">
        <v>45</v>
      </c>
      <c r="F249" s="14" t="s">
        <v>46</v>
      </c>
      <c r="G249" s="15" t="s">
        <v>47</v>
      </c>
      <c r="H249" s="16" t="s">
        <v>48</v>
      </c>
      <c r="I249" s="14" t="s">
        <v>49</v>
      </c>
      <c r="J249" s="14">
        <v>830064700</v>
      </c>
      <c r="K249" s="14" t="s">
        <v>50</v>
      </c>
      <c r="L249" s="14" t="s">
        <v>360</v>
      </c>
      <c r="M249" s="14" t="s">
        <v>361</v>
      </c>
      <c r="N249" s="14">
        <v>2012</v>
      </c>
      <c r="O249" s="14">
        <v>8</v>
      </c>
      <c r="P249" s="14" t="s">
        <v>53</v>
      </c>
      <c r="Q249" s="14">
        <v>0</v>
      </c>
      <c r="R249" s="14">
        <v>0</v>
      </c>
      <c r="S249" s="17" t="s">
        <v>54</v>
      </c>
      <c r="T249" s="18">
        <v>0</v>
      </c>
      <c r="U249" s="14">
        <v>30</v>
      </c>
      <c r="V249" s="19">
        <v>1</v>
      </c>
      <c r="W249" s="14">
        <v>0</v>
      </c>
      <c r="X249" s="14">
        <v>0</v>
      </c>
      <c r="Y249" s="14">
        <v>0</v>
      </c>
      <c r="Z249" s="14">
        <v>0</v>
      </c>
      <c r="AA249" s="14">
        <f>Tabla13[[#This Row],[CheckList App]]+Tabla13[[#This Row],[CheckList Fisc]]</f>
        <v>0</v>
      </c>
      <c r="AB249" s="19">
        <f t="shared" si="3"/>
        <v>0</v>
      </c>
      <c r="AC249" s="14">
        <v>0</v>
      </c>
      <c r="AD249" s="14" t="s">
        <v>55</v>
      </c>
      <c r="AE249" s="15" t="str">
        <f>IFERROR((VLOOKUP(Tabla13[[#This Row],[ID]],[1]!Mtto_Pesv[[#Headers],[#Data],[Placa]:[Rutina]],2,FALSE)),"-")</f>
        <v>-</v>
      </c>
      <c r="AF249" s="14">
        <v>0</v>
      </c>
      <c r="AG249" s="20">
        <f>IFERROR((VLOOKUP(Tabla13[[#This Row],[ID]],[1]!Mtto_Pesv[[#Headers],[#Data],[Placa]:[Rutina]],3,FALSE)),0)</f>
        <v>0</v>
      </c>
      <c r="AH249" s="20">
        <f>IFERROR((VLOOKUP(Tabla13[[#This Row],[ID]],[1]!Mtto_Pesv[[#Headers],[#Data],[Placa]:[Rutina]],7,FALSE)),0)</f>
        <v>0</v>
      </c>
      <c r="AI249" s="20">
        <f>IFERROR((VLOOKUP(Tabla13[[#This Row],[ID]],[1]!Mtto_Pesv[[#Headers],[#Data],[Placa]:[Rutina]],8,FALSE)),0)</f>
        <v>0</v>
      </c>
      <c r="AJ249" s="20" t="str">
        <f>IFERROR((VLOOKUP(Tabla13[[#This Row],[ID]],[1]!Mtto_Pesv[[#Headers],[#Data],[Placa]:[Rutina]],9,FALSE)),"-")</f>
        <v>-</v>
      </c>
      <c r="AK249" s="20">
        <f>IFERROR((VLOOKUP(Tabla13[[#This Row],[ID]],[1]!Mtto_Pesv[[#Headers],[#Data],[Placa]:[Rutina]],10,FALSE)),0)</f>
        <v>0</v>
      </c>
      <c r="AL249" s="20">
        <f>IF(Tabla13[[#This Row],[Km Anterior]]=0,0,Tabla13[[#This Row],[Km Ejecut]]-Tabla13[[#This Row],[Km Anterior]])</f>
        <v>0</v>
      </c>
      <c r="AM249" s="20">
        <f>IFERROR((VLOOKUP(Tabla13[[#This Row],[ID]],[1]!Mtto_Pesv[[#Headers],[#Data],[Placa]:[Rutina]],4,FALSE)),0)</f>
        <v>0</v>
      </c>
      <c r="AN249" s="21">
        <f>IFERROR((VLOOKUP(Tabla13[[#This Row],[ID]],[1]!Mtto_Pesv[[#Headers],[#Data],[Placa]:[Rutina]],5,FALSE)),0)</f>
        <v>0</v>
      </c>
      <c r="AO249" s="21">
        <f>+Tabla13[[#This Row],[Km Fin]]-Tabla13[[#This Row],[Km Ini]]</f>
        <v>0</v>
      </c>
      <c r="AP249" s="20">
        <f>IFERROR((VLOOKUP(Tabla13[[#This Row],[ID]],[1]!Estilo_Conduccion[[#All],[Placa]:[Puntuacion]],15,FALSE)),0)</f>
        <v>0</v>
      </c>
      <c r="AQ249" s="15" t="s">
        <v>1149</v>
      </c>
      <c r="AR249" s="15" t="s">
        <v>1150</v>
      </c>
      <c r="AS249" s="20">
        <v>700</v>
      </c>
      <c r="AT249" s="21">
        <v>5496</v>
      </c>
      <c r="AU249" s="21">
        <f>(Tabla13[[#This Row],[Cap Vh]]*$AX$2)*0.56</f>
        <v>0</v>
      </c>
      <c r="AV249" s="36" t="e">
        <f>(Tabla13[[#This Row],[Cap Util (kg)]]/(Tabla13[[#This Row],[Cap Inst (Kg)]]))</f>
        <v>#DIV/0!</v>
      </c>
    </row>
    <row r="250" spans="1:48" x14ac:dyDescent="0.25">
      <c r="A250" s="13" t="s">
        <v>1068</v>
      </c>
      <c r="B250" s="14" t="s">
        <v>415</v>
      </c>
      <c r="C250" s="14" t="s">
        <v>44</v>
      </c>
      <c r="D250" s="14" t="s">
        <v>44</v>
      </c>
      <c r="E250" s="14" t="s">
        <v>63</v>
      </c>
      <c r="F250" s="14" t="s">
        <v>46</v>
      </c>
      <c r="G250" s="15" t="s">
        <v>47</v>
      </c>
      <c r="H250" s="16" t="s">
        <v>48</v>
      </c>
      <c r="I250" s="14" t="s">
        <v>49</v>
      </c>
      <c r="J250" s="14">
        <v>830064700</v>
      </c>
      <c r="K250" s="14" t="s">
        <v>50</v>
      </c>
      <c r="L250" s="14" t="s">
        <v>360</v>
      </c>
      <c r="M250" s="14" t="s">
        <v>361</v>
      </c>
      <c r="N250" s="14">
        <v>2012</v>
      </c>
      <c r="O250" s="14">
        <v>8</v>
      </c>
      <c r="P250" s="14" t="s">
        <v>53</v>
      </c>
      <c r="Q250" s="14">
        <v>0</v>
      </c>
      <c r="R250" s="14">
        <v>0</v>
      </c>
      <c r="S250" s="17" t="s">
        <v>54</v>
      </c>
      <c r="T250" s="18">
        <v>0</v>
      </c>
      <c r="U250" s="14">
        <v>30</v>
      </c>
      <c r="V250" s="19">
        <v>1</v>
      </c>
      <c r="W250" s="14">
        <v>0</v>
      </c>
      <c r="X250" s="14">
        <v>0</v>
      </c>
      <c r="Y250" s="14">
        <v>0</v>
      </c>
      <c r="Z250" s="14">
        <v>0</v>
      </c>
      <c r="AA250" s="14">
        <f>Tabla13[[#This Row],[CheckList App]]+Tabla13[[#This Row],[CheckList Fisc]]</f>
        <v>0</v>
      </c>
      <c r="AB250" s="19">
        <f t="shared" si="3"/>
        <v>0</v>
      </c>
      <c r="AC250" s="14">
        <v>0</v>
      </c>
      <c r="AD250" s="14" t="s">
        <v>55</v>
      </c>
      <c r="AE250" s="15" t="str">
        <f>IFERROR((VLOOKUP(Tabla13[[#This Row],[ID]],[1]!Mtto_Pesv[[#Headers],[#Data],[Placa]:[Rutina]],2,FALSE)),"-")</f>
        <v>-</v>
      </c>
      <c r="AF250" s="14">
        <v>0</v>
      </c>
      <c r="AG250" s="20">
        <f>IFERROR((VLOOKUP(Tabla13[[#This Row],[ID]],[1]!Mtto_Pesv[[#Headers],[#Data],[Placa]:[Rutina]],3,FALSE)),0)</f>
        <v>0</v>
      </c>
      <c r="AH250" s="20">
        <f>IFERROR((VLOOKUP(Tabla13[[#This Row],[ID]],[1]!Mtto_Pesv[[#Headers],[#Data],[Placa]:[Rutina]],7,FALSE)),0)</f>
        <v>0</v>
      </c>
      <c r="AI250" s="20">
        <f>IFERROR((VLOOKUP(Tabla13[[#This Row],[ID]],[1]!Mtto_Pesv[[#Headers],[#Data],[Placa]:[Rutina]],8,FALSE)),0)</f>
        <v>0</v>
      </c>
      <c r="AJ250" s="20" t="str">
        <f>IFERROR((VLOOKUP(Tabla13[[#This Row],[ID]],[1]!Mtto_Pesv[[#Headers],[#Data],[Placa]:[Rutina]],9,FALSE)),"-")</f>
        <v>-</v>
      </c>
      <c r="AK250" s="20">
        <f>IFERROR((VLOOKUP(Tabla13[[#This Row],[ID]],[1]!Mtto_Pesv[[#Headers],[#Data],[Placa]:[Rutina]],10,FALSE)),0)</f>
        <v>0</v>
      </c>
      <c r="AL250" s="20">
        <f>IF(Tabla13[[#This Row],[Km Anterior]]=0,0,Tabla13[[#This Row],[Km Ejecut]]-Tabla13[[#This Row],[Km Anterior]])</f>
        <v>0</v>
      </c>
      <c r="AM250" s="20">
        <f>IFERROR((VLOOKUP(Tabla13[[#This Row],[ID]],[1]!Mtto_Pesv[[#Headers],[#Data],[Placa]:[Rutina]],4,FALSE)),0)</f>
        <v>0</v>
      </c>
      <c r="AN250" s="21">
        <f>IFERROR((VLOOKUP(Tabla13[[#This Row],[ID]],[1]!Mtto_Pesv[[#Headers],[#Data],[Placa]:[Rutina]],5,FALSE)),0)</f>
        <v>0</v>
      </c>
      <c r="AO250" s="21">
        <f>+Tabla13[[#This Row],[Km Fin]]-Tabla13[[#This Row],[Km Ini]]</f>
        <v>0</v>
      </c>
      <c r="AP250" s="20">
        <f>IFERROR((VLOOKUP(Tabla13[[#This Row],[ID]],[1]!Estilo_Conduccion[[#All],[Placa]:[Puntuacion]],15,FALSE)),0)</f>
        <v>0</v>
      </c>
      <c r="AQ250" s="15" t="s">
        <v>1074</v>
      </c>
      <c r="AR250" s="15" t="s">
        <v>1075</v>
      </c>
      <c r="AS250" s="20">
        <v>700</v>
      </c>
      <c r="AT250" s="21">
        <v>1990.7142857142858</v>
      </c>
      <c r="AU250" s="21">
        <f>(Tabla13[[#This Row],[Cap Vh]]*$AX$2)*0.56</f>
        <v>0</v>
      </c>
      <c r="AV250" s="36" t="e">
        <f>(Tabla13[[#This Row],[Cap Util (kg)]]/(Tabla13[[#This Row],[Cap Inst (Kg)]]))</f>
        <v>#DIV/0!</v>
      </c>
    </row>
    <row r="251" spans="1:48" x14ac:dyDescent="0.25">
      <c r="A251" s="13" t="s">
        <v>1068</v>
      </c>
      <c r="B251" s="14" t="s">
        <v>416</v>
      </c>
      <c r="C251" s="14" t="s">
        <v>44</v>
      </c>
      <c r="D251" s="14" t="s">
        <v>44</v>
      </c>
      <c r="E251" s="14" t="s">
        <v>58</v>
      </c>
      <c r="F251" s="14" t="s">
        <v>76</v>
      </c>
      <c r="G251" s="15" t="s">
        <v>89</v>
      </c>
      <c r="H251" s="16" t="s">
        <v>90</v>
      </c>
      <c r="I251" s="14" t="s">
        <v>49</v>
      </c>
      <c r="J251" s="14">
        <v>830064700</v>
      </c>
      <c r="K251" s="14" t="s">
        <v>50</v>
      </c>
      <c r="L251" s="14" t="s">
        <v>360</v>
      </c>
      <c r="M251" s="14" t="s">
        <v>361</v>
      </c>
      <c r="N251" s="14">
        <v>2012</v>
      </c>
      <c r="O251" s="14">
        <v>8</v>
      </c>
      <c r="P251" s="14" t="s">
        <v>53</v>
      </c>
      <c r="Q251" s="14">
        <v>0</v>
      </c>
      <c r="R251" s="14">
        <v>0</v>
      </c>
      <c r="S251" s="17" t="s">
        <v>54</v>
      </c>
      <c r="T251" s="18">
        <v>0</v>
      </c>
      <c r="U251" s="14">
        <v>30</v>
      </c>
      <c r="V251" s="19">
        <v>1</v>
      </c>
      <c r="W251" s="14">
        <v>0</v>
      </c>
      <c r="X251" s="14">
        <v>0</v>
      </c>
      <c r="Y251" s="14">
        <v>0</v>
      </c>
      <c r="Z251" s="14">
        <v>0</v>
      </c>
      <c r="AA251" s="14">
        <f>Tabla13[[#This Row],[CheckList App]]+Tabla13[[#This Row],[CheckList Fisc]]</f>
        <v>0</v>
      </c>
      <c r="AB251" s="19">
        <f t="shared" si="3"/>
        <v>0</v>
      </c>
      <c r="AC251" s="14">
        <v>0</v>
      </c>
      <c r="AD251" s="14" t="s">
        <v>55</v>
      </c>
      <c r="AE251" s="15" t="str">
        <f>IFERROR((VLOOKUP(Tabla13[[#This Row],[ID]],[1]!Mtto_Pesv[[#Headers],[#Data],[Placa]:[Rutina]],2,FALSE)),"-")</f>
        <v>-</v>
      </c>
      <c r="AF251" s="14">
        <v>0</v>
      </c>
      <c r="AG251" s="20">
        <f>IFERROR((VLOOKUP(Tabla13[[#This Row],[ID]],[1]!Mtto_Pesv[[#Headers],[#Data],[Placa]:[Rutina]],3,FALSE)),0)</f>
        <v>0</v>
      </c>
      <c r="AH251" s="20">
        <f>IFERROR((VLOOKUP(Tabla13[[#This Row],[ID]],[1]!Mtto_Pesv[[#Headers],[#Data],[Placa]:[Rutina]],7,FALSE)),0)</f>
        <v>0</v>
      </c>
      <c r="AI251" s="20">
        <f>IFERROR((VLOOKUP(Tabla13[[#This Row],[ID]],[1]!Mtto_Pesv[[#Headers],[#Data],[Placa]:[Rutina]],8,FALSE)),0)</f>
        <v>0</v>
      </c>
      <c r="AJ251" s="20" t="str">
        <f>IFERROR((VLOOKUP(Tabla13[[#This Row],[ID]],[1]!Mtto_Pesv[[#Headers],[#Data],[Placa]:[Rutina]],9,FALSE)),"-")</f>
        <v>-</v>
      </c>
      <c r="AK251" s="20">
        <f>IFERROR((VLOOKUP(Tabla13[[#This Row],[ID]],[1]!Mtto_Pesv[[#Headers],[#Data],[Placa]:[Rutina]],10,FALSE)),0)</f>
        <v>0</v>
      </c>
      <c r="AL251" s="20">
        <f>IF(Tabla13[[#This Row],[Km Anterior]]=0,0,Tabla13[[#This Row],[Km Ejecut]]-Tabla13[[#This Row],[Km Anterior]])</f>
        <v>0</v>
      </c>
      <c r="AM251" s="20">
        <f>IFERROR((VLOOKUP(Tabla13[[#This Row],[ID]],[1]!Mtto_Pesv[[#Headers],[#Data],[Placa]:[Rutina]],4,FALSE)),0)</f>
        <v>0</v>
      </c>
      <c r="AN251" s="21">
        <f>IFERROR((VLOOKUP(Tabla13[[#This Row],[ID]],[1]!Mtto_Pesv[[#Headers],[#Data],[Placa]:[Rutina]],5,FALSE)),0)</f>
        <v>0</v>
      </c>
      <c r="AO251" s="21">
        <f>+Tabla13[[#This Row],[Km Fin]]-Tabla13[[#This Row],[Km Ini]]</f>
        <v>0</v>
      </c>
      <c r="AP251" s="20">
        <f>IFERROR((VLOOKUP(Tabla13[[#This Row],[ID]],[1]!Estilo_Conduccion[[#All],[Placa]:[Puntuacion]],15,FALSE)),0)</f>
        <v>0</v>
      </c>
      <c r="AQ251" s="15" t="s">
        <v>1078</v>
      </c>
      <c r="AR251" s="15" t="s">
        <v>1079</v>
      </c>
      <c r="AS251" s="20">
        <v>700</v>
      </c>
      <c r="AT251" s="21">
        <v>4470</v>
      </c>
      <c r="AU251" s="21">
        <f>(Tabla13[[#This Row],[Cap Vh]]*$AX$2)*0.56</f>
        <v>0</v>
      </c>
      <c r="AV251" s="36" t="e">
        <f>(Tabla13[[#This Row],[Cap Util (kg)]]/(Tabla13[[#This Row],[Cap Inst (Kg)]]))</f>
        <v>#DIV/0!</v>
      </c>
    </row>
    <row r="252" spans="1:48" x14ac:dyDescent="0.25">
      <c r="A252" s="13" t="s">
        <v>1068</v>
      </c>
      <c r="B252" s="14" t="s">
        <v>417</v>
      </c>
      <c r="C252" s="14" t="s">
        <v>44</v>
      </c>
      <c r="D252" s="14" t="s">
        <v>44</v>
      </c>
      <c r="E252" s="14" t="s">
        <v>60</v>
      </c>
      <c r="F252" s="14" t="s">
        <v>64</v>
      </c>
      <c r="G252" s="15" t="s">
        <v>65</v>
      </c>
      <c r="H252" s="16" t="s">
        <v>48</v>
      </c>
      <c r="I252" s="14" t="s">
        <v>49</v>
      </c>
      <c r="J252" s="14">
        <v>830064700</v>
      </c>
      <c r="K252" s="14" t="s">
        <v>50</v>
      </c>
      <c r="L252" s="14" t="s">
        <v>360</v>
      </c>
      <c r="M252" s="14" t="s">
        <v>361</v>
      </c>
      <c r="N252" s="14">
        <v>2012</v>
      </c>
      <c r="O252" s="14">
        <v>8</v>
      </c>
      <c r="P252" s="14" t="s">
        <v>53</v>
      </c>
      <c r="Q252" s="14">
        <v>0</v>
      </c>
      <c r="R252" s="14">
        <v>0</v>
      </c>
      <c r="S252" s="17" t="s">
        <v>54</v>
      </c>
      <c r="T252" s="18">
        <v>0</v>
      </c>
      <c r="U252" s="14">
        <v>30</v>
      </c>
      <c r="V252" s="19">
        <v>1</v>
      </c>
      <c r="W252" s="14">
        <v>0</v>
      </c>
      <c r="X252" s="14">
        <v>0</v>
      </c>
      <c r="Y252" s="14">
        <v>0</v>
      </c>
      <c r="Z252" s="14">
        <v>0</v>
      </c>
      <c r="AA252" s="14">
        <f>Tabla13[[#This Row],[CheckList App]]+Tabla13[[#This Row],[CheckList Fisc]]</f>
        <v>0</v>
      </c>
      <c r="AB252" s="19">
        <f t="shared" si="3"/>
        <v>0</v>
      </c>
      <c r="AC252" s="14">
        <v>0</v>
      </c>
      <c r="AD252" s="14" t="s">
        <v>70</v>
      </c>
      <c r="AE252" s="15" t="str">
        <f>IFERROR((VLOOKUP(Tabla13[[#This Row],[ID]],[1]!Mtto_Pesv[[#Headers],[#Data],[Placa]:[Rutina]],2,FALSE)),"-")</f>
        <v>-</v>
      </c>
      <c r="AF252" s="14">
        <v>1</v>
      </c>
      <c r="AG252" s="20">
        <f>IFERROR((VLOOKUP(Tabla13[[#This Row],[ID]],[1]!Mtto_Pesv[[#Headers],[#Data],[Placa]:[Rutina]],3,FALSE)),0)</f>
        <v>0</v>
      </c>
      <c r="AH252" s="20">
        <f>IFERROR((VLOOKUP(Tabla13[[#This Row],[ID]],[1]!Mtto_Pesv[[#Headers],[#Data],[Placa]:[Rutina]],7,FALSE)),0)</f>
        <v>0</v>
      </c>
      <c r="AI252" s="20">
        <f>IFERROR((VLOOKUP(Tabla13[[#This Row],[ID]],[1]!Mtto_Pesv[[#Headers],[#Data],[Placa]:[Rutina]],8,FALSE)),0)</f>
        <v>0</v>
      </c>
      <c r="AJ252" s="20" t="str">
        <f>IFERROR((VLOOKUP(Tabla13[[#This Row],[ID]],[1]!Mtto_Pesv[[#Headers],[#Data],[Placa]:[Rutina]],9,FALSE)),"-")</f>
        <v>-</v>
      </c>
      <c r="AK252" s="20">
        <f>IFERROR((VLOOKUP(Tabla13[[#This Row],[ID]],[1]!Mtto_Pesv[[#Headers],[#Data],[Placa]:[Rutina]],10,FALSE)),0)</f>
        <v>0</v>
      </c>
      <c r="AL252" s="20">
        <f>IF(Tabla13[[#This Row],[Km Anterior]]=0,0,Tabla13[[#This Row],[Km Ejecut]]-Tabla13[[#This Row],[Km Anterior]])</f>
        <v>0</v>
      </c>
      <c r="AM252" s="20">
        <f>IFERROR((VLOOKUP(Tabla13[[#This Row],[ID]],[1]!Mtto_Pesv[[#Headers],[#Data],[Placa]:[Rutina]],4,FALSE)),0)</f>
        <v>0</v>
      </c>
      <c r="AN252" s="21">
        <f>IFERROR((VLOOKUP(Tabla13[[#This Row],[ID]],[1]!Mtto_Pesv[[#Headers],[#Data],[Placa]:[Rutina]],5,FALSE)),0)</f>
        <v>0</v>
      </c>
      <c r="AO252" s="21">
        <f>+Tabla13[[#This Row],[Km Fin]]-Tabla13[[#This Row],[Km Ini]]</f>
        <v>0</v>
      </c>
      <c r="AP252" s="20">
        <f>IFERROR((VLOOKUP(Tabla13[[#This Row],[ID]],[1]!Estilo_Conduccion[[#All],[Placa]:[Puntuacion]],15,FALSE)),0)</f>
        <v>0</v>
      </c>
      <c r="AQ252" s="15" t="s">
        <v>54</v>
      </c>
      <c r="AR252" s="15" t="s">
        <v>54</v>
      </c>
      <c r="AS252" s="20">
        <v>700</v>
      </c>
      <c r="AT252" s="21">
        <v>0</v>
      </c>
      <c r="AU252" s="21">
        <f>(Tabla13[[#This Row],[Cap Vh]]*$AX$2)*0.56</f>
        <v>0</v>
      </c>
      <c r="AV252" s="36" t="e">
        <f>(Tabla13[[#This Row],[Cap Util (kg)]]/(Tabla13[[#This Row],[Cap Inst (Kg)]]))</f>
        <v>#DIV/0!</v>
      </c>
    </row>
    <row r="253" spans="1:48" x14ac:dyDescent="0.25">
      <c r="A253" s="13" t="s">
        <v>1068</v>
      </c>
      <c r="B253" s="14" t="s">
        <v>418</v>
      </c>
      <c r="C253" s="14" t="s">
        <v>44</v>
      </c>
      <c r="D253" s="14" t="s">
        <v>44</v>
      </c>
      <c r="E253" s="14" t="s">
        <v>60</v>
      </c>
      <c r="F253" s="14" t="s">
        <v>46</v>
      </c>
      <c r="G253" s="15" t="s">
        <v>47</v>
      </c>
      <c r="H253" s="16" t="s">
        <v>48</v>
      </c>
      <c r="I253" s="14" t="s">
        <v>49</v>
      </c>
      <c r="J253" s="14">
        <v>830064700</v>
      </c>
      <c r="K253" s="14" t="s">
        <v>50</v>
      </c>
      <c r="L253" s="14" t="s">
        <v>360</v>
      </c>
      <c r="M253" s="14" t="s">
        <v>361</v>
      </c>
      <c r="N253" s="14">
        <v>2012</v>
      </c>
      <c r="O253" s="14">
        <v>8</v>
      </c>
      <c r="P253" s="14" t="s">
        <v>53</v>
      </c>
      <c r="Q253" s="14">
        <v>0</v>
      </c>
      <c r="R253" s="14">
        <v>0</v>
      </c>
      <c r="S253" s="17" t="s">
        <v>54</v>
      </c>
      <c r="T253" s="18">
        <v>0</v>
      </c>
      <c r="U253" s="14">
        <v>30</v>
      </c>
      <c r="V253" s="19">
        <v>1</v>
      </c>
      <c r="W253" s="14">
        <v>0</v>
      </c>
      <c r="X253" s="14">
        <v>0</v>
      </c>
      <c r="Y253" s="14">
        <v>0</v>
      </c>
      <c r="Z253" s="14">
        <v>0</v>
      </c>
      <c r="AA253" s="14">
        <f>Tabla13[[#This Row],[CheckList App]]+Tabla13[[#This Row],[CheckList Fisc]]</f>
        <v>0</v>
      </c>
      <c r="AB253" s="19">
        <f t="shared" si="3"/>
        <v>0</v>
      </c>
      <c r="AC253" s="14">
        <v>0</v>
      </c>
      <c r="AD253" s="14" t="s">
        <v>55</v>
      </c>
      <c r="AE253" s="15" t="str">
        <f>IFERROR((VLOOKUP(Tabla13[[#This Row],[ID]],[1]!Mtto_Pesv[[#Headers],[#Data],[Placa]:[Rutina]],2,FALSE)),"-")</f>
        <v>-</v>
      </c>
      <c r="AF253" s="14">
        <v>0</v>
      </c>
      <c r="AG253" s="20">
        <f>IFERROR((VLOOKUP(Tabla13[[#This Row],[ID]],[1]!Mtto_Pesv[[#Headers],[#Data],[Placa]:[Rutina]],3,FALSE)),0)</f>
        <v>0</v>
      </c>
      <c r="AH253" s="20">
        <f>IFERROR((VLOOKUP(Tabla13[[#This Row],[ID]],[1]!Mtto_Pesv[[#Headers],[#Data],[Placa]:[Rutina]],7,FALSE)),0)</f>
        <v>0</v>
      </c>
      <c r="AI253" s="20">
        <f>IFERROR((VLOOKUP(Tabla13[[#This Row],[ID]],[1]!Mtto_Pesv[[#Headers],[#Data],[Placa]:[Rutina]],8,FALSE)),0)</f>
        <v>0</v>
      </c>
      <c r="AJ253" s="20" t="str">
        <f>IFERROR((VLOOKUP(Tabla13[[#This Row],[ID]],[1]!Mtto_Pesv[[#Headers],[#Data],[Placa]:[Rutina]],9,FALSE)),"-")</f>
        <v>-</v>
      </c>
      <c r="AK253" s="20">
        <f>IFERROR((VLOOKUP(Tabla13[[#This Row],[ID]],[1]!Mtto_Pesv[[#Headers],[#Data],[Placa]:[Rutina]],10,FALSE)),0)</f>
        <v>0</v>
      </c>
      <c r="AL253" s="20">
        <f>IF(Tabla13[[#This Row],[Km Anterior]]=0,0,Tabla13[[#This Row],[Km Ejecut]]-Tabla13[[#This Row],[Km Anterior]])</f>
        <v>0</v>
      </c>
      <c r="AM253" s="20">
        <f>IFERROR((VLOOKUP(Tabla13[[#This Row],[ID]],[1]!Mtto_Pesv[[#Headers],[#Data],[Placa]:[Rutina]],4,FALSE)),0)</f>
        <v>0</v>
      </c>
      <c r="AN253" s="21">
        <f>IFERROR((VLOOKUP(Tabla13[[#This Row],[ID]],[1]!Mtto_Pesv[[#Headers],[#Data],[Placa]:[Rutina]],5,FALSE)),0)</f>
        <v>0</v>
      </c>
      <c r="AO253" s="21">
        <f>+Tabla13[[#This Row],[Km Fin]]-Tabla13[[#This Row],[Km Ini]]</f>
        <v>0</v>
      </c>
      <c r="AP253" s="20">
        <f>IFERROR((VLOOKUP(Tabla13[[#This Row],[ID]],[1]!Estilo_Conduccion[[#All],[Placa]:[Puntuacion]],15,FALSE)),0)</f>
        <v>0</v>
      </c>
      <c r="AQ253" s="15" t="s">
        <v>1072</v>
      </c>
      <c r="AR253" s="15" t="s">
        <v>1073</v>
      </c>
      <c r="AS253" s="20">
        <v>700</v>
      </c>
      <c r="AT253" s="21">
        <v>3080.8846153846152</v>
      </c>
      <c r="AU253" s="21">
        <f>(Tabla13[[#This Row],[Cap Vh]]*$AX$2)*0.56</f>
        <v>0</v>
      </c>
      <c r="AV253" s="36" t="e">
        <f>(Tabla13[[#This Row],[Cap Util (kg)]]/(Tabla13[[#This Row],[Cap Inst (Kg)]]))</f>
        <v>#DIV/0!</v>
      </c>
    </row>
    <row r="254" spans="1:48" x14ac:dyDescent="0.25">
      <c r="A254" s="13" t="s">
        <v>1068</v>
      </c>
      <c r="B254" s="14" t="s">
        <v>419</v>
      </c>
      <c r="C254" s="14" t="s">
        <v>44</v>
      </c>
      <c r="D254" s="14" t="s">
        <v>44</v>
      </c>
      <c r="E254" s="14" t="s">
        <v>63</v>
      </c>
      <c r="F254" s="14" t="s">
        <v>46</v>
      </c>
      <c r="G254" s="15" t="s">
        <v>47</v>
      </c>
      <c r="H254" s="16" t="s">
        <v>48</v>
      </c>
      <c r="I254" s="14" t="s">
        <v>49</v>
      </c>
      <c r="J254" s="14">
        <v>830064700</v>
      </c>
      <c r="K254" s="14" t="s">
        <v>50</v>
      </c>
      <c r="L254" s="14" t="s">
        <v>360</v>
      </c>
      <c r="M254" s="14" t="s">
        <v>361</v>
      </c>
      <c r="N254" s="14">
        <v>2012</v>
      </c>
      <c r="O254" s="14">
        <v>8</v>
      </c>
      <c r="P254" s="14" t="s">
        <v>53</v>
      </c>
      <c r="Q254" s="14">
        <v>0</v>
      </c>
      <c r="R254" s="14">
        <v>0</v>
      </c>
      <c r="S254" s="17" t="s">
        <v>54</v>
      </c>
      <c r="T254" s="18">
        <v>0</v>
      </c>
      <c r="U254" s="14">
        <v>30</v>
      </c>
      <c r="V254" s="19">
        <v>1</v>
      </c>
      <c r="W254" s="14">
        <v>0</v>
      </c>
      <c r="X254" s="14">
        <v>0</v>
      </c>
      <c r="Y254" s="14">
        <v>0</v>
      </c>
      <c r="Z254" s="14">
        <v>0</v>
      </c>
      <c r="AA254" s="14">
        <f>Tabla13[[#This Row],[CheckList App]]+Tabla13[[#This Row],[CheckList Fisc]]</f>
        <v>0</v>
      </c>
      <c r="AB254" s="19">
        <f t="shared" si="3"/>
        <v>0</v>
      </c>
      <c r="AC254" s="14">
        <v>0</v>
      </c>
      <c r="AD254" s="14" t="s">
        <v>55</v>
      </c>
      <c r="AE254" s="15" t="str">
        <f>IFERROR((VLOOKUP(Tabla13[[#This Row],[ID]],[1]!Mtto_Pesv[[#Headers],[#Data],[Placa]:[Rutina]],2,FALSE)),"-")</f>
        <v>-</v>
      </c>
      <c r="AF254" s="14">
        <v>0</v>
      </c>
      <c r="AG254" s="20">
        <f>IFERROR((VLOOKUP(Tabla13[[#This Row],[ID]],[1]!Mtto_Pesv[[#Headers],[#Data],[Placa]:[Rutina]],3,FALSE)),0)</f>
        <v>0</v>
      </c>
      <c r="AH254" s="20">
        <f>IFERROR((VLOOKUP(Tabla13[[#This Row],[ID]],[1]!Mtto_Pesv[[#Headers],[#Data],[Placa]:[Rutina]],7,FALSE)),0)</f>
        <v>0</v>
      </c>
      <c r="AI254" s="20">
        <f>IFERROR((VLOOKUP(Tabla13[[#This Row],[ID]],[1]!Mtto_Pesv[[#Headers],[#Data],[Placa]:[Rutina]],8,FALSE)),0)</f>
        <v>0</v>
      </c>
      <c r="AJ254" s="20" t="str">
        <f>IFERROR((VLOOKUP(Tabla13[[#This Row],[ID]],[1]!Mtto_Pesv[[#Headers],[#Data],[Placa]:[Rutina]],9,FALSE)),"-")</f>
        <v>-</v>
      </c>
      <c r="AK254" s="20">
        <f>IFERROR((VLOOKUP(Tabla13[[#This Row],[ID]],[1]!Mtto_Pesv[[#Headers],[#Data],[Placa]:[Rutina]],10,FALSE)),0)</f>
        <v>0</v>
      </c>
      <c r="AL254" s="20">
        <f>IF(Tabla13[[#This Row],[Km Anterior]]=0,0,Tabla13[[#This Row],[Km Ejecut]]-Tabla13[[#This Row],[Km Anterior]])</f>
        <v>0</v>
      </c>
      <c r="AM254" s="20">
        <f>IFERROR((VLOOKUP(Tabla13[[#This Row],[ID]],[1]!Mtto_Pesv[[#Headers],[#Data],[Placa]:[Rutina]],4,FALSE)),0)</f>
        <v>0</v>
      </c>
      <c r="AN254" s="21">
        <f>IFERROR((VLOOKUP(Tabla13[[#This Row],[ID]],[1]!Mtto_Pesv[[#Headers],[#Data],[Placa]:[Rutina]],5,FALSE)),0)</f>
        <v>0</v>
      </c>
      <c r="AO254" s="21">
        <f>+Tabla13[[#This Row],[Km Fin]]-Tabla13[[#This Row],[Km Ini]]</f>
        <v>0</v>
      </c>
      <c r="AP254" s="20">
        <f>IFERROR((VLOOKUP(Tabla13[[#This Row],[ID]],[1]!Estilo_Conduccion[[#All],[Placa]:[Puntuacion]],15,FALSE)),0)</f>
        <v>0</v>
      </c>
      <c r="AQ254" s="15" t="s">
        <v>1074</v>
      </c>
      <c r="AR254" s="15" t="s">
        <v>1075</v>
      </c>
      <c r="AS254" s="20">
        <v>700</v>
      </c>
      <c r="AT254" s="21">
        <v>1990.7142857142858</v>
      </c>
      <c r="AU254" s="21">
        <f>(Tabla13[[#This Row],[Cap Vh]]*$AX$2)*0.56</f>
        <v>0</v>
      </c>
      <c r="AV254" s="36" t="e">
        <f>(Tabla13[[#This Row],[Cap Util (kg)]]/(Tabla13[[#This Row],[Cap Inst (Kg)]]))</f>
        <v>#DIV/0!</v>
      </c>
    </row>
    <row r="255" spans="1:48" x14ac:dyDescent="0.25">
      <c r="A255" s="13" t="s">
        <v>1068</v>
      </c>
      <c r="B255" s="14" t="s">
        <v>420</v>
      </c>
      <c r="C255" s="14" t="s">
        <v>44</v>
      </c>
      <c r="D255" s="14" t="s">
        <v>44</v>
      </c>
      <c r="E255" s="14" t="s">
        <v>45</v>
      </c>
      <c r="F255" s="14" t="s">
        <v>64</v>
      </c>
      <c r="G255" s="15" t="s">
        <v>119</v>
      </c>
      <c r="H255" s="16" t="s">
        <v>120</v>
      </c>
      <c r="I255" s="14" t="s">
        <v>49</v>
      </c>
      <c r="J255" s="14">
        <v>830064700</v>
      </c>
      <c r="K255" s="14" t="s">
        <v>50</v>
      </c>
      <c r="L255" s="14" t="s">
        <v>360</v>
      </c>
      <c r="M255" s="14" t="s">
        <v>361</v>
      </c>
      <c r="N255" s="14">
        <v>2012</v>
      </c>
      <c r="O255" s="14">
        <v>8</v>
      </c>
      <c r="P255" s="14" t="s">
        <v>53</v>
      </c>
      <c r="Q255" s="14">
        <v>0</v>
      </c>
      <c r="R255" s="14">
        <v>0</v>
      </c>
      <c r="S255" s="17" t="s">
        <v>54</v>
      </c>
      <c r="T255" s="18">
        <v>0</v>
      </c>
      <c r="U255" s="14">
        <v>0</v>
      </c>
      <c r="V255" s="19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f>Tabla13[[#This Row],[CheckList App]]+Tabla13[[#This Row],[CheckList Fisc]]</f>
        <v>0</v>
      </c>
      <c r="AB255" s="19" t="str">
        <f t="shared" si="3"/>
        <v/>
      </c>
      <c r="AC255" s="14">
        <v>0</v>
      </c>
      <c r="AD255" s="14" t="s">
        <v>55</v>
      </c>
      <c r="AE255" s="15" t="str">
        <f>IFERROR((VLOOKUP(Tabla13[[#This Row],[ID]],[1]!Mtto_Pesv[[#Headers],[#Data],[Placa]:[Rutina]],2,FALSE)),"-")</f>
        <v>-</v>
      </c>
      <c r="AF255" s="14">
        <v>0</v>
      </c>
      <c r="AG255" s="20">
        <f>IFERROR((VLOOKUP(Tabla13[[#This Row],[ID]],[1]!Mtto_Pesv[[#Headers],[#Data],[Placa]:[Rutina]],3,FALSE)),0)</f>
        <v>0</v>
      </c>
      <c r="AH255" s="20">
        <f>IFERROR((VLOOKUP(Tabla13[[#This Row],[ID]],[1]!Mtto_Pesv[[#Headers],[#Data],[Placa]:[Rutina]],7,FALSE)),0)</f>
        <v>0</v>
      </c>
      <c r="AI255" s="20">
        <f>IFERROR((VLOOKUP(Tabla13[[#This Row],[ID]],[1]!Mtto_Pesv[[#Headers],[#Data],[Placa]:[Rutina]],8,FALSE)),0)</f>
        <v>0</v>
      </c>
      <c r="AJ255" s="20" t="str">
        <f>IFERROR((VLOOKUP(Tabla13[[#This Row],[ID]],[1]!Mtto_Pesv[[#Headers],[#Data],[Placa]:[Rutina]],9,FALSE)),"-")</f>
        <v>-</v>
      </c>
      <c r="AK255" s="20">
        <f>IFERROR((VLOOKUP(Tabla13[[#This Row],[ID]],[1]!Mtto_Pesv[[#Headers],[#Data],[Placa]:[Rutina]],10,FALSE)),0)</f>
        <v>0</v>
      </c>
      <c r="AL255" s="20">
        <f>IF(Tabla13[[#This Row],[Km Anterior]]=0,0,Tabla13[[#This Row],[Km Ejecut]]-Tabla13[[#This Row],[Km Anterior]])</f>
        <v>0</v>
      </c>
      <c r="AM255" s="20">
        <f>IFERROR((VLOOKUP(Tabla13[[#This Row],[ID]],[1]!Mtto_Pesv[[#Headers],[#Data],[Placa]:[Rutina]],4,FALSE)),0)</f>
        <v>0</v>
      </c>
      <c r="AN255" s="21">
        <f>IFERROR((VLOOKUP(Tabla13[[#This Row],[ID]],[1]!Mtto_Pesv[[#Headers],[#Data],[Placa]:[Rutina]],5,FALSE)),0)</f>
        <v>0</v>
      </c>
      <c r="AO255" s="21">
        <f>+Tabla13[[#This Row],[Km Fin]]-Tabla13[[#This Row],[Km Ini]]</f>
        <v>0</v>
      </c>
      <c r="AP255" s="20">
        <f>IFERROR((VLOOKUP(Tabla13[[#This Row],[ID]],[1]!Estilo_Conduccion[[#All],[Placa]:[Puntuacion]],15,FALSE)),0)</f>
        <v>0</v>
      </c>
      <c r="AQ255" s="15" t="s">
        <v>54</v>
      </c>
      <c r="AR255" s="15" t="s">
        <v>54</v>
      </c>
      <c r="AS255" s="20">
        <v>700</v>
      </c>
      <c r="AT255" s="21">
        <v>0</v>
      </c>
      <c r="AU255" s="21">
        <f>(Tabla13[[#This Row],[Cap Vh]]*$AX$2)*0.56</f>
        <v>0</v>
      </c>
      <c r="AV255" s="36" t="e">
        <f>(Tabla13[[#This Row],[Cap Util (kg)]]/(Tabla13[[#This Row],[Cap Inst (Kg)]]))</f>
        <v>#DIV/0!</v>
      </c>
    </row>
    <row r="256" spans="1:48" x14ac:dyDescent="0.25">
      <c r="A256" s="13" t="s">
        <v>1068</v>
      </c>
      <c r="B256" s="14" t="s">
        <v>421</v>
      </c>
      <c r="C256" s="14" t="s">
        <v>44</v>
      </c>
      <c r="D256" s="14" t="s">
        <v>44</v>
      </c>
      <c r="E256" s="14" t="s">
        <v>113</v>
      </c>
      <c r="F256" s="14" t="s">
        <v>46</v>
      </c>
      <c r="G256" s="15" t="s">
        <v>47</v>
      </c>
      <c r="H256" s="16" t="s">
        <v>48</v>
      </c>
      <c r="I256" s="14" t="s">
        <v>49</v>
      </c>
      <c r="J256" s="14">
        <v>830064700</v>
      </c>
      <c r="K256" s="14" t="s">
        <v>50</v>
      </c>
      <c r="L256" s="14" t="s">
        <v>360</v>
      </c>
      <c r="M256" s="14" t="s">
        <v>361</v>
      </c>
      <c r="N256" s="14">
        <v>2012</v>
      </c>
      <c r="O256" s="14">
        <v>8</v>
      </c>
      <c r="P256" s="14" t="s">
        <v>53</v>
      </c>
      <c r="Q256" s="14">
        <v>0</v>
      </c>
      <c r="R256" s="14">
        <v>0</v>
      </c>
      <c r="S256" s="17" t="s">
        <v>54</v>
      </c>
      <c r="T256" s="18">
        <v>0</v>
      </c>
      <c r="U256" s="14">
        <v>30</v>
      </c>
      <c r="V256" s="19">
        <v>1</v>
      </c>
      <c r="W256" s="14">
        <v>0</v>
      </c>
      <c r="X256" s="14">
        <v>0</v>
      </c>
      <c r="Y256" s="14">
        <v>0</v>
      </c>
      <c r="Z256" s="14">
        <v>0</v>
      </c>
      <c r="AA256" s="14">
        <f>Tabla13[[#This Row],[CheckList App]]+Tabla13[[#This Row],[CheckList Fisc]]</f>
        <v>0</v>
      </c>
      <c r="AB256" s="19">
        <f t="shared" si="3"/>
        <v>0</v>
      </c>
      <c r="AC256" s="14">
        <v>0</v>
      </c>
      <c r="AD256" s="14" t="s">
        <v>55</v>
      </c>
      <c r="AE256" s="15" t="str">
        <f>IFERROR((VLOOKUP(Tabla13[[#This Row],[ID]],[1]!Mtto_Pesv[[#Headers],[#Data],[Placa]:[Rutina]],2,FALSE)),"-")</f>
        <v>-</v>
      </c>
      <c r="AF256" s="14">
        <v>0</v>
      </c>
      <c r="AG256" s="20">
        <f>IFERROR((VLOOKUP(Tabla13[[#This Row],[ID]],[1]!Mtto_Pesv[[#Headers],[#Data],[Placa]:[Rutina]],3,FALSE)),0)</f>
        <v>0</v>
      </c>
      <c r="AH256" s="20">
        <f>IFERROR((VLOOKUP(Tabla13[[#This Row],[ID]],[1]!Mtto_Pesv[[#Headers],[#Data],[Placa]:[Rutina]],7,FALSE)),0)</f>
        <v>0</v>
      </c>
      <c r="AI256" s="20">
        <f>IFERROR((VLOOKUP(Tabla13[[#This Row],[ID]],[1]!Mtto_Pesv[[#Headers],[#Data],[Placa]:[Rutina]],8,FALSE)),0)</f>
        <v>0</v>
      </c>
      <c r="AJ256" s="20" t="str">
        <f>IFERROR((VLOOKUP(Tabla13[[#This Row],[ID]],[1]!Mtto_Pesv[[#Headers],[#Data],[Placa]:[Rutina]],9,FALSE)),"-")</f>
        <v>-</v>
      </c>
      <c r="AK256" s="20">
        <f>IFERROR((VLOOKUP(Tabla13[[#This Row],[ID]],[1]!Mtto_Pesv[[#Headers],[#Data],[Placa]:[Rutina]],10,FALSE)),0)</f>
        <v>0</v>
      </c>
      <c r="AL256" s="20">
        <f>IF(Tabla13[[#This Row],[Km Anterior]]=0,0,Tabla13[[#This Row],[Km Ejecut]]-Tabla13[[#This Row],[Km Anterior]])</f>
        <v>0</v>
      </c>
      <c r="AM256" s="20">
        <f>IFERROR((VLOOKUP(Tabla13[[#This Row],[ID]],[1]!Mtto_Pesv[[#Headers],[#Data],[Placa]:[Rutina]],4,FALSE)),0)</f>
        <v>0</v>
      </c>
      <c r="AN256" s="21">
        <f>IFERROR((VLOOKUP(Tabla13[[#This Row],[ID]],[1]!Mtto_Pesv[[#Headers],[#Data],[Placa]:[Rutina]],5,FALSE)),0)</f>
        <v>0</v>
      </c>
      <c r="AO256" s="21">
        <f>+Tabla13[[#This Row],[Km Fin]]-Tabla13[[#This Row],[Km Ini]]</f>
        <v>0</v>
      </c>
      <c r="AP256" s="20">
        <f>IFERROR((VLOOKUP(Tabla13[[#This Row],[ID]],[1]!Estilo_Conduccion[[#All],[Placa]:[Puntuacion]],15,FALSE)),0)</f>
        <v>0</v>
      </c>
      <c r="AQ256" s="15" t="s">
        <v>1092</v>
      </c>
      <c r="AR256" s="15" t="s">
        <v>1093</v>
      </c>
      <c r="AS256" s="20">
        <v>700</v>
      </c>
      <c r="AT256" s="21">
        <v>5666</v>
      </c>
      <c r="AU256" s="21">
        <f>(Tabla13[[#This Row],[Cap Vh]]*$AX$2)*0.56</f>
        <v>0</v>
      </c>
      <c r="AV256" s="36" t="e">
        <f>(Tabla13[[#This Row],[Cap Util (kg)]]/(Tabla13[[#This Row],[Cap Inst (Kg)]]))</f>
        <v>#DIV/0!</v>
      </c>
    </row>
    <row r="257" spans="1:48" x14ac:dyDescent="0.25">
      <c r="A257" s="13" t="s">
        <v>1068</v>
      </c>
      <c r="B257" s="14" t="s">
        <v>422</v>
      </c>
      <c r="C257" s="14" t="s">
        <v>44</v>
      </c>
      <c r="D257" s="14" t="s">
        <v>44</v>
      </c>
      <c r="E257" s="14" t="s">
        <v>45</v>
      </c>
      <c r="F257" s="14" t="s">
        <v>46</v>
      </c>
      <c r="G257" s="15" t="s">
        <v>47</v>
      </c>
      <c r="H257" s="16" t="s">
        <v>48</v>
      </c>
      <c r="I257" s="14" t="s">
        <v>49</v>
      </c>
      <c r="J257" s="14">
        <v>890300279</v>
      </c>
      <c r="K257" s="14" t="s">
        <v>282</v>
      </c>
      <c r="L257" s="14" t="s">
        <v>103</v>
      </c>
      <c r="M257" s="14" t="s">
        <v>104</v>
      </c>
      <c r="N257" s="14">
        <v>2012</v>
      </c>
      <c r="O257" s="14">
        <v>8</v>
      </c>
      <c r="P257" s="14" t="s">
        <v>53</v>
      </c>
      <c r="Q257" s="14">
        <v>1</v>
      </c>
      <c r="R257" s="14">
        <v>0</v>
      </c>
      <c r="S257" s="17" t="s">
        <v>54</v>
      </c>
      <c r="T257" s="18">
        <v>0</v>
      </c>
      <c r="U257" s="14">
        <v>30</v>
      </c>
      <c r="V257" s="19">
        <v>1</v>
      </c>
      <c r="W257" s="14">
        <v>0</v>
      </c>
      <c r="X257" s="14">
        <v>0</v>
      </c>
      <c r="Y257" s="14">
        <v>0</v>
      </c>
      <c r="Z257" s="14">
        <v>0</v>
      </c>
      <c r="AA257" s="14">
        <f>Tabla13[[#This Row],[CheckList App]]+Tabla13[[#This Row],[CheckList Fisc]]</f>
        <v>0</v>
      </c>
      <c r="AB257" s="19">
        <f t="shared" si="3"/>
        <v>0</v>
      </c>
      <c r="AC257" s="14">
        <v>0</v>
      </c>
      <c r="AD257" s="14" t="s">
        <v>70</v>
      </c>
      <c r="AE257" s="15" t="str">
        <f>IFERROR((VLOOKUP(Tabla13[[#This Row],[ID]],[1]!Mtto_Pesv[[#Headers],[#Data],[Placa]:[Rutina]],2,FALSE)),"-")</f>
        <v>-</v>
      </c>
      <c r="AF257" s="14">
        <v>1</v>
      </c>
      <c r="AG257" s="20">
        <f>IFERROR((VLOOKUP(Tabla13[[#This Row],[ID]],[1]!Mtto_Pesv[[#Headers],[#Data],[Placa]:[Rutina]],3,FALSE)),0)</f>
        <v>0</v>
      </c>
      <c r="AH257" s="20">
        <f>IFERROR((VLOOKUP(Tabla13[[#This Row],[ID]],[1]!Mtto_Pesv[[#Headers],[#Data],[Placa]:[Rutina]],7,FALSE)),0)</f>
        <v>0</v>
      </c>
      <c r="AI257" s="20">
        <f>IFERROR((VLOOKUP(Tabla13[[#This Row],[ID]],[1]!Mtto_Pesv[[#Headers],[#Data],[Placa]:[Rutina]],8,FALSE)),0)</f>
        <v>0</v>
      </c>
      <c r="AJ257" s="20" t="str">
        <f>IFERROR((VLOOKUP(Tabla13[[#This Row],[ID]],[1]!Mtto_Pesv[[#Headers],[#Data],[Placa]:[Rutina]],9,FALSE)),"-")</f>
        <v>-</v>
      </c>
      <c r="AK257" s="20">
        <f>IFERROR((VLOOKUP(Tabla13[[#This Row],[ID]],[1]!Mtto_Pesv[[#Headers],[#Data],[Placa]:[Rutina]],10,FALSE)),0)</f>
        <v>0</v>
      </c>
      <c r="AL257" s="20">
        <f>IF(Tabla13[[#This Row],[Km Anterior]]=0,0,Tabla13[[#This Row],[Km Ejecut]]-Tabla13[[#This Row],[Km Anterior]])</f>
        <v>0</v>
      </c>
      <c r="AM257" s="20">
        <f>IFERROR((VLOOKUP(Tabla13[[#This Row],[ID]],[1]!Mtto_Pesv[[#Headers],[#Data],[Placa]:[Rutina]],4,FALSE)),0)</f>
        <v>0</v>
      </c>
      <c r="AN257" s="21">
        <f>IFERROR((VLOOKUP(Tabla13[[#This Row],[ID]],[1]!Mtto_Pesv[[#Headers],[#Data],[Placa]:[Rutina]],5,FALSE)),0)</f>
        <v>0</v>
      </c>
      <c r="AO257" s="21">
        <f>+Tabla13[[#This Row],[Km Fin]]-Tabla13[[#This Row],[Km Ini]]</f>
        <v>0</v>
      </c>
      <c r="AP257" s="20">
        <f>IFERROR((VLOOKUP(Tabla13[[#This Row],[ID]],[1]!Estilo_Conduccion[[#All],[Placa]:[Puntuacion]],15,FALSE)),0)</f>
        <v>89.5</v>
      </c>
      <c r="AQ257" s="15" t="s">
        <v>1069</v>
      </c>
      <c r="AR257" s="15" t="s">
        <v>423</v>
      </c>
      <c r="AS257" s="20">
        <v>1325</v>
      </c>
      <c r="AT257" s="21">
        <v>0</v>
      </c>
      <c r="AU257" s="21">
        <f>(Tabla13[[#This Row],[Cap Vh]]*$AX$2)*0.56</f>
        <v>0</v>
      </c>
      <c r="AV257" s="36" t="e">
        <f>(Tabla13[[#This Row],[Cap Util (kg)]]/(Tabla13[[#This Row],[Cap Inst (Kg)]]))</f>
        <v>#DIV/0!</v>
      </c>
    </row>
    <row r="258" spans="1:48" x14ac:dyDescent="0.25">
      <c r="A258" s="13" t="s">
        <v>1068</v>
      </c>
      <c r="B258" s="14" t="s">
        <v>424</v>
      </c>
      <c r="C258" s="14" t="s">
        <v>44</v>
      </c>
      <c r="D258" s="14" t="s">
        <v>44</v>
      </c>
      <c r="E258" s="14" t="s">
        <v>45</v>
      </c>
      <c r="F258" s="14" t="s">
        <v>337</v>
      </c>
      <c r="G258" s="15" t="s">
        <v>47</v>
      </c>
      <c r="H258" s="16" t="s">
        <v>48</v>
      </c>
      <c r="I258" s="14" t="s">
        <v>49</v>
      </c>
      <c r="J258" s="14">
        <v>890300279</v>
      </c>
      <c r="K258" s="14" t="s">
        <v>282</v>
      </c>
      <c r="L258" s="14" t="s">
        <v>103</v>
      </c>
      <c r="M258" s="14" t="s">
        <v>104</v>
      </c>
      <c r="N258" s="14">
        <v>2012</v>
      </c>
      <c r="O258" s="14">
        <v>8</v>
      </c>
      <c r="P258" s="14" t="s">
        <v>53</v>
      </c>
      <c r="Q258" s="14">
        <v>0</v>
      </c>
      <c r="R258" s="14">
        <v>0</v>
      </c>
      <c r="S258" s="17" t="s">
        <v>54</v>
      </c>
      <c r="T258" s="18">
        <v>0</v>
      </c>
      <c r="U258" s="14">
        <v>30</v>
      </c>
      <c r="V258" s="19">
        <v>1</v>
      </c>
      <c r="W258" s="14">
        <v>0</v>
      </c>
      <c r="X258" s="14">
        <v>0</v>
      </c>
      <c r="Y258" s="14">
        <v>0</v>
      </c>
      <c r="Z258" s="14">
        <v>0</v>
      </c>
      <c r="AA258" s="14">
        <f>Tabla13[[#This Row],[CheckList App]]+Tabla13[[#This Row],[CheckList Fisc]]</f>
        <v>0</v>
      </c>
      <c r="AB258" s="19">
        <f t="shared" ref="AB258:AB321" si="4">IF(U258=0,"",(IFERROR((AA258/X258),0)))</f>
        <v>0</v>
      </c>
      <c r="AC258" s="14">
        <v>0</v>
      </c>
      <c r="AD258" s="14" t="s">
        <v>55</v>
      </c>
      <c r="AE258" s="15" t="str">
        <f>IFERROR((VLOOKUP(Tabla13[[#This Row],[ID]],[1]!Mtto_Pesv[[#Headers],[#Data],[Placa]:[Rutina]],2,FALSE)),"-")</f>
        <v>-</v>
      </c>
      <c r="AF258" s="14">
        <v>0</v>
      </c>
      <c r="AG258" s="20">
        <f>IFERROR((VLOOKUP(Tabla13[[#This Row],[ID]],[1]!Mtto_Pesv[[#Headers],[#Data],[Placa]:[Rutina]],3,FALSE)),0)</f>
        <v>0</v>
      </c>
      <c r="AH258" s="20">
        <f>IFERROR((VLOOKUP(Tabla13[[#This Row],[ID]],[1]!Mtto_Pesv[[#Headers],[#Data],[Placa]:[Rutina]],7,FALSE)),0)</f>
        <v>0</v>
      </c>
      <c r="AI258" s="20">
        <f>IFERROR((VLOOKUP(Tabla13[[#This Row],[ID]],[1]!Mtto_Pesv[[#Headers],[#Data],[Placa]:[Rutina]],8,FALSE)),0)</f>
        <v>0</v>
      </c>
      <c r="AJ258" s="20" t="str">
        <f>IFERROR((VLOOKUP(Tabla13[[#This Row],[ID]],[1]!Mtto_Pesv[[#Headers],[#Data],[Placa]:[Rutina]],9,FALSE)),"-")</f>
        <v>-</v>
      </c>
      <c r="AK258" s="20">
        <f>IFERROR((VLOOKUP(Tabla13[[#This Row],[ID]],[1]!Mtto_Pesv[[#Headers],[#Data],[Placa]:[Rutina]],10,FALSE)),0)</f>
        <v>0</v>
      </c>
      <c r="AL258" s="20">
        <f>IF(Tabla13[[#This Row],[Km Anterior]]=0,0,Tabla13[[#This Row],[Km Ejecut]]-Tabla13[[#This Row],[Km Anterior]])</f>
        <v>0</v>
      </c>
      <c r="AM258" s="20">
        <f>IFERROR((VLOOKUP(Tabla13[[#This Row],[ID]],[1]!Mtto_Pesv[[#Headers],[#Data],[Placa]:[Rutina]],4,FALSE)),0)</f>
        <v>0</v>
      </c>
      <c r="AN258" s="21">
        <f>IFERROR((VLOOKUP(Tabla13[[#This Row],[ID]],[1]!Mtto_Pesv[[#Headers],[#Data],[Placa]:[Rutina]],5,FALSE)),0)</f>
        <v>0</v>
      </c>
      <c r="AO258" s="21">
        <f>+Tabla13[[#This Row],[Km Fin]]-Tabla13[[#This Row],[Km Ini]]</f>
        <v>0</v>
      </c>
      <c r="AP258" s="20">
        <f>IFERROR((VLOOKUP(Tabla13[[#This Row],[ID]],[1]!Estilo_Conduccion[[#All],[Placa]:[Puntuacion]],15,FALSE)),0)</f>
        <v>0</v>
      </c>
      <c r="AQ258" s="15" t="s">
        <v>1164</v>
      </c>
      <c r="AR258" s="15" t="s">
        <v>1165</v>
      </c>
      <c r="AS258" s="20">
        <v>1325</v>
      </c>
      <c r="AT258" s="21">
        <v>4420.3846153846152</v>
      </c>
      <c r="AU258" s="21">
        <f>(Tabla13[[#This Row],[Cap Vh]]*$AX$2)*0.56</f>
        <v>0</v>
      </c>
      <c r="AV258" s="36" t="e">
        <f>(Tabla13[[#This Row],[Cap Util (kg)]]/(Tabla13[[#This Row],[Cap Inst (Kg)]]))</f>
        <v>#DIV/0!</v>
      </c>
    </row>
    <row r="259" spans="1:48" x14ac:dyDescent="0.25">
      <c r="A259" s="13" t="s">
        <v>1068</v>
      </c>
      <c r="B259" s="14" t="s">
        <v>425</v>
      </c>
      <c r="C259" s="14" t="s">
        <v>44</v>
      </c>
      <c r="D259" s="14" t="s">
        <v>44</v>
      </c>
      <c r="E259" s="14" t="s">
        <v>45</v>
      </c>
      <c r="F259" s="14" t="s">
        <v>337</v>
      </c>
      <c r="G259" s="15" t="s">
        <v>47</v>
      </c>
      <c r="H259" s="16" t="s">
        <v>48</v>
      </c>
      <c r="I259" s="14" t="s">
        <v>49</v>
      </c>
      <c r="J259" s="14">
        <v>890300279</v>
      </c>
      <c r="K259" s="14" t="s">
        <v>282</v>
      </c>
      <c r="L259" s="14" t="s">
        <v>103</v>
      </c>
      <c r="M259" s="14" t="s">
        <v>104</v>
      </c>
      <c r="N259" s="14">
        <v>2012</v>
      </c>
      <c r="O259" s="14">
        <v>8</v>
      </c>
      <c r="P259" s="14" t="s">
        <v>53</v>
      </c>
      <c r="Q259" s="14">
        <v>0</v>
      </c>
      <c r="R259" s="14">
        <v>0</v>
      </c>
      <c r="S259" s="17" t="s">
        <v>54</v>
      </c>
      <c r="T259" s="18">
        <v>0</v>
      </c>
      <c r="U259" s="14">
        <v>30</v>
      </c>
      <c r="V259" s="19">
        <v>1</v>
      </c>
      <c r="W259" s="14">
        <v>0</v>
      </c>
      <c r="X259" s="14">
        <v>0</v>
      </c>
      <c r="Y259" s="14">
        <v>0</v>
      </c>
      <c r="Z259" s="14">
        <v>0</v>
      </c>
      <c r="AA259" s="14">
        <f>Tabla13[[#This Row],[CheckList App]]+Tabla13[[#This Row],[CheckList Fisc]]</f>
        <v>0</v>
      </c>
      <c r="AB259" s="19">
        <f t="shared" si="4"/>
        <v>0</v>
      </c>
      <c r="AC259" s="14">
        <v>0</v>
      </c>
      <c r="AD259" s="14" t="s">
        <v>55</v>
      </c>
      <c r="AE259" s="15" t="str">
        <f>IFERROR((VLOOKUP(Tabla13[[#This Row],[ID]],[1]!Mtto_Pesv[[#Headers],[#Data],[Placa]:[Rutina]],2,FALSE)),"-")</f>
        <v>-</v>
      </c>
      <c r="AF259" s="14">
        <v>0</v>
      </c>
      <c r="AG259" s="20">
        <f>IFERROR((VLOOKUP(Tabla13[[#This Row],[ID]],[1]!Mtto_Pesv[[#Headers],[#Data],[Placa]:[Rutina]],3,FALSE)),0)</f>
        <v>0</v>
      </c>
      <c r="AH259" s="20">
        <f>IFERROR((VLOOKUP(Tabla13[[#This Row],[ID]],[1]!Mtto_Pesv[[#Headers],[#Data],[Placa]:[Rutina]],7,FALSE)),0)</f>
        <v>0</v>
      </c>
      <c r="AI259" s="20">
        <f>IFERROR((VLOOKUP(Tabla13[[#This Row],[ID]],[1]!Mtto_Pesv[[#Headers],[#Data],[Placa]:[Rutina]],8,FALSE)),0)</f>
        <v>0</v>
      </c>
      <c r="AJ259" s="20" t="str">
        <f>IFERROR((VLOOKUP(Tabla13[[#This Row],[ID]],[1]!Mtto_Pesv[[#Headers],[#Data],[Placa]:[Rutina]],9,FALSE)),"-")</f>
        <v>-</v>
      </c>
      <c r="AK259" s="20">
        <f>IFERROR((VLOOKUP(Tabla13[[#This Row],[ID]],[1]!Mtto_Pesv[[#Headers],[#Data],[Placa]:[Rutina]],10,FALSE)),0)</f>
        <v>0</v>
      </c>
      <c r="AL259" s="20">
        <f>IF(Tabla13[[#This Row],[Km Anterior]]=0,0,Tabla13[[#This Row],[Km Ejecut]]-Tabla13[[#This Row],[Km Anterior]])</f>
        <v>0</v>
      </c>
      <c r="AM259" s="20">
        <f>IFERROR((VLOOKUP(Tabla13[[#This Row],[ID]],[1]!Mtto_Pesv[[#Headers],[#Data],[Placa]:[Rutina]],4,FALSE)),0)</f>
        <v>0</v>
      </c>
      <c r="AN259" s="21">
        <f>IFERROR((VLOOKUP(Tabla13[[#This Row],[ID]],[1]!Mtto_Pesv[[#Headers],[#Data],[Placa]:[Rutina]],5,FALSE)),0)</f>
        <v>0</v>
      </c>
      <c r="AO259" s="21">
        <f>+Tabla13[[#This Row],[Km Fin]]-Tabla13[[#This Row],[Km Ini]]</f>
        <v>0</v>
      </c>
      <c r="AP259" s="20">
        <f>IFERROR((VLOOKUP(Tabla13[[#This Row],[ID]],[1]!Estilo_Conduccion[[#All],[Placa]:[Puntuacion]],15,FALSE)),0)</f>
        <v>0</v>
      </c>
      <c r="AQ259" s="15" t="s">
        <v>1164</v>
      </c>
      <c r="AR259" s="15" t="s">
        <v>1165</v>
      </c>
      <c r="AS259" s="20">
        <v>1325</v>
      </c>
      <c r="AT259" s="21">
        <v>4420.3846153846152</v>
      </c>
      <c r="AU259" s="21">
        <f>(Tabla13[[#This Row],[Cap Vh]]*$AX$2)*0.56</f>
        <v>0</v>
      </c>
      <c r="AV259" s="36" t="e">
        <f>(Tabla13[[#This Row],[Cap Util (kg)]]/(Tabla13[[#This Row],[Cap Inst (Kg)]]))</f>
        <v>#DIV/0!</v>
      </c>
    </row>
    <row r="260" spans="1:48" x14ac:dyDescent="0.25">
      <c r="A260" s="13" t="s">
        <v>1068</v>
      </c>
      <c r="B260" s="14" t="s">
        <v>426</v>
      </c>
      <c r="C260" s="14" t="s">
        <v>44</v>
      </c>
      <c r="D260" s="14" t="s">
        <v>44</v>
      </c>
      <c r="E260" s="14" t="s">
        <v>45</v>
      </c>
      <c r="F260" s="14" t="s">
        <v>46</v>
      </c>
      <c r="G260" s="15" t="s">
        <v>47</v>
      </c>
      <c r="H260" s="16" t="s">
        <v>48</v>
      </c>
      <c r="I260" s="14" t="s">
        <v>49</v>
      </c>
      <c r="J260" s="14">
        <v>890300279</v>
      </c>
      <c r="K260" s="14" t="s">
        <v>282</v>
      </c>
      <c r="L260" s="14" t="s">
        <v>103</v>
      </c>
      <c r="M260" s="14" t="s">
        <v>104</v>
      </c>
      <c r="N260" s="14">
        <v>2012</v>
      </c>
      <c r="O260" s="14">
        <v>8</v>
      </c>
      <c r="P260" s="14" t="s">
        <v>53</v>
      </c>
      <c r="Q260" s="14">
        <v>1</v>
      </c>
      <c r="R260" s="14">
        <v>0</v>
      </c>
      <c r="S260" s="17" t="s">
        <v>54</v>
      </c>
      <c r="T260" s="18">
        <v>0</v>
      </c>
      <c r="U260" s="14">
        <v>0</v>
      </c>
      <c r="V260" s="19">
        <v>1</v>
      </c>
      <c r="W260" s="14">
        <v>0</v>
      </c>
      <c r="X260" s="14">
        <v>0</v>
      </c>
      <c r="Y260" s="14">
        <v>0</v>
      </c>
      <c r="Z260" s="14">
        <v>0</v>
      </c>
      <c r="AA260" s="14">
        <f>Tabla13[[#This Row],[CheckList App]]+Tabla13[[#This Row],[CheckList Fisc]]</f>
        <v>0</v>
      </c>
      <c r="AB260" s="19" t="str">
        <f t="shared" si="4"/>
        <v/>
      </c>
      <c r="AC260" s="14">
        <v>0</v>
      </c>
      <c r="AD260" s="14" t="s">
        <v>70</v>
      </c>
      <c r="AE260" s="15" t="str">
        <f>IFERROR((VLOOKUP(Tabla13[[#This Row],[ID]],[1]!Mtto_Pesv[[#Headers],[#Data],[Placa]:[Rutina]],2,FALSE)),"-")</f>
        <v>-</v>
      </c>
      <c r="AF260" s="14">
        <v>1</v>
      </c>
      <c r="AG260" s="20">
        <f>IFERROR((VLOOKUP(Tabla13[[#This Row],[ID]],[1]!Mtto_Pesv[[#Headers],[#Data],[Placa]:[Rutina]],3,FALSE)),0)</f>
        <v>0</v>
      </c>
      <c r="AH260" s="20">
        <f>IFERROR((VLOOKUP(Tabla13[[#This Row],[ID]],[1]!Mtto_Pesv[[#Headers],[#Data],[Placa]:[Rutina]],7,FALSE)),0)</f>
        <v>0</v>
      </c>
      <c r="AI260" s="20">
        <f>IFERROR((VLOOKUP(Tabla13[[#This Row],[ID]],[1]!Mtto_Pesv[[#Headers],[#Data],[Placa]:[Rutina]],8,FALSE)),0)</f>
        <v>0</v>
      </c>
      <c r="AJ260" s="20" t="str">
        <f>IFERROR((VLOOKUP(Tabla13[[#This Row],[ID]],[1]!Mtto_Pesv[[#Headers],[#Data],[Placa]:[Rutina]],9,FALSE)),"-")</f>
        <v>-</v>
      </c>
      <c r="AK260" s="20">
        <f>IFERROR((VLOOKUP(Tabla13[[#This Row],[ID]],[1]!Mtto_Pesv[[#Headers],[#Data],[Placa]:[Rutina]],10,FALSE)),0)</f>
        <v>0</v>
      </c>
      <c r="AL260" s="20">
        <f>IF(Tabla13[[#This Row],[Km Anterior]]=0,0,Tabla13[[#This Row],[Km Ejecut]]-Tabla13[[#This Row],[Km Anterior]])</f>
        <v>0</v>
      </c>
      <c r="AM260" s="20">
        <f>IFERROR((VLOOKUP(Tabla13[[#This Row],[ID]],[1]!Mtto_Pesv[[#Headers],[#Data],[Placa]:[Rutina]],4,FALSE)),0)</f>
        <v>0</v>
      </c>
      <c r="AN260" s="21">
        <f>IFERROR((VLOOKUP(Tabla13[[#This Row],[ID]],[1]!Mtto_Pesv[[#Headers],[#Data],[Placa]:[Rutina]],5,FALSE)),0)</f>
        <v>0</v>
      </c>
      <c r="AO260" s="21">
        <f>+Tabla13[[#This Row],[Km Fin]]-Tabla13[[#This Row],[Km Ini]]</f>
        <v>0</v>
      </c>
      <c r="AP260" s="20">
        <f>IFERROR((VLOOKUP(Tabla13[[#This Row],[ID]],[1]!Estilo_Conduccion[[#All],[Placa]:[Puntuacion]],15,FALSE)),0)</f>
        <v>1.1000000000000001</v>
      </c>
      <c r="AQ260" s="15" t="s">
        <v>1164</v>
      </c>
      <c r="AR260" s="15" t="s">
        <v>1165</v>
      </c>
      <c r="AS260" s="20">
        <v>1325</v>
      </c>
      <c r="AT260" s="21">
        <v>4420.3846153846152</v>
      </c>
      <c r="AU260" s="21">
        <f>(Tabla13[[#This Row],[Cap Vh]]*$AX$2)*0.56</f>
        <v>0</v>
      </c>
      <c r="AV260" s="36" t="e">
        <f>(Tabla13[[#This Row],[Cap Util (kg)]]/(Tabla13[[#This Row],[Cap Inst (Kg)]]))</f>
        <v>#DIV/0!</v>
      </c>
    </row>
    <row r="261" spans="1:48" x14ac:dyDescent="0.25">
      <c r="A261" s="13" t="s">
        <v>1068</v>
      </c>
      <c r="B261" s="14" t="s">
        <v>427</v>
      </c>
      <c r="C261" s="14" t="s">
        <v>44</v>
      </c>
      <c r="D261" s="14" t="s">
        <v>44</v>
      </c>
      <c r="E261" s="14" t="s">
        <v>45</v>
      </c>
      <c r="F261" s="14" t="s">
        <v>337</v>
      </c>
      <c r="G261" s="15" t="s">
        <v>47</v>
      </c>
      <c r="H261" s="16" t="s">
        <v>48</v>
      </c>
      <c r="I261" s="14" t="s">
        <v>49</v>
      </c>
      <c r="J261" s="14">
        <v>890300279</v>
      </c>
      <c r="K261" s="14" t="s">
        <v>282</v>
      </c>
      <c r="L261" s="14" t="s">
        <v>103</v>
      </c>
      <c r="M261" s="14" t="s">
        <v>104</v>
      </c>
      <c r="N261" s="14">
        <v>2012</v>
      </c>
      <c r="O261" s="14">
        <v>8</v>
      </c>
      <c r="P261" s="14" t="s">
        <v>53</v>
      </c>
      <c r="Q261" s="14">
        <v>0</v>
      </c>
      <c r="R261" s="14">
        <v>0</v>
      </c>
      <c r="S261" s="17" t="s">
        <v>54</v>
      </c>
      <c r="T261" s="18">
        <v>0</v>
      </c>
      <c r="U261" s="14">
        <v>0</v>
      </c>
      <c r="V261" s="19">
        <v>1</v>
      </c>
      <c r="W261" s="14">
        <v>0</v>
      </c>
      <c r="X261" s="14">
        <v>0</v>
      </c>
      <c r="Y261" s="14">
        <v>0</v>
      </c>
      <c r="Z261" s="14">
        <v>0</v>
      </c>
      <c r="AA261" s="14">
        <f>Tabla13[[#This Row],[CheckList App]]+Tabla13[[#This Row],[CheckList Fisc]]</f>
        <v>0</v>
      </c>
      <c r="AB261" s="19" t="str">
        <f t="shared" si="4"/>
        <v/>
      </c>
      <c r="AC261" s="14">
        <v>0</v>
      </c>
      <c r="AD261" s="14" t="s">
        <v>55</v>
      </c>
      <c r="AE261" s="15" t="str">
        <f>IFERROR((VLOOKUP(Tabla13[[#This Row],[ID]],[1]!Mtto_Pesv[[#Headers],[#Data],[Placa]:[Rutina]],2,FALSE)),"-")</f>
        <v>-</v>
      </c>
      <c r="AF261" s="14">
        <v>0</v>
      </c>
      <c r="AG261" s="20">
        <f>IFERROR((VLOOKUP(Tabla13[[#This Row],[ID]],[1]!Mtto_Pesv[[#Headers],[#Data],[Placa]:[Rutina]],3,FALSE)),0)</f>
        <v>0</v>
      </c>
      <c r="AH261" s="20">
        <f>IFERROR((VLOOKUP(Tabla13[[#This Row],[ID]],[1]!Mtto_Pesv[[#Headers],[#Data],[Placa]:[Rutina]],7,FALSE)),0)</f>
        <v>0</v>
      </c>
      <c r="AI261" s="20">
        <f>IFERROR((VLOOKUP(Tabla13[[#This Row],[ID]],[1]!Mtto_Pesv[[#Headers],[#Data],[Placa]:[Rutina]],8,FALSE)),0)</f>
        <v>0</v>
      </c>
      <c r="AJ261" s="20" t="str">
        <f>IFERROR((VLOOKUP(Tabla13[[#This Row],[ID]],[1]!Mtto_Pesv[[#Headers],[#Data],[Placa]:[Rutina]],9,FALSE)),"-")</f>
        <v>-</v>
      </c>
      <c r="AK261" s="20">
        <f>IFERROR((VLOOKUP(Tabla13[[#This Row],[ID]],[1]!Mtto_Pesv[[#Headers],[#Data],[Placa]:[Rutina]],10,FALSE)),0)</f>
        <v>0</v>
      </c>
      <c r="AL261" s="20">
        <f>IF(Tabla13[[#This Row],[Km Anterior]]=0,0,Tabla13[[#This Row],[Km Ejecut]]-Tabla13[[#This Row],[Km Anterior]])</f>
        <v>0</v>
      </c>
      <c r="AM261" s="20">
        <f>IFERROR((VLOOKUP(Tabla13[[#This Row],[ID]],[1]!Mtto_Pesv[[#Headers],[#Data],[Placa]:[Rutina]],4,FALSE)),0)</f>
        <v>0</v>
      </c>
      <c r="AN261" s="21">
        <f>IFERROR((VLOOKUP(Tabla13[[#This Row],[ID]],[1]!Mtto_Pesv[[#Headers],[#Data],[Placa]:[Rutina]],5,FALSE)),0)</f>
        <v>0</v>
      </c>
      <c r="AO261" s="21">
        <f>+Tabla13[[#This Row],[Km Fin]]-Tabla13[[#This Row],[Km Ini]]</f>
        <v>0</v>
      </c>
      <c r="AP261" s="20">
        <f>IFERROR((VLOOKUP(Tabla13[[#This Row],[ID]],[1]!Estilo_Conduccion[[#All],[Placa]:[Puntuacion]],15,FALSE)),0)</f>
        <v>0</v>
      </c>
      <c r="AQ261" s="15" t="s">
        <v>1164</v>
      </c>
      <c r="AR261" s="15" t="s">
        <v>1165</v>
      </c>
      <c r="AS261" s="20">
        <v>1325</v>
      </c>
      <c r="AT261" s="21">
        <v>4420.3846153846152</v>
      </c>
      <c r="AU261" s="21">
        <f>(Tabla13[[#This Row],[Cap Vh]]*$AX$2)*0.56</f>
        <v>0</v>
      </c>
      <c r="AV261" s="36" t="e">
        <f>(Tabla13[[#This Row],[Cap Util (kg)]]/(Tabla13[[#This Row],[Cap Inst (Kg)]]))</f>
        <v>#DIV/0!</v>
      </c>
    </row>
    <row r="262" spans="1:48" x14ac:dyDescent="0.25">
      <c r="A262" s="13" t="s">
        <v>1068</v>
      </c>
      <c r="B262" s="14" t="s">
        <v>428</v>
      </c>
      <c r="C262" s="14" t="s">
        <v>44</v>
      </c>
      <c r="D262" s="14" t="s">
        <v>44</v>
      </c>
      <c r="E262" s="14" t="s">
        <v>60</v>
      </c>
      <c r="F262" s="14" t="s">
        <v>76</v>
      </c>
      <c r="G262" s="15" t="s">
        <v>47</v>
      </c>
      <c r="H262" s="16" t="s">
        <v>48</v>
      </c>
      <c r="I262" s="14" t="s">
        <v>49</v>
      </c>
      <c r="J262" s="14">
        <v>890300279</v>
      </c>
      <c r="K262" s="14" t="s">
        <v>282</v>
      </c>
      <c r="L262" s="14" t="s">
        <v>103</v>
      </c>
      <c r="M262" s="14" t="s">
        <v>104</v>
      </c>
      <c r="N262" s="14">
        <v>2012</v>
      </c>
      <c r="O262" s="14">
        <v>8</v>
      </c>
      <c r="P262" s="14" t="s">
        <v>53</v>
      </c>
      <c r="Q262" s="14">
        <v>0</v>
      </c>
      <c r="R262" s="14">
        <v>0</v>
      </c>
      <c r="S262" s="17" t="s">
        <v>54</v>
      </c>
      <c r="T262" s="18">
        <v>0</v>
      </c>
      <c r="U262" s="14">
        <v>0</v>
      </c>
      <c r="V262" s="19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f>Tabla13[[#This Row],[CheckList App]]+Tabla13[[#This Row],[CheckList Fisc]]</f>
        <v>0</v>
      </c>
      <c r="AB262" s="19" t="str">
        <f t="shared" si="4"/>
        <v/>
      </c>
      <c r="AC262" s="14">
        <v>0</v>
      </c>
      <c r="AD262" s="14" t="s">
        <v>55</v>
      </c>
      <c r="AE262" s="15" t="str">
        <f>IFERROR((VLOOKUP(Tabla13[[#This Row],[ID]],[1]!Mtto_Pesv[[#Headers],[#Data],[Placa]:[Rutina]],2,FALSE)),"-")</f>
        <v>-</v>
      </c>
      <c r="AF262" s="14">
        <v>0</v>
      </c>
      <c r="AG262" s="20">
        <f>IFERROR((VLOOKUP(Tabla13[[#This Row],[ID]],[1]!Mtto_Pesv[[#Headers],[#Data],[Placa]:[Rutina]],3,FALSE)),0)</f>
        <v>0</v>
      </c>
      <c r="AH262" s="20">
        <f>IFERROR((VLOOKUP(Tabla13[[#This Row],[ID]],[1]!Mtto_Pesv[[#Headers],[#Data],[Placa]:[Rutina]],7,FALSE)),0)</f>
        <v>0</v>
      </c>
      <c r="AI262" s="20">
        <f>IFERROR((VLOOKUP(Tabla13[[#This Row],[ID]],[1]!Mtto_Pesv[[#Headers],[#Data],[Placa]:[Rutina]],8,FALSE)),0)</f>
        <v>0</v>
      </c>
      <c r="AJ262" s="20" t="str">
        <f>IFERROR((VLOOKUP(Tabla13[[#This Row],[ID]],[1]!Mtto_Pesv[[#Headers],[#Data],[Placa]:[Rutina]],9,FALSE)),"-")</f>
        <v>-</v>
      </c>
      <c r="AK262" s="20">
        <f>IFERROR((VLOOKUP(Tabla13[[#This Row],[ID]],[1]!Mtto_Pesv[[#Headers],[#Data],[Placa]:[Rutina]],10,FALSE)),0)</f>
        <v>0</v>
      </c>
      <c r="AL262" s="20">
        <f>IF(Tabla13[[#This Row],[Km Anterior]]=0,0,Tabla13[[#This Row],[Km Ejecut]]-Tabla13[[#This Row],[Km Anterior]])</f>
        <v>0</v>
      </c>
      <c r="AM262" s="20">
        <f>IFERROR((VLOOKUP(Tabla13[[#This Row],[ID]],[1]!Mtto_Pesv[[#Headers],[#Data],[Placa]:[Rutina]],4,FALSE)),0)</f>
        <v>0</v>
      </c>
      <c r="AN262" s="21">
        <f>IFERROR((VLOOKUP(Tabla13[[#This Row],[ID]],[1]!Mtto_Pesv[[#Headers],[#Data],[Placa]:[Rutina]],5,FALSE)),0)</f>
        <v>0</v>
      </c>
      <c r="AO262" s="21">
        <f>+Tabla13[[#This Row],[Km Fin]]-Tabla13[[#This Row],[Km Ini]]</f>
        <v>0</v>
      </c>
      <c r="AP262" s="20">
        <f>IFERROR((VLOOKUP(Tabla13[[#This Row],[ID]],[1]!Estilo_Conduccion[[#All],[Placa]:[Puntuacion]],15,FALSE)),0)</f>
        <v>0</v>
      </c>
      <c r="AQ262" s="15" t="s">
        <v>1160</v>
      </c>
      <c r="AR262" s="15" t="s">
        <v>1161</v>
      </c>
      <c r="AS262" s="20">
        <v>1325</v>
      </c>
      <c r="AT262" s="21">
        <v>2850</v>
      </c>
      <c r="AU262" s="21">
        <f>(Tabla13[[#This Row],[Cap Vh]]*$AX$2)*0.56</f>
        <v>0</v>
      </c>
      <c r="AV262" s="36" t="e">
        <f>(Tabla13[[#This Row],[Cap Util (kg)]]/(Tabla13[[#This Row],[Cap Inst (Kg)]]))</f>
        <v>#DIV/0!</v>
      </c>
    </row>
    <row r="263" spans="1:48" x14ac:dyDescent="0.25">
      <c r="A263" s="13" t="s">
        <v>1068</v>
      </c>
      <c r="B263" s="14" t="s">
        <v>429</v>
      </c>
      <c r="C263" s="14" t="s">
        <v>44</v>
      </c>
      <c r="D263" s="14" t="s">
        <v>44</v>
      </c>
      <c r="E263" s="14" t="s">
        <v>60</v>
      </c>
      <c r="F263" s="14" t="s">
        <v>76</v>
      </c>
      <c r="G263" s="15" t="s">
        <v>47</v>
      </c>
      <c r="H263" s="16" t="s">
        <v>48</v>
      </c>
      <c r="I263" s="14" t="s">
        <v>49</v>
      </c>
      <c r="J263" s="14">
        <v>900335279</v>
      </c>
      <c r="K263" s="14" t="s">
        <v>77</v>
      </c>
      <c r="L263" s="14" t="s">
        <v>103</v>
      </c>
      <c r="M263" s="14" t="s">
        <v>104</v>
      </c>
      <c r="N263" s="14">
        <v>2012</v>
      </c>
      <c r="O263" s="14">
        <v>8</v>
      </c>
      <c r="P263" s="14" t="s">
        <v>53</v>
      </c>
      <c r="Q263" s="14">
        <v>0</v>
      </c>
      <c r="R263" s="14">
        <v>0</v>
      </c>
      <c r="S263" s="17" t="s">
        <v>54</v>
      </c>
      <c r="T263" s="18">
        <v>0</v>
      </c>
      <c r="U263" s="14">
        <v>30</v>
      </c>
      <c r="V263" s="19">
        <v>1</v>
      </c>
      <c r="W263" s="14">
        <v>0</v>
      </c>
      <c r="X263" s="14">
        <v>0</v>
      </c>
      <c r="Y263" s="14">
        <v>0</v>
      </c>
      <c r="Z263" s="14">
        <v>0</v>
      </c>
      <c r="AA263" s="14">
        <f>Tabla13[[#This Row],[CheckList App]]+Tabla13[[#This Row],[CheckList Fisc]]</f>
        <v>0</v>
      </c>
      <c r="AB263" s="19">
        <f t="shared" si="4"/>
        <v>0</v>
      </c>
      <c r="AC263" s="14">
        <v>0</v>
      </c>
      <c r="AD263" s="14" t="s">
        <v>55</v>
      </c>
      <c r="AE263" s="15" t="str">
        <f>IFERROR((VLOOKUP(Tabla13[[#This Row],[ID]],[1]!Mtto_Pesv[[#Headers],[#Data],[Placa]:[Rutina]],2,FALSE)),"-")</f>
        <v>-</v>
      </c>
      <c r="AF263" s="14">
        <v>0</v>
      </c>
      <c r="AG263" s="20">
        <f>IFERROR((VLOOKUP(Tabla13[[#This Row],[ID]],[1]!Mtto_Pesv[[#Headers],[#Data],[Placa]:[Rutina]],3,FALSE)),0)</f>
        <v>0</v>
      </c>
      <c r="AH263" s="20">
        <f>IFERROR((VLOOKUP(Tabla13[[#This Row],[ID]],[1]!Mtto_Pesv[[#Headers],[#Data],[Placa]:[Rutina]],7,FALSE)),0)</f>
        <v>0</v>
      </c>
      <c r="AI263" s="20">
        <f>IFERROR((VLOOKUP(Tabla13[[#This Row],[ID]],[1]!Mtto_Pesv[[#Headers],[#Data],[Placa]:[Rutina]],8,FALSE)),0)</f>
        <v>0</v>
      </c>
      <c r="AJ263" s="20" t="str">
        <f>IFERROR((VLOOKUP(Tabla13[[#This Row],[ID]],[1]!Mtto_Pesv[[#Headers],[#Data],[Placa]:[Rutina]],9,FALSE)),"-")</f>
        <v>-</v>
      </c>
      <c r="AK263" s="20">
        <f>IFERROR((VLOOKUP(Tabla13[[#This Row],[ID]],[1]!Mtto_Pesv[[#Headers],[#Data],[Placa]:[Rutina]],10,FALSE)),0)</f>
        <v>0</v>
      </c>
      <c r="AL263" s="20">
        <f>IF(Tabla13[[#This Row],[Km Anterior]]=0,0,Tabla13[[#This Row],[Km Ejecut]]-Tabla13[[#This Row],[Km Anterior]])</f>
        <v>0</v>
      </c>
      <c r="AM263" s="20">
        <f>IFERROR((VLOOKUP(Tabla13[[#This Row],[ID]],[1]!Mtto_Pesv[[#Headers],[#Data],[Placa]:[Rutina]],4,FALSE)),0)</f>
        <v>0</v>
      </c>
      <c r="AN263" s="21">
        <f>IFERROR((VLOOKUP(Tabla13[[#This Row],[ID]],[1]!Mtto_Pesv[[#Headers],[#Data],[Placa]:[Rutina]],5,FALSE)),0)</f>
        <v>0</v>
      </c>
      <c r="AO263" s="21">
        <f>+Tabla13[[#This Row],[Km Fin]]-Tabla13[[#This Row],[Km Ini]]</f>
        <v>0</v>
      </c>
      <c r="AP263" s="20">
        <f>IFERROR((VLOOKUP(Tabla13[[#This Row],[ID]],[1]!Estilo_Conduccion[[#All],[Placa]:[Puntuacion]],15,FALSE)),0)</f>
        <v>0</v>
      </c>
      <c r="AQ263" s="15" t="s">
        <v>1133</v>
      </c>
      <c r="AR263" s="15" t="s">
        <v>1134</v>
      </c>
      <c r="AS263" s="20">
        <v>1325</v>
      </c>
      <c r="AT263" s="21">
        <v>8964</v>
      </c>
      <c r="AU263" s="21">
        <f>(Tabla13[[#This Row],[Cap Vh]]*$AX$2)*0.56</f>
        <v>0</v>
      </c>
      <c r="AV263" s="36" t="e">
        <f>(Tabla13[[#This Row],[Cap Util (kg)]]/(Tabla13[[#This Row],[Cap Inst (Kg)]]))</f>
        <v>#DIV/0!</v>
      </c>
    </row>
    <row r="264" spans="1:48" x14ac:dyDescent="0.25">
      <c r="A264" s="13" t="s">
        <v>1068</v>
      </c>
      <c r="B264" s="14" t="s">
        <v>430</v>
      </c>
      <c r="C264" s="14" t="s">
        <v>44</v>
      </c>
      <c r="D264" s="14" t="s">
        <v>44</v>
      </c>
      <c r="E264" s="14" t="s">
        <v>63</v>
      </c>
      <c r="F264" s="14" t="s">
        <v>46</v>
      </c>
      <c r="G264" s="15" t="s">
        <v>47</v>
      </c>
      <c r="H264" s="16" t="s">
        <v>48</v>
      </c>
      <c r="I264" s="14" t="s">
        <v>49</v>
      </c>
      <c r="J264" s="14">
        <v>890300279</v>
      </c>
      <c r="K264" s="14" t="s">
        <v>282</v>
      </c>
      <c r="L264" s="14" t="s">
        <v>103</v>
      </c>
      <c r="M264" s="14" t="s">
        <v>104</v>
      </c>
      <c r="N264" s="14">
        <v>2012</v>
      </c>
      <c r="O264" s="14">
        <v>8</v>
      </c>
      <c r="P264" s="14" t="s">
        <v>53</v>
      </c>
      <c r="Q264" s="14">
        <v>0</v>
      </c>
      <c r="R264" s="14">
        <v>0</v>
      </c>
      <c r="S264" s="17" t="s">
        <v>54</v>
      </c>
      <c r="T264" s="18">
        <v>0</v>
      </c>
      <c r="U264" s="14">
        <v>30</v>
      </c>
      <c r="V264" s="19">
        <v>1</v>
      </c>
      <c r="W264" s="14">
        <v>0</v>
      </c>
      <c r="X264" s="14">
        <v>0</v>
      </c>
      <c r="Y264" s="14">
        <v>0</v>
      </c>
      <c r="Z264" s="14">
        <v>0</v>
      </c>
      <c r="AA264" s="14">
        <f>Tabla13[[#This Row],[CheckList App]]+Tabla13[[#This Row],[CheckList Fisc]]</f>
        <v>0</v>
      </c>
      <c r="AB264" s="19">
        <f t="shared" si="4"/>
        <v>0</v>
      </c>
      <c r="AC264" s="14">
        <v>0</v>
      </c>
      <c r="AD264" s="14" t="s">
        <v>70</v>
      </c>
      <c r="AE264" s="15" t="str">
        <f>IFERROR((VLOOKUP(Tabla13[[#This Row],[ID]],[1]!Mtto_Pesv[[#Headers],[#Data],[Placa]:[Rutina]],2,FALSE)),"-")</f>
        <v>-</v>
      </c>
      <c r="AF264" s="14">
        <v>1</v>
      </c>
      <c r="AG264" s="20">
        <f>IFERROR((VLOOKUP(Tabla13[[#This Row],[ID]],[1]!Mtto_Pesv[[#Headers],[#Data],[Placa]:[Rutina]],3,FALSE)),0)</f>
        <v>0</v>
      </c>
      <c r="AH264" s="20">
        <f>IFERROR((VLOOKUP(Tabla13[[#This Row],[ID]],[1]!Mtto_Pesv[[#Headers],[#Data],[Placa]:[Rutina]],7,FALSE)),0)</f>
        <v>0</v>
      </c>
      <c r="AI264" s="20">
        <f>IFERROR((VLOOKUP(Tabla13[[#This Row],[ID]],[1]!Mtto_Pesv[[#Headers],[#Data],[Placa]:[Rutina]],8,FALSE)),0)</f>
        <v>0</v>
      </c>
      <c r="AJ264" s="20" t="str">
        <f>IFERROR((VLOOKUP(Tabla13[[#This Row],[ID]],[1]!Mtto_Pesv[[#Headers],[#Data],[Placa]:[Rutina]],9,FALSE)),"-")</f>
        <v>-</v>
      </c>
      <c r="AK264" s="20">
        <f>IFERROR((VLOOKUP(Tabla13[[#This Row],[ID]],[1]!Mtto_Pesv[[#Headers],[#Data],[Placa]:[Rutina]],10,FALSE)),0)</f>
        <v>0</v>
      </c>
      <c r="AL264" s="20">
        <f>IF(Tabla13[[#This Row],[Km Anterior]]=0,0,Tabla13[[#This Row],[Km Ejecut]]-Tabla13[[#This Row],[Km Anterior]])</f>
        <v>0</v>
      </c>
      <c r="AM264" s="20">
        <f>IFERROR((VLOOKUP(Tabla13[[#This Row],[ID]],[1]!Mtto_Pesv[[#Headers],[#Data],[Placa]:[Rutina]],4,FALSE)),0)</f>
        <v>0</v>
      </c>
      <c r="AN264" s="21">
        <f>IFERROR((VLOOKUP(Tabla13[[#This Row],[ID]],[1]!Mtto_Pesv[[#Headers],[#Data],[Placa]:[Rutina]],5,FALSE)),0)</f>
        <v>0</v>
      </c>
      <c r="AO264" s="21">
        <f>+Tabla13[[#This Row],[Km Fin]]-Tabla13[[#This Row],[Km Ini]]</f>
        <v>0</v>
      </c>
      <c r="AP264" s="20">
        <f>IFERROR((VLOOKUP(Tabla13[[#This Row],[ID]],[1]!Estilo_Conduccion[[#All],[Placa]:[Puntuacion]],15,FALSE)),0)</f>
        <v>0</v>
      </c>
      <c r="AQ264" s="15" t="s">
        <v>1162</v>
      </c>
      <c r="AR264" s="15" t="s">
        <v>1163</v>
      </c>
      <c r="AS264" s="20">
        <v>1325</v>
      </c>
      <c r="AT264" s="21">
        <v>7600</v>
      </c>
      <c r="AU264" s="21">
        <f>(Tabla13[[#This Row],[Cap Vh]]*$AX$2)*0.56</f>
        <v>0</v>
      </c>
      <c r="AV264" s="36" t="e">
        <f>(Tabla13[[#This Row],[Cap Util (kg)]]/(Tabla13[[#This Row],[Cap Inst (Kg)]]))</f>
        <v>#DIV/0!</v>
      </c>
    </row>
    <row r="265" spans="1:48" x14ac:dyDescent="0.25">
      <c r="A265" s="13" t="s">
        <v>1068</v>
      </c>
      <c r="B265" s="14" t="s">
        <v>431</v>
      </c>
      <c r="C265" s="14" t="s">
        <v>44</v>
      </c>
      <c r="D265" s="14" t="s">
        <v>44</v>
      </c>
      <c r="E265" s="14" t="s">
        <v>127</v>
      </c>
      <c r="F265" s="14" t="s">
        <v>337</v>
      </c>
      <c r="G265" s="15" t="s">
        <v>47</v>
      </c>
      <c r="H265" s="16" t="s">
        <v>48</v>
      </c>
      <c r="I265" s="14" t="s">
        <v>49</v>
      </c>
      <c r="J265" s="14">
        <v>890300279</v>
      </c>
      <c r="K265" s="14" t="s">
        <v>282</v>
      </c>
      <c r="L265" s="14" t="s">
        <v>103</v>
      </c>
      <c r="M265" s="14" t="s">
        <v>104</v>
      </c>
      <c r="N265" s="14">
        <v>2012</v>
      </c>
      <c r="O265" s="14">
        <v>8</v>
      </c>
      <c r="P265" s="14" t="s">
        <v>53</v>
      </c>
      <c r="Q265" s="14">
        <v>1</v>
      </c>
      <c r="R265" s="14">
        <v>0</v>
      </c>
      <c r="S265" s="17" t="s">
        <v>54</v>
      </c>
      <c r="T265" s="18">
        <v>0</v>
      </c>
      <c r="U265" s="14">
        <v>30</v>
      </c>
      <c r="V265" s="19">
        <v>1</v>
      </c>
      <c r="W265" s="14">
        <v>0</v>
      </c>
      <c r="X265" s="14">
        <v>0</v>
      </c>
      <c r="Y265" s="14">
        <v>0</v>
      </c>
      <c r="Z265" s="14">
        <v>0</v>
      </c>
      <c r="AA265" s="14">
        <f>Tabla13[[#This Row],[CheckList App]]+Tabla13[[#This Row],[CheckList Fisc]]</f>
        <v>0</v>
      </c>
      <c r="AB265" s="19">
        <f t="shared" si="4"/>
        <v>0</v>
      </c>
      <c r="AC265" s="14">
        <v>0</v>
      </c>
      <c r="AD265" s="14" t="s">
        <v>55</v>
      </c>
      <c r="AE265" s="15" t="str">
        <f>IFERROR((VLOOKUP(Tabla13[[#This Row],[ID]],[1]!Mtto_Pesv[[#Headers],[#Data],[Placa]:[Rutina]],2,FALSE)),"-")</f>
        <v>-</v>
      </c>
      <c r="AF265" s="14">
        <v>0</v>
      </c>
      <c r="AG265" s="20">
        <f>IFERROR((VLOOKUP(Tabla13[[#This Row],[ID]],[1]!Mtto_Pesv[[#Headers],[#Data],[Placa]:[Rutina]],3,FALSE)),0)</f>
        <v>0</v>
      </c>
      <c r="AH265" s="20">
        <f>IFERROR((VLOOKUP(Tabla13[[#This Row],[ID]],[1]!Mtto_Pesv[[#Headers],[#Data],[Placa]:[Rutina]],7,FALSE)),0)</f>
        <v>0</v>
      </c>
      <c r="AI265" s="20">
        <f>IFERROR((VLOOKUP(Tabla13[[#This Row],[ID]],[1]!Mtto_Pesv[[#Headers],[#Data],[Placa]:[Rutina]],8,FALSE)),0)</f>
        <v>0</v>
      </c>
      <c r="AJ265" s="20" t="str">
        <f>IFERROR((VLOOKUP(Tabla13[[#This Row],[ID]],[1]!Mtto_Pesv[[#Headers],[#Data],[Placa]:[Rutina]],9,FALSE)),"-")</f>
        <v>-</v>
      </c>
      <c r="AK265" s="20">
        <f>IFERROR((VLOOKUP(Tabla13[[#This Row],[ID]],[1]!Mtto_Pesv[[#Headers],[#Data],[Placa]:[Rutina]],10,FALSE)),0)</f>
        <v>0</v>
      </c>
      <c r="AL265" s="20">
        <f>IF(Tabla13[[#This Row],[Km Anterior]]=0,0,Tabla13[[#This Row],[Km Ejecut]]-Tabla13[[#This Row],[Km Anterior]])</f>
        <v>0</v>
      </c>
      <c r="AM265" s="20">
        <f>IFERROR((VLOOKUP(Tabla13[[#This Row],[ID]],[1]!Mtto_Pesv[[#Headers],[#Data],[Placa]:[Rutina]],4,FALSE)),0)</f>
        <v>0</v>
      </c>
      <c r="AN265" s="21">
        <f>IFERROR((VLOOKUP(Tabla13[[#This Row],[ID]],[1]!Mtto_Pesv[[#Headers],[#Data],[Placa]:[Rutina]],5,FALSE)),0)</f>
        <v>0</v>
      </c>
      <c r="AO265" s="21">
        <f>+Tabla13[[#This Row],[Km Fin]]-Tabla13[[#This Row],[Km Ini]]</f>
        <v>0</v>
      </c>
      <c r="AP265" s="20">
        <f>IFERROR((VLOOKUP(Tabla13[[#This Row],[ID]],[1]!Estilo_Conduccion[[#All],[Placa]:[Puntuacion]],15,FALSE)),0)</f>
        <v>747.5</v>
      </c>
      <c r="AQ265" s="15" t="s">
        <v>1131</v>
      </c>
      <c r="AR265" s="15" t="s">
        <v>1132</v>
      </c>
      <c r="AS265" s="20">
        <v>1325</v>
      </c>
      <c r="AT265" s="21">
        <v>3514</v>
      </c>
      <c r="AU265" s="21">
        <f>(Tabla13[[#This Row],[Cap Vh]]*$AX$2)*0.56</f>
        <v>0</v>
      </c>
      <c r="AV265" s="36" t="e">
        <f>(Tabla13[[#This Row],[Cap Util (kg)]]/(Tabla13[[#This Row],[Cap Inst (Kg)]]))</f>
        <v>#DIV/0!</v>
      </c>
    </row>
    <row r="266" spans="1:48" x14ac:dyDescent="0.25">
      <c r="A266" s="13" t="s">
        <v>1068</v>
      </c>
      <c r="B266" s="14" t="s">
        <v>432</v>
      </c>
      <c r="C266" s="14" t="s">
        <v>44</v>
      </c>
      <c r="D266" s="14" t="s">
        <v>44</v>
      </c>
      <c r="E266" s="14" t="s">
        <v>60</v>
      </c>
      <c r="F266" s="14" t="s">
        <v>64</v>
      </c>
      <c r="G266" s="15" t="s">
        <v>119</v>
      </c>
      <c r="H266" s="16" t="s">
        <v>120</v>
      </c>
      <c r="I266" s="14" t="s">
        <v>177</v>
      </c>
      <c r="J266" s="14">
        <v>890300279</v>
      </c>
      <c r="K266" s="14" t="s">
        <v>282</v>
      </c>
      <c r="L266" s="14" t="s">
        <v>103</v>
      </c>
      <c r="M266" s="14" t="s">
        <v>132</v>
      </c>
      <c r="N266" s="14">
        <v>2013</v>
      </c>
      <c r="O266" s="14">
        <v>7</v>
      </c>
      <c r="P266" s="14" t="s">
        <v>53</v>
      </c>
      <c r="Q266" s="14">
        <v>1</v>
      </c>
      <c r="R266" s="14">
        <v>1</v>
      </c>
      <c r="S266" s="17">
        <v>44832.780601851853</v>
      </c>
      <c r="T266" s="18">
        <v>530.21300000000008</v>
      </c>
      <c r="U266" s="14">
        <v>0</v>
      </c>
      <c r="V266" s="19">
        <v>0.9</v>
      </c>
      <c r="W266" s="14">
        <v>0</v>
      </c>
      <c r="X266" s="14">
        <v>26</v>
      </c>
      <c r="Y266" s="14">
        <v>21</v>
      </c>
      <c r="Z266" s="14">
        <v>0</v>
      </c>
      <c r="AA266" s="14">
        <f>Tabla13[[#This Row],[CheckList App]]+Tabla13[[#This Row],[CheckList Fisc]]</f>
        <v>21</v>
      </c>
      <c r="AB266" s="19" t="str">
        <f t="shared" si="4"/>
        <v/>
      </c>
      <c r="AC266" s="14">
        <v>52</v>
      </c>
      <c r="AD266" s="14" t="s">
        <v>70</v>
      </c>
      <c r="AE266" s="22" t="str">
        <f>IFERROR((VLOOKUP(Tabla13[[#This Row],[ID]],[1]!Mtto_Pesv[[#Headers],[#Data],[Placa]:[Rutina]],2,FALSE)),"-")</f>
        <v>-</v>
      </c>
      <c r="AF266" s="14">
        <v>1</v>
      </c>
      <c r="AG266" s="20">
        <f>IFERROR((VLOOKUP(Tabla13[[#This Row],[ID]],[1]!Mtto_Pesv[[#Headers],[#Data],[Placa]:[Rutina]],3,FALSE)),0)</f>
        <v>0</v>
      </c>
      <c r="AH266" s="20">
        <f>IFERROR((VLOOKUP(Tabla13[[#This Row],[ID]],[1]!Mtto_Pesv[[#Headers],[#Data],[Placa]:[Rutina]],7,FALSE)),0)</f>
        <v>0</v>
      </c>
      <c r="AI266" s="20">
        <f>IFERROR((VLOOKUP(Tabla13[[#This Row],[ID]],[1]!Mtto_Pesv[[#Headers],[#Data],[Placa]:[Rutina]],8,FALSE)),0)</f>
        <v>0</v>
      </c>
      <c r="AJ266" s="20" t="str">
        <f>IFERROR((VLOOKUP(Tabla13[[#This Row],[ID]],[1]!Mtto_Pesv[[#Headers],[#Data],[Placa]:[Rutina]],9,FALSE)),"-")</f>
        <v>-</v>
      </c>
      <c r="AK266" s="20">
        <f>IFERROR((VLOOKUP(Tabla13[[#This Row],[ID]],[1]!Mtto_Pesv[[#Headers],[#Data],[Placa]:[Rutina]],10,FALSE)),0)</f>
        <v>0</v>
      </c>
      <c r="AL266" s="20">
        <f>IF(Tabla13[[#This Row],[Km Anterior]]=0,0,Tabla13[[#This Row],[Km Ejecut]]-Tabla13[[#This Row],[Km Anterior]])</f>
        <v>0</v>
      </c>
      <c r="AM266" s="20">
        <f>IFERROR((VLOOKUP(Tabla13[[#This Row],[ID]],[1]!Mtto_Pesv[[#Headers],[#Data],[Placa]:[Rutina]],4,FALSE)),0)</f>
        <v>0</v>
      </c>
      <c r="AN266" s="21">
        <f>IFERROR((VLOOKUP(Tabla13[[#This Row],[ID]],[1]!Mtto_Pesv[[#Headers],[#Data],[Placa]:[Rutina]],5,FALSE)),0)</f>
        <v>0</v>
      </c>
      <c r="AO266" s="21">
        <f>+Tabla13[[#This Row],[Km Fin]]-Tabla13[[#This Row],[Km Ini]]</f>
        <v>0</v>
      </c>
      <c r="AP266" s="20">
        <f>IFERROR((VLOOKUP(Tabla13[[#This Row],[ID]],[1]!Estilo_Conduccion[[#All],[Placa]:[Puntuacion]],15,FALSE)),0)</f>
        <v>161.29999999999998</v>
      </c>
      <c r="AQ266" s="15" t="s">
        <v>54</v>
      </c>
      <c r="AR266" s="15" t="s">
        <v>54</v>
      </c>
      <c r="AS266" s="20">
        <v>11000</v>
      </c>
      <c r="AT266" s="21">
        <v>0</v>
      </c>
      <c r="AU266" s="21">
        <f>(Tabla13[[#This Row],[Cap Vh]]*$AX$2)*0.56</f>
        <v>0</v>
      </c>
      <c r="AV266" s="36" t="e">
        <f>(Tabla13[[#This Row],[Cap Util (kg)]]/(Tabla13[[#This Row],[Cap Inst (Kg)]]))</f>
        <v>#DIV/0!</v>
      </c>
    </row>
    <row r="267" spans="1:48" x14ac:dyDescent="0.25">
      <c r="A267" s="13" t="s">
        <v>1068</v>
      </c>
      <c r="B267" s="14" t="s">
        <v>433</v>
      </c>
      <c r="C267" s="14" t="s">
        <v>44</v>
      </c>
      <c r="D267" s="14" t="s">
        <v>44</v>
      </c>
      <c r="E267" s="14" t="s">
        <v>45</v>
      </c>
      <c r="F267" s="14" t="s">
        <v>64</v>
      </c>
      <c r="G267" s="15" t="s">
        <v>119</v>
      </c>
      <c r="H267" s="16" t="s">
        <v>120</v>
      </c>
      <c r="I267" s="14" t="s">
        <v>177</v>
      </c>
      <c r="J267" s="14">
        <v>890300279</v>
      </c>
      <c r="K267" s="14" t="s">
        <v>282</v>
      </c>
      <c r="L267" s="14" t="s">
        <v>103</v>
      </c>
      <c r="M267" s="14" t="s">
        <v>132</v>
      </c>
      <c r="N267" s="14">
        <v>2012</v>
      </c>
      <c r="O267" s="14">
        <v>8</v>
      </c>
      <c r="P267" s="14" t="s">
        <v>53</v>
      </c>
      <c r="Q267" s="14">
        <v>1</v>
      </c>
      <c r="R267" s="14">
        <v>1</v>
      </c>
      <c r="S267" s="17">
        <v>44834.736840277779</v>
      </c>
      <c r="T267" s="18">
        <v>489.96099999999996</v>
      </c>
      <c r="U267" s="14">
        <v>0</v>
      </c>
      <c r="V267" s="19">
        <v>1</v>
      </c>
      <c r="W267" s="14">
        <v>0</v>
      </c>
      <c r="X267" s="14">
        <v>26</v>
      </c>
      <c r="Y267" s="14">
        <v>22</v>
      </c>
      <c r="Z267" s="14">
        <v>0</v>
      </c>
      <c r="AA267" s="14">
        <f>Tabla13[[#This Row],[CheckList App]]+Tabla13[[#This Row],[CheckList Fisc]]</f>
        <v>22</v>
      </c>
      <c r="AB267" s="19" t="str">
        <f t="shared" si="4"/>
        <v/>
      </c>
      <c r="AC267" s="14">
        <v>7</v>
      </c>
      <c r="AD267" s="14" t="s">
        <v>70</v>
      </c>
      <c r="AE267" s="22" t="str">
        <f>IFERROR((VLOOKUP(Tabla13[[#This Row],[ID]],[1]!Mtto_Pesv[[#Headers],[#Data],[Placa]:[Rutina]],2,FALSE)),"-")</f>
        <v>-</v>
      </c>
      <c r="AF267" s="14">
        <v>1</v>
      </c>
      <c r="AG267" s="20">
        <f>IFERROR((VLOOKUP(Tabla13[[#This Row],[ID]],[1]!Mtto_Pesv[[#Headers],[#Data],[Placa]:[Rutina]],3,FALSE)),0)</f>
        <v>0</v>
      </c>
      <c r="AH267" s="20">
        <f>IFERROR((VLOOKUP(Tabla13[[#This Row],[ID]],[1]!Mtto_Pesv[[#Headers],[#Data],[Placa]:[Rutina]],7,FALSE)),0)</f>
        <v>0</v>
      </c>
      <c r="AI267" s="20">
        <f>IFERROR((VLOOKUP(Tabla13[[#This Row],[ID]],[1]!Mtto_Pesv[[#Headers],[#Data],[Placa]:[Rutina]],8,FALSE)),0)</f>
        <v>0</v>
      </c>
      <c r="AJ267" s="20" t="str">
        <f>IFERROR((VLOOKUP(Tabla13[[#This Row],[ID]],[1]!Mtto_Pesv[[#Headers],[#Data],[Placa]:[Rutina]],9,FALSE)),"-")</f>
        <v>-</v>
      </c>
      <c r="AK267" s="20">
        <f>IFERROR((VLOOKUP(Tabla13[[#This Row],[ID]],[1]!Mtto_Pesv[[#Headers],[#Data],[Placa]:[Rutina]],10,FALSE)),0)</f>
        <v>0</v>
      </c>
      <c r="AL267" s="20">
        <f>IF(Tabla13[[#This Row],[Km Anterior]]=0,0,Tabla13[[#This Row],[Km Ejecut]]-Tabla13[[#This Row],[Km Anterior]])</f>
        <v>0</v>
      </c>
      <c r="AM267" s="20">
        <f>IFERROR((VLOOKUP(Tabla13[[#This Row],[ID]],[1]!Mtto_Pesv[[#Headers],[#Data],[Placa]:[Rutina]],4,FALSE)),0)</f>
        <v>0</v>
      </c>
      <c r="AN267" s="21">
        <f>IFERROR((VLOOKUP(Tabla13[[#This Row],[ID]],[1]!Mtto_Pesv[[#Headers],[#Data],[Placa]:[Rutina]],5,FALSE)),0)</f>
        <v>0</v>
      </c>
      <c r="AO267" s="21">
        <f>+Tabla13[[#This Row],[Km Fin]]-Tabla13[[#This Row],[Km Ini]]</f>
        <v>0</v>
      </c>
      <c r="AP267" s="20">
        <f>IFERROR((VLOOKUP(Tabla13[[#This Row],[ID]],[1]!Estilo_Conduccion[[#All],[Placa]:[Puntuacion]],15,FALSE)),0)</f>
        <v>957.8</v>
      </c>
      <c r="AQ267" s="15" t="s">
        <v>54</v>
      </c>
      <c r="AR267" s="15" t="s">
        <v>54</v>
      </c>
      <c r="AS267" s="20">
        <v>9045</v>
      </c>
      <c r="AT267" s="21">
        <v>0</v>
      </c>
      <c r="AU267" s="21">
        <f>(Tabla13[[#This Row],[Cap Vh]]*$AX$2)*0.56</f>
        <v>0</v>
      </c>
      <c r="AV267" s="36" t="e">
        <f>(Tabla13[[#This Row],[Cap Util (kg)]]/(Tabla13[[#This Row],[Cap Inst (Kg)]]))</f>
        <v>#DIV/0!</v>
      </c>
    </row>
    <row r="268" spans="1:48" x14ac:dyDescent="0.25">
      <c r="A268" s="13" t="s">
        <v>1068</v>
      </c>
      <c r="B268" s="14" t="s">
        <v>434</v>
      </c>
      <c r="C268" s="14" t="s">
        <v>44</v>
      </c>
      <c r="D268" s="14" t="s">
        <v>44</v>
      </c>
      <c r="E268" s="14" t="s">
        <v>85</v>
      </c>
      <c r="F268" s="14" t="s">
        <v>64</v>
      </c>
      <c r="G268" s="15" t="s">
        <v>119</v>
      </c>
      <c r="H268" s="16" t="s">
        <v>120</v>
      </c>
      <c r="I268" s="14" t="s">
        <v>109</v>
      </c>
      <c r="J268" s="14">
        <v>830064700</v>
      </c>
      <c r="K268" s="14" t="s">
        <v>50</v>
      </c>
      <c r="L268" s="14" t="s">
        <v>103</v>
      </c>
      <c r="M268" s="14" t="s">
        <v>435</v>
      </c>
      <c r="N268" s="14">
        <v>2014</v>
      </c>
      <c r="O268" s="14">
        <v>6</v>
      </c>
      <c r="P268" s="14" t="s">
        <v>53</v>
      </c>
      <c r="Q268" s="14">
        <v>1</v>
      </c>
      <c r="R268" s="14">
        <v>1</v>
      </c>
      <c r="S268" s="17">
        <v>44832.459155092591</v>
      </c>
      <c r="T268" s="18">
        <v>189.96199999999999</v>
      </c>
      <c r="U268" s="14">
        <v>30</v>
      </c>
      <c r="V268" s="19">
        <v>1</v>
      </c>
      <c r="W268" s="14">
        <v>0</v>
      </c>
      <c r="X268" s="14">
        <v>26</v>
      </c>
      <c r="Y268" s="14">
        <v>12</v>
      </c>
      <c r="Z268" s="14">
        <v>0</v>
      </c>
      <c r="AA268" s="14">
        <f>Tabla13[[#This Row],[CheckList App]]+Tabla13[[#This Row],[CheckList Fisc]]</f>
        <v>12</v>
      </c>
      <c r="AB268" s="19">
        <f t="shared" si="4"/>
        <v>0.46153846153846156</v>
      </c>
      <c r="AC268" s="14">
        <v>25</v>
      </c>
      <c r="AD268" s="14" t="s">
        <v>70</v>
      </c>
      <c r="AE268" s="22" t="str">
        <f>IFERROR((VLOOKUP(Tabla13[[#This Row],[ID]],[1]!Mtto_Pesv[[#Headers],[#Data],[Placa]:[Rutina]],2,FALSE)),"-")</f>
        <v>-</v>
      </c>
      <c r="AF268" s="14">
        <v>1</v>
      </c>
      <c r="AG268" s="20">
        <f>IFERROR((VLOOKUP(Tabla13[[#This Row],[ID]],[1]!Mtto_Pesv[[#Headers],[#Data],[Placa]:[Rutina]],3,FALSE)),0)</f>
        <v>0</v>
      </c>
      <c r="AH268" s="20">
        <f>IFERROR((VLOOKUP(Tabla13[[#This Row],[ID]],[1]!Mtto_Pesv[[#Headers],[#Data],[Placa]:[Rutina]],7,FALSE)),0)</f>
        <v>0</v>
      </c>
      <c r="AI268" s="20">
        <f>IFERROR((VLOOKUP(Tabla13[[#This Row],[ID]],[1]!Mtto_Pesv[[#Headers],[#Data],[Placa]:[Rutina]],8,FALSE)),0)</f>
        <v>0</v>
      </c>
      <c r="AJ268" s="20" t="str">
        <f>IFERROR((VLOOKUP(Tabla13[[#This Row],[ID]],[1]!Mtto_Pesv[[#Headers],[#Data],[Placa]:[Rutina]],9,FALSE)),"-")</f>
        <v>-</v>
      </c>
      <c r="AK268" s="20">
        <f>IFERROR((VLOOKUP(Tabla13[[#This Row],[ID]],[1]!Mtto_Pesv[[#Headers],[#Data],[Placa]:[Rutina]],10,FALSE)),0)</f>
        <v>0</v>
      </c>
      <c r="AL268" s="20">
        <f>IF(Tabla13[[#This Row],[Km Anterior]]=0,0,Tabla13[[#This Row],[Km Ejecut]]-Tabla13[[#This Row],[Km Anterior]])</f>
        <v>0</v>
      </c>
      <c r="AM268" s="20">
        <f>IFERROR((VLOOKUP(Tabla13[[#This Row],[ID]],[1]!Mtto_Pesv[[#Headers],[#Data],[Placa]:[Rutina]],4,FALSE)),0)</f>
        <v>0</v>
      </c>
      <c r="AN268" s="21">
        <f>IFERROR((VLOOKUP(Tabla13[[#This Row],[ID]],[1]!Mtto_Pesv[[#Headers],[#Data],[Placa]:[Rutina]],5,FALSE)),0)</f>
        <v>0</v>
      </c>
      <c r="AO268" s="21">
        <f>+Tabla13[[#This Row],[Km Fin]]-Tabla13[[#This Row],[Km Ini]]</f>
        <v>0</v>
      </c>
      <c r="AP268" s="20">
        <f>IFERROR((VLOOKUP(Tabla13[[#This Row],[ID]],[1]!Estilo_Conduccion[[#All],[Placa]:[Puntuacion]],15,FALSE)),0)</f>
        <v>143.30000000000001</v>
      </c>
      <c r="AQ268" s="15" t="s">
        <v>54</v>
      </c>
      <c r="AR268" s="15" t="s">
        <v>54</v>
      </c>
      <c r="AS268" s="20">
        <v>4900</v>
      </c>
      <c r="AT268" s="21">
        <v>0</v>
      </c>
      <c r="AU268" s="21">
        <f>(Tabla13[[#This Row],[Cap Vh]]*$AX$2)*0.56</f>
        <v>0</v>
      </c>
      <c r="AV268" s="36" t="e">
        <f>(Tabla13[[#This Row],[Cap Util (kg)]]/(Tabla13[[#This Row],[Cap Inst (Kg)]]))</f>
        <v>#DIV/0!</v>
      </c>
    </row>
    <row r="269" spans="1:48" x14ac:dyDescent="0.25">
      <c r="A269" s="13" t="s">
        <v>1068</v>
      </c>
      <c r="B269" s="14" t="s">
        <v>436</v>
      </c>
      <c r="C269" s="14" t="s">
        <v>44</v>
      </c>
      <c r="D269" s="14" t="s">
        <v>44</v>
      </c>
      <c r="E269" s="14" t="s">
        <v>60</v>
      </c>
      <c r="F269" s="14" t="s">
        <v>46</v>
      </c>
      <c r="G269" s="15" t="s">
        <v>47</v>
      </c>
      <c r="H269" s="16" t="s">
        <v>48</v>
      </c>
      <c r="I269" s="14" t="s">
        <v>109</v>
      </c>
      <c r="J269" s="14">
        <v>830064700</v>
      </c>
      <c r="K269" s="14" t="s">
        <v>50</v>
      </c>
      <c r="L269" s="14" t="s">
        <v>103</v>
      </c>
      <c r="M269" s="14" t="s">
        <v>435</v>
      </c>
      <c r="N269" s="14">
        <v>2014</v>
      </c>
      <c r="O269" s="14">
        <v>6</v>
      </c>
      <c r="P269" s="14" t="s">
        <v>53</v>
      </c>
      <c r="Q269" s="14">
        <v>0</v>
      </c>
      <c r="R269" s="14">
        <v>0</v>
      </c>
      <c r="S269" s="17" t="s">
        <v>54</v>
      </c>
      <c r="T269" s="18">
        <v>0</v>
      </c>
      <c r="U269" s="14">
        <v>30</v>
      </c>
      <c r="V269" s="19">
        <v>1</v>
      </c>
      <c r="W269" s="14">
        <v>0</v>
      </c>
      <c r="X269" s="14">
        <v>0</v>
      </c>
      <c r="Y269" s="14">
        <v>0</v>
      </c>
      <c r="Z269" s="14">
        <v>0</v>
      </c>
      <c r="AA269" s="14">
        <f>Tabla13[[#This Row],[CheckList App]]+Tabla13[[#This Row],[CheckList Fisc]]</f>
        <v>0</v>
      </c>
      <c r="AB269" s="19">
        <f t="shared" si="4"/>
        <v>0</v>
      </c>
      <c r="AC269" s="14">
        <v>0</v>
      </c>
      <c r="AD269" s="14" t="s">
        <v>55</v>
      </c>
      <c r="AE269" s="15" t="str">
        <f>IFERROR((VLOOKUP(Tabla13[[#This Row],[ID]],[1]!Mtto_Pesv[[#Headers],[#Data],[Placa]:[Rutina]],2,FALSE)),"-")</f>
        <v>-</v>
      </c>
      <c r="AF269" s="14">
        <v>0</v>
      </c>
      <c r="AG269" s="20">
        <f>IFERROR((VLOOKUP(Tabla13[[#This Row],[ID]],[1]!Mtto_Pesv[[#Headers],[#Data],[Placa]:[Rutina]],3,FALSE)),0)</f>
        <v>0</v>
      </c>
      <c r="AH269" s="20">
        <f>IFERROR((VLOOKUP(Tabla13[[#This Row],[ID]],[1]!Mtto_Pesv[[#Headers],[#Data],[Placa]:[Rutina]],7,FALSE)),0)</f>
        <v>0</v>
      </c>
      <c r="AI269" s="20">
        <f>IFERROR((VLOOKUP(Tabla13[[#This Row],[ID]],[1]!Mtto_Pesv[[#Headers],[#Data],[Placa]:[Rutina]],8,FALSE)),0)</f>
        <v>0</v>
      </c>
      <c r="AJ269" s="20" t="str">
        <f>IFERROR((VLOOKUP(Tabla13[[#This Row],[ID]],[1]!Mtto_Pesv[[#Headers],[#Data],[Placa]:[Rutina]],9,FALSE)),"-")</f>
        <v>-</v>
      </c>
      <c r="AK269" s="20">
        <f>IFERROR((VLOOKUP(Tabla13[[#This Row],[ID]],[1]!Mtto_Pesv[[#Headers],[#Data],[Placa]:[Rutina]],10,FALSE)),0)</f>
        <v>0</v>
      </c>
      <c r="AL269" s="20">
        <f>IF(Tabla13[[#This Row],[Km Anterior]]=0,0,Tabla13[[#This Row],[Km Ejecut]]-Tabla13[[#This Row],[Km Anterior]])</f>
        <v>0</v>
      </c>
      <c r="AM269" s="20">
        <f>IFERROR((VLOOKUP(Tabla13[[#This Row],[ID]],[1]!Mtto_Pesv[[#Headers],[#Data],[Placa]:[Rutina]],4,FALSE)),0)</f>
        <v>0</v>
      </c>
      <c r="AN269" s="21">
        <f>IFERROR((VLOOKUP(Tabla13[[#This Row],[ID]],[1]!Mtto_Pesv[[#Headers],[#Data],[Placa]:[Rutina]],5,FALSE)),0)</f>
        <v>0</v>
      </c>
      <c r="AO269" s="21">
        <f>+Tabla13[[#This Row],[Km Fin]]-Tabla13[[#This Row],[Km Ini]]</f>
        <v>0</v>
      </c>
      <c r="AP269" s="20">
        <f>IFERROR((VLOOKUP(Tabla13[[#This Row],[ID]],[1]!Estilo_Conduccion[[#All],[Placa]:[Puntuacion]],15,FALSE)),0)</f>
        <v>0</v>
      </c>
      <c r="AQ269" s="15" t="s">
        <v>1082</v>
      </c>
      <c r="AR269" s="15" t="s">
        <v>1083</v>
      </c>
      <c r="AS269" s="20">
        <v>4900</v>
      </c>
      <c r="AT269" s="21">
        <v>2634.1875</v>
      </c>
      <c r="AU269" s="21">
        <f>(Tabla13[[#This Row],[Cap Vh]]*$AX$2)*0.56</f>
        <v>0</v>
      </c>
      <c r="AV269" s="36" t="e">
        <f>(Tabla13[[#This Row],[Cap Util (kg)]]/(Tabla13[[#This Row],[Cap Inst (Kg)]]))</f>
        <v>#DIV/0!</v>
      </c>
    </row>
    <row r="270" spans="1:48" x14ac:dyDescent="0.25">
      <c r="A270" s="13" t="s">
        <v>1068</v>
      </c>
      <c r="B270" s="14" t="s">
        <v>437</v>
      </c>
      <c r="C270" s="14" t="s">
        <v>44</v>
      </c>
      <c r="D270" s="14" t="s">
        <v>44</v>
      </c>
      <c r="E270" s="14" t="s">
        <v>69</v>
      </c>
      <c r="F270" s="14" t="s">
        <v>64</v>
      </c>
      <c r="G270" s="15" t="s">
        <v>119</v>
      </c>
      <c r="H270" s="16" t="s">
        <v>120</v>
      </c>
      <c r="I270" s="14" t="s">
        <v>109</v>
      </c>
      <c r="J270" s="14">
        <v>830064700</v>
      </c>
      <c r="K270" s="14" t="s">
        <v>50</v>
      </c>
      <c r="L270" s="14" t="s">
        <v>103</v>
      </c>
      <c r="M270" s="14" t="s">
        <v>438</v>
      </c>
      <c r="N270" s="14">
        <v>2013</v>
      </c>
      <c r="O270" s="14">
        <v>7</v>
      </c>
      <c r="P270" s="14" t="s">
        <v>53</v>
      </c>
      <c r="Q270" s="14">
        <v>1</v>
      </c>
      <c r="R270" s="14">
        <v>1</v>
      </c>
      <c r="S270" s="17">
        <v>44834.020671296297</v>
      </c>
      <c r="T270" s="18">
        <v>382.70600000000002</v>
      </c>
      <c r="U270" s="14">
        <v>30</v>
      </c>
      <c r="V270" s="19">
        <v>1</v>
      </c>
      <c r="W270" s="14">
        <v>0</v>
      </c>
      <c r="X270" s="14">
        <v>26</v>
      </c>
      <c r="Y270" s="14">
        <v>21</v>
      </c>
      <c r="Z270" s="14">
        <v>0</v>
      </c>
      <c r="AA270" s="14">
        <f>Tabla13[[#This Row],[CheckList App]]+Tabla13[[#This Row],[CheckList Fisc]]</f>
        <v>21</v>
      </c>
      <c r="AB270" s="19">
        <f t="shared" si="4"/>
        <v>0.80769230769230771</v>
      </c>
      <c r="AC270" s="14">
        <v>35</v>
      </c>
      <c r="AD270" s="14" t="s">
        <v>70</v>
      </c>
      <c r="AE270" s="22" t="str">
        <f>IFERROR((VLOOKUP(Tabla13[[#This Row],[ID]],[1]!Mtto_Pesv[[#Headers],[#Data],[Placa]:[Rutina]],2,FALSE)),"-")</f>
        <v>-</v>
      </c>
      <c r="AF270" s="14">
        <v>1</v>
      </c>
      <c r="AG270" s="20">
        <f>IFERROR((VLOOKUP(Tabla13[[#This Row],[ID]],[1]!Mtto_Pesv[[#Headers],[#Data],[Placa]:[Rutina]],3,FALSE)),0)</f>
        <v>0</v>
      </c>
      <c r="AH270" s="20">
        <f>IFERROR((VLOOKUP(Tabla13[[#This Row],[ID]],[1]!Mtto_Pesv[[#Headers],[#Data],[Placa]:[Rutina]],7,FALSE)),0)</f>
        <v>0</v>
      </c>
      <c r="AI270" s="20">
        <f>IFERROR((VLOOKUP(Tabla13[[#This Row],[ID]],[1]!Mtto_Pesv[[#Headers],[#Data],[Placa]:[Rutina]],8,FALSE)),0)</f>
        <v>0</v>
      </c>
      <c r="AJ270" s="20" t="str">
        <f>IFERROR((VLOOKUP(Tabla13[[#This Row],[ID]],[1]!Mtto_Pesv[[#Headers],[#Data],[Placa]:[Rutina]],9,FALSE)),"-")</f>
        <v>-</v>
      </c>
      <c r="AK270" s="20">
        <f>IFERROR((VLOOKUP(Tabla13[[#This Row],[ID]],[1]!Mtto_Pesv[[#Headers],[#Data],[Placa]:[Rutina]],10,FALSE)),0)</f>
        <v>0</v>
      </c>
      <c r="AL270" s="20">
        <f>IF(Tabla13[[#This Row],[Km Anterior]]=0,0,Tabla13[[#This Row],[Km Ejecut]]-Tabla13[[#This Row],[Km Anterior]])</f>
        <v>0</v>
      </c>
      <c r="AM270" s="20">
        <f>IFERROR((VLOOKUP(Tabla13[[#This Row],[ID]],[1]!Mtto_Pesv[[#Headers],[#Data],[Placa]:[Rutina]],4,FALSE)),0)</f>
        <v>0</v>
      </c>
      <c r="AN270" s="21">
        <f>IFERROR((VLOOKUP(Tabla13[[#This Row],[ID]],[1]!Mtto_Pesv[[#Headers],[#Data],[Placa]:[Rutina]],5,FALSE)),0)</f>
        <v>0</v>
      </c>
      <c r="AO270" s="21">
        <f>+Tabla13[[#This Row],[Km Fin]]-Tabla13[[#This Row],[Km Ini]]</f>
        <v>0</v>
      </c>
      <c r="AP270" s="20">
        <f>IFERROR((VLOOKUP(Tabla13[[#This Row],[ID]],[1]!Estilo_Conduccion[[#All],[Placa]:[Puntuacion]],15,FALSE)),0)</f>
        <v>20.999999999999972</v>
      </c>
      <c r="AQ270" s="15" t="s">
        <v>54</v>
      </c>
      <c r="AR270" s="15" t="s">
        <v>54</v>
      </c>
      <c r="AS270" s="20">
        <v>6100</v>
      </c>
      <c r="AT270" s="21">
        <v>0</v>
      </c>
      <c r="AU270" s="21">
        <f>(Tabla13[[#This Row],[Cap Vh]]*$AX$2)*0.56</f>
        <v>0</v>
      </c>
      <c r="AV270" s="36" t="e">
        <f>(Tabla13[[#This Row],[Cap Util (kg)]]/(Tabla13[[#This Row],[Cap Inst (Kg)]]))</f>
        <v>#DIV/0!</v>
      </c>
    </row>
    <row r="271" spans="1:48" x14ac:dyDescent="0.25">
      <c r="A271" s="13" t="s">
        <v>1068</v>
      </c>
      <c r="B271" s="14" t="s">
        <v>439</v>
      </c>
      <c r="C271" s="14" t="s">
        <v>44</v>
      </c>
      <c r="D271" s="14" t="s">
        <v>44</v>
      </c>
      <c r="E271" s="14" t="s">
        <v>60</v>
      </c>
      <c r="F271" s="14" t="s">
        <v>46</v>
      </c>
      <c r="G271" s="15" t="s">
        <v>47</v>
      </c>
      <c r="H271" s="16" t="s">
        <v>48</v>
      </c>
      <c r="I271" s="14" t="s">
        <v>49</v>
      </c>
      <c r="J271" s="14">
        <v>830064700</v>
      </c>
      <c r="K271" s="14" t="s">
        <v>50</v>
      </c>
      <c r="L271" s="14" t="s">
        <v>103</v>
      </c>
      <c r="M271" s="14" t="s">
        <v>121</v>
      </c>
      <c r="N271" s="14">
        <v>2001</v>
      </c>
      <c r="O271" s="14">
        <v>19</v>
      </c>
      <c r="P271" s="14" t="s">
        <v>173</v>
      </c>
      <c r="Q271" s="14">
        <v>0</v>
      </c>
      <c r="R271" s="14">
        <v>0</v>
      </c>
      <c r="S271" s="17" t="s">
        <v>54</v>
      </c>
      <c r="T271" s="18">
        <v>0</v>
      </c>
      <c r="U271" s="14">
        <v>30</v>
      </c>
      <c r="V271" s="19">
        <v>1</v>
      </c>
      <c r="W271" s="14">
        <v>0</v>
      </c>
      <c r="X271" s="14">
        <v>0</v>
      </c>
      <c r="Y271" s="14">
        <v>0</v>
      </c>
      <c r="Z271" s="14">
        <v>0</v>
      </c>
      <c r="AA271" s="14">
        <f>Tabla13[[#This Row],[CheckList App]]+Tabla13[[#This Row],[CheckList Fisc]]</f>
        <v>0</v>
      </c>
      <c r="AB271" s="19">
        <f t="shared" si="4"/>
        <v>0</v>
      </c>
      <c r="AC271" s="14">
        <v>0</v>
      </c>
      <c r="AD271" s="14" t="s">
        <v>55</v>
      </c>
      <c r="AE271" s="15" t="str">
        <f>IFERROR((VLOOKUP(Tabla13[[#This Row],[ID]],[1]!Mtto_Pesv[[#Headers],[#Data],[Placa]:[Rutina]],2,FALSE)),"-")</f>
        <v>-</v>
      </c>
      <c r="AF271" s="14">
        <v>0</v>
      </c>
      <c r="AG271" s="20">
        <f>IFERROR((VLOOKUP(Tabla13[[#This Row],[ID]],[1]!Mtto_Pesv[[#Headers],[#Data],[Placa]:[Rutina]],3,FALSE)),0)</f>
        <v>0</v>
      </c>
      <c r="AH271" s="20">
        <f>IFERROR((VLOOKUP(Tabla13[[#This Row],[ID]],[1]!Mtto_Pesv[[#Headers],[#Data],[Placa]:[Rutina]],7,FALSE)),0)</f>
        <v>0</v>
      </c>
      <c r="AI271" s="20">
        <f>IFERROR((VLOOKUP(Tabla13[[#This Row],[ID]],[1]!Mtto_Pesv[[#Headers],[#Data],[Placa]:[Rutina]],8,FALSE)),0)</f>
        <v>0</v>
      </c>
      <c r="AJ271" s="20" t="str">
        <f>IFERROR((VLOOKUP(Tabla13[[#This Row],[ID]],[1]!Mtto_Pesv[[#Headers],[#Data],[Placa]:[Rutina]],9,FALSE)),"-")</f>
        <v>-</v>
      </c>
      <c r="AK271" s="20">
        <f>IFERROR((VLOOKUP(Tabla13[[#This Row],[ID]],[1]!Mtto_Pesv[[#Headers],[#Data],[Placa]:[Rutina]],10,FALSE)),0)</f>
        <v>0</v>
      </c>
      <c r="AL271" s="20">
        <f>IF(Tabla13[[#This Row],[Km Anterior]]=0,0,Tabla13[[#This Row],[Km Ejecut]]-Tabla13[[#This Row],[Km Anterior]])</f>
        <v>0</v>
      </c>
      <c r="AM271" s="20">
        <f>IFERROR((VLOOKUP(Tabla13[[#This Row],[ID]],[1]!Mtto_Pesv[[#Headers],[#Data],[Placa]:[Rutina]],4,FALSE)),0)</f>
        <v>0</v>
      </c>
      <c r="AN271" s="21">
        <f>IFERROR((VLOOKUP(Tabla13[[#This Row],[ID]],[1]!Mtto_Pesv[[#Headers],[#Data],[Placa]:[Rutina]],5,FALSE)),0)</f>
        <v>0</v>
      </c>
      <c r="AO271" s="21">
        <f>+Tabla13[[#This Row],[Km Fin]]-Tabla13[[#This Row],[Km Ini]]</f>
        <v>0</v>
      </c>
      <c r="AP271" s="20">
        <f>IFERROR((VLOOKUP(Tabla13[[#This Row],[ID]],[1]!Estilo_Conduccion[[#All],[Placa]:[Puntuacion]],15,FALSE)),0)</f>
        <v>0</v>
      </c>
      <c r="AQ271" s="15" t="s">
        <v>1072</v>
      </c>
      <c r="AR271" s="15" t="s">
        <v>1073</v>
      </c>
      <c r="AS271" s="20">
        <v>2350</v>
      </c>
      <c r="AT271" s="21">
        <v>3080.8846153846152</v>
      </c>
      <c r="AU271" s="21">
        <f>(Tabla13[[#This Row],[Cap Vh]]*$AX$2)*0.56</f>
        <v>0</v>
      </c>
      <c r="AV271" s="36" t="e">
        <f>(Tabla13[[#This Row],[Cap Util (kg)]]/(Tabla13[[#This Row],[Cap Inst (Kg)]]))</f>
        <v>#DIV/0!</v>
      </c>
    </row>
    <row r="272" spans="1:48" x14ac:dyDescent="0.25">
      <c r="A272" s="13" t="s">
        <v>1068</v>
      </c>
      <c r="B272" s="14" t="s">
        <v>440</v>
      </c>
      <c r="C272" s="14" t="s">
        <v>44</v>
      </c>
      <c r="D272" s="14" t="s">
        <v>44</v>
      </c>
      <c r="E272" s="14" t="s">
        <v>69</v>
      </c>
      <c r="F272" s="14" t="s">
        <v>46</v>
      </c>
      <c r="G272" s="15" t="s">
        <v>47</v>
      </c>
      <c r="H272" s="16" t="s">
        <v>48</v>
      </c>
      <c r="I272" s="14" t="s">
        <v>49</v>
      </c>
      <c r="J272" s="14">
        <v>900335279</v>
      </c>
      <c r="K272" s="14" t="s">
        <v>77</v>
      </c>
      <c r="L272" s="14" t="s">
        <v>405</v>
      </c>
      <c r="M272" s="14" t="s">
        <v>441</v>
      </c>
      <c r="N272" s="14">
        <v>2011</v>
      </c>
      <c r="O272" s="14">
        <v>9</v>
      </c>
      <c r="P272" s="14" t="s">
        <v>53</v>
      </c>
      <c r="Q272" s="14">
        <v>0</v>
      </c>
      <c r="R272" s="14">
        <v>0</v>
      </c>
      <c r="S272" s="17" t="s">
        <v>54</v>
      </c>
      <c r="T272" s="18">
        <v>0</v>
      </c>
      <c r="U272" s="14">
        <v>0</v>
      </c>
      <c r="V272" s="19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f>Tabla13[[#This Row],[CheckList App]]+Tabla13[[#This Row],[CheckList Fisc]]</f>
        <v>0</v>
      </c>
      <c r="AB272" s="19" t="str">
        <f t="shared" si="4"/>
        <v/>
      </c>
      <c r="AC272" s="14">
        <v>0</v>
      </c>
      <c r="AD272" s="14" t="s">
        <v>55</v>
      </c>
      <c r="AE272" s="15" t="str">
        <f>IFERROR((VLOOKUP(Tabla13[[#This Row],[ID]],[1]!Mtto_Pesv[[#Headers],[#Data],[Placa]:[Rutina]],2,FALSE)),"-")</f>
        <v>-</v>
      </c>
      <c r="AF272" s="14">
        <v>0</v>
      </c>
      <c r="AG272" s="20">
        <f>IFERROR((VLOOKUP(Tabla13[[#This Row],[ID]],[1]!Mtto_Pesv[[#Headers],[#Data],[Placa]:[Rutina]],3,FALSE)),0)</f>
        <v>0</v>
      </c>
      <c r="AH272" s="20">
        <f>IFERROR((VLOOKUP(Tabla13[[#This Row],[ID]],[1]!Mtto_Pesv[[#Headers],[#Data],[Placa]:[Rutina]],7,FALSE)),0)</f>
        <v>0</v>
      </c>
      <c r="AI272" s="20">
        <f>IFERROR((VLOOKUP(Tabla13[[#This Row],[ID]],[1]!Mtto_Pesv[[#Headers],[#Data],[Placa]:[Rutina]],8,FALSE)),0)</f>
        <v>0</v>
      </c>
      <c r="AJ272" s="20" t="str">
        <f>IFERROR((VLOOKUP(Tabla13[[#This Row],[ID]],[1]!Mtto_Pesv[[#Headers],[#Data],[Placa]:[Rutina]],9,FALSE)),"-")</f>
        <v>-</v>
      </c>
      <c r="AK272" s="20">
        <f>IFERROR((VLOOKUP(Tabla13[[#This Row],[ID]],[1]!Mtto_Pesv[[#Headers],[#Data],[Placa]:[Rutina]],10,FALSE)),0)</f>
        <v>0</v>
      </c>
      <c r="AL272" s="20">
        <f>IF(Tabla13[[#This Row],[Km Anterior]]=0,0,Tabla13[[#This Row],[Km Ejecut]]-Tabla13[[#This Row],[Km Anterior]])</f>
        <v>0</v>
      </c>
      <c r="AM272" s="20">
        <f>IFERROR((VLOOKUP(Tabla13[[#This Row],[ID]],[1]!Mtto_Pesv[[#Headers],[#Data],[Placa]:[Rutina]],4,FALSE)),0)</f>
        <v>0</v>
      </c>
      <c r="AN272" s="21">
        <f>IFERROR((VLOOKUP(Tabla13[[#This Row],[ID]],[1]!Mtto_Pesv[[#Headers],[#Data],[Placa]:[Rutina]],5,FALSE)),0)</f>
        <v>0</v>
      </c>
      <c r="AO272" s="21">
        <f>+Tabla13[[#This Row],[Km Fin]]-Tabla13[[#This Row],[Km Ini]]</f>
        <v>0</v>
      </c>
      <c r="AP272" s="20">
        <f>IFERROR((VLOOKUP(Tabla13[[#This Row],[ID]],[1]!Estilo_Conduccion[[#All],[Placa]:[Puntuacion]],15,FALSE)),0)</f>
        <v>0</v>
      </c>
      <c r="AQ272" s="15" t="s">
        <v>1240</v>
      </c>
      <c r="AR272" s="15" t="s">
        <v>1241</v>
      </c>
      <c r="AS272" s="20">
        <v>1013</v>
      </c>
      <c r="AT272" s="21">
        <v>8191</v>
      </c>
      <c r="AU272" s="21">
        <f>(Tabla13[[#This Row],[Cap Vh]]*$AX$2)*0.56</f>
        <v>0</v>
      </c>
      <c r="AV272" s="36" t="e">
        <f>(Tabla13[[#This Row],[Cap Util (kg)]]/(Tabla13[[#This Row],[Cap Inst (Kg)]]))</f>
        <v>#DIV/0!</v>
      </c>
    </row>
    <row r="273" spans="1:48" x14ac:dyDescent="0.25">
      <c r="A273" s="13" t="s">
        <v>1068</v>
      </c>
      <c r="B273" s="14" t="s">
        <v>442</v>
      </c>
      <c r="C273" s="14" t="s">
        <v>44</v>
      </c>
      <c r="D273" s="14" t="s">
        <v>44</v>
      </c>
      <c r="E273" s="14" t="s">
        <v>127</v>
      </c>
      <c r="F273" s="14" t="s">
        <v>64</v>
      </c>
      <c r="G273" s="15" t="s">
        <v>47</v>
      </c>
      <c r="H273" s="16" t="s">
        <v>48</v>
      </c>
      <c r="I273" s="14" t="s">
        <v>49</v>
      </c>
      <c r="J273" s="14">
        <v>900335279</v>
      </c>
      <c r="K273" s="14" t="s">
        <v>77</v>
      </c>
      <c r="L273" s="14" t="s">
        <v>405</v>
      </c>
      <c r="M273" s="14" t="s">
        <v>441</v>
      </c>
      <c r="N273" s="14">
        <v>2011</v>
      </c>
      <c r="O273" s="14">
        <v>9</v>
      </c>
      <c r="P273" s="14" t="s">
        <v>53</v>
      </c>
      <c r="Q273" s="14">
        <v>1</v>
      </c>
      <c r="R273" s="14">
        <v>0</v>
      </c>
      <c r="S273" s="17" t="s">
        <v>54</v>
      </c>
      <c r="T273" s="18">
        <v>0</v>
      </c>
      <c r="U273" s="14">
        <v>30</v>
      </c>
      <c r="V273" s="19">
        <v>1</v>
      </c>
      <c r="W273" s="14">
        <v>0</v>
      </c>
      <c r="X273" s="14">
        <v>0</v>
      </c>
      <c r="Y273" s="14">
        <v>0</v>
      </c>
      <c r="Z273" s="14">
        <v>0</v>
      </c>
      <c r="AA273" s="14">
        <f>Tabla13[[#This Row],[CheckList App]]+Tabla13[[#This Row],[CheckList Fisc]]</f>
        <v>0</v>
      </c>
      <c r="AB273" s="19">
        <f t="shared" si="4"/>
        <v>0</v>
      </c>
      <c r="AC273" s="14">
        <v>0</v>
      </c>
      <c r="AD273" s="14" t="s">
        <v>70</v>
      </c>
      <c r="AE273" s="15" t="str">
        <f>IFERROR((VLOOKUP(Tabla13[[#This Row],[ID]],[1]!Mtto_Pesv[[#Headers],[#Data],[Placa]:[Rutina]],2,FALSE)),"-")</f>
        <v>-</v>
      </c>
      <c r="AF273" s="14">
        <v>1</v>
      </c>
      <c r="AG273" s="20">
        <f>IFERROR((VLOOKUP(Tabla13[[#This Row],[ID]],[1]!Mtto_Pesv[[#Headers],[#Data],[Placa]:[Rutina]],3,FALSE)),0)</f>
        <v>0</v>
      </c>
      <c r="AH273" s="20">
        <f>IFERROR((VLOOKUP(Tabla13[[#This Row],[ID]],[1]!Mtto_Pesv[[#Headers],[#Data],[Placa]:[Rutina]],7,FALSE)),0)</f>
        <v>0</v>
      </c>
      <c r="AI273" s="20">
        <f>IFERROR((VLOOKUP(Tabla13[[#This Row],[ID]],[1]!Mtto_Pesv[[#Headers],[#Data],[Placa]:[Rutina]],8,FALSE)),0)</f>
        <v>0</v>
      </c>
      <c r="AJ273" s="20" t="str">
        <f>IFERROR((VLOOKUP(Tabla13[[#This Row],[ID]],[1]!Mtto_Pesv[[#Headers],[#Data],[Placa]:[Rutina]],9,FALSE)),"-")</f>
        <v>-</v>
      </c>
      <c r="AK273" s="20">
        <f>IFERROR((VLOOKUP(Tabla13[[#This Row],[ID]],[1]!Mtto_Pesv[[#Headers],[#Data],[Placa]:[Rutina]],10,FALSE)),0)</f>
        <v>0</v>
      </c>
      <c r="AL273" s="20">
        <f>IF(Tabla13[[#This Row],[Km Anterior]]=0,0,Tabla13[[#This Row],[Km Ejecut]]-Tabla13[[#This Row],[Km Anterior]])</f>
        <v>0</v>
      </c>
      <c r="AM273" s="20">
        <f>IFERROR((VLOOKUP(Tabla13[[#This Row],[ID]],[1]!Mtto_Pesv[[#Headers],[#Data],[Placa]:[Rutina]],4,FALSE)),0)</f>
        <v>0</v>
      </c>
      <c r="AN273" s="21">
        <f>IFERROR((VLOOKUP(Tabla13[[#This Row],[ID]],[1]!Mtto_Pesv[[#Headers],[#Data],[Placa]:[Rutina]],5,FALSE)),0)</f>
        <v>0</v>
      </c>
      <c r="AO273" s="21">
        <f>+Tabla13[[#This Row],[Km Fin]]-Tabla13[[#This Row],[Km Ini]]</f>
        <v>0</v>
      </c>
      <c r="AP273" s="20">
        <f>IFERROR((VLOOKUP(Tabla13[[#This Row],[ID]],[1]!Estilo_Conduccion[[#All],[Placa]:[Puntuacion]],15,FALSE)),0)</f>
        <v>0</v>
      </c>
      <c r="AQ273" s="15" t="s">
        <v>54</v>
      </c>
      <c r="AR273" s="15" t="s">
        <v>54</v>
      </c>
      <c r="AS273" s="20">
        <v>1013</v>
      </c>
      <c r="AT273" s="21">
        <v>0</v>
      </c>
      <c r="AU273" s="21">
        <f>(Tabla13[[#This Row],[Cap Vh]]*$AX$2)*0.56</f>
        <v>0</v>
      </c>
      <c r="AV273" s="36" t="e">
        <f>(Tabla13[[#This Row],[Cap Util (kg)]]/(Tabla13[[#This Row],[Cap Inst (Kg)]]))</f>
        <v>#DIV/0!</v>
      </c>
    </row>
    <row r="274" spans="1:48" x14ac:dyDescent="0.25">
      <c r="A274" s="13" t="s">
        <v>1068</v>
      </c>
      <c r="B274" s="14" t="s">
        <v>443</v>
      </c>
      <c r="C274" s="14" t="s">
        <v>44</v>
      </c>
      <c r="D274" s="14" t="s">
        <v>44</v>
      </c>
      <c r="E274" s="14" t="s">
        <v>45</v>
      </c>
      <c r="F274" s="14" t="s">
        <v>76</v>
      </c>
      <c r="G274" s="15" t="s">
        <v>47</v>
      </c>
      <c r="H274" s="16" t="s">
        <v>48</v>
      </c>
      <c r="I274" s="14" t="s">
        <v>49</v>
      </c>
      <c r="J274" s="14">
        <v>900335279</v>
      </c>
      <c r="K274" s="14" t="s">
        <v>77</v>
      </c>
      <c r="L274" s="14" t="s">
        <v>405</v>
      </c>
      <c r="M274" s="14" t="s">
        <v>441</v>
      </c>
      <c r="N274" s="14">
        <v>2011</v>
      </c>
      <c r="O274" s="14">
        <v>9</v>
      </c>
      <c r="P274" s="14" t="s">
        <v>53</v>
      </c>
      <c r="Q274" s="14">
        <v>0</v>
      </c>
      <c r="R274" s="14">
        <v>0</v>
      </c>
      <c r="S274" s="17" t="s">
        <v>54</v>
      </c>
      <c r="T274" s="18">
        <v>0</v>
      </c>
      <c r="U274" s="14">
        <v>0</v>
      </c>
      <c r="V274" s="19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f>Tabla13[[#This Row],[CheckList App]]+Tabla13[[#This Row],[CheckList Fisc]]</f>
        <v>0</v>
      </c>
      <c r="AB274" s="19" t="str">
        <f t="shared" si="4"/>
        <v/>
      </c>
      <c r="AC274" s="14">
        <v>0</v>
      </c>
      <c r="AD274" s="14" t="s">
        <v>55</v>
      </c>
      <c r="AE274" s="15" t="str">
        <f>IFERROR((VLOOKUP(Tabla13[[#This Row],[ID]],[1]!Mtto_Pesv[[#Headers],[#Data],[Placa]:[Rutina]],2,FALSE)),"-")</f>
        <v>-</v>
      </c>
      <c r="AF274" s="14">
        <v>0</v>
      </c>
      <c r="AG274" s="20">
        <f>IFERROR((VLOOKUP(Tabla13[[#This Row],[ID]],[1]!Mtto_Pesv[[#Headers],[#Data],[Placa]:[Rutina]],3,FALSE)),0)</f>
        <v>0</v>
      </c>
      <c r="AH274" s="20">
        <f>IFERROR((VLOOKUP(Tabla13[[#This Row],[ID]],[1]!Mtto_Pesv[[#Headers],[#Data],[Placa]:[Rutina]],7,FALSE)),0)</f>
        <v>0</v>
      </c>
      <c r="AI274" s="20">
        <f>IFERROR((VLOOKUP(Tabla13[[#This Row],[ID]],[1]!Mtto_Pesv[[#Headers],[#Data],[Placa]:[Rutina]],8,FALSE)),0)</f>
        <v>0</v>
      </c>
      <c r="AJ274" s="20" t="str">
        <f>IFERROR((VLOOKUP(Tabla13[[#This Row],[ID]],[1]!Mtto_Pesv[[#Headers],[#Data],[Placa]:[Rutina]],9,FALSE)),"-")</f>
        <v>-</v>
      </c>
      <c r="AK274" s="20">
        <f>IFERROR((VLOOKUP(Tabla13[[#This Row],[ID]],[1]!Mtto_Pesv[[#Headers],[#Data],[Placa]:[Rutina]],10,FALSE)),0)</f>
        <v>0</v>
      </c>
      <c r="AL274" s="20">
        <f>IF(Tabla13[[#This Row],[Km Anterior]]=0,0,Tabla13[[#This Row],[Km Ejecut]]-Tabla13[[#This Row],[Km Anterior]])</f>
        <v>0</v>
      </c>
      <c r="AM274" s="20">
        <f>IFERROR((VLOOKUP(Tabla13[[#This Row],[ID]],[1]!Mtto_Pesv[[#Headers],[#Data],[Placa]:[Rutina]],4,FALSE)),0)</f>
        <v>0</v>
      </c>
      <c r="AN274" s="21">
        <f>IFERROR((VLOOKUP(Tabla13[[#This Row],[ID]],[1]!Mtto_Pesv[[#Headers],[#Data],[Placa]:[Rutina]],5,FALSE)),0)</f>
        <v>0</v>
      </c>
      <c r="AO274" s="21">
        <f>+Tabla13[[#This Row],[Km Fin]]-Tabla13[[#This Row],[Km Ini]]</f>
        <v>0</v>
      </c>
      <c r="AP274" s="20">
        <f>IFERROR((VLOOKUP(Tabla13[[#This Row],[ID]],[1]!Estilo_Conduccion[[#All],[Placa]:[Puntuacion]],15,FALSE)),0)</f>
        <v>0</v>
      </c>
      <c r="AQ274" s="15" t="s">
        <v>54</v>
      </c>
      <c r="AR274" s="15" t="s">
        <v>1176</v>
      </c>
      <c r="AS274" s="20">
        <v>1013</v>
      </c>
      <c r="AT274" s="21">
        <v>0</v>
      </c>
      <c r="AU274" s="21">
        <f>(Tabla13[[#This Row],[Cap Vh]]*$AX$2)*0.56</f>
        <v>0</v>
      </c>
      <c r="AV274" s="36" t="e">
        <f>(Tabla13[[#This Row],[Cap Util (kg)]]/(Tabla13[[#This Row],[Cap Inst (Kg)]]))</f>
        <v>#DIV/0!</v>
      </c>
    </row>
    <row r="275" spans="1:48" x14ac:dyDescent="0.25">
      <c r="A275" s="13" t="s">
        <v>1068</v>
      </c>
      <c r="B275" s="14" t="s">
        <v>444</v>
      </c>
      <c r="C275" s="14" t="s">
        <v>44</v>
      </c>
      <c r="D275" s="14" t="s">
        <v>44</v>
      </c>
      <c r="E275" s="14" t="s">
        <v>45</v>
      </c>
      <c r="F275" s="14" t="s">
        <v>76</v>
      </c>
      <c r="G275" s="15" t="s">
        <v>47</v>
      </c>
      <c r="H275" s="16" t="s">
        <v>48</v>
      </c>
      <c r="I275" s="14" t="s">
        <v>49</v>
      </c>
      <c r="J275" s="14">
        <v>890300279</v>
      </c>
      <c r="K275" s="14" t="s">
        <v>282</v>
      </c>
      <c r="L275" s="14" t="s">
        <v>405</v>
      </c>
      <c r="M275" s="14" t="s">
        <v>441</v>
      </c>
      <c r="N275" s="14">
        <v>2011</v>
      </c>
      <c r="O275" s="14">
        <v>9</v>
      </c>
      <c r="P275" s="14" t="s">
        <v>53</v>
      </c>
      <c r="Q275" s="14">
        <v>0</v>
      </c>
      <c r="R275" s="14">
        <v>0</v>
      </c>
      <c r="S275" s="17" t="s">
        <v>54</v>
      </c>
      <c r="T275" s="18">
        <v>0</v>
      </c>
      <c r="U275" s="14">
        <v>30</v>
      </c>
      <c r="V275" s="19">
        <v>1</v>
      </c>
      <c r="W275" s="14">
        <v>0</v>
      </c>
      <c r="X275" s="14">
        <v>0</v>
      </c>
      <c r="Y275" s="14">
        <v>0</v>
      </c>
      <c r="Z275" s="14">
        <v>0</v>
      </c>
      <c r="AA275" s="14">
        <f>Tabla13[[#This Row],[CheckList App]]+Tabla13[[#This Row],[CheckList Fisc]]</f>
        <v>0</v>
      </c>
      <c r="AB275" s="19">
        <f t="shared" si="4"/>
        <v>0</v>
      </c>
      <c r="AC275" s="14">
        <v>0</v>
      </c>
      <c r="AD275" s="14" t="s">
        <v>55</v>
      </c>
      <c r="AE275" s="15" t="str">
        <f>IFERROR((VLOOKUP(Tabla13[[#This Row],[ID]],[1]!Mtto_Pesv[[#Headers],[#Data],[Placa]:[Rutina]],2,FALSE)),"-")</f>
        <v>-</v>
      </c>
      <c r="AF275" s="14">
        <v>0</v>
      </c>
      <c r="AG275" s="20">
        <f>IFERROR((VLOOKUP(Tabla13[[#This Row],[ID]],[1]!Mtto_Pesv[[#Headers],[#Data],[Placa]:[Rutina]],3,FALSE)),0)</f>
        <v>0</v>
      </c>
      <c r="AH275" s="20">
        <f>IFERROR((VLOOKUP(Tabla13[[#This Row],[ID]],[1]!Mtto_Pesv[[#Headers],[#Data],[Placa]:[Rutina]],7,FALSE)),0)</f>
        <v>0</v>
      </c>
      <c r="AI275" s="20">
        <f>IFERROR((VLOOKUP(Tabla13[[#This Row],[ID]],[1]!Mtto_Pesv[[#Headers],[#Data],[Placa]:[Rutina]],8,FALSE)),0)</f>
        <v>0</v>
      </c>
      <c r="AJ275" s="20" t="str">
        <f>IFERROR((VLOOKUP(Tabla13[[#This Row],[ID]],[1]!Mtto_Pesv[[#Headers],[#Data],[Placa]:[Rutina]],9,FALSE)),"-")</f>
        <v>-</v>
      </c>
      <c r="AK275" s="20">
        <f>IFERROR((VLOOKUP(Tabla13[[#This Row],[ID]],[1]!Mtto_Pesv[[#Headers],[#Data],[Placa]:[Rutina]],10,FALSE)),0)</f>
        <v>0</v>
      </c>
      <c r="AL275" s="20">
        <f>IF(Tabla13[[#This Row],[Km Anterior]]=0,0,Tabla13[[#This Row],[Km Ejecut]]-Tabla13[[#This Row],[Km Anterior]])</f>
        <v>0</v>
      </c>
      <c r="AM275" s="20">
        <f>IFERROR((VLOOKUP(Tabla13[[#This Row],[ID]],[1]!Mtto_Pesv[[#Headers],[#Data],[Placa]:[Rutina]],4,FALSE)),0)</f>
        <v>0</v>
      </c>
      <c r="AN275" s="21">
        <f>IFERROR((VLOOKUP(Tabla13[[#This Row],[ID]],[1]!Mtto_Pesv[[#Headers],[#Data],[Placa]:[Rutina]],5,FALSE)),0)</f>
        <v>0</v>
      </c>
      <c r="AO275" s="21">
        <f>+Tabla13[[#This Row],[Km Fin]]-Tabla13[[#This Row],[Km Ini]]</f>
        <v>0</v>
      </c>
      <c r="AP275" s="20">
        <f>IFERROR((VLOOKUP(Tabla13[[#This Row],[ID]],[1]!Estilo_Conduccion[[#All],[Placa]:[Puntuacion]],15,FALSE)),0)</f>
        <v>0</v>
      </c>
      <c r="AQ275" s="15" t="s">
        <v>1076</v>
      </c>
      <c r="AR275" s="15" t="s">
        <v>1077</v>
      </c>
      <c r="AS275" s="20">
        <v>1013</v>
      </c>
      <c r="AT275" s="21">
        <v>5065.7142857142853</v>
      </c>
      <c r="AU275" s="21">
        <f>(Tabla13[[#This Row],[Cap Vh]]*$AX$2)*0.56</f>
        <v>0</v>
      </c>
      <c r="AV275" s="36" t="e">
        <f>(Tabla13[[#This Row],[Cap Util (kg)]]/(Tabla13[[#This Row],[Cap Inst (Kg)]]))</f>
        <v>#DIV/0!</v>
      </c>
    </row>
    <row r="276" spans="1:48" x14ac:dyDescent="0.25">
      <c r="A276" s="13" t="s">
        <v>1068</v>
      </c>
      <c r="B276" s="14" t="s">
        <v>445</v>
      </c>
      <c r="C276" s="14" t="s">
        <v>44</v>
      </c>
      <c r="D276" s="14" t="s">
        <v>44</v>
      </c>
      <c r="E276" s="14" t="s">
        <v>45</v>
      </c>
      <c r="F276" s="14" t="s">
        <v>64</v>
      </c>
      <c r="G276" s="15" t="s">
        <v>119</v>
      </c>
      <c r="H276" s="16" t="s">
        <v>120</v>
      </c>
      <c r="I276" s="14" t="s">
        <v>49</v>
      </c>
      <c r="J276" s="14">
        <v>900335279</v>
      </c>
      <c r="K276" s="14" t="s">
        <v>77</v>
      </c>
      <c r="L276" s="14" t="s">
        <v>405</v>
      </c>
      <c r="M276" s="14" t="s">
        <v>441</v>
      </c>
      <c r="N276" s="14">
        <v>2011</v>
      </c>
      <c r="O276" s="14">
        <v>9</v>
      </c>
      <c r="P276" s="14" t="s">
        <v>53</v>
      </c>
      <c r="Q276" s="14">
        <v>0</v>
      </c>
      <c r="R276" s="14">
        <v>0</v>
      </c>
      <c r="S276" s="17" t="s">
        <v>54</v>
      </c>
      <c r="T276" s="18">
        <v>0</v>
      </c>
      <c r="U276" s="14">
        <v>0</v>
      </c>
      <c r="V276" s="19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f>Tabla13[[#This Row],[CheckList App]]+Tabla13[[#This Row],[CheckList Fisc]]</f>
        <v>0</v>
      </c>
      <c r="AB276" s="19" t="str">
        <f t="shared" si="4"/>
        <v/>
      </c>
      <c r="AC276" s="14">
        <v>0</v>
      </c>
      <c r="AD276" s="14" t="s">
        <v>55</v>
      </c>
      <c r="AE276" s="15" t="str">
        <f>IFERROR((VLOOKUP(Tabla13[[#This Row],[ID]],[1]!Mtto_Pesv[[#Headers],[#Data],[Placa]:[Rutina]],2,FALSE)),"-")</f>
        <v>-</v>
      </c>
      <c r="AF276" s="14">
        <v>0</v>
      </c>
      <c r="AG276" s="20">
        <f>IFERROR((VLOOKUP(Tabla13[[#This Row],[ID]],[1]!Mtto_Pesv[[#Headers],[#Data],[Placa]:[Rutina]],3,FALSE)),0)</f>
        <v>0</v>
      </c>
      <c r="AH276" s="20">
        <f>IFERROR((VLOOKUP(Tabla13[[#This Row],[ID]],[1]!Mtto_Pesv[[#Headers],[#Data],[Placa]:[Rutina]],7,FALSE)),0)</f>
        <v>0</v>
      </c>
      <c r="AI276" s="20">
        <f>IFERROR((VLOOKUP(Tabla13[[#This Row],[ID]],[1]!Mtto_Pesv[[#Headers],[#Data],[Placa]:[Rutina]],8,FALSE)),0)</f>
        <v>0</v>
      </c>
      <c r="AJ276" s="20" t="str">
        <f>IFERROR((VLOOKUP(Tabla13[[#This Row],[ID]],[1]!Mtto_Pesv[[#Headers],[#Data],[Placa]:[Rutina]],9,FALSE)),"-")</f>
        <v>-</v>
      </c>
      <c r="AK276" s="20">
        <f>IFERROR((VLOOKUP(Tabla13[[#This Row],[ID]],[1]!Mtto_Pesv[[#Headers],[#Data],[Placa]:[Rutina]],10,FALSE)),0)</f>
        <v>0</v>
      </c>
      <c r="AL276" s="20">
        <f>IF(Tabla13[[#This Row],[Km Anterior]]=0,0,Tabla13[[#This Row],[Km Ejecut]]-Tabla13[[#This Row],[Km Anterior]])</f>
        <v>0</v>
      </c>
      <c r="AM276" s="20">
        <f>IFERROR((VLOOKUP(Tabla13[[#This Row],[ID]],[1]!Mtto_Pesv[[#Headers],[#Data],[Placa]:[Rutina]],4,FALSE)),0)</f>
        <v>0</v>
      </c>
      <c r="AN276" s="21">
        <f>IFERROR((VLOOKUP(Tabla13[[#This Row],[ID]],[1]!Mtto_Pesv[[#Headers],[#Data],[Placa]:[Rutina]],5,FALSE)),0)</f>
        <v>0</v>
      </c>
      <c r="AO276" s="21">
        <f>+Tabla13[[#This Row],[Km Fin]]-Tabla13[[#This Row],[Km Ini]]</f>
        <v>0</v>
      </c>
      <c r="AP276" s="20">
        <f>IFERROR((VLOOKUP(Tabla13[[#This Row],[ID]],[1]!Estilo_Conduccion[[#All],[Placa]:[Puntuacion]],15,FALSE)),0)</f>
        <v>0</v>
      </c>
      <c r="AQ276" s="15" t="s">
        <v>54</v>
      </c>
      <c r="AR276" s="15" t="s">
        <v>1176</v>
      </c>
      <c r="AS276" s="20">
        <v>1013</v>
      </c>
      <c r="AT276" s="21">
        <v>0</v>
      </c>
      <c r="AU276" s="21">
        <f>(Tabla13[[#This Row],[Cap Vh]]*$AX$2)*0.56</f>
        <v>0</v>
      </c>
      <c r="AV276" s="36" t="e">
        <f>(Tabla13[[#This Row],[Cap Util (kg)]]/(Tabla13[[#This Row],[Cap Inst (Kg)]]))</f>
        <v>#DIV/0!</v>
      </c>
    </row>
    <row r="277" spans="1:48" x14ac:dyDescent="0.25">
      <c r="A277" s="13" t="s">
        <v>1068</v>
      </c>
      <c r="B277" s="14" t="s">
        <v>447</v>
      </c>
      <c r="C277" s="14" t="s">
        <v>44</v>
      </c>
      <c r="D277" s="14" t="s">
        <v>44</v>
      </c>
      <c r="E277" s="14" t="s">
        <v>69</v>
      </c>
      <c r="F277" s="14" t="s">
        <v>76</v>
      </c>
      <c r="G277" s="15" t="s">
        <v>47</v>
      </c>
      <c r="H277" s="16" t="s">
        <v>48</v>
      </c>
      <c r="I277" s="14" t="s">
        <v>49</v>
      </c>
      <c r="J277" s="14">
        <v>890300279</v>
      </c>
      <c r="K277" s="14" t="s">
        <v>282</v>
      </c>
      <c r="L277" s="14" t="s">
        <v>405</v>
      </c>
      <c r="M277" s="14" t="s">
        <v>441</v>
      </c>
      <c r="N277" s="14">
        <v>2011</v>
      </c>
      <c r="O277" s="14">
        <v>9</v>
      </c>
      <c r="P277" s="14" t="s">
        <v>53</v>
      </c>
      <c r="Q277" s="14">
        <v>1</v>
      </c>
      <c r="R277" s="14">
        <v>0</v>
      </c>
      <c r="S277" s="17" t="s">
        <v>54</v>
      </c>
      <c r="T277" s="18">
        <v>0</v>
      </c>
      <c r="U277" s="14">
        <v>30</v>
      </c>
      <c r="V277" s="19">
        <v>1</v>
      </c>
      <c r="W277" s="14">
        <v>0</v>
      </c>
      <c r="X277" s="14">
        <v>0</v>
      </c>
      <c r="Y277" s="14">
        <v>0</v>
      </c>
      <c r="Z277" s="14">
        <v>0</v>
      </c>
      <c r="AA277" s="14">
        <f>Tabla13[[#This Row],[CheckList App]]+Tabla13[[#This Row],[CheckList Fisc]]</f>
        <v>0</v>
      </c>
      <c r="AB277" s="19">
        <f t="shared" si="4"/>
        <v>0</v>
      </c>
      <c r="AC277" s="14">
        <v>0</v>
      </c>
      <c r="AD277" s="14" t="s">
        <v>55</v>
      </c>
      <c r="AE277" s="15" t="str">
        <f>IFERROR((VLOOKUP(Tabla13[[#This Row],[ID]],[1]!Mtto_Pesv[[#Headers],[#Data],[Placa]:[Rutina]],2,FALSE)),"-")</f>
        <v>-</v>
      </c>
      <c r="AF277" s="14">
        <v>0</v>
      </c>
      <c r="AG277" s="20">
        <f>IFERROR((VLOOKUP(Tabla13[[#This Row],[ID]],[1]!Mtto_Pesv[[#Headers],[#Data],[Placa]:[Rutina]],3,FALSE)),0)</f>
        <v>0</v>
      </c>
      <c r="AH277" s="20">
        <f>IFERROR((VLOOKUP(Tabla13[[#This Row],[ID]],[1]!Mtto_Pesv[[#Headers],[#Data],[Placa]:[Rutina]],7,FALSE)),0)</f>
        <v>0</v>
      </c>
      <c r="AI277" s="20">
        <f>IFERROR((VLOOKUP(Tabla13[[#This Row],[ID]],[1]!Mtto_Pesv[[#Headers],[#Data],[Placa]:[Rutina]],8,FALSE)),0)</f>
        <v>0</v>
      </c>
      <c r="AJ277" s="20" t="str">
        <f>IFERROR((VLOOKUP(Tabla13[[#This Row],[ID]],[1]!Mtto_Pesv[[#Headers],[#Data],[Placa]:[Rutina]],9,FALSE)),"-")</f>
        <v>-</v>
      </c>
      <c r="AK277" s="20">
        <f>IFERROR((VLOOKUP(Tabla13[[#This Row],[ID]],[1]!Mtto_Pesv[[#Headers],[#Data],[Placa]:[Rutina]],10,FALSE)),0)</f>
        <v>0</v>
      </c>
      <c r="AL277" s="20">
        <f>IF(Tabla13[[#This Row],[Km Anterior]]=0,0,Tabla13[[#This Row],[Km Ejecut]]-Tabla13[[#This Row],[Km Anterior]])</f>
        <v>0</v>
      </c>
      <c r="AM277" s="20">
        <f>IFERROR((VLOOKUP(Tabla13[[#This Row],[ID]],[1]!Mtto_Pesv[[#Headers],[#Data],[Placa]:[Rutina]],4,FALSE)),0)</f>
        <v>0</v>
      </c>
      <c r="AN277" s="21">
        <f>IFERROR((VLOOKUP(Tabla13[[#This Row],[ID]],[1]!Mtto_Pesv[[#Headers],[#Data],[Placa]:[Rutina]],5,FALSE)),0)</f>
        <v>0</v>
      </c>
      <c r="AO277" s="21">
        <f>+Tabla13[[#This Row],[Km Fin]]-Tabla13[[#This Row],[Km Ini]]</f>
        <v>0</v>
      </c>
      <c r="AP277" s="20">
        <f>IFERROR((VLOOKUP(Tabla13[[#This Row],[ID]],[1]!Estilo_Conduccion[[#All],[Placa]:[Puntuacion]],15,FALSE)),0)</f>
        <v>0</v>
      </c>
      <c r="AQ277" s="15" t="s">
        <v>1242</v>
      </c>
      <c r="AR277" s="15" t="s">
        <v>1243</v>
      </c>
      <c r="AS277" s="20">
        <v>1013</v>
      </c>
      <c r="AT277" s="21">
        <v>5397</v>
      </c>
      <c r="AU277" s="21">
        <f>(Tabla13[[#This Row],[Cap Vh]]*$AX$2)*0.56</f>
        <v>0</v>
      </c>
      <c r="AV277" s="36" t="e">
        <f>(Tabla13[[#This Row],[Cap Util (kg)]]/(Tabla13[[#This Row],[Cap Inst (Kg)]]))</f>
        <v>#DIV/0!</v>
      </c>
    </row>
    <row r="278" spans="1:48" x14ac:dyDescent="0.25">
      <c r="A278" s="13" t="s">
        <v>1068</v>
      </c>
      <c r="B278" s="14" t="s">
        <v>448</v>
      </c>
      <c r="C278" s="14" t="s">
        <v>44</v>
      </c>
      <c r="D278" s="14" t="s">
        <v>44</v>
      </c>
      <c r="E278" s="14" t="s">
        <v>45</v>
      </c>
      <c r="F278" s="14" t="s">
        <v>64</v>
      </c>
      <c r="G278" s="15" t="s">
        <v>119</v>
      </c>
      <c r="H278" s="16" t="s">
        <v>120</v>
      </c>
      <c r="I278" s="14" t="s">
        <v>203</v>
      </c>
      <c r="J278" s="14">
        <v>900335279</v>
      </c>
      <c r="K278" s="14" t="s">
        <v>77</v>
      </c>
      <c r="L278" s="14" t="s">
        <v>405</v>
      </c>
      <c r="M278" s="14" t="s">
        <v>441</v>
      </c>
      <c r="N278" s="14">
        <v>2011</v>
      </c>
      <c r="O278" s="14">
        <v>9</v>
      </c>
      <c r="P278" s="14" t="s">
        <v>53</v>
      </c>
      <c r="Q278" s="14">
        <v>0</v>
      </c>
      <c r="R278" s="14">
        <v>0</v>
      </c>
      <c r="S278" s="17" t="s">
        <v>54</v>
      </c>
      <c r="T278" s="18">
        <v>0</v>
      </c>
      <c r="U278" s="14">
        <v>0</v>
      </c>
      <c r="V278" s="19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f>Tabla13[[#This Row],[CheckList App]]+Tabla13[[#This Row],[CheckList Fisc]]</f>
        <v>0</v>
      </c>
      <c r="AB278" s="19" t="str">
        <f t="shared" si="4"/>
        <v/>
      </c>
      <c r="AC278" s="14">
        <v>0</v>
      </c>
      <c r="AD278" s="14" t="s">
        <v>70</v>
      </c>
      <c r="AE278" s="15" t="str">
        <f>IFERROR((VLOOKUP(Tabla13[[#This Row],[ID]],[1]!Mtto_Pesv[[#Headers],[#Data],[Placa]:[Rutina]],2,FALSE)),"-")</f>
        <v>-</v>
      </c>
      <c r="AF278" s="14">
        <v>1</v>
      </c>
      <c r="AG278" s="20">
        <f>IFERROR((VLOOKUP(Tabla13[[#This Row],[ID]],[1]!Mtto_Pesv[[#Headers],[#Data],[Placa]:[Rutina]],3,FALSE)),0)</f>
        <v>0</v>
      </c>
      <c r="AH278" s="20">
        <f>IFERROR((VLOOKUP(Tabla13[[#This Row],[ID]],[1]!Mtto_Pesv[[#Headers],[#Data],[Placa]:[Rutina]],7,FALSE)),0)</f>
        <v>0</v>
      </c>
      <c r="AI278" s="20">
        <f>IFERROR((VLOOKUP(Tabla13[[#This Row],[ID]],[1]!Mtto_Pesv[[#Headers],[#Data],[Placa]:[Rutina]],8,FALSE)),0)</f>
        <v>0</v>
      </c>
      <c r="AJ278" s="20" t="str">
        <f>IFERROR((VLOOKUP(Tabla13[[#This Row],[ID]],[1]!Mtto_Pesv[[#Headers],[#Data],[Placa]:[Rutina]],9,FALSE)),"-")</f>
        <v>-</v>
      </c>
      <c r="AK278" s="20">
        <f>IFERROR((VLOOKUP(Tabla13[[#This Row],[ID]],[1]!Mtto_Pesv[[#Headers],[#Data],[Placa]:[Rutina]],10,FALSE)),0)</f>
        <v>0</v>
      </c>
      <c r="AL278" s="20">
        <f>IF(Tabla13[[#This Row],[Km Anterior]]=0,0,Tabla13[[#This Row],[Km Ejecut]]-Tabla13[[#This Row],[Km Anterior]])</f>
        <v>0</v>
      </c>
      <c r="AM278" s="20">
        <f>IFERROR((VLOOKUP(Tabla13[[#This Row],[ID]],[1]!Mtto_Pesv[[#Headers],[#Data],[Placa]:[Rutina]],4,FALSE)),0)</f>
        <v>0</v>
      </c>
      <c r="AN278" s="21">
        <f>IFERROR((VLOOKUP(Tabla13[[#This Row],[ID]],[1]!Mtto_Pesv[[#Headers],[#Data],[Placa]:[Rutina]],5,FALSE)),0)</f>
        <v>0</v>
      </c>
      <c r="AO278" s="21">
        <f>+Tabla13[[#This Row],[Km Fin]]-Tabla13[[#This Row],[Km Ini]]</f>
        <v>0</v>
      </c>
      <c r="AP278" s="20">
        <f>IFERROR((VLOOKUP(Tabla13[[#This Row],[ID]],[1]!Estilo_Conduccion[[#All],[Placa]:[Puntuacion]],15,FALSE)),0)</f>
        <v>0</v>
      </c>
      <c r="AQ278" s="15" t="s">
        <v>54</v>
      </c>
      <c r="AR278" s="15" t="s">
        <v>1176</v>
      </c>
      <c r="AS278" s="20">
        <v>1013</v>
      </c>
      <c r="AT278" s="21">
        <v>0</v>
      </c>
      <c r="AU278" s="21">
        <f>(Tabla13[[#This Row],[Cap Vh]]*$AX$2)*0.56</f>
        <v>0</v>
      </c>
      <c r="AV278" s="36" t="e">
        <f>(Tabla13[[#This Row],[Cap Util (kg)]]/(Tabla13[[#This Row],[Cap Inst (Kg)]]))</f>
        <v>#DIV/0!</v>
      </c>
    </row>
    <row r="279" spans="1:48" x14ac:dyDescent="0.25">
      <c r="A279" s="13" t="s">
        <v>1068</v>
      </c>
      <c r="B279" s="14" t="s">
        <v>449</v>
      </c>
      <c r="C279" s="14" t="s">
        <v>44</v>
      </c>
      <c r="D279" s="14" t="s">
        <v>44</v>
      </c>
      <c r="E279" s="14" t="s">
        <v>45</v>
      </c>
      <c r="F279" s="14" t="s">
        <v>337</v>
      </c>
      <c r="G279" s="15" t="s">
        <v>47</v>
      </c>
      <c r="H279" s="16" t="s">
        <v>48</v>
      </c>
      <c r="I279" s="14" t="s">
        <v>49</v>
      </c>
      <c r="J279" s="14">
        <v>890300279</v>
      </c>
      <c r="K279" s="14" t="s">
        <v>282</v>
      </c>
      <c r="L279" s="14" t="s">
        <v>405</v>
      </c>
      <c r="M279" s="14" t="s">
        <v>441</v>
      </c>
      <c r="N279" s="14">
        <v>2011</v>
      </c>
      <c r="O279" s="14">
        <v>9</v>
      </c>
      <c r="P279" s="14" t="s">
        <v>53</v>
      </c>
      <c r="Q279" s="14">
        <v>0</v>
      </c>
      <c r="R279" s="14">
        <v>0</v>
      </c>
      <c r="S279" s="17" t="s">
        <v>54</v>
      </c>
      <c r="T279" s="18">
        <v>0</v>
      </c>
      <c r="U279" s="14">
        <v>30</v>
      </c>
      <c r="V279" s="19">
        <v>1</v>
      </c>
      <c r="W279" s="14">
        <v>0</v>
      </c>
      <c r="X279" s="14">
        <v>0</v>
      </c>
      <c r="Y279" s="14">
        <v>0</v>
      </c>
      <c r="Z279" s="14">
        <v>0</v>
      </c>
      <c r="AA279" s="14">
        <f>Tabla13[[#This Row],[CheckList App]]+Tabla13[[#This Row],[CheckList Fisc]]</f>
        <v>0</v>
      </c>
      <c r="AB279" s="19">
        <f t="shared" si="4"/>
        <v>0</v>
      </c>
      <c r="AC279" s="14">
        <v>0</v>
      </c>
      <c r="AD279" s="14" t="s">
        <v>55</v>
      </c>
      <c r="AE279" s="15" t="str">
        <f>IFERROR((VLOOKUP(Tabla13[[#This Row],[ID]],[1]!Mtto_Pesv[[#Headers],[#Data],[Placa]:[Rutina]],2,FALSE)),"-")</f>
        <v>-</v>
      </c>
      <c r="AF279" s="14">
        <v>0</v>
      </c>
      <c r="AG279" s="20">
        <f>IFERROR((VLOOKUP(Tabla13[[#This Row],[ID]],[1]!Mtto_Pesv[[#Headers],[#Data],[Placa]:[Rutina]],3,FALSE)),0)</f>
        <v>0</v>
      </c>
      <c r="AH279" s="20">
        <f>IFERROR((VLOOKUP(Tabla13[[#This Row],[ID]],[1]!Mtto_Pesv[[#Headers],[#Data],[Placa]:[Rutina]],7,FALSE)),0)</f>
        <v>0</v>
      </c>
      <c r="AI279" s="20">
        <f>IFERROR((VLOOKUP(Tabla13[[#This Row],[ID]],[1]!Mtto_Pesv[[#Headers],[#Data],[Placa]:[Rutina]],8,FALSE)),0)</f>
        <v>0</v>
      </c>
      <c r="AJ279" s="20" t="str">
        <f>IFERROR((VLOOKUP(Tabla13[[#This Row],[ID]],[1]!Mtto_Pesv[[#Headers],[#Data],[Placa]:[Rutina]],9,FALSE)),"-")</f>
        <v>-</v>
      </c>
      <c r="AK279" s="20">
        <f>IFERROR((VLOOKUP(Tabla13[[#This Row],[ID]],[1]!Mtto_Pesv[[#Headers],[#Data],[Placa]:[Rutina]],10,FALSE)),0)</f>
        <v>0</v>
      </c>
      <c r="AL279" s="20">
        <f>IF(Tabla13[[#This Row],[Km Anterior]]=0,0,Tabla13[[#This Row],[Km Ejecut]]-Tabla13[[#This Row],[Km Anterior]])</f>
        <v>0</v>
      </c>
      <c r="AM279" s="20">
        <f>IFERROR((VLOOKUP(Tabla13[[#This Row],[ID]],[1]!Mtto_Pesv[[#Headers],[#Data],[Placa]:[Rutina]],4,FALSE)),0)</f>
        <v>0</v>
      </c>
      <c r="AN279" s="21">
        <f>IFERROR((VLOOKUP(Tabla13[[#This Row],[ID]],[1]!Mtto_Pesv[[#Headers],[#Data],[Placa]:[Rutina]],5,FALSE)),0)</f>
        <v>0</v>
      </c>
      <c r="AO279" s="21">
        <f>+Tabla13[[#This Row],[Km Fin]]-Tabla13[[#This Row],[Km Ini]]</f>
        <v>0</v>
      </c>
      <c r="AP279" s="20">
        <f>IFERROR((VLOOKUP(Tabla13[[#This Row],[ID]],[1]!Estilo_Conduccion[[#All],[Placa]:[Puntuacion]],15,FALSE)),0)</f>
        <v>0</v>
      </c>
      <c r="AQ279" s="15" t="s">
        <v>1164</v>
      </c>
      <c r="AR279" s="15" t="s">
        <v>1165</v>
      </c>
      <c r="AS279" s="20">
        <v>1013</v>
      </c>
      <c r="AT279" s="21">
        <v>4420.3846153846152</v>
      </c>
      <c r="AU279" s="21">
        <f>(Tabla13[[#This Row],[Cap Vh]]*$AX$2)*0.56</f>
        <v>0</v>
      </c>
      <c r="AV279" s="36" t="e">
        <f>(Tabla13[[#This Row],[Cap Util (kg)]]/(Tabla13[[#This Row],[Cap Inst (Kg)]]))</f>
        <v>#DIV/0!</v>
      </c>
    </row>
    <row r="280" spans="1:48" x14ac:dyDescent="0.25">
      <c r="A280" s="13" t="s">
        <v>1068</v>
      </c>
      <c r="B280" s="14" t="s">
        <v>450</v>
      </c>
      <c r="C280" s="14" t="s">
        <v>44</v>
      </c>
      <c r="D280" s="14" t="s">
        <v>44</v>
      </c>
      <c r="E280" s="14" t="s">
        <v>85</v>
      </c>
      <c r="F280" s="14" t="s">
        <v>76</v>
      </c>
      <c r="G280" s="15" t="s">
        <v>89</v>
      </c>
      <c r="H280" s="16" t="s">
        <v>90</v>
      </c>
      <c r="I280" s="14" t="s">
        <v>49</v>
      </c>
      <c r="J280" s="14">
        <v>900335279</v>
      </c>
      <c r="K280" s="14" t="s">
        <v>77</v>
      </c>
      <c r="L280" s="14" t="s">
        <v>405</v>
      </c>
      <c r="M280" s="14" t="s">
        <v>441</v>
      </c>
      <c r="N280" s="14">
        <v>2011</v>
      </c>
      <c r="O280" s="14">
        <v>9</v>
      </c>
      <c r="P280" s="14" t="s">
        <v>53</v>
      </c>
      <c r="Q280" s="14">
        <v>1</v>
      </c>
      <c r="R280" s="14">
        <v>0</v>
      </c>
      <c r="S280" s="17" t="s">
        <v>54</v>
      </c>
      <c r="T280" s="18">
        <v>0</v>
      </c>
      <c r="U280" s="14">
        <v>0</v>
      </c>
      <c r="V280" s="19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f>Tabla13[[#This Row],[CheckList App]]+Tabla13[[#This Row],[CheckList Fisc]]</f>
        <v>0</v>
      </c>
      <c r="AB280" s="19" t="str">
        <f t="shared" si="4"/>
        <v/>
      </c>
      <c r="AC280" s="14">
        <v>0</v>
      </c>
      <c r="AD280" s="14" t="s">
        <v>55</v>
      </c>
      <c r="AE280" s="15" t="str">
        <f>IFERROR((VLOOKUP(Tabla13[[#This Row],[ID]],[1]!Mtto_Pesv[[#Headers],[#Data],[Placa]:[Rutina]],2,FALSE)),"-")</f>
        <v>-</v>
      </c>
      <c r="AF280" s="14">
        <v>0</v>
      </c>
      <c r="AG280" s="20">
        <f>IFERROR((VLOOKUP(Tabla13[[#This Row],[ID]],[1]!Mtto_Pesv[[#Headers],[#Data],[Placa]:[Rutina]],3,FALSE)),0)</f>
        <v>0</v>
      </c>
      <c r="AH280" s="20">
        <f>IFERROR((VLOOKUP(Tabla13[[#This Row],[ID]],[1]!Mtto_Pesv[[#Headers],[#Data],[Placa]:[Rutina]],7,FALSE)),0)</f>
        <v>0</v>
      </c>
      <c r="AI280" s="20">
        <f>IFERROR((VLOOKUP(Tabla13[[#This Row],[ID]],[1]!Mtto_Pesv[[#Headers],[#Data],[Placa]:[Rutina]],8,FALSE)),0)</f>
        <v>0</v>
      </c>
      <c r="AJ280" s="20" t="str">
        <f>IFERROR((VLOOKUP(Tabla13[[#This Row],[ID]],[1]!Mtto_Pesv[[#Headers],[#Data],[Placa]:[Rutina]],9,FALSE)),"-")</f>
        <v>-</v>
      </c>
      <c r="AK280" s="20">
        <f>IFERROR((VLOOKUP(Tabla13[[#This Row],[ID]],[1]!Mtto_Pesv[[#Headers],[#Data],[Placa]:[Rutina]],10,FALSE)),0)</f>
        <v>0</v>
      </c>
      <c r="AL280" s="20">
        <f>IF(Tabla13[[#This Row],[Km Anterior]]=0,0,Tabla13[[#This Row],[Km Ejecut]]-Tabla13[[#This Row],[Km Anterior]])</f>
        <v>0</v>
      </c>
      <c r="AM280" s="20">
        <f>IFERROR((VLOOKUP(Tabla13[[#This Row],[ID]],[1]!Mtto_Pesv[[#Headers],[#Data],[Placa]:[Rutina]],4,FALSE)),0)</f>
        <v>0</v>
      </c>
      <c r="AN280" s="21">
        <f>IFERROR((VLOOKUP(Tabla13[[#This Row],[ID]],[1]!Mtto_Pesv[[#Headers],[#Data],[Placa]:[Rutina]],5,FALSE)),0)</f>
        <v>0</v>
      </c>
      <c r="AO280" s="21">
        <f>+Tabla13[[#This Row],[Km Fin]]-Tabla13[[#This Row],[Km Ini]]</f>
        <v>0</v>
      </c>
      <c r="AP280" s="20">
        <f>IFERROR((VLOOKUP(Tabla13[[#This Row],[ID]],[1]!Estilo_Conduccion[[#All],[Placa]:[Puntuacion]],15,FALSE)),0)</f>
        <v>0</v>
      </c>
      <c r="AQ280" s="15" t="s">
        <v>1069</v>
      </c>
      <c r="AR280" s="15" t="s">
        <v>451</v>
      </c>
      <c r="AS280" s="20">
        <v>1013</v>
      </c>
      <c r="AT280" s="21">
        <v>0</v>
      </c>
      <c r="AU280" s="21">
        <f>(Tabla13[[#This Row],[Cap Vh]]*$AX$2)*0.56</f>
        <v>0</v>
      </c>
      <c r="AV280" s="36" t="e">
        <f>(Tabla13[[#This Row],[Cap Util (kg)]]/(Tabla13[[#This Row],[Cap Inst (Kg)]]))</f>
        <v>#DIV/0!</v>
      </c>
    </row>
    <row r="281" spans="1:48" x14ac:dyDescent="0.25">
      <c r="A281" s="13" t="s">
        <v>1068</v>
      </c>
      <c r="B281" s="14" t="s">
        <v>452</v>
      </c>
      <c r="C281" s="14" t="s">
        <v>44</v>
      </c>
      <c r="D281" s="14" t="s">
        <v>44</v>
      </c>
      <c r="E281" s="14" t="s">
        <v>60</v>
      </c>
      <c r="F281" s="14" t="s">
        <v>76</v>
      </c>
      <c r="G281" s="15" t="s">
        <v>47</v>
      </c>
      <c r="H281" s="16" t="s">
        <v>48</v>
      </c>
      <c r="I281" s="14" t="s">
        <v>49</v>
      </c>
      <c r="J281" s="14">
        <v>890300279</v>
      </c>
      <c r="K281" s="14" t="s">
        <v>282</v>
      </c>
      <c r="L281" s="14" t="s">
        <v>103</v>
      </c>
      <c r="M281" s="14" t="s">
        <v>121</v>
      </c>
      <c r="N281" s="14">
        <v>2011</v>
      </c>
      <c r="O281" s="14">
        <v>9</v>
      </c>
      <c r="P281" s="14" t="s">
        <v>53</v>
      </c>
      <c r="Q281" s="14">
        <v>1</v>
      </c>
      <c r="R281" s="14">
        <v>0</v>
      </c>
      <c r="S281" s="17" t="s">
        <v>54</v>
      </c>
      <c r="T281" s="18">
        <v>0</v>
      </c>
      <c r="U281" s="14">
        <v>30</v>
      </c>
      <c r="V281" s="19">
        <v>1</v>
      </c>
      <c r="W281" s="14">
        <v>0</v>
      </c>
      <c r="X281" s="14">
        <v>0</v>
      </c>
      <c r="Y281" s="14">
        <v>0</v>
      </c>
      <c r="Z281" s="14">
        <v>0</v>
      </c>
      <c r="AA281" s="14">
        <f>Tabla13[[#This Row],[CheckList App]]+Tabla13[[#This Row],[CheckList Fisc]]</f>
        <v>0</v>
      </c>
      <c r="AB281" s="19">
        <f t="shared" si="4"/>
        <v>0</v>
      </c>
      <c r="AC281" s="14">
        <v>0</v>
      </c>
      <c r="AD281" s="14" t="s">
        <v>55</v>
      </c>
      <c r="AE281" s="15" t="str">
        <f>IFERROR((VLOOKUP(Tabla13[[#This Row],[ID]],[1]!Mtto_Pesv[[#Headers],[#Data],[Placa]:[Rutina]],2,FALSE)),"-")</f>
        <v>-</v>
      </c>
      <c r="AF281" s="14">
        <v>0</v>
      </c>
      <c r="AG281" s="20">
        <f>IFERROR((VLOOKUP(Tabla13[[#This Row],[ID]],[1]!Mtto_Pesv[[#Headers],[#Data],[Placa]:[Rutina]],3,FALSE)),0)</f>
        <v>0</v>
      </c>
      <c r="AH281" s="20">
        <f>IFERROR((VLOOKUP(Tabla13[[#This Row],[ID]],[1]!Mtto_Pesv[[#Headers],[#Data],[Placa]:[Rutina]],7,FALSE)),0)</f>
        <v>0</v>
      </c>
      <c r="AI281" s="20">
        <f>IFERROR((VLOOKUP(Tabla13[[#This Row],[ID]],[1]!Mtto_Pesv[[#Headers],[#Data],[Placa]:[Rutina]],8,FALSE)),0)</f>
        <v>0</v>
      </c>
      <c r="AJ281" s="20" t="str">
        <f>IFERROR((VLOOKUP(Tabla13[[#This Row],[ID]],[1]!Mtto_Pesv[[#Headers],[#Data],[Placa]:[Rutina]],9,FALSE)),"-")</f>
        <v>-</v>
      </c>
      <c r="AK281" s="20">
        <f>IFERROR((VLOOKUP(Tabla13[[#This Row],[ID]],[1]!Mtto_Pesv[[#Headers],[#Data],[Placa]:[Rutina]],10,FALSE)),0)</f>
        <v>0</v>
      </c>
      <c r="AL281" s="20">
        <f>IF(Tabla13[[#This Row],[Km Anterior]]=0,0,Tabla13[[#This Row],[Km Ejecut]]-Tabla13[[#This Row],[Km Anterior]])</f>
        <v>0</v>
      </c>
      <c r="AM281" s="20">
        <f>IFERROR((VLOOKUP(Tabla13[[#This Row],[ID]],[1]!Mtto_Pesv[[#Headers],[#Data],[Placa]:[Rutina]],4,FALSE)),0)</f>
        <v>0</v>
      </c>
      <c r="AN281" s="21">
        <f>IFERROR((VLOOKUP(Tabla13[[#This Row],[ID]],[1]!Mtto_Pesv[[#Headers],[#Data],[Placa]:[Rutina]],5,FALSE)),0)</f>
        <v>0</v>
      </c>
      <c r="AO281" s="21">
        <f>+Tabla13[[#This Row],[Km Fin]]-Tabla13[[#This Row],[Km Ini]]</f>
        <v>0</v>
      </c>
      <c r="AP281" s="20">
        <f>IFERROR((VLOOKUP(Tabla13[[#This Row],[ID]],[1]!Estilo_Conduccion[[#All],[Placa]:[Puntuacion]],15,FALSE)),0)</f>
        <v>719</v>
      </c>
      <c r="AQ281" s="15" t="s">
        <v>1244</v>
      </c>
      <c r="AR281" s="15" t="s">
        <v>1245</v>
      </c>
      <c r="AS281" s="20">
        <v>2970</v>
      </c>
      <c r="AT281" s="21">
        <v>7608</v>
      </c>
      <c r="AU281" s="21">
        <f>(Tabla13[[#This Row],[Cap Vh]]*$AX$2)*0.56</f>
        <v>0</v>
      </c>
      <c r="AV281" s="36" t="e">
        <f>(Tabla13[[#This Row],[Cap Util (kg)]]/(Tabla13[[#This Row],[Cap Inst (Kg)]]))</f>
        <v>#DIV/0!</v>
      </c>
    </row>
    <row r="282" spans="1:48" x14ac:dyDescent="0.25">
      <c r="A282" s="13" t="s">
        <v>1068</v>
      </c>
      <c r="B282" s="14" t="s">
        <v>453</v>
      </c>
      <c r="C282" s="14" t="s">
        <v>44</v>
      </c>
      <c r="D282" s="14" t="s">
        <v>44</v>
      </c>
      <c r="E282" s="14" t="s">
        <v>60</v>
      </c>
      <c r="F282" s="14" t="s">
        <v>76</v>
      </c>
      <c r="G282" s="15" t="s">
        <v>47</v>
      </c>
      <c r="H282" s="16" t="s">
        <v>48</v>
      </c>
      <c r="I282" s="14" t="s">
        <v>49</v>
      </c>
      <c r="J282" s="14">
        <v>890300279</v>
      </c>
      <c r="K282" s="14" t="s">
        <v>282</v>
      </c>
      <c r="L282" s="14" t="s">
        <v>103</v>
      </c>
      <c r="M282" s="14" t="s">
        <v>121</v>
      </c>
      <c r="N282" s="14">
        <v>2011</v>
      </c>
      <c r="O282" s="14">
        <v>9</v>
      </c>
      <c r="P282" s="14" t="s">
        <v>53</v>
      </c>
      <c r="Q282" s="14">
        <v>1</v>
      </c>
      <c r="R282" s="14">
        <v>0</v>
      </c>
      <c r="S282" s="17" t="s">
        <v>54</v>
      </c>
      <c r="T282" s="18">
        <v>0</v>
      </c>
      <c r="U282" s="14">
        <v>30</v>
      </c>
      <c r="V282" s="19">
        <v>1</v>
      </c>
      <c r="W282" s="14">
        <v>0</v>
      </c>
      <c r="X282" s="14">
        <v>0</v>
      </c>
      <c r="Y282" s="14">
        <v>0</v>
      </c>
      <c r="Z282" s="14">
        <v>0</v>
      </c>
      <c r="AA282" s="14">
        <f>Tabla13[[#This Row],[CheckList App]]+Tabla13[[#This Row],[CheckList Fisc]]</f>
        <v>0</v>
      </c>
      <c r="AB282" s="19">
        <f t="shared" si="4"/>
        <v>0</v>
      </c>
      <c r="AC282" s="14">
        <v>0</v>
      </c>
      <c r="AD282" s="14" t="s">
        <v>55</v>
      </c>
      <c r="AE282" s="15" t="str">
        <f>IFERROR((VLOOKUP(Tabla13[[#This Row],[ID]],[1]!Mtto_Pesv[[#Headers],[#Data],[Placa]:[Rutina]],2,FALSE)),"-")</f>
        <v>-</v>
      </c>
      <c r="AF282" s="14">
        <v>0</v>
      </c>
      <c r="AG282" s="20">
        <f>IFERROR((VLOOKUP(Tabla13[[#This Row],[ID]],[1]!Mtto_Pesv[[#Headers],[#Data],[Placa]:[Rutina]],3,FALSE)),0)</f>
        <v>0</v>
      </c>
      <c r="AH282" s="20">
        <f>IFERROR((VLOOKUP(Tabla13[[#This Row],[ID]],[1]!Mtto_Pesv[[#Headers],[#Data],[Placa]:[Rutina]],7,FALSE)),0)</f>
        <v>0</v>
      </c>
      <c r="AI282" s="20">
        <f>IFERROR((VLOOKUP(Tabla13[[#This Row],[ID]],[1]!Mtto_Pesv[[#Headers],[#Data],[Placa]:[Rutina]],8,FALSE)),0)</f>
        <v>0</v>
      </c>
      <c r="AJ282" s="20" t="str">
        <f>IFERROR((VLOOKUP(Tabla13[[#This Row],[ID]],[1]!Mtto_Pesv[[#Headers],[#Data],[Placa]:[Rutina]],9,FALSE)),"-")</f>
        <v>-</v>
      </c>
      <c r="AK282" s="20">
        <f>IFERROR((VLOOKUP(Tabla13[[#This Row],[ID]],[1]!Mtto_Pesv[[#Headers],[#Data],[Placa]:[Rutina]],10,FALSE)),0)</f>
        <v>0</v>
      </c>
      <c r="AL282" s="20">
        <f>IF(Tabla13[[#This Row],[Km Anterior]]=0,0,Tabla13[[#This Row],[Km Ejecut]]-Tabla13[[#This Row],[Km Anterior]])</f>
        <v>0</v>
      </c>
      <c r="AM282" s="20">
        <f>IFERROR((VLOOKUP(Tabla13[[#This Row],[ID]],[1]!Mtto_Pesv[[#Headers],[#Data],[Placa]:[Rutina]],4,FALSE)),0)</f>
        <v>0</v>
      </c>
      <c r="AN282" s="21">
        <f>IFERROR((VLOOKUP(Tabla13[[#This Row],[ID]],[1]!Mtto_Pesv[[#Headers],[#Data],[Placa]:[Rutina]],5,FALSE)),0)</f>
        <v>0</v>
      </c>
      <c r="AO282" s="21">
        <f>+Tabla13[[#This Row],[Km Fin]]-Tabla13[[#This Row],[Km Ini]]</f>
        <v>0</v>
      </c>
      <c r="AP282" s="20">
        <f>IFERROR((VLOOKUP(Tabla13[[#This Row],[ID]],[1]!Estilo_Conduccion[[#All],[Placa]:[Puntuacion]],15,FALSE)),0)</f>
        <v>307.39999999999998</v>
      </c>
      <c r="AQ282" s="15" t="s">
        <v>1246</v>
      </c>
      <c r="AR282" s="15" t="s">
        <v>1247</v>
      </c>
      <c r="AS282" s="20">
        <v>2970</v>
      </c>
      <c r="AT282" s="21">
        <v>10506</v>
      </c>
      <c r="AU282" s="21">
        <f>(Tabla13[[#This Row],[Cap Vh]]*$AX$2)*0.56</f>
        <v>0</v>
      </c>
      <c r="AV282" s="36" t="e">
        <f>(Tabla13[[#This Row],[Cap Util (kg)]]/(Tabla13[[#This Row],[Cap Inst (Kg)]]))</f>
        <v>#DIV/0!</v>
      </c>
    </row>
    <row r="283" spans="1:48" x14ac:dyDescent="0.25">
      <c r="A283" s="13" t="s">
        <v>1068</v>
      </c>
      <c r="B283" s="14" t="s">
        <v>454</v>
      </c>
      <c r="C283" s="14" t="s">
        <v>44</v>
      </c>
      <c r="D283" s="14" t="s">
        <v>44</v>
      </c>
      <c r="E283" s="14" t="s">
        <v>45</v>
      </c>
      <c r="F283" s="14" t="s">
        <v>64</v>
      </c>
      <c r="G283" s="14" t="s">
        <v>65</v>
      </c>
      <c r="H283" s="16" t="s">
        <v>66</v>
      </c>
      <c r="I283" s="14" t="s">
        <v>49</v>
      </c>
      <c r="J283" s="14">
        <v>900335279</v>
      </c>
      <c r="K283" s="14" t="s">
        <v>77</v>
      </c>
      <c r="L283" s="14" t="s">
        <v>405</v>
      </c>
      <c r="M283" s="14" t="s">
        <v>441</v>
      </c>
      <c r="N283" s="14">
        <v>2012</v>
      </c>
      <c r="O283" s="14">
        <v>8</v>
      </c>
      <c r="P283" s="14" t="s">
        <v>53</v>
      </c>
      <c r="Q283" s="14">
        <v>0</v>
      </c>
      <c r="R283" s="14">
        <v>0</v>
      </c>
      <c r="S283" s="17" t="s">
        <v>54</v>
      </c>
      <c r="T283" s="18">
        <v>0</v>
      </c>
      <c r="U283" s="14">
        <v>0</v>
      </c>
      <c r="V283" s="19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f>Tabla13[[#This Row],[CheckList App]]+Tabla13[[#This Row],[CheckList Fisc]]</f>
        <v>0</v>
      </c>
      <c r="AB283" s="19" t="str">
        <f t="shared" si="4"/>
        <v/>
      </c>
      <c r="AC283" s="14">
        <v>0</v>
      </c>
      <c r="AD283" s="14" t="s">
        <v>70</v>
      </c>
      <c r="AE283" s="15" t="str">
        <f>IFERROR((VLOOKUP(Tabla13[[#This Row],[ID]],[1]!Mtto_Pesv[[#Headers],[#Data],[Placa]:[Rutina]],2,FALSE)),"-")</f>
        <v>-</v>
      </c>
      <c r="AF283" s="14">
        <v>1</v>
      </c>
      <c r="AG283" s="20">
        <f>IFERROR((VLOOKUP(Tabla13[[#This Row],[ID]],[1]!Mtto_Pesv[[#Headers],[#Data],[Placa]:[Rutina]],3,FALSE)),0)</f>
        <v>0</v>
      </c>
      <c r="AH283" s="20">
        <f>IFERROR((VLOOKUP(Tabla13[[#This Row],[ID]],[1]!Mtto_Pesv[[#Headers],[#Data],[Placa]:[Rutina]],7,FALSE)),0)</f>
        <v>0</v>
      </c>
      <c r="AI283" s="20">
        <f>IFERROR((VLOOKUP(Tabla13[[#This Row],[ID]],[1]!Mtto_Pesv[[#Headers],[#Data],[Placa]:[Rutina]],8,FALSE)),0)</f>
        <v>0</v>
      </c>
      <c r="AJ283" s="20" t="str">
        <f>IFERROR((VLOOKUP(Tabla13[[#This Row],[ID]],[1]!Mtto_Pesv[[#Headers],[#Data],[Placa]:[Rutina]],9,FALSE)),"-")</f>
        <v>-</v>
      </c>
      <c r="AK283" s="20">
        <f>IFERROR((VLOOKUP(Tabla13[[#This Row],[ID]],[1]!Mtto_Pesv[[#Headers],[#Data],[Placa]:[Rutina]],10,FALSE)),0)</f>
        <v>0</v>
      </c>
      <c r="AL283" s="20">
        <f>IF(Tabla13[[#This Row],[Km Anterior]]=0,0,Tabla13[[#This Row],[Km Ejecut]]-Tabla13[[#This Row],[Km Anterior]])</f>
        <v>0</v>
      </c>
      <c r="AM283" s="20">
        <f>IFERROR((VLOOKUP(Tabla13[[#This Row],[ID]],[1]!Mtto_Pesv[[#Headers],[#Data],[Placa]:[Rutina]],4,FALSE)),0)</f>
        <v>0</v>
      </c>
      <c r="AN283" s="21">
        <f>IFERROR((VLOOKUP(Tabla13[[#This Row],[ID]],[1]!Mtto_Pesv[[#Headers],[#Data],[Placa]:[Rutina]],5,FALSE)),0)</f>
        <v>0</v>
      </c>
      <c r="AO283" s="21">
        <f>+Tabla13[[#This Row],[Km Fin]]-Tabla13[[#This Row],[Km Ini]]</f>
        <v>0</v>
      </c>
      <c r="AP283" s="20">
        <f>IFERROR((VLOOKUP(Tabla13[[#This Row],[ID]],[1]!Estilo_Conduccion[[#All],[Placa]:[Puntuacion]],15,FALSE)),0)</f>
        <v>0</v>
      </c>
      <c r="AQ283" s="15" t="s">
        <v>54</v>
      </c>
      <c r="AR283" s="15" t="s">
        <v>1176</v>
      </c>
      <c r="AS283" s="20">
        <v>1013</v>
      </c>
      <c r="AT283" s="21">
        <v>0</v>
      </c>
      <c r="AU283" s="21">
        <f>(Tabla13[[#This Row],[Cap Vh]]*$AX$2)*0.56</f>
        <v>0</v>
      </c>
      <c r="AV283" s="36" t="e">
        <f>(Tabla13[[#This Row],[Cap Util (kg)]]/(Tabla13[[#This Row],[Cap Inst (Kg)]]))</f>
        <v>#DIV/0!</v>
      </c>
    </row>
    <row r="284" spans="1:48" x14ac:dyDescent="0.25">
      <c r="A284" s="13" t="s">
        <v>1068</v>
      </c>
      <c r="B284" s="14" t="s">
        <v>455</v>
      </c>
      <c r="C284" s="14" t="s">
        <v>44</v>
      </c>
      <c r="D284" s="14" t="s">
        <v>44</v>
      </c>
      <c r="E284" s="14" t="s">
        <v>45</v>
      </c>
      <c r="F284" s="14" t="s">
        <v>76</v>
      </c>
      <c r="G284" s="15" t="s">
        <v>47</v>
      </c>
      <c r="H284" s="16" t="s">
        <v>48</v>
      </c>
      <c r="I284" s="14" t="s">
        <v>49</v>
      </c>
      <c r="J284" s="14">
        <v>900335279</v>
      </c>
      <c r="K284" s="14" t="s">
        <v>77</v>
      </c>
      <c r="L284" s="14" t="s">
        <v>103</v>
      </c>
      <c r="M284" s="14" t="s">
        <v>104</v>
      </c>
      <c r="N284" s="14">
        <v>2012</v>
      </c>
      <c r="O284" s="14">
        <v>8</v>
      </c>
      <c r="P284" s="14" t="s">
        <v>53</v>
      </c>
      <c r="Q284" s="14">
        <v>0</v>
      </c>
      <c r="R284" s="14">
        <v>0</v>
      </c>
      <c r="S284" s="17" t="s">
        <v>54</v>
      </c>
      <c r="T284" s="18">
        <v>0</v>
      </c>
      <c r="U284" s="14">
        <v>30</v>
      </c>
      <c r="V284" s="19">
        <v>1</v>
      </c>
      <c r="W284" s="14">
        <v>0</v>
      </c>
      <c r="X284" s="14">
        <v>0</v>
      </c>
      <c r="Y284" s="14">
        <v>0</v>
      </c>
      <c r="Z284" s="14">
        <v>0</v>
      </c>
      <c r="AA284" s="14">
        <f>Tabla13[[#This Row],[CheckList App]]+Tabla13[[#This Row],[CheckList Fisc]]</f>
        <v>0</v>
      </c>
      <c r="AB284" s="19">
        <f t="shared" si="4"/>
        <v>0</v>
      </c>
      <c r="AC284" s="14">
        <v>0</v>
      </c>
      <c r="AD284" s="14" t="s">
        <v>55</v>
      </c>
      <c r="AE284" s="15" t="str">
        <f>IFERROR((VLOOKUP(Tabla13[[#This Row],[ID]],[1]!Mtto_Pesv[[#Headers],[#Data],[Placa]:[Rutina]],2,FALSE)),"-")</f>
        <v>-</v>
      </c>
      <c r="AF284" s="14">
        <v>0</v>
      </c>
      <c r="AG284" s="20">
        <f>IFERROR((VLOOKUP(Tabla13[[#This Row],[ID]],[1]!Mtto_Pesv[[#Headers],[#Data],[Placa]:[Rutina]],3,FALSE)),0)</f>
        <v>0</v>
      </c>
      <c r="AH284" s="20">
        <f>IFERROR((VLOOKUP(Tabla13[[#This Row],[ID]],[1]!Mtto_Pesv[[#Headers],[#Data],[Placa]:[Rutina]],7,FALSE)),0)</f>
        <v>0</v>
      </c>
      <c r="AI284" s="20">
        <f>IFERROR((VLOOKUP(Tabla13[[#This Row],[ID]],[1]!Mtto_Pesv[[#Headers],[#Data],[Placa]:[Rutina]],8,FALSE)),0)</f>
        <v>0</v>
      </c>
      <c r="AJ284" s="20" t="str">
        <f>IFERROR((VLOOKUP(Tabla13[[#This Row],[ID]],[1]!Mtto_Pesv[[#Headers],[#Data],[Placa]:[Rutina]],9,FALSE)),"-")</f>
        <v>-</v>
      </c>
      <c r="AK284" s="20">
        <f>IFERROR((VLOOKUP(Tabla13[[#This Row],[ID]],[1]!Mtto_Pesv[[#Headers],[#Data],[Placa]:[Rutina]],10,FALSE)),0)</f>
        <v>0</v>
      </c>
      <c r="AL284" s="20">
        <f>IF(Tabla13[[#This Row],[Km Anterior]]=0,0,Tabla13[[#This Row],[Km Ejecut]]-Tabla13[[#This Row],[Km Anterior]])</f>
        <v>0</v>
      </c>
      <c r="AM284" s="20">
        <f>IFERROR((VLOOKUP(Tabla13[[#This Row],[ID]],[1]!Mtto_Pesv[[#Headers],[#Data],[Placa]:[Rutina]],4,FALSE)),0)</f>
        <v>0</v>
      </c>
      <c r="AN284" s="21">
        <f>IFERROR((VLOOKUP(Tabla13[[#This Row],[ID]],[1]!Mtto_Pesv[[#Headers],[#Data],[Placa]:[Rutina]],5,FALSE)),0)</f>
        <v>0</v>
      </c>
      <c r="AO284" s="21">
        <f>+Tabla13[[#This Row],[Km Fin]]-Tabla13[[#This Row],[Km Ini]]</f>
        <v>0</v>
      </c>
      <c r="AP284" s="20">
        <f>IFERROR((VLOOKUP(Tabla13[[#This Row],[ID]],[1]!Estilo_Conduccion[[#All],[Placa]:[Puntuacion]],15,FALSE)),0)</f>
        <v>0</v>
      </c>
      <c r="AQ284" s="15" t="s">
        <v>1069</v>
      </c>
      <c r="AR284" s="15" t="s">
        <v>446</v>
      </c>
      <c r="AS284" s="20">
        <v>1575</v>
      </c>
      <c r="AT284" s="21">
        <v>0</v>
      </c>
      <c r="AU284" s="21">
        <f>(Tabla13[[#This Row],[Cap Vh]]*$AX$2)*0.56</f>
        <v>0</v>
      </c>
      <c r="AV284" s="36" t="e">
        <f>(Tabla13[[#This Row],[Cap Util (kg)]]/(Tabla13[[#This Row],[Cap Inst (Kg)]]))</f>
        <v>#DIV/0!</v>
      </c>
    </row>
    <row r="285" spans="1:48" x14ac:dyDescent="0.25">
      <c r="A285" s="13" t="s">
        <v>1068</v>
      </c>
      <c r="B285" s="14" t="s">
        <v>456</v>
      </c>
      <c r="C285" s="14" t="s">
        <v>44</v>
      </c>
      <c r="D285" s="14" t="s">
        <v>44</v>
      </c>
      <c r="E285" s="14" t="s">
        <v>45</v>
      </c>
      <c r="F285" s="14" t="s">
        <v>46</v>
      </c>
      <c r="G285" s="15" t="s">
        <v>47</v>
      </c>
      <c r="H285" s="16" t="s">
        <v>48</v>
      </c>
      <c r="I285" s="14" t="s">
        <v>49</v>
      </c>
      <c r="J285" s="14">
        <v>900335279</v>
      </c>
      <c r="K285" s="14" t="s">
        <v>77</v>
      </c>
      <c r="L285" s="14" t="s">
        <v>103</v>
      </c>
      <c r="M285" s="14" t="s">
        <v>104</v>
      </c>
      <c r="N285" s="14">
        <v>2012</v>
      </c>
      <c r="O285" s="14">
        <v>8</v>
      </c>
      <c r="P285" s="14" t="s">
        <v>53</v>
      </c>
      <c r="Q285" s="14">
        <v>1</v>
      </c>
      <c r="R285" s="14">
        <v>0</v>
      </c>
      <c r="S285" s="17" t="s">
        <v>54</v>
      </c>
      <c r="T285" s="18">
        <v>0</v>
      </c>
      <c r="U285" s="14">
        <v>30</v>
      </c>
      <c r="V285" s="19">
        <v>1</v>
      </c>
      <c r="W285" s="14">
        <v>0</v>
      </c>
      <c r="X285" s="14">
        <v>0</v>
      </c>
      <c r="Y285" s="14">
        <v>0</v>
      </c>
      <c r="Z285" s="14">
        <v>0</v>
      </c>
      <c r="AA285" s="14">
        <f>Tabla13[[#This Row],[CheckList App]]+Tabla13[[#This Row],[CheckList Fisc]]</f>
        <v>0</v>
      </c>
      <c r="AB285" s="19">
        <f t="shared" si="4"/>
        <v>0</v>
      </c>
      <c r="AC285" s="14">
        <v>0</v>
      </c>
      <c r="AD285" s="14" t="s">
        <v>70</v>
      </c>
      <c r="AE285" s="15" t="str">
        <f>IFERROR((VLOOKUP(Tabla13[[#This Row],[ID]],[1]!Mtto_Pesv[[#Headers],[#Data],[Placa]:[Rutina]],2,FALSE)),"-")</f>
        <v>-</v>
      </c>
      <c r="AF285" s="14">
        <v>1</v>
      </c>
      <c r="AG285" s="20">
        <f>IFERROR((VLOOKUP(Tabla13[[#This Row],[ID]],[1]!Mtto_Pesv[[#Headers],[#Data],[Placa]:[Rutina]],3,FALSE)),0)</f>
        <v>0</v>
      </c>
      <c r="AH285" s="20">
        <f>IFERROR((VLOOKUP(Tabla13[[#This Row],[ID]],[1]!Mtto_Pesv[[#Headers],[#Data],[Placa]:[Rutina]],7,FALSE)),0)</f>
        <v>0</v>
      </c>
      <c r="AI285" s="20">
        <f>IFERROR((VLOOKUP(Tabla13[[#This Row],[ID]],[1]!Mtto_Pesv[[#Headers],[#Data],[Placa]:[Rutina]],8,FALSE)),0)</f>
        <v>0</v>
      </c>
      <c r="AJ285" s="20" t="str">
        <f>IFERROR((VLOOKUP(Tabla13[[#This Row],[ID]],[1]!Mtto_Pesv[[#Headers],[#Data],[Placa]:[Rutina]],9,FALSE)),"-")</f>
        <v>-</v>
      </c>
      <c r="AK285" s="20">
        <f>IFERROR((VLOOKUP(Tabla13[[#This Row],[ID]],[1]!Mtto_Pesv[[#Headers],[#Data],[Placa]:[Rutina]],10,FALSE)),0)</f>
        <v>0</v>
      </c>
      <c r="AL285" s="20">
        <f>IF(Tabla13[[#This Row],[Km Anterior]]=0,0,Tabla13[[#This Row],[Km Ejecut]]-Tabla13[[#This Row],[Km Anterior]])</f>
        <v>0</v>
      </c>
      <c r="AM285" s="20">
        <f>IFERROR((VLOOKUP(Tabla13[[#This Row],[ID]],[1]!Mtto_Pesv[[#Headers],[#Data],[Placa]:[Rutina]],4,FALSE)),0)</f>
        <v>0</v>
      </c>
      <c r="AN285" s="21">
        <f>IFERROR((VLOOKUP(Tabla13[[#This Row],[ID]],[1]!Mtto_Pesv[[#Headers],[#Data],[Placa]:[Rutina]],5,FALSE)),0)</f>
        <v>0</v>
      </c>
      <c r="AO285" s="21">
        <f>+Tabla13[[#This Row],[Km Fin]]-Tabla13[[#This Row],[Km Ini]]</f>
        <v>0</v>
      </c>
      <c r="AP285" s="20">
        <f>IFERROR((VLOOKUP(Tabla13[[#This Row],[ID]],[1]!Estilo_Conduccion[[#All],[Placa]:[Puntuacion]],15,FALSE)),0)</f>
        <v>347.1</v>
      </c>
      <c r="AQ285" s="15" t="s">
        <v>1164</v>
      </c>
      <c r="AR285" s="15" t="s">
        <v>1165</v>
      </c>
      <c r="AS285" s="20">
        <v>1575</v>
      </c>
      <c r="AT285" s="21">
        <v>4420.3846153846152</v>
      </c>
      <c r="AU285" s="21">
        <f>(Tabla13[[#This Row],[Cap Vh]]*$AX$2)*0.56</f>
        <v>0</v>
      </c>
      <c r="AV285" s="36" t="e">
        <f>(Tabla13[[#This Row],[Cap Util (kg)]]/(Tabla13[[#This Row],[Cap Inst (Kg)]]))</f>
        <v>#DIV/0!</v>
      </c>
    </row>
    <row r="286" spans="1:48" x14ac:dyDescent="0.25">
      <c r="A286" s="13" t="s">
        <v>1068</v>
      </c>
      <c r="B286" s="14" t="s">
        <v>457</v>
      </c>
      <c r="C286" s="14" t="s">
        <v>44</v>
      </c>
      <c r="D286" s="14" t="s">
        <v>44</v>
      </c>
      <c r="E286" s="14" t="s">
        <v>45</v>
      </c>
      <c r="F286" s="14" t="s">
        <v>64</v>
      </c>
      <c r="G286" s="14" t="s">
        <v>65</v>
      </c>
      <c r="H286" s="16" t="s">
        <v>66</v>
      </c>
      <c r="I286" s="14" t="s">
        <v>49</v>
      </c>
      <c r="J286" s="14">
        <v>890300279</v>
      </c>
      <c r="K286" s="14" t="s">
        <v>282</v>
      </c>
      <c r="L286" s="14" t="s">
        <v>405</v>
      </c>
      <c r="M286" s="14" t="s">
        <v>441</v>
      </c>
      <c r="N286" s="14">
        <v>2012</v>
      </c>
      <c r="O286" s="14">
        <v>8</v>
      </c>
      <c r="P286" s="14" t="s">
        <v>53</v>
      </c>
      <c r="Q286" s="14">
        <v>0</v>
      </c>
      <c r="R286" s="14">
        <v>0</v>
      </c>
      <c r="S286" s="17" t="s">
        <v>54</v>
      </c>
      <c r="T286" s="18">
        <v>0</v>
      </c>
      <c r="U286" s="14">
        <v>0</v>
      </c>
      <c r="V286" s="19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f>Tabla13[[#This Row],[CheckList App]]+Tabla13[[#This Row],[CheckList Fisc]]</f>
        <v>0</v>
      </c>
      <c r="AB286" s="19" t="str">
        <f t="shared" si="4"/>
        <v/>
      </c>
      <c r="AC286" s="14">
        <v>0</v>
      </c>
      <c r="AD286" s="14" t="s">
        <v>70</v>
      </c>
      <c r="AE286" s="15" t="str">
        <f>IFERROR((VLOOKUP(Tabla13[[#This Row],[ID]],[1]!Mtto_Pesv[[#Headers],[#Data],[Placa]:[Rutina]],2,FALSE)),"-")</f>
        <v>-</v>
      </c>
      <c r="AF286" s="14">
        <v>1</v>
      </c>
      <c r="AG286" s="20">
        <f>IFERROR((VLOOKUP(Tabla13[[#This Row],[ID]],[1]!Mtto_Pesv[[#Headers],[#Data],[Placa]:[Rutina]],3,FALSE)),0)</f>
        <v>0</v>
      </c>
      <c r="AH286" s="20">
        <f>IFERROR((VLOOKUP(Tabla13[[#This Row],[ID]],[1]!Mtto_Pesv[[#Headers],[#Data],[Placa]:[Rutina]],7,FALSE)),0)</f>
        <v>0</v>
      </c>
      <c r="AI286" s="20">
        <f>IFERROR((VLOOKUP(Tabla13[[#This Row],[ID]],[1]!Mtto_Pesv[[#Headers],[#Data],[Placa]:[Rutina]],8,FALSE)),0)</f>
        <v>0</v>
      </c>
      <c r="AJ286" s="20" t="str">
        <f>IFERROR((VLOOKUP(Tabla13[[#This Row],[ID]],[1]!Mtto_Pesv[[#Headers],[#Data],[Placa]:[Rutina]],9,FALSE)),"-")</f>
        <v>-</v>
      </c>
      <c r="AK286" s="20">
        <f>IFERROR((VLOOKUP(Tabla13[[#This Row],[ID]],[1]!Mtto_Pesv[[#Headers],[#Data],[Placa]:[Rutina]],10,FALSE)),0)</f>
        <v>0</v>
      </c>
      <c r="AL286" s="20">
        <f>IF(Tabla13[[#This Row],[Km Anterior]]=0,0,Tabla13[[#This Row],[Km Ejecut]]-Tabla13[[#This Row],[Km Anterior]])</f>
        <v>0</v>
      </c>
      <c r="AM286" s="20">
        <f>IFERROR((VLOOKUP(Tabla13[[#This Row],[ID]],[1]!Mtto_Pesv[[#Headers],[#Data],[Placa]:[Rutina]],4,FALSE)),0)</f>
        <v>0</v>
      </c>
      <c r="AN286" s="21">
        <f>IFERROR((VLOOKUP(Tabla13[[#This Row],[ID]],[1]!Mtto_Pesv[[#Headers],[#Data],[Placa]:[Rutina]],5,FALSE)),0)</f>
        <v>0</v>
      </c>
      <c r="AO286" s="21">
        <f>+Tabla13[[#This Row],[Km Fin]]-Tabla13[[#This Row],[Km Ini]]</f>
        <v>0</v>
      </c>
      <c r="AP286" s="20">
        <f>IFERROR((VLOOKUP(Tabla13[[#This Row],[ID]],[1]!Estilo_Conduccion[[#All],[Placa]:[Puntuacion]],15,FALSE)),0)</f>
        <v>0</v>
      </c>
      <c r="AQ286" s="15" t="s">
        <v>54</v>
      </c>
      <c r="AR286" s="15" t="s">
        <v>1176</v>
      </c>
      <c r="AS286" s="20">
        <v>1013</v>
      </c>
      <c r="AT286" s="21">
        <v>0</v>
      </c>
      <c r="AU286" s="21">
        <f>(Tabla13[[#This Row],[Cap Vh]]*$AX$2)*0.56</f>
        <v>0</v>
      </c>
      <c r="AV286" s="36" t="e">
        <f>(Tabla13[[#This Row],[Cap Util (kg)]]/(Tabla13[[#This Row],[Cap Inst (Kg)]]))</f>
        <v>#DIV/0!</v>
      </c>
    </row>
    <row r="287" spans="1:48" x14ac:dyDescent="0.25">
      <c r="A287" s="13" t="s">
        <v>1068</v>
      </c>
      <c r="B287" s="14" t="s">
        <v>458</v>
      </c>
      <c r="C287" s="14" t="s">
        <v>44</v>
      </c>
      <c r="D287" s="14" t="s">
        <v>44</v>
      </c>
      <c r="E287" s="14" t="s">
        <v>45</v>
      </c>
      <c r="F287" s="14" t="s">
        <v>76</v>
      </c>
      <c r="G287" s="15" t="s">
        <v>89</v>
      </c>
      <c r="H287" s="16" t="s">
        <v>90</v>
      </c>
      <c r="I287" s="14" t="s">
        <v>49</v>
      </c>
      <c r="J287" s="14">
        <v>900335279</v>
      </c>
      <c r="K287" s="14" t="s">
        <v>77</v>
      </c>
      <c r="L287" s="14" t="s">
        <v>405</v>
      </c>
      <c r="M287" s="14" t="s">
        <v>441</v>
      </c>
      <c r="N287" s="14">
        <v>2012</v>
      </c>
      <c r="O287" s="14">
        <v>8</v>
      </c>
      <c r="P287" s="14" t="s">
        <v>53</v>
      </c>
      <c r="Q287" s="14">
        <v>0</v>
      </c>
      <c r="R287" s="14">
        <v>0</v>
      </c>
      <c r="S287" s="17" t="s">
        <v>54</v>
      </c>
      <c r="T287" s="18">
        <v>0</v>
      </c>
      <c r="U287" s="14">
        <v>0</v>
      </c>
      <c r="V287" s="19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f>Tabla13[[#This Row],[CheckList App]]+Tabla13[[#This Row],[CheckList Fisc]]</f>
        <v>0</v>
      </c>
      <c r="AB287" s="19" t="str">
        <f t="shared" si="4"/>
        <v/>
      </c>
      <c r="AC287" s="14">
        <v>0</v>
      </c>
      <c r="AD287" s="14" t="s">
        <v>55</v>
      </c>
      <c r="AE287" s="15" t="str">
        <f>IFERROR((VLOOKUP(Tabla13[[#This Row],[ID]],[1]!Mtto_Pesv[[#Headers],[#Data],[Placa]:[Rutina]],2,FALSE)),"-")</f>
        <v>-</v>
      </c>
      <c r="AF287" s="14">
        <v>0</v>
      </c>
      <c r="AG287" s="20">
        <f>IFERROR((VLOOKUP(Tabla13[[#This Row],[ID]],[1]!Mtto_Pesv[[#Headers],[#Data],[Placa]:[Rutina]],3,FALSE)),0)</f>
        <v>0</v>
      </c>
      <c r="AH287" s="20">
        <f>IFERROR((VLOOKUP(Tabla13[[#This Row],[ID]],[1]!Mtto_Pesv[[#Headers],[#Data],[Placa]:[Rutina]],7,FALSE)),0)</f>
        <v>0</v>
      </c>
      <c r="AI287" s="20">
        <f>IFERROR((VLOOKUP(Tabla13[[#This Row],[ID]],[1]!Mtto_Pesv[[#Headers],[#Data],[Placa]:[Rutina]],8,FALSE)),0)</f>
        <v>0</v>
      </c>
      <c r="AJ287" s="20" t="str">
        <f>IFERROR((VLOOKUP(Tabla13[[#This Row],[ID]],[1]!Mtto_Pesv[[#Headers],[#Data],[Placa]:[Rutina]],9,FALSE)),"-")</f>
        <v>-</v>
      </c>
      <c r="AK287" s="20">
        <f>IFERROR((VLOOKUP(Tabla13[[#This Row],[ID]],[1]!Mtto_Pesv[[#Headers],[#Data],[Placa]:[Rutina]],10,FALSE)),0)</f>
        <v>0</v>
      </c>
      <c r="AL287" s="20">
        <f>IF(Tabla13[[#This Row],[Km Anterior]]=0,0,Tabla13[[#This Row],[Km Ejecut]]-Tabla13[[#This Row],[Km Anterior]])</f>
        <v>0</v>
      </c>
      <c r="AM287" s="20">
        <f>IFERROR((VLOOKUP(Tabla13[[#This Row],[ID]],[1]!Mtto_Pesv[[#Headers],[#Data],[Placa]:[Rutina]],4,FALSE)),0)</f>
        <v>0</v>
      </c>
      <c r="AN287" s="21">
        <f>IFERROR((VLOOKUP(Tabla13[[#This Row],[ID]],[1]!Mtto_Pesv[[#Headers],[#Data],[Placa]:[Rutina]],5,FALSE)),0)</f>
        <v>0</v>
      </c>
      <c r="AO287" s="21">
        <f>+Tabla13[[#This Row],[Km Fin]]-Tabla13[[#This Row],[Km Ini]]</f>
        <v>0</v>
      </c>
      <c r="AP287" s="20">
        <f>IFERROR((VLOOKUP(Tabla13[[#This Row],[ID]],[1]!Estilo_Conduccion[[#All],[Placa]:[Puntuacion]],15,FALSE)),0)</f>
        <v>0</v>
      </c>
      <c r="AQ287" s="15" t="s">
        <v>1164</v>
      </c>
      <c r="AR287" s="15" t="s">
        <v>1165</v>
      </c>
      <c r="AS287" s="20">
        <v>1013</v>
      </c>
      <c r="AT287" s="21">
        <v>4420.3846153846152</v>
      </c>
      <c r="AU287" s="21">
        <f>(Tabla13[[#This Row],[Cap Vh]]*$AX$2)*0.56</f>
        <v>0</v>
      </c>
      <c r="AV287" s="36" t="e">
        <f>(Tabla13[[#This Row],[Cap Util (kg)]]/(Tabla13[[#This Row],[Cap Inst (Kg)]]))</f>
        <v>#DIV/0!</v>
      </c>
    </row>
    <row r="288" spans="1:48" x14ac:dyDescent="0.25">
      <c r="A288" s="13" t="s">
        <v>1068</v>
      </c>
      <c r="B288" s="14" t="s">
        <v>459</v>
      </c>
      <c r="C288" s="14" t="s">
        <v>44</v>
      </c>
      <c r="D288" s="14" t="s">
        <v>44</v>
      </c>
      <c r="E288" s="14" t="s">
        <v>45</v>
      </c>
      <c r="F288" s="14" t="s">
        <v>64</v>
      </c>
      <c r="G288" s="14" t="s">
        <v>65</v>
      </c>
      <c r="H288" s="16" t="s">
        <v>66</v>
      </c>
      <c r="I288" s="14" t="s">
        <v>49</v>
      </c>
      <c r="J288" s="14">
        <v>900335279</v>
      </c>
      <c r="K288" s="14" t="s">
        <v>77</v>
      </c>
      <c r="L288" s="14" t="s">
        <v>405</v>
      </c>
      <c r="M288" s="14" t="s">
        <v>441</v>
      </c>
      <c r="N288" s="14">
        <v>2012</v>
      </c>
      <c r="O288" s="14">
        <v>8</v>
      </c>
      <c r="P288" s="14" t="s">
        <v>53</v>
      </c>
      <c r="Q288" s="14">
        <v>0</v>
      </c>
      <c r="R288" s="14">
        <v>0</v>
      </c>
      <c r="S288" s="17" t="s">
        <v>54</v>
      </c>
      <c r="T288" s="18">
        <v>0</v>
      </c>
      <c r="U288" s="14">
        <v>0</v>
      </c>
      <c r="V288" s="19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f>Tabla13[[#This Row],[CheckList App]]+Tabla13[[#This Row],[CheckList Fisc]]</f>
        <v>0</v>
      </c>
      <c r="AB288" s="19" t="str">
        <f t="shared" si="4"/>
        <v/>
      </c>
      <c r="AC288" s="14">
        <v>0</v>
      </c>
      <c r="AD288" s="14" t="s">
        <v>70</v>
      </c>
      <c r="AE288" s="15" t="str">
        <f>IFERROR((VLOOKUP(Tabla13[[#This Row],[ID]],[1]!Mtto_Pesv[[#Headers],[#Data],[Placa]:[Rutina]],2,FALSE)),"-")</f>
        <v>-</v>
      </c>
      <c r="AF288" s="14">
        <v>1</v>
      </c>
      <c r="AG288" s="20">
        <f>IFERROR((VLOOKUP(Tabla13[[#This Row],[ID]],[1]!Mtto_Pesv[[#Headers],[#Data],[Placa]:[Rutina]],3,FALSE)),0)</f>
        <v>0</v>
      </c>
      <c r="AH288" s="20">
        <f>IFERROR((VLOOKUP(Tabla13[[#This Row],[ID]],[1]!Mtto_Pesv[[#Headers],[#Data],[Placa]:[Rutina]],7,FALSE)),0)</f>
        <v>0</v>
      </c>
      <c r="AI288" s="20">
        <f>IFERROR((VLOOKUP(Tabla13[[#This Row],[ID]],[1]!Mtto_Pesv[[#Headers],[#Data],[Placa]:[Rutina]],8,FALSE)),0)</f>
        <v>0</v>
      </c>
      <c r="AJ288" s="20" t="str">
        <f>IFERROR((VLOOKUP(Tabla13[[#This Row],[ID]],[1]!Mtto_Pesv[[#Headers],[#Data],[Placa]:[Rutina]],9,FALSE)),"-")</f>
        <v>-</v>
      </c>
      <c r="AK288" s="20">
        <f>IFERROR((VLOOKUP(Tabla13[[#This Row],[ID]],[1]!Mtto_Pesv[[#Headers],[#Data],[Placa]:[Rutina]],10,FALSE)),0)</f>
        <v>0</v>
      </c>
      <c r="AL288" s="20">
        <f>IF(Tabla13[[#This Row],[Km Anterior]]=0,0,Tabla13[[#This Row],[Km Ejecut]]-Tabla13[[#This Row],[Km Anterior]])</f>
        <v>0</v>
      </c>
      <c r="AM288" s="20">
        <f>IFERROR((VLOOKUP(Tabla13[[#This Row],[ID]],[1]!Mtto_Pesv[[#Headers],[#Data],[Placa]:[Rutina]],4,FALSE)),0)</f>
        <v>0</v>
      </c>
      <c r="AN288" s="21">
        <f>IFERROR((VLOOKUP(Tabla13[[#This Row],[ID]],[1]!Mtto_Pesv[[#Headers],[#Data],[Placa]:[Rutina]],5,FALSE)),0)</f>
        <v>0</v>
      </c>
      <c r="AO288" s="21">
        <f>+Tabla13[[#This Row],[Km Fin]]-Tabla13[[#This Row],[Km Ini]]</f>
        <v>0</v>
      </c>
      <c r="AP288" s="20">
        <f>IFERROR((VLOOKUP(Tabla13[[#This Row],[ID]],[1]!Estilo_Conduccion[[#All],[Placa]:[Puntuacion]],15,FALSE)),0)</f>
        <v>0</v>
      </c>
      <c r="AQ288" s="15" t="s">
        <v>54</v>
      </c>
      <c r="AR288" s="15" t="s">
        <v>1176</v>
      </c>
      <c r="AS288" s="20">
        <v>1013</v>
      </c>
      <c r="AT288" s="21">
        <v>0</v>
      </c>
      <c r="AU288" s="21">
        <f>(Tabla13[[#This Row],[Cap Vh]]*$AX$2)*0.56</f>
        <v>0</v>
      </c>
      <c r="AV288" s="36" t="e">
        <f>(Tabla13[[#This Row],[Cap Util (kg)]]/(Tabla13[[#This Row],[Cap Inst (Kg)]]))</f>
        <v>#DIV/0!</v>
      </c>
    </row>
    <row r="289" spans="1:48" x14ac:dyDescent="0.25">
      <c r="A289" s="13" t="s">
        <v>1068</v>
      </c>
      <c r="B289" s="14" t="s">
        <v>460</v>
      </c>
      <c r="C289" s="14" t="s">
        <v>44</v>
      </c>
      <c r="D289" s="14" t="s">
        <v>44</v>
      </c>
      <c r="E289" s="14" t="s">
        <v>60</v>
      </c>
      <c r="F289" s="14" t="s">
        <v>76</v>
      </c>
      <c r="G289" s="15" t="s">
        <v>89</v>
      </c>
      <c r="H289" s="16" t="s">
        <v>90</v>
      </c>
      <c r="I289" s="14" t="s">
        <v>49</v>
      </c>
      <c r="J289" s="14">
        <v>900335279</v>
      </c>
      <c r="K289" s="14" t="s">
        <v>77</v>
      </c>
      <c r="L289" s="14" t="s">
        <v>405</v>
      </c>
      <c r="M289" s="14" t="s">
        <v>461</v>
      </c>
      <c r="N289" s="14">
        <v>2012</v>
      </c>
      <c r="O289" s="14">
        <v>8</v>
      </c>
      <c r="P289" s="14" t="s">
        <v>53</v>
      </c>
      <c r="Q289" s="14">
        <v>1</v>
      </c>
      <c r="R289" s="14">
        <v>0</v>
      </c>
      <c r="S289" s="17" t="s">
        <v>54</v>
      </c>
      <c r="T289" s="18">
        <v>0</v>
      </c>
      <c r="U289" s="14">
        <v>0</v>
      </c>
      <c r="V289" s="19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f>Tabla13[[#This Row],[CheckList App]]+Tabla13[[#This Row],[CheckList Fisc]]</f>
        <v>0</v>
      </c>
      <c r="AB289" s="19" t="str">
        <f t="shared" si="4"/>
        <v/>
      </c>
      <c r="AC289" s="14">
        <v>0</v>
      </c>
      <c r="AD289" s="14" t="s">
        <v>55</v>
      </c>
      <c r="AE289" s="15" t="str">
        <f>IFERROR((VLOOKUP(Tabla13[[#This Row],[ID]],[1]!Mtto_Pesv[[#Headers],[#Data],[Placa]:[Rutina]],2,FALSE)),"-")</f>
        <v>-</v>
      </c>
      <c r="AF289" s="14">
        <v>0</v>
      </c>
      <c r="AG289" s="20">
        <f>IFERROR((VLOOKUP(Tabla13[[#This Row],[ID]],[1]!Mtto_Pesv[[#Headers],[#Data],[Placa]:[Rutina]],3,FALSE)),0)</f>
        <v>0</v>
      </c>
      <c r="AH289" s="20">
        <f>IFERROR((VLOOKUP(Tabla13[[#This Row],[ID]],[1]!Mtto_Pesv[[#Headers],[#Data],[Placa]:[Rutina]],7,FALSE)),0)</f>
        <v>0</v>
      </c>
      <c r="AI289" s="20">
        <f>IFERROR((VLOOKUP(Tabla13[[#This Row],[ID]],[1]!Mtto_Pesv[[#Headers],[#Data],[Placa]:[Rutina]],8,FALSE)),0)</f>
        <v>0</v>
      </c>
      <c r="AJ289" s="20" t="str">
        <f>IFERROR((VLOOKUP(Tabla13[[#This Row],[ID]],[1]!Mtto_Pesv[[#Headers],[#Data],[Placa]:[Rutina]],9,FALSE)),"-")</f>
        <v>-</v>
      </c>
      <c r="AK289" s="20">
        <f>IFERROR((VLOOKUP(Tabla13[[#This Row],[ID]],[1]!Mtto_Pesv[[#Headers],[#Data],[Placa]:[Rutina]],10,FALSE)),0)</f>
        <v>0</v>
      </c>
      <c r="AL289" s="20">
        <f>IF(Tabla13[[#This Row],[Km Anterior]]=0,0,Tabla13[[#This Row],[Km Ejecut]]-Tabla13[[#This Row],[Km Anterior]])</f>
        <v>0</v>
      </c>
      <c r="AM289" s="20">
        <f>IFERROR((VLOOKUP(Tabla13[[#This Row],[ID]],[1]!Mtto_Pesv[[#Headers],[#Data],[Placa]:[Rutina]],4,FALSE)),0)</f>
        <v>0</v>
      </c>
      <c r="AN289" s="21">
        <f>IFERROR((VLOOKUP(Tabla13[[#This Row],[ID]],[1]!Mtto_Pesv[[#Headers],[#Data],[Placa]:[Rutina]],5,FALSE)),0)</f>
        <v>0</v>
      </c>
      <c r="AO289" s="21">
        <f>+Tabla13[[#This Row],[Km Fin]]-Tabla13[[#This Row],[Km Ini]]</f>
        <v>0</v>
      </c>
      <c r="AP289" s="20">
        <f>IFERROR((VLOOKUP(Tabla13[[#This Row],[ID]],[1]!Estilo_Conduccion[[#All],[Placa]:[Puntuacion]],15,FALSE)),0)</f>
        <v>1524.3</v>
      </c>
      <c r="AQ289" s="15" t="s">
        <v>1246</v>
      </c>
      <c r="AR289" s="15" t="s">
        <v>1247</v>
      </c>
      <c r="AS289" s="20">
        <v>3526</v>
      </c>
      <c r="AT289" s="21">
        <v>10506</v>
      </c>
      <c r="AU289" s="21">
        <f>(Tabla13[[#This Row],[Cap Vh]]*$AX$2)*0.56</f>
        <v>0</v>
      </c>
      <c r="AV289" s="36" t="e">
        <f>(Tabla13[[#This Row],[Cap Util (kg)]]/(Tabla13[[#This Row],[Cap Inst (Kg)]]))</f>
        <v>#DIV/0!</v>
      </c>
    </row>
    <row r="290" spans="1:48" x14ac:dyDescent="0.25">
      <c r="A290" s="13" t="s">
        <v>1068</v>
      </c>
      <c r="B290" s="14" t="s">
        <v>462</v>
      </c>
      <c r="C290" s="14" t="s">
        <v>44</v>
      </c>
      <c r="D290" s="14" t="s">
        <v>44</v>
      </c>
      <c r="E290" s="14" t="s">
        <v>45</v>
      </c>
      <c r="F290" s="14" t="s">
        <v>64</v>
      </c>
      <c r="G290" s="15" t="s">
        <v>119</v>
      </c>
      <c r="H290" s="16" t="s">
        <v>120</v>
      </c>
      <c r="I290" s="14" t="s">
        <v>109</v>
      </c>
      <c r="J290" s="14">
        <v>900335279</v>
      </c>
      <c r="K290" s="14" t="s">
        <v>77</v>
      </c>
      <c r="L290" s="14" t="s">
        <v>405</v>
      </c>
      <c r="M290" s="14" t="s">
        <v>461</v>
      </c>
      <c r="N290" s="14">
        <v>2012</v>
      </c>
      <c r="O290" s="14">
        <v>8</v>
      </c>
      <c r="P290" s="14" t="s">
        <v>53</v>
      </c>
      <c r="Q290" s="14">
        <v>0</v>
      </c>
      <c r="R290" s="14">
        <v>1</v>
      </c>
      <c r="S290" s="17">
        <v>44834.763877314806</v>
      </c>
      <c r="T290" s="18">
        <v>288.12000000000012</v>
      </c>
      <c r="U290" s="14">
        <v>30</v>
      </c>
      <c r="V290" s="19">
        <v>1</v>
      </c>
      <c r="W290" s="14">
        <v>0</v>
      </c>
      <c r="X290" s="14">
        <v>26</v>
      </c>
      <c r="Y290" s="14">
        <v>25</v>
      </c>
      <c r="Z290" s="14">
        <v>0</v>
      </c>
      <c r="AA290" s="14">
        <f>Tabla13[[#This Row],[CheckList App]]+Tabla13[[#This Row],[CheckList Fisc]]</f>
        <v>25</v>
      </c>
      <c r="AB290" s="19">
        <f t="shared" si="4"/>
        <v>0.96153846153846156</v>
      </c>
      <c r="AC290" s="14">
        <v>0</v>
      </c>
      <c r="AD290" s="14" t="s">
        <v>70</v>
      </c>
      <c r="AE290" s="22" t="str">
        <f>IFERROR((VLOOKUP(Tabla13[[#This Row],[ID]],[1]!Mtto_Pesv[[#Headers],[#Data],[Placa]:[Rutina]],2,FALSE)),"-")</f>
        <v>-</v>
      </c>
      <c r="AF290" s="14">
        <v>1</v>
      </c>
      <c r="AG290" s="20">
        <f>IFERROR((VLOOKUP(Tabla13[[#This Row],[ID]],[1]!Mtto_Pesv[[#Headers],[#Data],[Placa]:[Rutina]],3,FALSE)),0)</f>
        <v>0</v>
      </c>
      <c r="AH290" s="20">
        <f>IFERROR((VLOOKUP(Tabla13[[#This Row],[ID]],[1]!Mtto_Pesv[[#Headers],[#Data],[Placa]:[Rutina]],7,FALSE)),0)</f>
        <v>0</v>
      </c>
      <c r="AI290" s="20">
        <f>IFERROR((VLOOKUP(Tabla13[[#This Row],[ID]],[1]!Mtto_Pesv[[#Headers],[#Data],[Placa]:[Rutina]],8,FALSE)),0)</f>
        <v>0</v>
      </c>
      <c r="AJ290" s="20" t="str">
        <f>IFERROR((VLOOKUP(Tabla13[[#This Row],[ID]],[1]!Mtto_Pesv[[#Headers],[#Data],[Placa]:[Rutina]],9,FALSE)),"-")</f>
        <v>-</v>
      </c>
      <c r="AK290" s="20">
        <f>IFERROR((VLOOKUP(Tabla13[[#This Row],[ID]],[1]!Mtto_Pesv[[#Headers],[#Data],[Placa]:[Rutina]],10,FALSE)),0)</f>
        <v>0</v>
      </c>
      <c r="AL290" s="20">
        <f>IF(Tabla13[[#This Row],[Km Anterior]]=0,0,Tabla13[[#This Row],[Km Ejecut]]-Tabla13[[#This Row],[Km Anterior]])</f>
        <v>0</v>
      </c>
      <c r="AM290" s="20">
        <f>IFERROR((VLOOKUP(Tabla13[[#This Row],[ID]],[1]!Mtto_Pesv[[#Headers],[#Data],[Placa]:[Rutina]],4,FALSE)),0)</f>
        <v>0</v>
      </c>
      <c r="AN290" s="21">
        <f>IFERROR((VLOOKUP(Tabla13[[#This Row],[ID]],[1]!Mtto_Pesv[[#Headers],[#Data],[Placa]:[Rutina]],5,FALSE)),0)</f>
        <v>0</v>
      </c>
      <c r="AO290" s="21">
        <f>+Tabla13[[#This Row],[Km Fin]]-Tabla13[[#This Row],[Km Ini]]</f>
        <v>0</v>
      </c>
      <c r="AP290" s="20">
        <f>IFERROR((VLOOKUP(Tabla13[[#This Row],[ID]],[1]!Estilo_Conduccion[[#All],[Placa]:[Puntuacion]],15,FALSE)),0)</f>
        <v>46.799999999999955</v>
      </c>
      <c r="AQ290" s="15" t="s">
        <v>54</v>
      </c>
      <c r="AR290" s="15" t="s">
        <v>54</v>
      </c>
      <c r="AS290" s="20">
        <v>3526</v>
      </c>
      <c r="AT290" s="21">
        <v>0</v>
      </c>
      <c r="AU290" s="21">
        <f>(Tabla13[[#This Row],[Cap Vh]]*$AX$2)*0.56</f>
        <v>0</v>
      </c>
      <c r="AV290" s="36" t="e">
        <f>(Tabla13[[#This Row],[Cap Util (kg)]]/(Tabla13[[#This Row],[Cap Inst (Kg)]]))</f>
        <v>#DIV/0!</v>
      </c>
    </row>
    <row r="291" spans="1:48" x14ac:dyDescent="0.25">
      <c r="A291" s="13" t="s">
        <v>1068</v>
      </c>
      <c r="B291" s="14" t="s">
        <v>463</v>
      </c>
      <c r="C291" s="14" t="s">
        <v>44</v>
      </c>
      <c r="D291" s="14" t="s">
        <v>44</v>
      </c>
      <c r="E291" s="14" t="s">
        <v>127</v>
      </c>
      <c r="F291" s="14" t="s">
        <v>64</v>
      </c>
      <c r="G291" s="15" t="s">
        <v>119</v>
      </c>
      <c r="H291" s="16" t="s">
        <v>120</v>
      </c>
      <c r="I291" s="14" t="s">
        <v>109</v>
      </c>
      <c r="J291" s="14">
        <v>900335279</v>
      </c>
      <c r="K291" s="14" t="s">
        <v>77</v>
      </c>
      <c r="L291" s="14" t="s">
        <v>103</v>
      </c>
      <c r="M291" s="14" t="s">
        <v>121</v>
      </c>
      <c r="N291" s="14">
        <v>2012</v>
      </c>
      <c r="O291" s="14">
        <v>8</v>
      </c>
      <c r="P291" s="14" t="s">
        <v>53</v>
      </c>
      <c r="Q291" s="14">
        <v>1</v>
      </c>
      <c r="R291" s="14">
        <v>0</v>
      </c>
      <c r="S291" s="17" t="s">
        <v>54</v>
      </c>
      <c r="T291" s="18">
        <v>0</v>
      </c>
      <c r="U291" s="14">
        <v>0</v>
      </c>
      <c r="V291" s="19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f>Tabla13[[#This Row],[CheckList App]]+Tabla13[[#This Row],[CheckList Fisc]]</f>
        <v>0</v>
      </c>
      <c r="AB291" s="19" t="str">
        <f t="shared" si="4"/>
        <v/>
      </c>
      <c r="AC291" s="14">
        <v>0</v>
      </c>
      <c r="AD291" s="14" t="s">
        <v>70</v>
      </c>
      <c r="AE291" s="22" t="str">
        <f>IFERROR((VLOOKUP(Tabla13[[#This Row],[ID]],[1]!Mtto_Pesv[[#Headers],[#Data],[Placa]:[Rutina]],2,FALSE)),"-")</f>
        <v>-</v>
      </c>
      <c r="AF291" s="14">
        <v>1</v>
      </c>
      <c r="AG291" s="20">
        <f>IFERROR((VLOOKUP(Tabla13[[#This Row],[ID]],[1]!Mtto_Pesv[[#Headers],[#Data],[Placa]:[Rutina]],3,FALSE)),0)</f>
        <v>0</v>
      </c>
      <c r="AH291" s="20">
        <f>IFERROR((VLOOKUP(Tabla13[[#This Row],[ID]],[1]!Mtto_Pesv[[#Headers],[#Data],[Placa]:[Rutina]],7,FALSE)),0)</f>
        <v>0</v>
      </c>
      <c r="AI291" s="20">
        <f>IFERROR((VLOOKUP(Tabla13[[#This Row],[ID]],[1]!Mtto_Pesv[[#Headers],[#Data],[Placa]:[Rutina]],8,FALSE)),0)</f>
        <v>0</v>
      </c>
      <c r="AJ291" s="20" t="str">
        <f>IFERROR((VLOOKUP(Tabla13[[#This Row],[ID]],[1]!Mtto_Pesv[[#Headers],[#Data],[Placa]:[Rutina]],9,FALSE)),"-")</f>
        <v>-</v>
      </c>
      <c r="AK291" s="20">
        <f>IFERROR((VLOOKUP(Tabla13[[#This Row],[ID]],[1]!Mtto_Pesv[[#Headers],[#Data],[Placa]:[Rutina]],10,FALSE)),0)</f>
        <v>0</v>
      </c>
      <c r="AL291" s="20">
        <f>IF(Tabla13[[#This Row],[Km Anterior]]=0,0,Tabla13[[#This Row],[Km Ejecut]]-Tabla13[[#This Row],[Km Anterior]])</f>
        <v>0</v>
      </c>
      <c r="AM291" s="20">
        <f>IFERROR((VLOOKUP(Tabla13[[#This Row],[ID]],[1]!Mtto_Pesv[[#Headers],[#Data],[Placa]:[Rutina]],4,FALSE)),0)</f>
        <v>0</v>
      </c>
      <c r="AN291" s="21">
        <f>IFERROR((VLOOKUP(Tabla13[[#This Row],[ID]],[1]!Mtto_Pesv[[#Headers],[#Data],[Placa]:[Rutina]],5,FALSE)),0)</f>
        <v>0</v>
      </c>
      <c r="AO291" s="21">
        <f>+Tabla13[[#This Row],[Km Fin]]-Tabla13[[#This Row],[Km Ini]]</f>
        <v>0</v>
      </c>
      <c r="AP291" s="20">
        <f>IFERROR((VLOOKUP(Tabla13[[#This Row],[ID]],[1]!Estilo_Conduccion[[#All],[Placa]:[Puntuacion]],15,FALSE)),0)</f>
        <v>0</v>
      </c>
      <c r="AQ291" s="15" t="s">
        <v>54</v>
      </c>
      <c r="AR291" s="15" t="s">
        <v>54</v>
      </c>
      <c r="AS291" s="20">
        <v>2630</v>
      </c>
      <c r="AT291" s="21">
        <v>0</v>
      </c>
      <c r="AU291" s="21">
        <f>(Tabla13[[#This Row],[Cap Vh]]*$AX$2)*0.56</f>
        <v>0</v>
      </c>
      <c r="AV291" s="36" t="e">
        <f>(Tabla13[[#This Row],[Cap Util (kg)]]/(Tabla13[[#This Row],[Cap Inst (Kg)]]))</f>
        <v>#DIV/0!</v>
      </c>
    </row>
    <row r="292" spans="1:48" x14ac:dyDescent="0.25">
      <c r="A292" s="13" t="s">
        <v>1068</v>
      </c>
      <c r="B292" s="14" t="s">
        <v>464</v>
      </c>
      <c r="C292" s="14" t="s">
        <v>44</v>
      </c>
      <c r="D292" s="14" t="s">
        <v>44</v>
      </c>
      <c r="E292" s="14" t="s">
        <v>60</v>
      </c>
      <c r="F292" s="14" t="s">
        <v>46</v>
      </c>
      <c r="G292" s="15" t="s">
        <v>47</v>
      </c>
      <c r="H292" s="16" t="s">
        <v>48</v>
      </c>
      <c r="I292" s="14" t="s">
        <v>49</v>
      </c>
      <c r="J292" s="14">
        <v>860007660</v>
      </c>
      <c r="K292" s="14" t="s">
        <v>369</v>
      </c>
      <c r="L292" s="14" t="s">
        <v>103</v>
      </c>
      <c r="M292" s="14" t="s">
        <v>121</v>
      </c>
      <c r="N292" s="14">
        <v>2012</v>
      </c>
      <c r="O292" s="14">
        <v>8</v>
      </c>
      <c r="P292" s="14" t="s">
        <v>53</v>
      </c>
      <c r="Q292" s="14">
        <v>1</v>
      </c>
      <c r="R292" s="14">
        <v>0</v>
      </c>
      <c r="S292" s="17" t="s">
        <v>54</v>
      </c>
      <c r="T292" s="18">
        <v>0</v>
      </c>
      <c r="U292" s="14">
        <v>30</v>
      </c>
      <c r="V292" s="19">
        <v>1</v>
      </c>
      <c r="W292" s="14">
        <v>0</v>
      </c>
      <c r="X292" s="14">
        <v>0</v>
      </c>
      <c r="Y292" s="14">
        <v>0</v>
      </c>
      <c r="Z292" s="14">
        <v>0</v>
      </c>
      <c r="AA292" s="14">
        <f>Tabla13[[#This Row],[CheckList App]]+Tabla13[[#This Row],[CheckList Fisc]]</f>
        <v>0</v>
      </c>
      <c r="AB292" s="19">
        <f t="shared" si="4"/>
        <v>0</v>
      </c>
      <c r="AC292" s="14">
        <v>0</v>
      </c>
      <c r="AD292" s="14" t="s">
        <v>55</v>
      </c>
      <c r="AE292" s="15" t="str">
        <f>IFERROR((VLOOKUP(Tabla13[[#This Row],[ID]],[1]!Mtto_Pesv[[#Headers],[#Data],[Placa]:[Rutina]],2,FALSE)),"-")</f>
        <v>-</v>
      </c>
      <c r="AF292" s="14">
        <v>0</v>
      </c>
      <c r="AG292" s="20">
        <f>IFERROR((VLOOKUP(Tabla13[[#This Row],[ID]],[1]!Mtto_Pesv[[#Headers],[#Data],[Placa]:[Rutina]],3,FALSE)),0)</f>
        <v>0</v>
      </c>
      <c r="AH292" s="20">
        <f>IFERROR((VLOOKUP(Tabla13[[#This Row],[ID]],[1]!Mtto_Pesv[[#Headers],[#Data],[Placa]:[Rutina]],7,FALSE)),0)</f>
        <v>0</v>
      </c>
      <c r="AI292" s="20">
        <f>IFERROR((VLOOKUP(Tabla13[[#This Row],[ID]],[1]!Mtto_Pesv[[#Headers],[#Data],[Placa]:[Rutina]],8,FALSE)),0)</f>
        <v>0</v>
      </c>
      <c r="AJ292" s="20" t="str">
        <f>IFERROR((VLOOKUP(Tabla13[[#This Row],[ID]],[1]!Mtto_Pesv[[#Headers],[#Data],[Placa]:[Rutina]],9,FALSE)),"-")</f>
        <v>-</v>
      </c>
      <c r="AK292" s="20">
        <f>IFERROR((VLOOKUP(Tabla13[[#This Row],[ID]],[1]!Mtto_Pesv[[#Headers],[#Data],[Placa]:[Rutina]],10,FALSE)),0)</f>
        <v>0</v>
      </c>
      <c r="AL292" s="20">
        <f>IF(Tabla13[[#This Row],[Km Anterior]]=0,0,Tabla13[[#This Row],[Km Ejecut]]-Tabla13[[#This Row],[Km Anterior]])</f>
        <v>0</v>
      </c>
      <c r="AM292" s="20">
        <f>IFERROR((VLOOKUP(Tabla13[[#This Row],[ID]],[1]!Mtto_Pesv[[#Headers],[#Data],[Placa]:[Rutina]],4,FALSE)),0)</f>
        <v>0</v>
      </c>
      <c r="AN292" s="21">
        <f>IFERROR((VLOOKUP(Tabla13[[#This Row],[ID]],[1]!Mtto_Pesv[[#Headers],[#Data],[Placa]:[Rutina]],5,FALSE)),0)</f>
        <v>0</v>
      </c>
      <c r="AO292" s="21">
        <f>+Tabla13[[#This Row],[Km Fin]]-Tabla13[[#This Row],[Km Ini]]</f>
        <v>0</v>
      </c>
      <c r="AP292" s="20">
        <f>IFERROR((VLOOKUP(Tabla13[[#This Row],[ID]],[1]!Estilo_Conduccion[[#All],[Placa]:[Puntuacion]],15,FALSE)),0)</f>
        <v>962.5</v>
      </c>
      <c r="AQ292" s="15" t="s">
        <v>1248</v>
      </c>
      <c r="AR292" s="15" t="s">
        <v>1249</v>
      </c>
      <c r="AS292" s="20">
        <v>2630</v>
      </c>
      <c r="AT292" s="21">
        <v>8037</v>
      </c>
      <c r="AU292" s="21">
        <f>(Tabla13[[#This Row],[Cap Vh]]*$AX$2)*0.56</f>
        <v>0</v>
      </c>
      <c r="AV292" s="36" t="e">
        <f>(Tabla13[[#This Row],[Cap Util (kg)]]/(Tabla13[[#This Row],[Cap Inst (Kg)]]))</f>
        <v>#DIV/0!</v>
      </c>
    </row>
    <row r="293" spans="1:48" x14ac:dyDescent="0.25">
      <c r="A293" s="13" t="s">
        <v>1068</v>
      </c>
      <c r="B293" s="14" t="s">
        <v>465</v>
      </c>
      <c r="C293" s="14" t="s">
        <v>44</v>
      </c>
      <c r="D293" s="14" t="s">
        <v>44</v>
      </c>
      <c r="E293" s="14" t="s">
        <v>69</v>
      </c>
      <c r="F293" s="14" t="s">
        <v>64</v>
      </c>
      <c r="G293" s="15" t="s">
        <v>119</v>
      </c>
      <c r="H293" s="16" t="s">
        <v>120</v>
      </c>
      <c r="I293" s="14" t="s">
        <v>49</v>
      </c>
      <c r="J293" s="14">
        <v>900335279</v>
      </c>
      <c r="K293" s="14" t="s">
        <v>77</v>
      </c>
      <c r="L293" s="14" t="s">
        <v>103</v>
      </c>
      <c r="M293" s="14" t="s">
        <v>121</v>
      </c>
      <c r="N293" s="14">
        <v>2012</v>
      </c>
      <c r="O293" s="14">
        <v>8</v>
      </c>
      <c r="P293" s="14" t="s">
        <v>53</v>
      </c>
      <c r="Q293" s="14">
        <v>1</v>
      </c>
      <c r="R293" s="14">
        <v>1</v>
      </c>
      <c r="S293" s="17">
        <v>44834.278981481482</v>
      </c>
      <c r="T293" s="18">
        <v>197.06099999999995</v>
      </c>
      <c r="U293" s="14">
        <v>30</v>
      </c>
      <c r="V293" s="19">
        <v>1</v>
      </c>
      <c r="W293" s="14">
        <v>0</v>
      </c>
      <c r="X293" s="14">
        <v>26</v>
      </c>
      <c r="Y293" s="14">
        <v>26</v>
      </c>
      <c r="Z293" s="14">
        <v>0</v>
      </c>
      <c r="AA293" s="14">
        <f>Tabla13[[#This Row],[CheckList App]]+Tabla13[[#This Row],[CheckList Fisc]]</f>
        <v>26</v>
      </c>
      <c r="AB293" s="19">
        <f t="shared" si="4"/>
        <v>1</v>
      </c>
      <c r="AC293" s="14">
        <v>77</v>
      </c>
      <c r="AD293" s="14" t="s">
        <v>55</v>
      </c>
      <c r="AE293" s="22" t="str">
        <f>IFERROR((VLOOKUP(Tabla13[[#This Row],[ID]],[1]!Mtto_Pesv[[#Headers],[#Data],[Placa]:[Rutina]],2,FALSE)),"-")</f>
        <v>-</v>
      </c>
      <c r="AF293" s="14">
        <v>0</v>
      </c>
      <c r="AG293" s="20">
        <f>IFERROR((VLOOKUP(Tabla13[[#This Row],[ID]],[1]!Mtto_Pesv[[#Headers],[#Data],[Placa]:[Rutina]],3,FALSE)),0)</f>
        <v>0</v>
      </c>
      <c r="AH293" s="20">
        <f>IFERROR((VLOOKUP(Tabla13[[#This Row],[ID]],[1]!Mtto_Pesv[[#Headers],[#Data],[Placa]:[Rutina]],7,FALSE)),0)</f>
        <v>0</v>
      </c>
      <c r="AI293" s="20">
        <f>IFERROR((VLOOKUP(Tabla13[[#This Row],[ID]],[1]!Mtto_Pesv[[#Headers],[#Data],[Placa]:[Rutina]],8,FALSE)),0)</f>
        <v>0</v>
      </c>
      <c r="AJ293" s="20" t="str">
        <f>IFERROR((VLOOKUP(Tabla13[[#This Row],[ID]],[1]!Mtto_Pesv[[#Headers],[#Data],[Placa]:[Rutina]],9,FALSE)),"-")</f>
        <v>-</v>
      </c>
      <c r="AK293" s="20">
        <f>IFERROR((VLOOKUP(Tabla13[[#This Row],[ID]],[1]!Mtto_Pesv[[#Headers],[#Data],[Placa]:[Rutina]],10,FALSE)),0)</f>
        <v>0</v>
      </c>
      <c r="AL293" s="20">
        <f>IF(Tabla13[[#This Row],[Km Anterior]]=0,0,Tabla13[[#This Row],[Km Ejecut]]-Tabla13[[#This Row],[Km Anterior]])</f>
        <v>0</v>
      </c>
      <c r="AM293" s="20">
        <f>IFERROR((VLOOKUP(Tabla13[[#This Row],[ID]],[1]!Mtto_Pesv[[#Headers],[#Data],[Placa]:[Rutina]],4,FALSE)),0)</f>
        <v>0</v>
      </c>
      <c r="AN293" s="21">
        <f>IFERROR((VLOOKUP(Tabla13[[#This Row],[ID]],[1]!Mtto_Pesv[[#Headers],[#Data],[Placa]:[Rutina]],5,FALSE)),0)</f>
        <v>0</v>
      </c>
      <c r="AO293" s="21">
        <f>+Tabla13[[#This Row],[Km Fin]]-Tabla13[[#This Row],[Km Ini]]</f>
        <v>0</v>
      </c>
      <c r="AP293" s="20">
        <f>IFERROR((VLOOKUP(Tabla13[[#This Row],[ID]],[1]!Estilo_Conduccion[[#All],[Placa]:[Puntuacion]],15,FALSE)),0)</f>
        <v>11813.1</v>
      </c>
      <c r="AQ293" s="15" t="s">
        <v>54</v>
      </c>
      <c r="AR293" s="15" t="s">
        <v>54</v>
      </c>
      <c r="AS293" s="20">
        <v>2630</v>
      </c>
      <c r="AT293" s="21">
        <v>0</v>
      </c>
      <c r="AU293" s="21">
        <f>(Tabla13[[#This Row],[Cap Vh]]*$AX$2)*0.56</f>
        <v>0</v>
      </c>
      <c r="AV293" s="36" t="e">
        <f>(Tabla13[[#This Row],[Cap Util (kg)]]/(Tabla13[[#This Row],[Cap Inst (Kg)]]))</f>
        <v>#DIV/0!</v>
      </c>
    </row>
    <row r="294" spans="1:48" x14ac:dyDescent="0.25">
      <c r="A294" s="13" t="s">
        <v>1068</v>
      </c>
      <c r="B294" s="14" t="s">
        <v>466</v>
      </c>
      <c r="C294" s="14" t="s">
        <v>44</v>
      </c>
      <c r="D294" s="14" t="s">
        <v>44</v>
      </c>
      <c r="E294" s="14" t="s">
        <v>45</v>
      </c>
      <c r="F294" s="14" t="s">
        <v>64</v>
      </c>
      <c r="G294" s="14" t="s">
        <v>65</v>
      </c>
      <c r="H294" s="16" t="s">
        <v>66</v>
      </c>
      <c r="I294" s="14" t="s">
        <v>184</v>
      </c>
      <c r="J294" s="14">
        <v>900335279</v>
      </c>
      <c r="K294" s="14" t="s">
        <v>77</v>
      </c>
      <c r="L294" s="14" t="s">
        <v>103</v>
      </c>
      <c r="M294" s="14" t="s">
        <v>121</v>
      </c>
      <c r="N294" s="14">
        <v>2012</v>
      </c>
      <c r="O294" s="14">
        <v>8</v>
      </c>
      <c r="P294" s="14" t="s">
        <v>53</v>
      </c>
      <c r="Q294" s="14">
        <v>0</v>
      </c>
      <c r="R294" s="14">
        <v>0</v>
      </c>
      <c r="S294" s="17" t="s">
        <v>54</v>
      </c>
      <c r="T294" s="18">
        <v>0</v>
      </c>
      <c r="U294" s="14">
        <v>0</v>
      </c>
      <c r="V294" s="19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f>Tabla13[[#This Row],[CheckList App]]+Tabla13[[#This Row],[CheckList Fisc]]</f>
        <v>0</v>
      </c>
      <c r="AB294" s="19" t="str">
        <f t="shared" si="4"/>
        <v/>
      </c>
      <c r="AC294" s="14">
        <v>0</v>
      </c>
      <c r="AD294" s="14" t="s">
        <v>70</v>
      </c>
      <c r="AE294" s="15" t="str">
        <f>IFERROR((VLOOKUP(Tabla13[[#This Row],[ID]],[1]!Mtto_Pesv[[#Headers],[#Data],[Placa]:[Rutina]],2,FALSE)),"-")</f>
        <v>-</v>
      </c>
      <c r="AF294" s="14">
        <v>1</v>
      </c>
      <c r="AG294" s="20">
        <f>IFERROR((VLOOKUP(Tabla13[[#This Row],[ID]],[1]!Mtto_Pesv[[#Headers],[#Data],[Placa]:[Rutina]],3,FALSE)),0)</f>
        <v>0</v>
      </c>
      <c r="AH294" s="20">
        <f>IFERROR((VLOOKUP(Tabla13[[#This Row],[ID]],[1]!Mtto_Pesv[[#Headers],[#Data],[Placa]:[Rutina]],7,FALSE)),0)</f>
        <v>0</v>
      </c>
      <c r="AI294" s="20">
        <f>IFERROR((VLOOKUP(Tabla13[[#This Row],[ID]],[1]!Mtto_Pesv[[#Headers],[#Data],[Placa]:[Rutina]],8,FALSE)),0)</f>
        <v>0</v>
      </c>
      <c r="AJ294" s="20" t="str">
        <f>IFERROR((VLOOKUP(Tabla13[[#This Row],[ID]],[1]!Mtto_Pesv[[#Headers],[#Data],[Placa]:[Rutina]],9,FALSE)),"-")</f>
        <v>-</v>
      </c>
      <c r="AK294" s="20">
        <f>IFERROR((VLOOKUP(Tabla13[[#This Row],[ID]],[1]!Mtto_Pesv[[#Headers],[#Data],[Placa]:[Rutina]],10,FALSE)),0)</f>
        <v>0</v>
      </c>
      <c r="AL294" s="20">
        <f>IF(Tabla13[[#This Row],[Km Anterior]]=0,0,Tabla13[[#This Row],[Km Ejecut]]-Tabla13[[#This Row],[Km Anterior]])</f>
        <v>0</v>
      </c>
      <c r="AM294" s="20">
        <f>IFERROR((VLOOKUP(Tabla13[[#This Row],[ID]],[1]!Mtto_Pesv[[#Headers],[#Data],[Placa]:[Rutina]],4,FALSE)),0)</f>
        <v>0</v>
      </c>
      <c r="AN294" s="21">
        <f>IFERROR((VLOOKUP(Tabla13[[#This Row],[ID]],[1]!Mtto_Pesv[[#Headers],[#Data],[Placa]:[Rutina]],5,FALSE)),0)</f>
        <v>0</v>
      </c>
      <c r="AO294" s="21">
        <f>+Tabla13[[#This Row],[Km Fin]]-Tabla13[[#This Row],[Km Ini]]</f>
        <v>0</v>
      </c>
      <c r="AP294" s="20">
        <f>IFERROR((VLOOKUP(Tabla13[[#This Row],[ID]],[1]!Estilo_Conduccion[[#All],[Placa]:[Puntuacion]],15,FALSE)),0)</f>
        <v>0</v>
      </c>
      <c r="AQ294" s="15" t="s">
        <v>54</v>
      </c>
      <c r="AR294" s="15" t="s">
        <v>1176</v>
      </c>
      <c r="AS294" s="20">
        <v>2630</v>
      </c>
      <c r="AT294" s="21">
        <v>0</v>
      </c>
      <c r="AU294" s="21">
        <f>(Tabla13[[#This Row],[Cap Vh]]*$AX$2)*0.56</f>
        <v>0</v>
      </c>
      <c r="AV294" s="36" t="e">
        <f>(Tabla13[[#This Row],[Cap Util (kg)]]/(Tabla13[[#This Row],[Cap Inst (Kg)]]))</f>
        <v>#DIV/0!</v>
      </c>
    </row>
    <row r="295" spans="1:48" x14ac:dyDescent="0.25">
      <c r="A295" s="13" t="s">
        <v>1068</v>
      </c>
      <c r="B295" s="14" t="s">
        <v>467</v>
      </c>
      <c r="C295" s="14" t="s">
        <v>44</v>
      </c>
      <c r="D295" s="14" t="s">
        <v>44</v>
      </c>
      <c r="E295" s="14" t="s">
        <v>60</v>
      </c>
      <c r="F295" s="14" t="s">
        <v>46</v>
      </c>
      <c r="G295" s="15" t="s">
        <v>47</v>
      </c>
      <c r="H295" s="16" t="s">
        <v>48</v>
      </c>
      <c r="I295" s="14" t="s">
        <v>49</v>
      </c>
      <c r="J295" s="14">
        <v>830064700</v>
      </c>
      <c r="K295" s="14" t="s">
        <v>50</v>
      </c>
      <c r="L295" s="14" t="s">
        <v>103</v>
      </c>
      <c r="M295" s="14" t="s">
        <v>285</v>
      </c>
      <c r="N295" s="14">
        <v>2007</v>
      </c>
      <c r="O295" s="14">
        <v>13</v>
      </c>
      <c r="P295" s="14" t="s">
        <v>173</v>
      </c>
      <c r="Q295" s="14">
        <v>0</v>
      </c>
      <c r="R295" s="14">
        <v>0</v>
      </c>
      <c r="S295" s="17" t="s">
        <v>54</v>
      </c>
      <c r="T295" s="18">
        <v>0</v>
      </c>
      <c r="U295" s="14">
        <v>30</v>
      </c>
      <c r="V295" s="19">
        <v>1</v>
      </c>
      <c r="W295" s="14">
        <v>0</v>
      </c>
      <c r="X295" s="14">
        <v>0</v>
      </c>
      <c r="Y295" s="14">
        <v>0</v>
      </c>
      <c r="Z295" s="14">
        <v>0</v>
      </c>
      <c r="AA295" s="14">
        <f>Tabla13[[#This Row],[CheckList App]]+Tabla13[[#This Row],[CheckList Fisc]]</f>
        <v>0</v>
      </c>
      <c r="AB295" s="19">
        <f t="shared" si="4"/>
        <v>0</v>
      </c>
      <c r="AC295" s="14">
        <v>0</v>
      </c>
      <c r="AD295" s="14" t="s">
        <v>55</v>
      </c>
      <c r="AE295" s="15" t="str">
        <f>IFERROR((VLOOKUP(Tabla13[[#This Row],[ID]],[1]!Mtto_Pesv[[#Headers],[#Data],[Placa]:[Rutina]],2,FALSE)),"-")</f>
        <v>-</v>
      </c>
      <c r="AF295" s="14">
        <v>0</v>
      </c>
      <c r="AG295" s="20">
        <f>IFERROR((VLOOKUP(Tabla13[[#This Row],[ID]],[1]!Mtto_Pesv[[#Headers],[#Data],[Placa]:[Rutina]],3,FALSE)),0)</f>
        <v>0</v>
      </c>
      <c r="AH295" s="20">
        <f>IFERROR((VLOOKUP(Tabla13[[#This Row],[ID]],[1]!Mtto_Pesv[[#Headers],[#Data],[Placa]:[Rutina]],7,FALSE)),0)</f>
        <v>0</v>
      </c>
      <c r="AI295" s="20">
        <f>IFERROR((VLOOKUP(Tabla13[[#This Row],[ID]],[1]!Mtto_Pesv[[#Headers],[#Data],[Placa]:[Rutina]],8,FALSE)),0)</f>
        <v>0</v>
      </c>
      <c r="AJ295" s="20" t="str">
        <f>IFERROR((VLOOKUP(Tabla13[[#This Row],[ID]],[1]!Mtto_Pesv[[#Headers],[#Data],[Placa]:[Rutina]],9,FALSE)),"-")</f>
        <v>-</v>
      </c>
      <c r="AK295" s="20">
        <f>IFERROR((VLOOKUP(Tabla13[[#This Row],[ID]],[1]!Mtto_Pesv[[#Headers],[#Data],[Placa]:[Rutina]],10,FALSE)),0)</f>
        <v>0</v>
      </c>
      <c r="AL295" s="20">
        <f>IF(Tabla13[[#This Row],[Km Anterior]]=0,0,Tabla13[[#This Row],[Km Ejecut]]-Tabla13[[#This Row],[Km Anterior]])</f>
        <v>0</v>
      </c>
      <c r="AM295" s="20">
        <f>IFERROR((VLOOKUP(Tabla13[[#This Row],[ID]],[1]!Mtto_Pesv[[#Headers],[#Data],[Placa]:[Rutina]],4,FALSE)),0)</f>
        <v>0</v>
      </c>
      <c r="AN295" s="21">
        <f>IFERROR((VLOOKUP(Tabla13[[#This Row],[ID]],[1]!Mtto_Pesv[[#Headers],[#Data],[Placa]:[Rutina]],5,FALSE)),0)</f>
        <v>0</v>
      </c>
      <c r="AO295" s="21">
        <f>+Tabla13[[#This Row],[Km Fin]]-Tabla13[[#This Row],[Km Ini]]</f>
        <v>0</v>
      </c>
      <c r="AP295" s="20">
        <f>IFERROR((VLOOKUP(Tabla13[[#This Row],[ID]],[1]!Estilo_Conduccion[[#All],[Placa]:[Puntuacion]],15,FALSE)),0)</f>
        <v>0</v>
      </c>
      <c r="AQ295" s="15" t="s">
        <v>1072</v>
      </c>
      <c r="AR295" s="15" t="s">
        <v>1073</v>
      </c>
      <c r="AS295" s="20">
        <v>1000</v>
      </c>
      <c r="AT295" s="21">
        <v>3080.8846153846152</v>
      </c>
      <c r="AU295" s="21">
        <f>(Tabla13[[#This Row],[Cap Vh]]*$AX$2)*0.56</f>
        <v>0</v>
      </c>
      <c r="AV295" s="36" t="e">
        <f>(Tabla13[[#This Row],[Cap Util (kg)]]/(Tabla13[[#This Row],[Cap Inst (Kg)]]))</f>
        <v>#DIV/0!</v>
      </c>
    </row>
    <row r="296" spans="1:48" x14ac:dyDescent="0.25">
      <c r="A296" s="13" t="s">
        <v>1068</v>
      </c>
      <c r="B296" s="14" t="s">
        <v>468</v>
      </c>
      <c r="C296" s="14" t="s">
        <v>44</v>
      </c>
      <c r="D296" s="14" t="s">
        <v>44</v>
      </c>
      <c r="E296" s="14" t="s">
        <v>85</v>
      </c>
      <c r="F296" s="14" t="s">
        <v>46</v>
      </c>
      <c r="G296" s="15" t="s">
        <v>47</v>
      </c>
      <c r="H296" s="16" t="s">
        <v>48</v>
      </c>
      <c r="I296" s="14" t="s">
        <v>49</v>
      </c>
      <c r="J296" s="14">
        <v>830064700</v>
      </c>
      <c r="K296" s="14" t="s">
        <v>50</v>
      </c>
      <c r="L296" s="14" t="s">
        <v>103</v>
      </c>
      <c r="M296" s="14" t="s">
        <v>285</v>
      </c>
      <c r="N296" s="14">
        <v>2007</v>
      </c>
      <c r="O296" s="14">
        <v>13</v>
      </c>
      <c r="P296" s="14" t="s">
        <v>173</v>
      </c>
      <c r="Q296" s="14">
        <v>0</v>
      </c>
      <c r="R296" s="14">
        <v>0</v>
      </c>
      <c r="S296" s="17" t="s">
        <v>54</v>
      </c>
      <c r="T296" s="18">
        <v>0</v>
      </c>
      <c r="U296" s="14">
        <v>30</v>
      </c>
      <c r="V296" s="19">
        <v>1</v>
      </c>
      <c r="W296" s="14">
        <v>0</v>
      </c>
      <c r="X296" s="14">
        <v>0</v>
      </c>
      <c r="Y296" s="14">
        <v>0</v>
      </c>
      <c r="Z296" s="14">
        <v>0</v>
      </c>
      <c r="AA296" s="14">
        <f>Tabla13[[#This Row],[CheckList App]]+Tabla13[[#This Row],[CheckList Fisc]]</f>
        <v>0</v>
      </c>
      <c r="AB296" s="19">
        <f t="shared" si="4"/>
        <v>0</v>
      </c>
      <c r="AC296" s="14">
        <v>0</v>
      </c>
      <c r="AD296" s="14" t="s">
        <v>55</v>
      </c>
      <c r="AE296" s="15" t="str">
        <f>IFERROR((VLOOKUP(Tabla13[[#This Row],[ID]],[1]!Mtto_Pesv[[#Headers],[#Data],[Placa]:[Rutina]],2,FALSE)),"-")</f>
        <v>-</v>
      </c>
      <c r="AF296" s="14">
        <v>0</v>
      </c>
      <c r="AG296" s="20">
        <f>IFERROR((VLOOKUP(Tabla13[[#This Row],[ID]],[1]!Mtto_Pesv[[#Headers],[#Data],[Placa]:[Rutina]],3,FALSE)),0)</f>
        <v>0</v>
      </c>
      <c r="AH296" s="20">
        <f>IFERROR((VLOOKUP(Tabla13[[#This Row],[ID]],[1]!Mtto_Pesv[[#Headers],[#Data],[Placa]:[Rutina]],7,FALSE)),0)</f>
        <v>0</v>
      </c>
      <c r="AI296" s="20">
        <f>IFERROR((VLOOKUP(Tabla13[[#This Row],[ID]],[1]!Mtto_Pesv[[#Headers],[#Data],[Placa]:[Rutina]],8,FALSE)),0)</f>
        <v>0</v>
      </c>
      <c r="AJ296" s="20" t="str">
        <f>IFERROR((VLOOKUP(Tabla13[[#This Row],[ID]],[1]!Mtto_Pesv[[#Headers],[#Data],[Placa]:[Rutina]],9,FALSE)),"-")</f>
        <v>-</v>
      </c>
      <c r="AK296" s="20">
        <f>IFERROR((VLOOKUP(Tabla13[[#This Row],[ID]],[1]!Mtto_Pesv[[#Headers],[#Data],[Placa]:[Rutina]],10,FALSE)),0)</f>
        <v>0</v>
      </c>
      <c r="AL296" s="20">
        <f>IF(Tabla13[[#This Row],[Km Anterior]]=0,0,Tabla13[[#This Row],[Km Ejecut]]-Tabla13[[#This Row],[Km Anterior]])</f>
        <v>0</v>
      </c>
      <c r="AM296" s="20">
        <f>IFERROR((VLOOKUP(Tabla13[[#This Row],[ID]],[1]!Mtto_Pesv[[#Headers],[#Data],[Placa]:[Rutina]],4,FALSE)),0)</f>
        <v>0</v>
      </c>
      <c r="AN296" s="21">
        <f>IFERROR((VLOOKUP(Tabla13[[#This Row],[ID]],[1]!Mtto_Pesv[[#Headers],[#Data],[Placa]:[Rutina]],5,FALSE)),0)</f>
        <v>0</v>
      </c>
      <c r="AO296" s="21">
        <f>+Tabla13[[#This Row],[Km Fin]]-Tabla13[[#This Row],[Km Ini]]</f>
        <v>0</v>
      </c>
      <c r="AP296" s="20">
        <f>IFERROR((VLOOKUP(Tabla13[[#This Row],[ID]],[1]!Estilo_Conduccion[[#All],[Placa]:[Puntuacion]],15,FALSE)),0)</f>
        <v>0</v>
      </c>
      <c r="AQ296" s="15" t="s">
        <v>1172</v>
      </c>
      <c r="AR296" s="15" t="s">
        <v>1173</v>
      </c>
      <c r="AS296" s="20">
        <v>1000</v>
      </c>
      <c r="AT296" s="21">
        <v>12338</v>
      </c>
      <c r="AU296" s="21">
        <f>(Tabla13[[#This Row],[Cap Vh]]*$AX$2)*0.56</f>
        <v>0</v>
      </c>
      <c r="AV296" s="36" t="e">
        <f>(Tabla13[[#This Row],[Cap Util (kg)]]/(Tabla13[[#This Row],[Cap Inst (Kg)]]))</f>
        <v>#DIV/0!</v>
      </c>
    </row>
    <row r="297" spans="1:48" x14ac:dyDescent="0.25">
      <c r="A297" s="13" t="s">
        <v>1068</v>
      </c>
      <c r="B297" s="14" t="s">
        <v>469</v>
      </c>
      <c r="C297" s="14" t="s">
        <v>44</v>
      </c>
      <c r="D297" s="14" t="s">
        <v>44</v>
      </c>
      <c r="E297" s="14" t="s">
        <v>45</v>
      </c>
      <c r="F297" s="14" t="s">
        <v>46</v>
      </c>
      <c r="G297" s="15" t="s">
        <v>47</v>
      </c>
      <c r="H297" s="16" t="s">
        <v>48</v>
      </c>
      <c r="I297" s="14" t="s">
        <v>49</v>
      </c>
      <c r="J297" s="14">
        <v>900335279</v>
      </c>
      <c r="K297" s="14" t="s">
        <v>77</v>
      </c>
      <c r="L297" s="14" t="s">
        <v>103</v>
      </c>
      <c r="M297" s="14" t="s">
        <v>285</v>
      </c>
      <c r="N297" s="14">
        <v>2007</v>
      </c>
      <c r="O297" s="14">
        <v>13</v>
      </c>
      <c r="P297" s="14" t="s">
        <v>173</v>
      </c>
      <c r="Q297" s="14">
        <v>0</v>
      </c>
      <c r="R297" s="14">
        <v>0</v>
      </c>
      <c r="S297" s="17" t="s">
        <v>54</v>
      </c>
      <c r="T297" s="18">
        <v>0</v>
      </c>
      <c r="U297" s="14">
        <v>30</v>
      </c>
      <c r="V297" s="19">
        <v>1</v>
      </c>
      <c r="W297" s="14">
        <v>0</v>
      </c>
      <c r="X297" s="14">
        <v>0</v>
      </c>
      <c r="Y297" s="14">
        <v>0</v>
      </c>
      <c r="Z297" s="14">
        <v>0</v>
      </c>
      <c r="AA297" s="14">
        <f>Tabla13[[#This Row],[CheckList App]]+Tabla13[[#This Row],[CheckList Fisc]]</f>
        <v>0</v>
      </c>
      <c r="AB297" s="19">
        <f t="shared" si="4"/>
        <v>0</v>
      </c>
      <c r="AC297" s="14">
        <v>0</v>
      </c>
      <c r="AD297" s="14" t="s">
        <v>70</v>
      </c>
      <c r="AE297" s="15" t="str">
        <f>IFERROR((VLOOKUP(Tabla13[[#This Row],[ID]],[1]!Mtto_Pesv[[#Headers],[#Data],[Placa]:[Rutina]],2,FALSE)),"-")</f>
        <v>-</v>
      </c>
      <c r="AF297" s="14">
        <v>1</v>
      </c>
      <c r="AG297" s="20">
        <f>IFERROR((VLOOKUP(Tabla13[[#This Row],[ID]],[1]!Mtto_Pesv[[#Headers],[#Data],[Placa]:[Rutina]],3,FALSE)),0)</f>
        <v>0</v>
      </c>
      <c r="AH297" s="20">
        <f>IFERROR((VLOOKUP(Tabla13[[#This Row],[ID]],[1]!Mtto_Pesv[[#Headers],[#Data],[Placa]:[Rutina]],7,FALSE)),0)</f>
        <v>0</v>
      </c>
      <c r="AI297" s="20">
        <f>IFERROR((VLOOKUP(Tabla13[[#This Row],[ID]],[1]!Mtto_Pesv[[#Headers],[#Data],[Placa]:[Rutina]],8,FALSE)),0)</f>
        <v>0</v>
      </c>
      <c r="AJ297" s="20" t="str">
        <f>IFERROR((VLOOKUP(Tabla13[[#This Row],[ID]],[1]!Mtto_Pesv[[#Headers],[#Data],[Placa]:[Rutina]],9,FALSE)),"-")</f>
        <v>-</v>
      </c>
      <c r="AK297" s="20">
        <f>IFERROR((VLOOKUP(Tabla13[[#This Row],[ID]],[1]!Mtto_Pesv[[#Headers],[#Data],[Placa]:[Rutina]],10,FALSE)),0)</f>
        <v>0</v>
      </c>
      <c r="AL297" s="20">
        <f>IF(Tabla13[[#This Row],[Km Anterior]]=0,0,Tabla13[[#This Row],[Km Ejecut]]-Tabla13[[#This Row],[Km Anterior]])</f>
        <v>0</v>
      </c>
      <c r="AM297" s="20">
        <f>IFERROR((VLOOKUP(Tabla13[[#This Row],[ID]],[1]!Mtto_Pesv[[#Headers],[#Data],[Placa]:[Rutina]],4,FALSE)),0)</f>
        <v>0</v>
      </c>
      <c r="AN297" s="21">
        <f>IFERROR((VLOOKUP(Tabla13[[#This Row],[ID]],[1]!Mtto_Pesv[[#Headers],[#Data],[Placa]:[Rutina]],5,FALSE)),0)</f>
        <v>0</v>
      </c>
      <c r="AO297" s="21">
        <f>+Tabla13[[#This Row],[Km Fin]]-Tabla13[[#This Row],[Km Ini]]</f>
        <v>0</v>
      </c>
      <c r="AP297" s="20">
        <f>IFERROR((VLOOKUP(Tabla13[[#This Row],[ID]],[1]!Estilo_Conduccion[[#All],[Placa]:[Puntuacion]],15,FALSE)),0)</f>
        <v>0</v>
      </c>
      <c r="AQ297" s="15" t="s">
        <v>1131</v>
      </c>
      <c r="AR297" s="15" t="s">
        <v>1132</v>
      </c>
      <c r="AS297" s="20">
        <v>1000</v>
      </c>
      <c r="AT297" s="21">
        <v>3514</v>
      </c>
      <c r="AU297" s="21">
        <f>(Tabla13[[#This Row],[Cap Vh]]*$AX$2)*0.56</f>
        <v>0</v>
      </c>
      <c r="AV297" s="36" t="e">
        <f>(Tabla13[[#This Row],[Cap Util (kg)]]/(Tabla13[[#This Row],[Cap Inst (Kg)]]))</f>
        <v>#DIV/0!</v>
      </c>
    </row>
    <row r="298" spans="1:48" x14ac:dyDescent="0.25">
      <c r="A298" s="13" t="s">
        <v>1068</v>
      </c>
      <c r="B298" s="14" t="s">
        <v>470</v>
      </c>
      <c r="C298" s="14" t="s">
        <v>44</v>
      </c>
      <c r="D298" s="14" t="s">
        <v>44</v>
      </c>
      <c r="E298" s="14" t="s">
        <v>45</v>
      </c>
      <c r="F298" s="14" t="s">
        <v>46</v>
      </c>
      <c r="G298" s="15" t="s">
        <v>47</v>
      </c>
      <c r="H298" s="16" t="s">
        <v>48</v>
      </c>
      <c r="I298" s="14" t="s">
        <v>49</v>
      </c>
      <c r="J298" s="14">
        <v>830064700</v>
      </c>
      <c r="K298" s="14" t="s">
        <v>50</v>
      </c>
      <c r="L298" s="14" t="s">
        <v>103</v>
      </c>
      <c r="M298" s="14" t="s">
        <v>121</v>
      </c>
      <c r="N298" s="14">
        <v>2001</v>
      </c>
      <c r="O298" s="14">
        <v>19</v>
      </c>
      <c r="P298" s="14" t="s">
        <v>173</v>
      </c>
      <c r="Q298" s="14">
        <v>0</v>
      </c>
      <c r="R298" s="14">
        <v>0</v>
      </c>
      <c r="S298" s="17" t="s">
        <v>54</v>
      </c>
      <c r="T298" s="18">
        <v>0</v>
      </c>
      <c r="U298" s="14">
        <v>0</v>
      </c>
      <c r="V298" s="19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f>Tabla13[[#This Row],[CheckList App]]+Tabla13[[#This Row],[CheckList Fisc]]</f>
        <v>0</v>
      </c>
      <c r="AB298" s="19" t="str">
        <f t="shared" si="4"/>
        <v/>
      </c>
      <c r="AC298" s="14">
        <v>0</v>
      </c>
      <c r="AD298" s="14" t="s">
        <v>55</v>
      </c>
      <c r="AE298" s="15" t="str">
        <f>IFERROR((VLOOKUP(Tabla13[[#This Row],[ID]],[1]!Mtto_Pesv[[#Headers],[#Data],[Placa]:[Rutina]],2,FALSE)),"-")</f>
        <v>-</v>
      </c>
      <c r="AF298" s="14">
        <v>0</v>
      </c>
      <c r="AG298" s="20">
        <f>IFERROR((VLOOKUP(Tabla13[[#This Row],[ID]],[1]!Mtto_Pesv[[#Headers],[#Data],[Placa]:[Rutina]],3,FALSE)),0)</f>
        <v>0</v>
      </c>
      <c r="AH298" s="20">
        <f>IFERROR((VLOOKUP(Tabla13[[#This Row],[ID]],[1]!Mtto_Pesv[[#Headers],[#Data],[Placa]:[Rutina]],7,FALSE)),0)</f>
        <v>0</v>
      </c>
      <c r="AI298" s="20">
        <f>IFERROR((VLOOKUP(Tabla13[[#This Row],[ID]],[1]!Mtto_Pesv[[#Headers],[#Data],[Placa]:[Rutina]],8,FALSE)),0)</f>
        <v>0</v>
      </c>
      <c r="AJ298" s="20" t="str">
        <f>IFERROR((VLOOKUP(Tabla13[[#This Row],[ID]],[1]!Mtto_Pesv[[#Headers],[#Data],[Placa]:[Rutina]],9,FALSE)),"-")</f>
        <v>-</v>
      </c>
      <c r="AK298" s="20">
        <f>IFERROR((VLOOKUP(Tabla13[[#This Row],[ID]],[1]!Mtto_Pesv[[#Headers],[#Data],[Placa]:[Rutina]],10,FALSE)),0)</f>
        <v>0</v>
      </c>
      <c r="AL298" s="20">
        <f>IF(Tabla13[[#This Row],[Km Anterior]]=0,0,Tabla13[[#This Row],[Km Ejecut]]-Tabla13[[#This Row],[Km Anterior]])</f>
        <v>0</v>
      </c>
      <c r="AM298" s="20">
        <f>IFERROR((VLOOKUP(Tabla13[[#This Row],[ID]],[1]!Mtto_Pesv[[#Headers],[#Data],[Placa]:[Rutina]],4,FALSE)),0)</f>
        <v>0</v>
      </c>
      <c r="AN298" s="21">
        <f>IFERROR((VLOOKUP(Tabla13[[#This Row],[ID]],[1]!Mtto_Pesv[[#Headers],[#Data],[Placa]:[Rutina]],5,FALSE)),0)</f>
        <v>0</v>
      </c>
      <c r="AO298" s="21">
        <f>+Tabla13[[#This Row],[Km Fin]]-Tabla13[[#This Row],[Km Ini]]</f>
        <v>0</v>
      </c>
      <c r="AP298" s="20">
        <f>IFERROR((VLOOKUP(Tabla13[[#This Row],[ID]],[1]!Estilo_Conduccion[[#All],[Placa]:[Puntuacion]],15,FALSE)),0)</f>
        <v>0</v>
      </c>
      <c r="AQ298" s="15" t="s">
        <v>1069</v>
      </c>
      <c r="AR298" s="15" t="s">
        <v>390</v>
      </c>
      <c r="AS298" s="20">
        <v>3200</v>
      </c>
      <c r="AT298" s="21">
        <v>0</v>
      </c>
      <c r="AU298" s="21">
        <f>(Tabla13[[#This Row],[Cap Vh]]*$AX$2)*0.56</f>
        <v>0</v>
      </c>
      <c r="AV298" s="36" t="e">
        <f>(Tabla13[[#This Row],[Cap Util (kg)]]/(Tabla13[[#This Row],[Cap Inst (Kg)]]))</f>
        <v>#DIV/0!</v>
      </c>
    </row>
    <row r="299" spans="1:48" x14ac:dyDescent="0.25">
      <c r="A299" s="13" t="s">
        <v>1068</v>
      </c>
      <c r="B299" s="14" t="s">
        <v>471</v>
      </c>
      <c r="C299" s="14" t="s">
        <v>44</v>
      </c>
      <c r="D299" s="14" t="s">
        <v>44</v>
      </c>
      <c r="E299" s="14" t="s">
        <v>45</v>
      </c>
      <c r="F299" s="14" t="s">
        <v>337</v>
      </c>
      <c r="G299" s="15" t="s">
        <v>47</v>
      </c>
      <c r="H299" s="16" t="s">
        <v>48</v>
      </c>
      <c r="I299" s="14" t="s">
        <v>49</v>
      </c>
      <c r="J299" s="14">
        <v>860002964</v>
      </c>
      <c r="K299" s="14" t="s">
        <v>102</v>
      </c>
      <c r="L299" s="14" t="s">
        <v>103</v>
      </c>
      <c r="M299" s="14" t="s">
        <v>104</v>
      </c>
      <c r="N299" s="14">
        <v>2014</v>
      </c>
      <c r="O299" s="14">
        <v>6</v>
      </c>
      <c r="P299" s="14" t="s">
        <v>53</v>
      </c>
      <c r="Q299" s="14">
        <v>1</v>
      </c>
      <c r="R299" s="14">
        <v>0</v>
      </c>
      <c r="S299" s="17" t="s">
        <v>54</v>
      </c>
      <c r="T299" s="18">
        <v>0</v>
      </c>
      <c r="U299" s="14">
        <v>15</v>
      </c>
      <c r="V299" s="19">
        <v>0.5</v>
      </c>
      <c r="W299" s="14">
        <v>0</v>
      </c>
      <c r="X299" s="14">
        <v>0</v>
      </c>
      <c r="Y299" s="14">
        <v>0</v>
      </c>
      <c r="Z299" s="14">
        <v>0</v>
      </c>
      <c r="AA299" s="14">
        <f>Tabla13[[#This Row],[CheckList App]]+Tabla13[[#This Row],[CheckList Fisc]]</f>
        <v>0</v>
      </c>
      <c r="AB299" s="19">
        <f t="shared" si="4"/>
        <v>0</v>
      </c>
      <c r="AC299" s="14">
        <v>0</v>
      </c>
      <c r="AD299" s="14" t="s">
        <v>55</v>
      </c>
      <c r="AE299" s="15" t="str">
        <f>IFERROR((VLOOKUP(Tabla13[[#This Row],[ID]],[1]!Mtto_Pesv[[#Headers],[#Data],[Placa]:[Rutina]],2,FALSE)),"-")</f>
        <v>-</v>
      </c>
      <c r="AF299" s="14">
        <v>0</v>
      </c>
      <c r="AG299" s="20">
        <f>IFERROR((VLOOKUP(Tabla13[[#This Row],[ID]],[1]!Mtto_Pesv[[#Headers],[#Data],[Placa]:[Rutina]],3,FALSE)),0)</f>
        <v>0</v>
      </c>
      <c r="AH299" s="20">
        <f>IFERROR((VLOOKUP(Tabla13[[#This Row],[ID]],[1]!Mtto_Pesv[[#Headers],[#Data],[Placa]:[Rutina]],7,FALSE)),0)</f>
        <v>0</v>
      </c>
      <c r="AI299" s="20">
        <f>IFERROR((VLOOKUP(Tabla13[[#This Row],[ID]],[1]!Mtto_Pesv[[#Headers],[#Data],[Placa]:[Rutina]],8,FALSE)),0)</f>
        <v>0</v>
      </c>
      <c r="AJ299" s="20" t="str">
        <f>IFERROR((VLOOKUP(Tabla13[[#This Row],[ID]],[1]!Mtto_Pesv[[#Headers],[#Data],[Placa]:[Rutina]],9,FALSE)),"-")</f>
        <v>-</v>
      </c>
      <c r="AK299" s="20">
        <f>IFERROR((VLOOKUP(Tabla13[[#This Row],[ID]],[1]!Mtto_Pesv[[#Headers],[#Data],[Placa]:[Rutina]],10,FALSE)),0)</f>
        <v>0</v>
      </c>
      <c r="AL299" s="20">
        <f>IF(Tabla13[[#This Row],[Km Anterior]]=0,0,Tabla13[[#This Row],[Km Ejecut]]-Tabla13[[#This Row],[Km Anterior]])</f>
        <v>0</v>
      </c>
      <c r="AM299" s="20">
        <f>IFERROR((VLOOKUP(Tabla13[[#This Row],[ID]],[1]!Mtto_Pesv[[#Headers],[#Data],[Placa]:[Rutina]],4,FALSE)),0)</f>
        <v>0</v>
      </c>
      <c r="AN299" s="21">
        <f>IFERROR((VLOOKUP(Tabla13[[#This Row],[ID]],[1]!Mtto_Pesv[[#Headers],[#Data],[Placa]:[Rutina]],5,FALSE)),0)</f>
        <v>0</v>
      </c>
      <c r="AO299" s="21">
        <f>+Tabla13[[#This Row],[Km Fin]]-Tabla13[[#This Row],[Km Ini]]</f>
        <v>0</v>
      </c>
      <c r="AP299" s="20">
        <f>IFERROR((VLOOKUP(Tabla13[[#This Row],[ID]],[1]!Estilo_Conduccion[[#All],[Placa]:[Puntuacion]],15,FALSE)),0)</f>
        <v>18.5</v>
      </c>
      <c r="AQ299" s="15" t="s">
        <v>1098</v>
      </c>
      <c r="AR299" s="15" t="s">
        <v>1099</v>
      </c>
      <c r="AS299" s="20">
        <v>1300</v>
      </c>
      <c r="AT299" s="21">
        <v>3975</v>
      </c>
      <c r="AU299" s="21">
        <f>(Tabla13[[#This Row],[Cap Vh]]*$AX$2)*0.56</f>
        <v>0</v>
      </c>
      <c r="AV299" s="36" t="e">
        <f>(Tabla13[[#This Row],[Cap Util (kg)]]/(Tabla13[[#This Row],[Cap Inst (Kg)]]))</f>
        <v>#DIV/0!</v>
      </c>
    </row>
    <row r="300" spans="1:48" x14ac:dyDescent="0.25">
      <c r="A300" s="13" t="s">
        <v>1068</v>
      </c>
      <c r="B300" s="14" t="s">
        <v>472</v>
      </c>
      <c r="C300" s="14" t="s">
        <v>44</v>
      </c>
      <c r="D300" s="14" t="s">
        <v>44</v>
      </c>
      <c r="E300" s="14" t="s">
        <v>45</v>
      </c>
      <c r="F300" s="14" t="s">
        <v>46</v>
      </c>
      <c r="G300" s="15" t="s">
        <v>47</v>
      </c>
      <c r="H300" s="16" t="s">
        <v>48</v>
      </c>
      <c r="I300" s="14" t="s">
        <v>49</v>
      </c>
      <c r="J300" s="14">
        <v>860002964</v>
      </c>
      <c r="K300" s="14" t="s">
        <v>102</v>
      </c>
      <c r="L300" s="14" t="s">
        <v>103</v>
      </c>
      <c r="M300" s="14" t="s">
        <v>104</v>
      </c>
      <c r="N300" s="14">
        <v>2014</v>
      </c>
      <c r="O300" s="14">
        <v>6</v>
      </c>
      <c r="P300" s="14" t="s">
        <v>53</v>
      </c>
      <c r="Q300" s="14">
        <v>1</v>
      </c>
      <c r="R300" s="14">
        <v>0</v>
      </c>
      <c r="S300" s="17" t="s">
        <v>54</v>
      </c>
      <c r="T300" s="18">
        <v>0</v>
      </c>
      <c r="U300" s="14">
        <v>30</v>
      </c>
      <c r="V300" s="19">
        <v>1</v>
      </c>
      <c r="W300" s="14">
        <v>0</v>
      </c>
      <c r="X300" s="14">
        <v>0</v>
      </c>
      <c r="Y300" s="14">
        <v>0</v>
      </c>
      <c r="Z300" s="14">
        <v>0</v>
      </c>
      <c r="AA300" s="14">
        <f>Tabla13[[#This Row],[CheckList App]]+Tabla13[[#This Row],[CheckList Fisc]]</f>
        <v>0</v>
      </c>
      <c r="AB300" s="19">
        <f t="shared" si="4"/>
        <v>0</v>
      </c>
      <c r="AC300" s="14">
        <v>0</v>
      </c>
      <c r="AD300" s="14" t="s">
        <v>55</v>
      </c>
      <c r="AE300" s="15" t="str">
        <f>IFERROR((VLOOKUP(Tabla13[[#This Row],[ID]],[1]!Mtto_Pesv[[#Headers],[#Data],[Placa]:[Rutina]],2,FALSE)),"-")</f>
        <v>-</v>
      </c>
      <c r="AF300" s="14">
        <v>0</v>
      </c>
      <c r="AG300" s="20">
        <f>IFERROR((VLOOKUP(Tabla13[[#This Row],[ID]],[1]!Mtto_Pesv[[#Headers],[#Data],[Placa]:[Rutina]],3,FALSE)),0)</f>
        <v>0</v>
      </c>
      <c r="AH300" s="20">
        <f>IFERROR((VLOOKUP(Tabla13[[#This Row],[ID]],[1]!Mtto_Pesv[[#Headers],[#Data],[Placa]:[Rutina]],7,FALSE)),0)</f>
        <v>0</v>
      </c>
      <c r="AI300" s="20">
        <f>IFERROR((VLOOKUP(Tabla13[[#This Row],[ID]],[1]!Mtto_Pesv[[#Headers],[#Data],[Placa]:[Rutina]],8,FALSE)),0)</f>
        <v>0</v>
      </c>
      <c r="AJ300" s="20" t="str">
        <f>IFERROR((VLOOKUP(Tabla13[[#This Row],[ID]],[1]!Mtto_Pesv[[#Headers],[#Data],[Placa]:[Rutina]],9,FALSE)),"-")</f>
        <v>-</v>
      </c>
      <c r="AK300" s="20">
        <f>IFERROR((VLOOKUP(Tabla13[[#This Row],[ID]],[1]!Mtto_Pesv[[#Headers],[#Data],[Placa]:[Rutina]],10,FALSE)),0)</f>
        <v>0</v>
      </c>
      <c r="AL300" s="20">
        <f>IF(Tabla13[[#This Row],[Km Anterior]]=0,0,Tabla13[[#This Row],[Km Ejecut]]-Tabla13[[#This Row],[Km Anterior]])</f>
        <v>0</v>
      </c>
      <c r="AM300" s="20">
        <f>IFERROR((VLOOKUP(Tabla13[[#This Row],[ID]],[1]!Mtto_Pesv[[#Headers],[#Data],[Placa]:[Rutina]],4,FALSE)),0)</f>
        <v>0</v>
      </c>
      <c r="AN300" s="21">
        <f>IFERROR((VLOOKUP(Tabla13[[#This Row],[ID]],[1]!Mtto_Pesv[[#Headers],[#Data],[Placa]:[Rutina]],5,FALSE)),0)</f>
        <v>0</v>
      </c>
      <c r="AO300" s="21">
        <f>+Tabla13[[#This Row],[Km Fin]]-Tabla13[[#This Row],[Km Ini]]</f>
        <v>0</v>
      </c>
      <c r="AP300" s="20">
        <f>IFERROR((VLOOKUP(Tabla13[[#This Row],[ID]],[1]!Estilo_Conduccion[[#All],[Placa]:[Puntuacion]],15,FALSE)),0)</f>
        <v>134.5</v>
      </c>
      <c r="AQ300" s="15" t="s">
        <v>1250</v>
      </c>
      <c r="AR300" s="15" t="s">
        <v>1251</v>
      </c>
      <c r="AS300" s="20">
        <v>1300</v>
      </c>
      <c r="AT300" s="21">
        <v>247.5</v>
      </c>
      <c r="AU300" s="21">
        <f>(Tabla13[[#This Row],[Cap Vh]]*$AX$2)*0.56</f>
        <v>0</v>
      </c>
      <c r="AV300" s="36" t="e">
        <f>(Tabla13[[#This Row],[Cap Util (kg)]]/(Tabla13[[#This Row],[Cap Inst (Kg)]]))</f>
        <v>#DIV/0!</v>
      </c>
    </row>
    <row r="301" spans="1:48" x14ac:dyDescent="0.25">
      <c r="A301" s="13" t="s">
        <v>1068</v>
      </c>
      <c r="B301" s="14" t="s">
        <v>473</v>
      </c>
      <c r="C301" s="14" t="s">
        <v>44</v>
      </c>
      <c r="D301" s="14" t="s">
        <v>44</v>
      </c>
      <c r="E301" s="14" t="s">
        <v>45</v>
      </c>
      <c r="F301" s="14" t="s">
        <v>46</v>
      </c>
      <c r="G301" s="15" t="s">
        <v>47</v>
      </c>
      <c r="H301" s="16" t="s">
        <v>48</v>
      </c>
      <c r="I301" s="14" t="s">
        <v>49</v>
      </c>
      <c r="J301" s="14">
        <v>900335279</v>
      </c>
      <c r="K301" s="14" t="s">
        <v>77</v>
      </c>
      <c r="L301" s="14" t="s">
        <v>103</v>
      </c>
      <c r="M301" s="14" t="s">
        <v>104</v>
      </c>
      <c r="N301" s="14">
        <v>2014</v>
      </c>
      <c r="O301" s="14">
        <v>6</v>
      </c>
      <c r="P301" s="14" t="s">
        <v>53</v>
      </c>
      <c r="Q301" s="14">
        <v>1</v>
      </c>
      <c r="R301" s="14">
        <v>0</v>
      </c>
      <c r="S301" s="17" t="s">
        <v>54</v>
      </c>
      <c r="T301" s="18">
        <v>0</v>
      </c>
      <c r="U301" s="14">
        <v>30</v>
      </c>
      <c r="V301" s="19">
        <v>1</v>
      </c>
      <c r="W301" s="14">
        <v>0</v>
      </c>
      <c r="X301" s="14">
        <v>0</v>
      </c>
      <c r="Y301" s="14">
        <v>0</v>
      </c>
      <c r="Z301" s="14">
        <v>0</v>
      </c>
      <c r="AA301" s="14">
        <f>Tabla13[[#This Row],[CheckList App]]+Tabla13[[#This Row],[CheckList Fisc]]</f>
        <v>0</v>
      </c>
      <c r="AB301" s="19">
        <f t="shared" si="4"/>
        <v>0</v>
      </c>
      <c r="AC301" s="14">
        <v>0</v>
      </c>
      <c r="AD301" s="14" t="s">
        <v>55</v>
      </c>
      <c r="AE301" s="15" t="str">
        <f>IFERROR((VLOOKUP(Tabla13[[#This Row],[ID]],[1]!Mtto_Pesv[[#Headers],[#Data],[Placa]:[Rutina]],2,FALSE)),"-")</f>
        <v>-</v>
      </c>
      <c r="AF301" s="14">
        <v>0</v>
      </c>
      <c r="AG301" s="20">
        <f>IFERROR((VLOOKUP(Tabla13[[#This Row],[ID]],[1]!Mtto_Pesv[[#Headers],[#Data],[Placa]:[Rutina]],3,FALSE)),0)</f>
        <v>0</v>
      </c>
      <c r="AH301" s="20">
        <f>IFERROR((VLOOKUP(Tabla13[[#This Row],[ID]],[1]!Mtto_Pesv[[#Headers],[#Data],[Placa]:[Rutina]],7,FALSE)),0)</f>
        <v>0</v>
      </c>
      <c r="AI301" s="20">
        <f>IFERROR((VLOOKUP(Tabla13[[#This Row],[ID]],[1]!Mtto_Pesv[[#Headers],[#Data],[Placa]:[Rutina]],8,FALSE)),0)</f>
        <v>0</v>
      </c>
      <c r="AJ301" s="20" t="str">
        <f>IFERROR((VLOOKUP(Tabla13[[#This Row],[ID]],[1]!Mtto_Pesv[[#Headers],[#Data],[Placa]:[Rutina]],9,FALSE)),"-")</f>
        <v>-</v>
      </c>
      <c r="AK301" s="20">
        <f>IFERROR((VLOOKUP(Tabla13[[#This Row],[ID]],[1]!Mtto_Pesv[[#Headers],[#Data],[Placa]:[Rutina]],10,FALSE)),0)</f>
        <v>0</v>
      </c>
      <c r="AL301" s="20">
        <f>IF(Tabla13[[#This Row],[Km Anterior]]=0,0,Tabla13[[#This Row],[Km Ejecut]]-Tabla13[[#This Row],[Km Anterior]])</f>
        <v>0</v>
      </c>
      <c r="AM301" s="20">
        <f>IFERROR((VLOOKUP(Tabla13[[#This Row],[ID]],[1]!Mtto_Pesv[[#Headers],[#Data],[Placa]:[Rutina]],4,FALSE)),0)</f>
        <v>0</v>
      </c>
      <c r="AN301" s="21">
        <f>IFERROR((VLOOKUP(Tabla13[[#This Row],[ID]],[1]!Mtto_Pesv[[#Headers],[#Data],[Placa]:[Rutina]],5,FALSE)),0)</f>
        <v>0</v>
      </c>
      <c r="AO301" s="21">
        <f>+Tabla13[[#This Row],[Km Fin]]-Tabla13[[#This Row],[Km Ini]]</f>
        <v>0</v>
      </c>
      <c r="AP301" s="20">
        <f>IFERROR((VLOOKUP(Tabla13[[#This Row],[ID]],[1]!Estilo_Conduccion[[#All],[Placa]:[Puntuacion]],15,FALSE)),0)</f>
        <v>199</v>
      </c>
      <c r="AQ301" s="15" t="s">
        <v>1252</v>
      </c>
      <c r="AR301" s="15" t="s">
        <v>1253</v>
      </c>
      <c r="AS301" s="20">
        <v>1300</v>
      </c>
      <c r="AT301" s="21">
        <v>3075</v>
      </c>
      <c r="AU301" s="21">
        <f>(Tabla13[[#This Row],[Cap Vh]]*$AX$2)*0.56</f>
        <v>0</v>
      </c>
      <c r="AV301" s="36" t="e">
        <f>(Tabla13[[#This Row],[Cap Util (kg)]]/(Tabla13[[#This Row],[Cap Inst (Kg)]]))</f>
        <v>#DIV/0!</v>
      </c>
    </row>
    <row r="302" spans="1:48" x14ac:dyDescent="0.25">
      <c r="A302" s="13" t="s">
        <v>1068</v>
      </c>
      <c r="B302" s="14" t="s">
        <v>474</v>
      </c>
      <c r="C302" s="14" t="s">
        <v>44</v>
      </c>
      <c r="D302" s="14" t="s">
        <v>44</v>
      </c>
      <c r="E302" s="14" t="s">
        <v>45</v>
      </c>
      <c r="F302" s="14" t="s">
        <v>46</v>
      </c>
      <c r="G302" s="15" t="s">
        <v>47</v>
      </c>
      <c r="H302" s="16" t="s">
        <v>48</v>
      </c>
      <c r="I302" s="14" t="s">
        <v>49</v>
      </c>
      <c r="J302" s="14">
        <v>860002964</v>
      </c>
      <c r="K302" s="14" t="s">
        <v>102</v>
      </c>
      <c r="L302" s="14" t="s">
        <v>103</v>
      </c>
      <c r="M302" s="14" t="s">
        <v>104</v>
      </c>
      <c r="N302" s="14">
        <v>2014</v>
      </c>
      <c r="O302" s="14">
        <v>6</v>
      </c>
      <c r="P302" s="14" t="s">
        <v>53</v>
      </c>
      <c r="Q302" s="14">
        <v>1</v>
      </c>
      <c r="R302" s="14">
        <v>0</v>
      </c>
      <c r="S302" s="17" t="s">
        <v>54</v>
      </c>
      <c r="T302" s="18">
        <v>0</v>
      </c>
      <c r="U302" s="14">
        <v>30</v>
      </c>
      <c r="V302" s="19">
        <v>1</v>
      </c>
      <c r="W302" s="14">
        <v>0</v>
      </c>
      <c r="X302" s="14">
        <v>0</v>
      </c>
      <c r="Y302" s="14">
        <v>0</v>
      </c>
      <c r="Z302" s="14">
        <v>0</v>
      </c>
      <c r="AA302" s="14">
        <f>Tabla13[[#This Row],[CheckList App]]+Tabla13[[#This Row],[CheckList Fisc]]</f>
        <v>0</v>
      </c>
      <c r="AB302" s="19">
        <f t="shared" si="4"/>
        <v>0</v>
      </c>
      <c r="AC302" s="14">
        <v>0</v>
      </c>
      <c r="AD302" s="14" t="s">
        <v>55</v>
      </c>
      <c r="AE302" s="15" t="str">
        <f>IFERROR((VLOOKUP(Tabla13[[#This Row],[ID]],[1]!Mtto_Pesv[[#Headers],[#Data],[Placa]:[Rutina]],2,FALSE)),"-")</f>
        <v>-</v>
      </c>
      <c r="AF302" s="14">
        <v>0</v>
      </c>
      <c r="AG302" s="20">
        <f>IFERROR((VLOOKUP(Tabla13[[#This Row],[ID]],[1]!Mtto_Pesv[[#Headers],[#Data],[Placa]:[Rutina]],3,FALSE)),0)</f>
        <v>0</v>
      </c>
      <c r="AH302" s="20">
        <f>IFERROR((VLOOKUP(Tabla13[[#This Row],[ID]],[1]!Mtto_Pesv[[#Headers],[#Data],[Placa]:[Rutina]],7,FALSE)),0)</f>
        <v>0</v>
      </c>
      <c r="AI302" s="20">
        <f>IFERROR((VLOOKUP(Tabla13[[#This Row],[ID]],[1]!Mtto_Pesv[[#Headers],[#Data],[Placa]:[Rutina]],8,FALSE)),0)</f>
        <v>0</v>
      </c>
      <c r="AJ302" s="20" t="str">
        <f>IFERROR((VLOOKUP(Tabla13[[#This Row],[ID]],[1]!Mtto_Pesv[[#Headers],[#Data],[Placa]:[Rutina]],9,FALSE)),"-")</f>
        <v>-</v>
      </c>
      <c r="AK302" s="20">
        <f>IFERROR((VLOOKUP(Tabla13[[#This Row],[ID]],[1]!Mtto_Pesv[[#Headers],[#Data],[Placa]:[Rutina]],10,FALSE)),0)</f>
        <v>0</v>
      </c>
      <c r="AL302" s="20">
        <f>IF(Tabla13[[#This Row],[Km Anterior]]=0,0,Tabla13[[#This Row],[Km Ejecut]]-Tabla13[[#This Row],[Km Anterior]])</f>
        <v>0</v>
      </c>
      <c r="AM302" s="20">
        <f>IFERROR((VLOOKUP(Tabla13[[#This Row],[ID]],[1]!Mtto_Pesv[[#Headers],[#Data],[Placa]:[Rutina]],4,FALSE)),0)</f>
        <v>0</v>
      </c>
      <c r="AN302" s="21">
        <f>IFERROR((VLOOKUP(Tabla13[[#This Row],[ID]],[1]!Mtto_Pesv[[#Headers],[#Data],[Placa]:[Rutina]],5,FALSE)),0)</f>
        <v>0</v>
      </c>
      <c r="AO302" s="21">
        <f>+Tabla13[[#This Row],[Km Fin]]-Tabla13[[#This Row],[Km Ini]]</f>
        <v>0</v>
      </c>
      <c r="AP302" s="20">
        <f>IFERROR((VLOOKUP(Tabla13[[#This Row],[ID]],[1]!Estilo_Conduccion[[#All],[Placa]:[Puntuacion]],15,FALSE)),0)</f>
        <v>313.89999999999998</v>
      </c>
      <c r="AQ302" s="15" t="s">
        <v>1069</v>
      </c>
      <c r="AR302" s="15" t="s">
        <v>475</v>
      </c>
      <c r="AS302" s="20">
        <v>1300</v>
      </c>
      <c r="AT302" s="21">
        <v>0</v>
      </c>
      <c r="AU302" s="21">
        <f>(Tabla13[[#This Row],[Cap Vh]]*$AX$2)*0.56</f>
        <v>0</v>
      </c>
      <c r="AV302" s="36" t="e">
        <f>(Tabla13[[#This Row],[Cap Util (kg)]]/(Tabla13[[#This Row],[Cap Inst (Kg)]]))</f>
        <v>#DIV/0!</v>
      </c>
    </row>
    <row r="303" spans="1:48" x14ac:dyDescent="0.25">
      <c r="A303" s="13" t="s">
        <v>1068</v>
      </c>
      <c r="B303" s="14" t="s">
        <v>476</v>
      </c>
      <c r="C303" s="14" t="s">
        <v>44</v>
      </c>
      <c r="D303" s="14" t="s">
        <v>44</v>
      </c>
      <c r="E303" s="14" t="s">
        <v>45</v>
      </c>
      <c r="F303" s="14" t="s">
        <v>76</v>
      </c>
      <c r="G303" s="15" t="s">
        <v>47</v>
      </c>
      <c r="H303" s="16" t="s">
        <v>48</v>
      </c>
      <c r="I303" s="14" t="s">
        <v>49</v>
      </c>
      <c r="J303" s="14">
        <v>860002964</v>
      </c>
      <c r="K303" s="14" t="s">
        <v>102</v>
      </c>
      <c r="L303" s="14" t="s">
        <v>103</v>
      </c>
      <c r="M303" s="14" t="s">
        <v>104</v>
      </c>
      <c r="N303" s="14">
        <v>2014</v>
      </c>
      <c r="O303" s="14">
        <v>6</v>
      </c>
      <c r="P303" s="14" t="s">
        <v>53</v>
      </c>
      <c r="Q303" s="14">
        <v>0</v>
      </c>
      <c r="R303" s="14">
        <v>0</v>
      </c>
      <c r="S303" s="17" t="s">
        <v>54</v>
      </c>
      <c r="T303" s="18">
        <v>0</v>
      </c>
      <c r="U303" s="14">
        <v>30</v>
      </c>
      <c r="V303" s="19">
        <v>1</v>
      </c>
      <c r="W303" s="14">
        <v>0</v>
      </c>
      <c r="X303" s="14">
        <v>0</v>
      </c>
      <c r="Y303" s="14">
        <v>0</v>
      </c>
      <c r="Z303" s="14">
        <v>0</v>
      </c>
      <c r="AA303" s="14">
        <f>Tabla13[[#This Row],[CheckList App]]+Tabla13[[#This Row],[CheckList Fisc]]</f>
        <v>0</v>
      </c>
      <c r="AB303" s="19">
        <f t="shared" si="4"/>
        <v>0</v>
      </c>
      <c r="AC303" s="14">
        <v>0</v>
      </c>
      <c r="AD303" s="14" t="s">
        <v>55</v>
      </c>
      <c r="AE303" s="15" t="str">
        <f>IFERROR((VLOOKUP(Tabla13[[#This Row],[ID]],[1]!Mtto_Pesv[[#Headers],[#Data],[Placa]:[Rutina]],2,FALSE)),"-")</f>
        <v>-</v>
      </c>
      <c r="AF303" s="14">
        <v>0</v>
      </c>
      <c r="AG303" s="20">
        <f>IFERROR((VLOOKUP(Tabla13[[#This Row],[ID]],[1]!Mtto_Pesv[[#Headers],[#Data],[Placa]:[Rutina]],3,FALSE)),0)</f>
        <v>0</v>
      </c>
      <c r="AH303" s="20">
        <f>IFERROR((VLOOKUP(Tabla13[[#This Row],[ID]],[1]!Mtto_Pesv[[#Headers],[#Data],[Placa]:[Rutina]],7,FALSE)),0)</f>
        <v>0</v>
      </c>
      <c r="AI303" s="20">
        <f>IFERROR((VLOOKUP(Tabla13[[#This Row],[ID]],[1]!Mtto_Pesv[[#Headers],[#Data],[Placa]:[Rutina]],8,FALSE)),0)</f>
        <v>0</v>
      </c>
      <c r="AJ303" s="20" t="str">
        <f>IFERROR((VLOOKUP(Tabla13[[#This Row],[ID]],[1]!Mtto_Pesv[[#Headers],[#Data],[Placa]:[Rutina]],9,FALSE)),"-")</f>
        <v>-</v>
      </c>
      <c r="AK303" s="20">
        <f>IFERROR((VLOOKUP(Tabla13[[#This Row],[ID]],[1]!Mtto_Pesv[[#Headers],[#Data],[Placa]:[Rutina]],10,FALSE)),0)</f>
        <v>0</v>
      </c>
      <c r="AL303" s="20">
        <f>IF(Tabla13[[#This Row],[Km Anterior]]=0,0,Tabla13[[#This Row],[Km Ejecut]]-Tabla13[[#This Row],[Km Anterior]])</f>
        <v>0</v>
      </c>
      <c r="AM303" s="20">
        <f>IFERROR((VLOOKUP(Tabla13[[#This Row],[ID]],[1]!Mtto_Pesv[[#Headers],[#Data],[Placa]:[Rutina]],4,FALSE)),0)</f>
        <v>0</v>
      </c>
      <c r="AN303" s="21">
        <f>IFERROR((VLOOKUP(Tabla13[[#This Row],[ID]],[1]!Mtto_Pesv[[#Headers],[#Data],[Placa]:[Rutina]],5,FALSE)),0)</f>
        <v>0</v>
      </c>
      <c r="AO303" s="21">
        <f>+Tabla13[[#This Row],[Km Fin]]-Tabla13[[#This Row],[Km Ini]]</f>
        <v>0</v>
      </c>
      <c r="AP303" s="20">
        <f>IFERROR((VLOOKUP(Tabla13[[#This Row],[ID]],[1]!Estilo_Conduccion[[#All],[Placa]:[Puntuacion]],15,FALSE)),0)</f>
        <v>0</v>
      </c>
      <c r="AQ303" s="15" t="s">
        <v>1069</v>
      </c>
      <c r="AR303" s="15" t="s">
        <v>1254</v>
      </c>
      <c r="AS303" s="20">
        <v>1300</v>
      </c>
      <c r="AT303" s="21">
        <v>0</v>
      </c>
      <c r="AU303" s="21">
        <f>(Tabla13[[#This Row],[Cap Vh]]*$AX$2)*0.56</f>
        <v>0</v>
      </c>
      <c r="AV303" s="36" t="e">
        <f>(Tabla13[[#This Row],[Cap Util (kg)]]/(Tabla13[[#This Row],[Cap Inst (Kg)]]))</f>
        <v>#DIV/0!</v>
      </c>
    </row>
    <row r="304" spans="1:48" x14ac:dyDescent="0.25">
      <c r="A304" s="13" t="s">
        <v>1068</v>
      </c>
      <c r="B304" s="14" t="s">
        <v>477</v>
      </c>
      <c r="C304" s="14" t="s">
        <v>44</v>
      </c>
      <c r="D304" s="14" t="s">
        <v>44</v>
      </c>
      <c r="E304" s="14" t="s">
        <v>58</v>
      </c>
      <c r="F304" s="14" t="s">
        <v>46</v>
      </c>
      <c r="G304" s="15" t="s">
        <v>47</v>
      </c>
      <c r="H304" s="16" t="s">
        <v>48</v>
      </c>
      <c r="I304" s="14" t="s">
        <v>49</v>
      </c>
      <c r="J304" s="14">
        <v>860002964</v>
      </c>
      <c r="K304" s="14" t="s">
        <v>102</v>
      </c>
      <c r="L304" s="14" t="s">
        <v>103</v>
      </c>
      <c r="M304" s="14" t="s">
        <v>104</v>
      </c>
      <c r="N304" s="14">
        <v>2014</v>
      </c>
      <c r="O304" s="14">
        <v>6</v>
      </c>
      <c r="P304" s="14" t="s">
        <v>53</v>
      </c>
      <c r="Q304" s="14">
        <v>1</v>
      </c>
      <c r="R304" s="14">
        <v>0</v>
      </c>
      <c r="S304" s="17" t="s">
        <v>54</v>
      </c>
      <c r="T304" s="18">
        <v>0</v>
      </c>
      <c r="U304" s="14">
        <v>30</v>
      </c>
      <c r="V304" s="19">
        <v>1</v>
      </c>
      <c r="W304" s="14">
        <v>0</v>
      </c>
      <c r="X304" s="14">
        <v>0</v>
      </c>
      <c r="Y304" s="14">
        <v>0</v>
      </c>
      <c r="Z304" s="14">
        <v>0</v>
      </c>
      <c r="AA304" s="14">
        <f>Tabla13[[#This Row],[CheckList App]]+Tabla13[[#This Row],[CheckList Fisc]]</f>
        <v>0</v>
      </c>
      <c r="AB304" s="19">
        <f t="shared" si="4"/>
        <v>0</v>
      </c>
      <c r="AC304" s="14">
        <v>0</v>
      </c>
      <c r="AD304" s="14" t="s">
        <v>55</v>
      </c>
      <c r="AE304" s="15" t="str">
        <f>IFERROR((VLOOKUP(Tabla13[[#This Row],[ID]],[1]!Mtto_Pesv[[#Headers],[#Data],[Placa]:[Rutina]],2,FALSE)),"-")</f>
        <v>-</v>
      </c>
      <c r="AF304" s="14">
        <v>0</v>
      </c>
      <c r="AG304" s="20">
        <f>IFERROR((VLOOKUP(Tabla13[[#This Row],[ID]],[1]!Mtto_Pesv[[#Headers],[#Data],[Placa]:[Rutina]],3,FALSE)),0)</f>
        <v>0</v>
      </c>
      <c r="AH304" s="20">
        <f>IFERROR((VLOOKUP(Tabla13[[#This Row],[ID]],[1]!Mtto_Pesv[[#Headers],[#Data],[Placa]:[Rutina]],7,FALSE)),0)</f>
        <v>0</v>
      </c>
      <c r="AI304" s="20">
        <f>IFERROR((VLOOKUP(Tabla13[[#This Row],[ID]],[1]!Mtto_Pesv[[#Headers],[#Data],[Placa]:[Rutina]],8,FALSE)),0)</f>
        <v>0</v>
      </c>
      <c r="AJ304" s="20" t="str">
        <f>IFERROR((VLOOKUP(Tabla13[[#This Row],[ID]],[1]!Mtto_Pesv[[#Headers],[#Data],[Placa]:[Rutina]],9,FALSE)),"-")</f>
        <v>-</v>
      </c>
      <c r="AK304" s="20">
        <f>IFERROR((VLOOKUP(Tabla13[[#This Row],[ID]],[1]!Mtto_Pesv[[#Headers],[#Data],[Placa]:[Rutina]],10,FALSE)),0)</f>
        <v>0</v>
      </c>
      <c r="AL304" s="20">
        <f>IF(Tabla13[[#This Row],[Km Anterior]]=0,0,Tabla13[[#This Row],[Km Ejecut]]-Tabla13[[#This Row],[Km Anterior]])</f>
        <v>0</v>
      </c>
      <c r="AM304" s="20">
        <f>IFERROR((VLOOKUP(Tabla13[[#This Row],[ID]],[1]!Mtto_Pesv[[#Headers],[#Data],[Placa]:[Rutina]],4,FALSE)),0)</f>
        <v>0</v>
      </c>
      <c r="AN304" s="21">
        <f>IFERROR((VLOOKUP(Tabla13[[#This Row],[ID]],[1]!Mtto_Pesv[[#Headers],[#Data],[Placa]:[Rutina]],5,FALSE)),0)</f>
        <v>0</v>
      </c>
      <c r="AO304" s="21">
        <f>+Tabla13[[#This Row],[Km Fin]]-Tabla13[[#This Row],[Km Ini]]</f>
        <v>0</v>
      </c>
      <c r="AP304" s="20">
        <f>IFERROR((VLOOKUP(Tabla13[[#This Row],[ID]],[1]!Estilo_Conduccion[[#All],[Placa]:[Puntuacion]],15,FALSE)),0)</f>
        <v>47.5</v>
      </c>
      <c r="AQ304" s="15" t="s">
        <v>1070</v>
      </c>
      <c r="AR304" s="15" t="s">
        <v>1071</v>
      </c>
      <c r="AS304" s="20">
        <v>1300</v>
      </c>
      <c r="AT304" s="21">
        <v>3775.4166666666665</v>
      </c>
      <c r="AU304" s="21">
        <f>(Tabla13[[#This Row],[Cap Vh]]*$AX$2)*0.56</f>
        <v>0</v>
      </c>
      <c r="AV304" s="36" t="e">
        <f>(Tabla13[[#This Row],[Cap Util (kg)]]/(Tabla13[[#This Row],[Cap Inst (Kg)]]))</f>
        <v>#DIV/0!</v>
      </c>
    </row>
    <row r="305" spans="1:48" x14ac:dyDescent="0.25">
      <c r="A305" s="13" t="s">
        <v>1068</v>
      </c>
      <c r="B305" s="14" t="s">
        <v>478</v>
      </c>
      <c r="C305" s="14" t="s">
        <v>44</v>
      </c>
      <c r="D305" s="14" t="s">
        <v>44</v>
      </c>
      <c r="E305" s="14" t="s">
        <v>85</v>
      </c>
      <c r="F305" s="14" t="s">
        <v>64</v>
      </c>
      <c r="G305" s="15" t="s">
        <v>47</v>
      </c>
      <c r="H305" s="16" t="s">
        <v>48</v>
      </c>
      <c r="I305" s="14" t="s">
        <v>203</v>
      </c>
      <c r="J305" s="14">
        <v>860002964</v>
      </c>
      <c r="K305" s="14" t="s">
        <v>102</v>
      </c>
      <c r="L305" s="14" t="s">
        <v>103</v>
      </c>
      <c r="M305" s="14" t="s">
        <v>104</v>
      </c>
      <c r="N305" s="14">
        <v>2014</v>
      </c>
      <c r="O305" s="14">
        <v>6</v>
      </c>
      <c r="P305" s="14" t="s">
        <v>53</v>
      </c>
      <c r="Q305" s="14">
        <v>0</v>
      </c>
      <c r="R305" s="14">
        <v>0</v>
      </c>
      <c r="S305" s="17" t="s">
        <v>54</v>
      </c>
      <c r="T305" s="18">
        <v>0</v>
      </c>
      <c r="U305" s="14">
        <v>30</v>
      </c>
      <c r="V305" s="19">
        <v>1</v>
      </c>
      <c r="W305" s="14">
        <v>0</v>
      </c>
      <c r="X305" s="14">
        <v>0</v>
      </c>
      <c r="Y305" s="14">
        <v>0</v>
      </c>
      <c r="Z305" s="14">
        <v>0</v>
      </c>
      <c r="AA305" s="14">
        <f>Tabla13[[#This Row],[CheckList App]]+Tabla13[[#This Row],[CheckList Fisc]]</f>
        <v>0</v>
      </c>
      <c r="AB305" s="19">
        <f t="shared" si="4"/>
        <v>0</v>
      </c>
      <c r="AC305" s="14">
        <v>0</v>
      </c>
      <c r="AD305" s="14" t="s">
        <v>70</v>
      </c>
      <c r="AE305" s="15" t="str">
        <f>IFERROR((VLOOKUP(Tabla13[[#This Row],[ID]],[1]!Mtto_Pesv[[#Headers],[#Data],[Placa]:[Rutina]],2,FALSE)),"-")</f>
        <v>-</v>
      </c>
      <c r="AF305" s="14">
        <v>1</v>
      </c>
      <c r="AG305" s="20">
        <f>IFERROR((VLOOKUP(Tabla13[[#This Row],[ID]],[1]!Mtto_Pesv[[#Headers],[#Data],[Placa]:[Rutina]],3,FALSE)),0)</f>
        <v>0</v>
      </c>
      <c r="AH305" s="20">
        <f>IFERROR((VLOOKUP(Tabla13[[#This Row],[ID]],[1]!Mtto_Pesv[[#Headers],[#Data],[Placa]:[Rutina]],7,FALSE)),0)</f>
        <v>0</v>
      </c>
      <c r="AI305" s="20">
        <f>IFERROR((VLOOKUP(Tabla13[[#This Row],[ID]],[1]!Mtto_Pesv[[#Headers],[#Data],[Placa]:[Rutina]],8,FALSE)),0)</f>
        <v>0</v>
      </c>
      <c r="AJ305" s="20" t="str">
        <f>IFERROR((VLOOKUP(Tabla13[[#This Row],[ID]],[1]!Mtto_Pesv[[#Headers],[#Data],[Placa]:[Rutina]],9,FALSE)),"-")</f>
        <v>-</v>
      </c>
      <c r="AK305" s="20">
        <f>IFERROR((VLOOKUP(Tabla13[[#This Row],[ID]],[1]!Mtto_Pesv[[#Headers],[#Data],[Placa]:[Rutina]],10,FALSE)),0)</f>
        <v>0</v>
      </c>
      <c r="AL305" s="20">
        <f>IF(Tabla13[[#This Row],[Km Anterior]]=0,0,Tabla13[[#This Row],[Km Ejecut]]-Tabla13[[#This Row],[Km Anterior]])</f>
        <v>0</v>
      </c>
      <c r="AM305" s="20">
        <f>IFERROR((VLOOKUP(Tabla13[[#This Row],[ID]],[1]!Mtto_Pesv[[#Headers],[#Data],[Placa]:[Rutina]],4,FALSE)),0)</f>
        <v>0</v>
      </c>
      <c r="AN305" s="21">
        <f>IFERROR((VLOOKUP(Tabla13[[#This Row],[ID]],[1]!Mtto_Pesv[[#Headers],[#Data],[Placa]:[Rutina]],5,FALSE)),0)</f>
        <v>0</v>
      </c>
      <c r="AO305" s="21">
        <f>+Tabla13[[#This Row],[Km Fin]]-Tabla13[[#This Row],[Km Ini]]</f>
        <v>0</v>
      </c>
      <c r="AP305" s="20">
        <f>IFERROR((VLOOKUP(Tabla13[[#This Row],[ID]],[1]!Estilo_Conduccion[[#All],[Placa]:[Puntuacion]],15,FALSE)),0)</f>
        <v>0</v>
      </c>
      <c r="AQ305" s="15" t="s">
        <v>1255</v>
      </c>
      <c r="AR305" s="15" t="s">
        <v>1256</v>
      </c>
      <c r="AS305" s="20">
        <v>1300</v>
      </c>
      <c r="AT305" s="21">
        <v>5829</v>
      </c>
      <c r="AU305" s="21">
        <f>(Tabla13[[#This Row],[Cap Vh]]*$AX$2)*0.56</f>
        <v>0</v>
      </c>
      <c r="AV305" s="36" t="e">
        <f>(Tabla13[[#This Row],[Cap Util (kg)]]/(Tabla13[[#This Row],[Cap Inst (Kg)]]))</f>
        <v>#DIV/0!</v>
      </c>
    </row>
    <row r="306" spans="1:48" x14ac:dyDescent="0.25">
      <c r="A306" s="13" t="s">
        <v>1068</v>
      </c>
      <c r="B306" s="14" t="s">
        <v>479</v>
      </c>
      <c r="C306" s="14" t="s">
        <v>44</v>
      </c>
      <c r="D306" s="14" t="s">
        <v>44</v>
      </c>
      <c r="E306" s="14" t="s">
        <v>45</v>
      </c>
      <c r="F306" s="14" t="s">
        <v>337</v>
      </c>
      <c r="G306" s="15" t="s">
        <v>47</v>
      </c>
      <c r="H306" s="16" t="s">
        <v>48</v>
      </c>
      <c r="I306" s="14" t="s">
        <v>49</v>
      </c>
      <c r="J306" s="14">
        <v>860002964</v>
      </c>
      <c r="K306" s="14" t="s">
        <v>102</v>
      </c>
      <c r="L306" s="14" t="s">
        <v>103</v>
      </c>
      <c r="M306" s="14" t="s">
        <v>104</v>
      </c>
      <c r="N306" s="14">
        <v>2014</v>
      </c>
      <c r="O306" s="14">
        <v>6</v>
      </c>
      <c r="P306" s="14" t="s">
        <v>53</v>
      </c>
      <c r="Q306" s="14">
        <v>1</v>
      </c>
      <c r="R306" s="14">
        <v>0</v>
      </c>
      <c r="S306" s="17" t="s">
        <v>54</v>
      </c>
      <c r="T306" s="18">
        <v>0</v>
      </c>
      <c r="U306" s="14">
        <v>0</v>
      </c>
      <c r="V306" s="19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f>Tabla13[[#This Row],[CheckList App]]+Tabla13[[#This Row],[CheckList Fisc]]</f>
        <v>0</v>
      </c>
      <c r="AB306" s="19" t="str">
        <f t="shared" si="4"/>
        <v/>
      </c>
      <c r="AC306" s="14">
        <v>2</v>
      </c>
      <c r="AD306" s="14" t="s">
        <v>55</v>
      </c>
      <c r="AE306" s="15" t="str">
        <f>IFERROR((VLOOKUP(Tabla13[[#This Row],[ID]],[1]!Mtto_Pesv[[#Headers],[#Data],[Placa]:[Rutina]],2,FALSE)),"-")</f>
        <v>-</v>
      </c>
      <c r="AF306" s="14">
        <v>0</v>
      </c>
      <c r="AG306" s="20">
        <f>IFERROR((VLOOKUP(Tabla13[[#This Row],[ID]],[1]!Mtto_Pesv[[#Headers],[#Data],[Placa]:[Rutina]],3,FALSE)),0)</f>
        <v>0</v>
      </c>
      <c r="AH306" s="20">
        <f>IFERROR((VLOOKUP(Tabla13[[#This Row],[ID]],[1]!Mtto_Pesv[[#Headers],[#Data],[Placa]:[Rutina]],7,FALSE)),0)</f>
        <v>0</v>
      </c>
      <c r="AI306" s="20">
        <f>IFERROR((VLOOKUP(Tabla13[[#This Row],[ID]],[1]!Mtto_Pesv[[#Headers],[#Data],[Placa]:[Rutina]],8,FALSE)),0)</f>
        <v>0</v>
      </c>
      <c r="AJ306" s="20" t="str">
        <f>IFERROR((VLOOKUP(Tabla13[[#This Row],[ID]],[1]!Mtto_Pesv[[#Headers],[#Data],[Placa]:[Rutina]],9,FALSE)),"-")</f>
        <v>-</v>
      </c>
      <c r="AK306" s="20">
        <f>IFERROR((VLOOKUP(Tabla13[[#This Row],[ID]],[1]!Mtto_Pesv[[#Headers],[#Data],[Placa]:[Rutina]],10,FALSE)),0)</f>
        <v>0</v>
      </c>
      <c r="AL306" s="20">
        <f>IF(Tabla13[[#This Row],[Km Anterior]]=0,0,Tabla13[[#This Row],[Km Ejecut]]-Tabla13[[#This Row],[Km Anterior]])</f>
        <v>0</v>
      </c>
      <c r="AM306" s="20">
        <f>IFERROR((VLOOKUP(Tabla13[[#This Row],[ID]],[1]!Mtto_Pesv[[#Headers],[#Data],[Placa]:[Rutina]],4,FALSE)),0)</f>
        <v>0</v>
      </c>
      <c r="AN306" s="21">
        <f>IFERROR((VLOOKUP(Tabla13[[#This Row],[ID]],[1]!Mtto_Pesv[[#Headers],[#Data],[Placa]:[Rutina]],5,FALSE)),0)</f>
        <v>0</v>
      </c>
      <c r="AO306" s="21">
        <f>+Tabla13[[#This Row],[Km Fin]]-Tabla13[[#This Row],[Km Ini]]</f>
        <v>0</v>
      </c>
      <c r="AP306" s="20">
        <f>IFERROR((VLOOKUP(Tabla13[[#This Row],[ID]],[1]!Estilo_Conduccion[[#All],[Placa]:[Puntuacion]],15,FALSE)),0)</f>
        <v>31.5</v>
      </c>
      <c r="AQ306" s="15" t="s">
        <v>1069</v>
      </c>
      <c r="AR306" s="15" t="s">
        <v>291</v>
      </c>
      <c r="AS306" s="20">
        <v>1300</v>
      </c>
      <c r="AT306" s="21">
        <v>0</v>
      </c>
      <c r="AU306" s="21">
        <f>(Tabla13[[#This Row],[Cap Vh]]*$AX$2)*0.56</f>
        <v>0</v>
      </c>
      <c r="AV306" s="36" t="e">
        <f>(Tabla13[[#This Row],[Cap Util (kg)]]/(Tabla13[[#This Row],[Cap Inst (Kg)]]))</f>
        <v>#DIV/0!</v>
      </c>
    </row>
    <row r="307" spans="1:48" x14ac:dyDescent="0.25">
      <c r="A307" s="13" t="s">
        <v>1068</v>
      </c>
      <c r="B307" s="14" t="s">
        <v>480</v>
      </c>
      <c r="C307" s="14" t="s">
        <v>44</v>
      </c>
      <c r="D307" s="14" t="s">
        <v>44</v>
      </c>
      <c r="E307" s="14" t="s">
        <v>45</v>
      </c>
      <c r="F307" s="14" t="s">
        <v>337</v>
      </c>
      <c r="G307" s="15" t="s">
        <v>47</v>
      </c>
      <c r="H307" s="16" t="s">
        <v>48</v>
      </c>
      <c r="I307" s="14" t="s">
        <v>49</v>
      </c>
      <c r="J307" s="14">
        <v>860002964</v>
      </c>
      <c r="K307" s="14" t="s">
        <v>102</v>
      </c>
      <c r="L307" s="14" t="s">
        <v>103</v>
      </c>
      <c r="M307" s="14" t="s">
        <v>104</v>
      </c>
      <c r="N307" s="14">
        <v>2014</v>
      </c>
      <c r="O307" s="14">
        <v>6</v>
      </c>
      <c r="P307" s="14" t="s">
        <v>53</v>
      </c>
      <c r="Q307" s="14">
        <v>1</v>
      </c>
      <c r="R307" s="14">
        <v>0</v>
      </c>
      <c r="S307" s="17" t="s">
        <v>54</v>
      </c>
      <c r="T307" s="18">
        <v>0</v>
      </c>
      <c r="U307" s="14">
        <v>30</v>
      </c>
      <c r="V307" s="19">
        <v>1</v>
      </c>
      <c r="W307" s="14">
        <v>0</v>
      </c>
      <c r="X307" s="14">
        <v>0</v>
      </c>
      <c r="Y307" s="14">
        <v>0</v>
      </c>
      <c r="Z307" s="14">
        <v>0</v>
      </c>
      <c r="AA307" s="14">
        <f>Tabla13[[#This Row],[CheckList App]]+Tabla13[[#This Row],[CheckList Fisc]]</f>
        <v>0</v>
      </c>
      <c r="AB307" s="19">
        <f t="shared" si="4"/>
        <v>0</v>
      </c>
      <c r="AC307" s="14">
        <v>0</v>
      </c>
      <c r="AD307" s="14" t="s">
        <v>70</v>
      </c>
      <c r="AE307" s="15" t="str">
        <f>IFERROR((VLOOKUP(Tabla13[[#This Row],[ID]],[1]!Mtto_Pesv[[#Headers],[#Data],[Placa]:[Rutina]],2,FALSE)),"-")</f>
        <v>-</v>
      </c>
      <c r="AF307" s="14">
        <v>1</v>
      </c>
      <c r="AG307" s="20">
        <f>IFERROR((VLOOKUP(Tabla13[[#This Row],[ID]],[1]!Mtto_Pesv[[#Headers],[#Data],[Placa]:[Rutina]],3,FALSE)),0)</f>
        <v>0</v>
      </c>
      <c r="AH307" s="20">
        <f>IFERROR((VLOOKUP(Tabla13[[#This Row],[ID]],[1]!Mtto_Pesv[[#Headers],[#Data],[Placa]:[Rutina]],7,FALSE)),0)</f>
        <v>0</v>
      </c>
      <c r="AI307" s="20">
        <f>IFERROR((VLOOKUP(Tabla13[[#This Row],[ID]],[1]!Mtto_Pesv[[#Headers],[#Data],[Placa]:[Rutina]],8,FALSE)),0)</f>
        <v>0</v>
      </c>
      <c r="AJ307" s="20" t="str">
        <f>IFERROR((VLOOKUP(Tabla13[[#This Row],[ID]],[1]!Mtto_Pesv[[#Headers],[#Data],[Placa]:[Rutina]],9,FALSE)),"-")</f>
        <v>-</v>
      </c>
      <c r="AK307" s="20">
        <f>IFERROR((VLOOKUP(Tabla13[[#This Row],[ID]],[1]!Mtto_Pesv[[#Headers],[#Data],[Placa]:[Rutina]],10,FALSE)),0)</f>
        <v>0</v>
      </c>
      <c r="AL307" s="20">
        <f>IF(Tabla13[[#This Row],[Km Anterior]]=0,0,Tabla13[[#This Row],[Km Ejecut]]-Tabla13[[#This Row],[Km Anterior]])</f>
        <v>0</v>
      </c>
      <c r="AM307" s="20">
        <f>IFERROR((VLOOKUP(Tabla13[[#This Row],[ID]],[1]!Mtto_Pesv[[#Headers],[#Data],[Placa]:[Rutina]],4,FALSE)),0)</f>
        <v>0</v>
      </c>
      <c r="AN307" s="21">
        <f>IFERROR((VLOOKUP(Tabla13[[#This Row],[ID]],[1]!Mtto_Pesv[[#Headers],[#Data],[Placa]:[Rutina]],5,FALSE)),0)</f>
        <v>0</v>
      </c>
      <c r="AO307" s="21">
        <f>+Tabla13[[#This Row],[Km Fin]]-Tabla13[[#This Row],[Km Ini]]</f>
        <v>0</v>
      </c>
      <c r="AP307" s="20">
        <f>IFERROR((VLOOKUP(Tabla13[[#This Row],[ID]],[1]!Estilo_Conduccion[[#All],[Placa]:[Puntuacion]],15,FALSE)),0)</f>
        <v>0</v>
      </c>
      <c r="AQ307" s="15" t="s">
        <v>1257</v>
      </c>
      <c r="AR307" s="15" t="s">
        <v>1258</v>
      </c>
      <c r="AS307" s="20">
        <v>1300</v>
      </c>
      <c r="AT307" s="21">
        <v>14013</v>
      </c>
      <c r="AU307" s="21">
        <f>(Tabla13[[#This Row],[Cap Vh]]*$AX$2)*0.56</f>
        <v>0</v>
      </c>
      <c r="AV307" s="36" t="e">
        <f>(Tabla13[[#This Row],[Cap Util (kg)]]/(Tabla13[[#This Row],[Cap Inst (Kg)]]))</f>
        <v>#DIV/0!</v>
      </c>
    </row>
    <row r="308" spans="1:48" x14ac:dyDescent="0.25">
      <c r="A308" s="13" t="s">
        <v>1068</v>
      </c>
      <c r="B308" s="14" t="s">
        <v>481</v>
      </c>
      <c r="C308" s="14" t="s">
        <v>44</v>
      </c>
      <c r="D308" s="14" t="s">
        <v>44</v>
      </c>
      <c r="E308" s="14" t="s">
        <v>45</v>
      </c>
      <c r="F308" s="14" t="s">
        <v>76</v>
      </c>
      <c r="G308" s="15" t="s">
        <v>47</v>
      </c>
      <c r="H308" s="16" t="s">
        <v>48</v>
      </c>
      <c r="I308" s="14" t="s">
        <v>49</v>
      </c>
      <c r="J308" s="14">
        <v>860002964</v>
      </c>
      <c r="K308" s="14" t="s">
        <v>102</v>
      </c>
      <c r="L308" s="14" t="s">
        <v>103</v>
      </c>
      <c r="M308" s="14" t="s">
        <v>104</v>
      </c>
      <c r="N308" s="14">
        <v>2014</v>
      </c>
      <c r="O308" s="14">
        <v>6</v>
      </c>
      <c r="P308" s="14" t="s">
        <v>53</v>
      </c>
      <c r="Q308" s="14">
        <v>1</v>
      </c>
      <c r="R308" s="14">
        <v>0</v>
      </c>
      <c r="S308" s="17" t="s">
        <v>54</v>
      </c>
      <c r="T308" s="18">
        <v>0</v>
      </c>
      <c r="U308" s="14">
        <v>30</v>
      </c>
      <c r="V308" s="19">
        <v>1</v>
      </c>
      <c r="W308" s="14">
        <v>0</v>
      </c>
      <c r="X308" s="14">
        <v>0</v>
      </c>
      <c r="Y308" s="14">
        <v>0</v>
      </c>
      <c r="Z308" s="14">
        <v>0</v>
      </c>
      <c r="AA308" s="14">
        <f>Tabla13[[#This Row],[CheckList App]]+Tabla13[[#This Row],[CheckList Fisc]]</f>
        <v>0</v>
      </c>
      <c r="AB308" s="19">
        <f t="shared" si="4"/>
        <v>0</v>
      </c>
      <c r="AC308" s="14">
        <v>0</v>
      </c>
      <c r="AD308" s="14" t="s">
        <v>55</v>
      </c>
      <c r="AE308" s="15" t="str">
        <f>IFERROR((VLOOKUP(Tabla13[[#This Row],[ID]],[1]!Mtto_Pesv[[#Headers],[#Data],[Placa]:[Rutina]],2,FALSE)),"-")</f>
        <v>-</v>
      </c>
      <c r="AF308" s="14">
        <v>0</v>
      </c>
      <c r="AG308" s="20">
        <f>IFERROR((VLOOKUP(Tabla13[[#This Row],[ID]],[1]!Mtto_Pesv[[#Headers],[#Data],[Placa]:[Rutina]],3,FALSE)),0)</f>
        <v>0</v>
      </c>
      <c r="AH308" s="20">
        <f>IFERROR((VLOOKUP(Tabla13[[#This Row],[ID]],[1]!Mtto_Pesv[[#Headers],[#Data],[Placa]:[Rutina]],7,FALSE)),0)</f>
        <v>0</v>
      </c>
      <c r="AI308" s="20">
        <f>IFERROR((VLOOKUP(Tabla13[[#This Row],[ID]],[1]!Mtto_Pesv[[#Headers],[#Data],[Placa]:[Rutina]],8,FALSE)),0)</f>
        <v>0</v>
      </c>
      <c r="AJ308" s="20" t="str">
        <f>IFERROR((VLOOKUP(Tabla13[[#This Row],[ID]],[1]!Mtto_Pesv[[#Headers],[#Data],[Placa]:[Rutina]],9,FALSE)),"-")</f>
        <v>-</v>
      </c>
      <c r="AK308" s="20">
        <f>IFERROR((VLOOKUP(Tabla13[[#This Row],[ID]],[1]!Mtto_Pesv[[#Headers],[#Data],[Placa]:[Rutina]],10,FALSE)),0)</f>
        <v>0</v>
      </c>
      <c r="AL308" s="20">
        <f>IF(Tabla13[[#This Row],[Km Anterior]]=0,0,Tabla13[[#This Row],[Km Ejecut]]-Tabla13[[#This Row],[Km Anterior]])</f>
        <v>0</v>
      </c>
      <c r="AM308" s="20">
        <f>IFERROR((VLOOKUP(Tabla13[[#This Row],[ID]],[1]!Mtto_Pesv[[#Headers],[#Data],[Placa]:[Rutina]],4,FALSE)),0)</f>
        <v>0</v>
      </c>
      <c r="AN308" s="21">
        <f>IFERROR((VLOOKUP(Tabla13[[#This Row],[ID]],[1]!Mtto_Pesv[[#Headers],[#Data],[Placa]:[Rutina]],5,FALSE)),0)</f>
        <v>0</v>
      </c>
      <c r="AO308" s="21">
        <f>+Tabla13[[#This Row],[Km Fin]]-Tabla13[[#This Row],[Km Ini]]</f>
        <v>0</v>
      </c>
      <c r="AP308" s="20">
        <f>IFERROR((VLOOKUP(Tabla13[[#This Row],[ID]],[1]!Estilo_Conduccion[[#All],[Placa]:[Puntuacion]],15,FALSE)),0)</f>
        <v>124.60000000000001</v>
      </c>
      <c r="AQ308" s="15" t="s">
        <v>1259</v>
      </c>
      <c r="AR308" s="15" t="s">
        <v>1260</v>
      </c>
      <c r="AS308" s="20">
        <v>1300</v>
      </c>
      <c r="AT308" s="21">
        <v>7020</v>
      </c>
      <c r="AU308" s="21">
        <f>(Tabla13[[#This Row],[Cap Vh]]*$AX$2)*0.56</f>
        <v>0</v>
      </c>
      <c r="AV308" s="36" t="e">
        <f>(Tabla13[[#This Row],[Cap Util (kg)]]/(Tabla13[[#This Row],[Cap Inst (Kg)]]))</f>
        <v>#DIV/0!</v>
      </c>
    </row>
    <row r="309" spans="1:48" x14ac:dyDescent="0.25">
      <c r="A309" s="13" t="s">
        <v>1068</v>
      </c>
      <c r="B309" s="14" t="s">
        <v>482</v>
      </c>
      <c r="C309" s="14" t="s">
        <v>44</v>
      </c>
      <c r="D309" s="14" t="s">
        <v>44</v>
      </c>
      <c r="E309" s="14" t="s">
        <v>127</v>
      </c>
      <c r="F309" s="14" t="s">
        <v>337</v>
      </c>
      <c r="G309" s="15" t="s">
        <v>47</v>
      </c>
      <c r="H309" s="16" t="s">
        <v>48</v>
      </c>
      <c r="I309" s="14" t="s">
        <v>49</v>
      </c>
      <c r="J309" s="14">
        <v>860002964</v>
      </c>
      <c r="K309" s="14" t="s">
        <v>102</v>
      </c>
      <c r="L309" s="14" t="s">
        <v>103</v>
      </c>
      <c r="M309" s="14" t="s">
        <v>104</v>
      </c>
      <c r="N309" s="14">
        <v>2014</v>
      </c>
      <c r="O309" s="14">
        <v>6</v>
      </c>
      <c r="P309" s="14" t="s">
        <v>53</v>
      </c>
      <c r="Q309" s="14">
        <v>1</v>
      </c>
      <c r="R309" s="14">
        <v>0</v>
      </c>
      <c r="S309" s="17" t="s">
        <v>54</v>
      </c>
      <c r="T309" s="18">
        <v>0</v>
      </c>
      <c r="U309" s="14">
        <v>30</v>
      </c>
      <c r="V309" s="19">
        <v>1</v>
      </c>
      <c r="W309" s="14">
        <v>0</v>
      </c>
      <c r="X309" s="14">
        <v>0</v>
      </c>
      <c r="Y309" s="14">
        <v>0</v>
      </c>
      <c r="Z309" s="14">
        <v>0</v>
      </c>
      <c r="AA309" s="14">
        <f>Tabla13[[#This Row],[CheckList App]]+Tabla13[[#This Row],[CheckList Fisc]]</f>
        <v>0</v>
      </c>
      <c r="AB309" s="19">
        <f t="shared" si="4"/>
        <v>0</v>
      </c>
      <c r="AC309" s="14">
        <v>0</v>
      </c>
      <c r="AD309" s="14" t="s">
        <v>55</v>
      </c>
      <c r="AE309" s="15" t="str">
        <f>IFERROR((VLOOKUP(Tabla13[[#This Row],[ID]],[1]!Mtto_Pesv[[#Headers],[#Data],[Placa]:[Rutina]],2,FALSE)),"-")</f>
        <v>-</v>
      </c>
      <c r="AF309" s="14">
        <v>0</v>
      </c>
      <c r="AG309" s="20">
        <f>IFERROR((VLOOKUP(Tabla13[[#This Row],[ID]],[1]!Mtto_Pesv[[#Headers],[#Data],[Placa]:[Rutina]],3,FALSE)),0)</f>
        <v>0</v>
      </c>
      <c r="AH309" s="20">
        <f>IFERROR((VLOOKUP(Tabla13[[#This Row],[ID]],[1]!Mtto_Pesv[[#Headers],[#Data],[Placa]:[Rutina]],7,FALSE)),0)</f>
        <v>0</v>
      </c>
      <c r="AI309" s="20">
        <f>IFERROR((VLOOKUP(Tabla13[[#This Row],[ID]],[1]!Mtto_Pesv[[#Headers],[#Data],[Placa]:[Rutina]],8,FALSE)),0)</f>
        <v>0</v>
      </c>
      <c r="AJ309" s="20" t="str">
        <f>IFERROR((VLOOKUP(Tabla13[[#This Row],[ID]],[1]!Mtto_Pesv[[#Headers],[#Data],[Placa]:[Rutina]],9,FALSE)),"-")</f>
        <v>-</v>
      </c>
      <c r="AK309" s="20">
        <f>IFERROR((VLOOKUP(Tabla13[[#This Row],[ID]],[1]!Mtto_Pesv[[#Headers],[#Data],[Placa]:[Rutina]],10,FALSE)),0)</f>
        <v>0</v>
      </c>
      <c r="AL309" s="20">
        <f>IF(Tabla13[[#This Row],[Km Anterior]]=0,0,Tabla13[[#This Row],[Km Ejecut]]-Tabla13[[#This Row],[Km Anterior]])</f>
        <v>0</v>
      </c>
      <c r="AM309" s="20">
        <f>IFERROR((VLOOKUP(Tabla13[[#This Row],[ID]],[1]!Mtto_Pesv[[#Headers],[#Data],[Placa]:[Rutina]],4,FALSE)),0)</f>
        <v>0</v>
      </c>
      <c r="AN309" s="21">
        <f>IFERROR((VLOOKUP(Tabla13[[#This Row],[ID]],[1]!Mtto_Pesv[[#Headers],[#Data],[Placa]:[Rutina]],5,FALSE)),0)</f>
        <v>0</v>
      </c>
      <c r="AO309" s="21">
        <f>+Tabla13[[#This Row],[Km Fin]]-Tabla13[[#This Row],[Km Ini]]</f>
        <v>0</v>
      </c>
      <c r="AP309" s="20">
        <f>IFERROR((VLOOKUP(Tabla13[[#This Row],[ID]],[1]!Estilo_Conduccion[[#All],[Placa]:[Puntuacion]],15,FALSE)),0)</f>
        <v>22.5</v>
      </c>
      <c r="AQ309" s="15" t="s">
        <v>1261</v>
      </c>
      <c r="AR309" s="15" t="s">
        <v>1262</v>
      </c>
      <c r="AS309" s="20">
        <v>1300</v>
      </c>
      <c r="AT309" s="21">
        <v>2673</v>
      </c>
      <c r="AU309" s="21">
        <f>(Tabla13[[#This Row],[Cap Vh]]*$AX$2)*0.56</f>
        <v>0</v>
      </c>
      <c r="AV309" s="36" t="e">
        <f>(Tabla13[[#This Row],[Cap Util (kg)]]/(Tabla13[[#This Row],[Cap Inst (Kg)]]))</f>
        <v>#DIV/0!</v>
      </c>
    </row>
    <row r="310" spans="1:48" x14ac:dyDescent="0.25">
      <c r="A310" s="13" t="s">
        <v>1068</v>
      </c>
      <c r="B310" s="14" t="s">
        <v>483</v>
      </c>
      <c r="C310" s="14" t="s">
        <v>44</v>
      </c>
      <c r="D310" s="14" t="s">
        <v>44</v>
      </c>
      <c r="E310" s="14" t="s">
        <v>45</v>
      </c>
      <c r="F310" s="14" t="s">
        <v>76</v>
      </c>
      <c r="G310" s="15" t="s">
        <v>47</v>
      </c>
      <c r="H310" s="16" t="s">
        <v>48</v>
      </c>
      <c r="I310" s="14" t="s">
        <v>49</v>
      </c>
      <c r="J310" s="14">
        <v>860002964</v>
      </c>
      <c r="K310" s="14" t="s">
        <v>102</v>
      </c>
      <c r="L310" s="14" t="s">
        <v>103</v>
      </c>
      <c r="M310" s="14" t="s">
        <v>104</v>
      </c>
      <c r="N310" s="14">
        <v>2014</v>
      </c>
      <c r="O310" s="14">
        <v>6</v>
      </c>
      <c r="P310" s="14" t="s">
        <v>53</v>
      </c>
      <c r="Q310" s="14">
        <v>1</v>
      </c>
      <c r="R310" s="14">
        <v>0</v>
      </c>
      <c r="S310" s="17" t="s">
        <v>54</v>
      </c>
      <c r="T310" s="18">
        <v>0</v>
      </c>
      <c r="U310" s="14">
        <v>30</v>
      </c>
      <c r="V310" s="19">
        <v>1</v>
      </c>
      <c r="W310" s="14">
        <v>0</v>
      </c>
      <c r="X310" s="14">
        <v>0</v>
      </c>
      <c r="Y310" s="14">
        <v>0</v>
      </c>
      <c r="Z310" s="14">
        <v>0</v>
      </c>
      <c r="AA310" s="14">
        <f>Tabla13[[#This Row],[CheckList App]]+Tabla13[[#This Row],[CheckList Fisc]]</f>
        <v>0</v>
      </c>
      <c r="AB310" s="19">
        <f t="shared" si="4"/>
        <v>0</v>
      </c>
      <c r="AC310" s="14">
        <v>0</v>
      </c>
      <c r="AD310" s="14" t="s">
        <v>55</v>
      </c>
      <c r="AE310" s="15" t="str">
        <f>IFERROR((VLOOKUP(Tabla13[[#This Row],[ID]],[1]!Mtto_Pesv[[#Headers],[#Data],[Placa]:[Rutina]],2,FALSE)),"-")</f>
        <v>-</v>
      </c>
      <c r="AF310" s="14">
        <v>0</v>
      </c>
      <c r="AG310" s="20">
        <f>IFERROR((VLOOKUP(Tabla13[[#This Row],[ID]],[1]!Mtto_Pesv[[#Headers],[#Data],[Placa]:[Rutina]],3,FALSE)),0)</f>
        <v>0</v>
      </c>
      <c r="AH310" s="20">
        <f>IFERROR((VLOOKUP(Tabla13[[#This Row],[ID]],[1]!Mtto_Pesv[[#Headers],[#Data],[Placa]:[Rutina]],7,FALSE)),0)</f>
        <v>0</v>
      </c>
      <c r="AI310" s="20">
        <f>IFERROR((VLOOKUP(Tabla13[[#This Row],[ID]],[1]!Mtto_Pesv[[#Headers],[#Data],[Placa]:[Rutina]],8,FALSE)),0)</f>
        <v>0</v>
      </c>
      <c r="AJ310" s="20" t="str">
        <f>IFERROR((VLOOKUP(Tabla13[[#This Row],[ID]],[1]!Mtto_Pesv[[#Headers],[#Data],[Placa]:[Rutina]],9,FALSE)),"-")</f>
        <v>-</v>
      </c>
      <c r="AK310" s="20">
        <f>IFERROR((VLOOKUP(Tabla13[[#This Row],[ID]],[1]!Mtto_Pesv[[#Headers],[#Data],[Placa]:[Rutina]],10,FALSE)),0)</f>
        <v>0</v>
      </c>
      <c r="AL310" s="20">
        <f>IF(Tabla13[[#This Row],[Km Anterior]]=0,0,Tabla13[[#This Row],[Km Ejecut]]-Tabla13[[#This Row],[Km Anterior]])</f>
        <v>0</v>
      </c>
      <c r="AM310" s="20">
        <f>IFERROR((VLOOKUP(Tabla13[[#This Row],[ID]],[1]!Mtto_Pesv[[#Headers],[#Data],[Placa]:[Rutina]],4,FALSE)),0)</f>
        <v>0</v>
      </c>
      <c r="AN310" s="21">
        <f>IFERROR((VLOOKUP(Tabla13[[#This Row],[ID]],[1]!Mtto_Pesv[[#Headers],[#Data],[Placa]:[Rutina]],5,FALSE)),0)</f>
        <v>0</v>
      </c>
      <c r="AO310" s="21">
        <f>+Tabla13[[#This Row],[Km Fin]]-Tabla13[[#This Row],[Km Ini]]</f>
        <v>0</v>
      </c>
      <c r="AP310" s="20">
        <f>IFERROR((VLOOKUP(Tabla13[[#This Row],[ID]],[1]!Estilo_Conduccion[[#All],[Placa]:[Puntuacion]],15,FALSE)),0)</f>
        <v>112.7</v>
      </c>
      <c r="AQ310" s="15" t="s">
        <v>1263</v>
      </c>
      <c r="AR310" s="15" t="s">
        <v>1264</v>
      </c>
      <c r="AS310" s="20">
        <v>1300</v>
      </c>
      <c r="AT310" s="21">
        <v>11031</v>
      </c>
      <c r="AU310" s="21">
        <f>(Tabla13[[#This Row],[Cap Vh]]*$AX$2)*0.56</f>
        <v>0</v>
      </c>
      <c r="AV310" s="36" t="e">
        <f>(Tabla13[[#This Row],[Cap Util (kg)]]/(Tabla13[[#This Row],[Cap Inst (Kg)]]))</f>
        <v>#DIV/0!</v>
      </c>
    </row>
    <row r="311" spans="1:48" x14ac:dyDescent="0.25">
      <c r="A311" s="13" t="s">
        <v>1068</v>
      </c>
      <c r="B311" s="14" t="s">
        <v>484</v>
      </c>
      <c r="C311" s="14" t="s">
        <v>44</v>
      </c>
      <c r="D311" s="14" t="s">
        <v>44</v>
      </c>
      <c r="E311" s="14" t="s">
        <v>58</v>
      </c>
      <c r="F311" s="14" t="s">
        <v>46</v>
      </c>
      <c r="G311" s="15" t="s">
        <v>47</v>
      </c>
      <c r="H311" s="16" t="s">
        <v>48</v>
      </c>
      <c r="I311" s="14" t="s">
        <v>49</v>
      </c>
      <c r="J311" s="14">
        <v>900335279</v>
      </c>
      <c r="K311" s="14" t="s">
        <v>77</v>
      </c>
      <c r="L311" s="14" t="s">
        <v>103</v>
      </c>
      <c r="M311" s="14" t="s">
        <v>121</v>
      </c>
      <c r="N311" s="14">
        <v>2014</v>
      </c>
      <c r="O311" s="14">
        <v>6</v>
      </c>
      <c r="P311" s="14" t="s">
        <v>53</v>
      </c>
      <c r="Q311" s="14">
        <v>1</v>
      </c>
      <c r="R311" s="14">
        <v>0</v>
      </c>
      <c r="S311" s="17" t="s">
        <v>54</v>
      </c>
      <c r="T311" s="18">
        <v>0</v>
      </c>
      <c r="U311" s="14">
        <v>30</v>
      </c>
      <c r="V311" s="19">
        <v>1</v>
      </c>
      <c r="W311" s="14">
        <v>0</v>
      </c>
      <c r="X311" s="14">
        <v>0</v>
      </c>
      <c r="Y311" s="14">
        <v>0</v>
      </c>
      <c r="Z311" s="14">
        <v>0</v>
      </c>
      <c r="AA311" s="14">
        <f>Tabla13[[#This Row],[CheckList App]]+Tabla13[[#This Row],[CheckList Fisc]]</f>
        <v>0</v>
      </c>
      <c r="AB311" s="19">
        <f t="shared" si="4"/>
        <v>0</v>
      </c>
      <c r="AC311" s="14">
        <v>0</v>
      </c>
      <c r="AD311" s="14" t="s">
        <v>70</v>
      </c>
      <c r="AE311" s="15" t="str">
        <f>IFERROR((VLOOKUP(Tabla13[[#This Row],[ID]],[1]!Mtto_Pesv[[#Headers],[#Data],[Placa]:[Rutina]],2,FALSE)),"-")</f>
        <v>-</v>
      </c>
      <c r="AF311" s="14">
        <v>1</v>
      </c>
      <c r="AG311" s="20">
        <f>IFERROR((VLOOKUP(Tabla13[[#This Row],[ID]],[1]!Mtto_Pesv[[#Headers],[#Data],[Placa]:[Rutina]],3,FALSE)),0)</f>
        <v>0</v>
      </c>
      <c r="AH311" s="20">
        <f>IFERROR((VLOOKUP(Tabla13[[#This Row],[ID]],[1]!Mtto_Pesv[[#Headers],[#Data],[Placa]:[Rutina]],7,FALSE)),0)</f>
        <v>0</v>
      </c>
      <c r="AI311" s="20">
        <f>IFERROR((VLOOKUP(Tabla13[[#This Row],[ID]],[1]!Mtto_Pesv[[#Headers],[#Data],[Placa]:[Rutina]],8,FALSE)),0)</f>
        <v>0</v>
      </c>
      <c r="AJ311" s="20" t="str">
        <f>IFERROR((VLOOKUP(Tabla13[[#This Row],[ID]],[1]!Mtto_Pesv[[#Headers],[#Data],[Placa]:[Rutina]],9,FALSE)),"-")</f>
        <v>-</v>
      </c>
      <c r="AK311" s="20">
        <f>IFERROR((VLOOKUP(Tabla13[[#This Row],[ID]],[1]!Mtto_Pesv[[#Headers],[#Data],[Placa]:[Rutina]],10,FALSE)),0)</f>
        <v>0</v>
      </c>
      <c r="AL311" s="20">
        <f>IF(Tabla13[[#This Row],[Km Anterior]]=0,0,Tabla13[[#This Row],[Km Ejecut]]-Tabla13[[#This Row],[Km Anterior]])</f>
        <v>0</v>
      </c>
      <c r="AM311" s="20">
        <f>IFERROR((VLOOKUP(Tabla13[[#This Row],[ID]],[1]!Mtto_Pesv[[#Headers],[#Data],[Placa]:[Rutina]],4,FALSE)),0)</f>
        <v>0</v>
      </c>
      <c r="AN311" s="21">
        <f>IFERROR((VLOOKUP(Tabla13[[#This Row],[ID]],[1]!Mtto_Pesv[[#Headers],[#Data],[Placa]:[Rutina]],5,FALSE)),0)</f>
        <v>0</v>
      </c>
      <c r="AO311" s="21">
        <f>+Tabla13[[#This Row],[Km Fin]]-Tabla13[[#This Row],[Km Ini]]</f>
        <v>0</v>
      </c>
      <c r="AP311" s="20">
        <f>IFERROR((VLOOKUP(Tabla13[[#This Row],[ID]],[1]!Estilo_Conduccion[[#All],[Placa]:[Puntuacion]],15,FALSE)),0)</f>
        <v>2.9</v>
      </c>
      <c r="AQ311" s="15" t="s">
        <v>1070</v>
      </c>
      <c r="AR311" s="15" t="s">
        <v>1071</v>
      </c>
      <c r="AS311" s="20">
        <v>2601</v>
      </c>
      <c r="AT311" s="21">
        <v>3775.4166666666665</v>
      </c>
      <c r="AU311" s="21">
        <f>(Tabla13[[#This Row],[Cap Vh]]*$AX$2)*0.56</f>
        <v>0</v>
      </c>
      <c r="AV311" s="36" t="e">
        <f>(Tabla13[[#This Row],[Cap Util (kg)]]/(Tabla13[[#This Row],[Cap Inst (Kg)]]))</f>
        <v>#DIV/0!</v>
      </c>
    </row>
    <row r="312" spans="1:48" x14ac:dyDescent="0.25">
      <c r="A312" s="13" t="s">
        <v>1068</v>
      </c>
      <c r="B312" s="14" t="s">
        <v>485</v>
      </c>
      <c r="C312" s="14" t="s">
        <v>44</v>
      </c>
      <c r="D312" s="14" t="s">
        <v>44</v>
      </c>
      <c r="E312" s="14" t="s">
        <v>247</v>
      </c>
      <c r="F312" s="14" t="s">
        <v>64</v>
      </c>
      <c r="G312" s="15" t="s">
        <v>47</v>
      </c>
      <c r="H312" s="16" t="s">
        <v>48</v>
      </c>
      <c r="I312" s="14" t="s">
        <v>49</v>
      </c>
      <c r="J312" s="14">
        <v>860002964</v>
      </c>
      <c r="K312" s="14" t="s">
        <v>102</v>
      </c>
      <c r="L312" s="14" t="s">
        <v>103</v>
      </c>
      <c r="M312" s="14" t="s">
        <v>121</v>
      </c>
      <c r="N312" s="14">
        <v>2014</v>
      </c>
      <c r="O312" s="14">
        <v>6</v>
      </c>
      <c r="P312" s="14" t="s">
        <v>53</v>
      </c>
      <c r="Q312" s="14">
        <v>1</v>
      </c>
      <c r="R312" s="14">
        <v>0</v>
      </c>
      <c r="S312" s="17" t="s">
        <v>54</v>
      </c>
      <c r="T312" s="18">
        <v>0</v>
      </c>
      <c r="U312" s="14">
        <v>30</v>
      </c>
      <c r="V312" s="19">
        <v>1</v>
      </c>
      <c r="W312" s="14">
        <v>0</v>
      </c>
      <c r="X312" s="14">
        <v>0</v>
      </c>
      <c r="Y312" s="14">
        <v>0</v>
      </c>
      <c r="Z312" s="14">
        <v>0</v>
      </c>
      <c r="AA312" s="14">
        <f>Tabla13[[#This Row],[CheckList App]]+Tabla13[[#This Row],[CheckList Fisc]]</f>
        <v>0</v>
      </c>
      <c r="AB312" s="19">
        <f t="shared" si="4"/>
        <v>0</v>
      </c>
      <c r="AC312" s="14">
        <v>0</v>
      </c>
      <c r="AD312" s="14" t="s">
        <v>70</v>
      </c>
      <c r="AE312" s="15" t="str">
        <f>IFERROR((VLOOKUP(Tabla13[[#This Row],[ID]],[1]!Mtto_Pesv[[#Headers],[#Data],[Placa]:[Rutina]],2,FALSE)),"-")</f>
        <v>-</v>
      </c>
      <c r="AF312" s="14">
        <v>1</v>
      </c>
      <c r="AG312" s="20">
        <f>IFERROR((VLOOKUP(Tabla13[[#This Row],[ID]],[1]!Mtto_Pesv[[#Headers],[#Data],[Placa]:[Rutina]],3,FALSE)),0)</f>
        <v>0</v>
      </c>
      <c r="AH312" s="20">
        <f>IFERROR((VLOOKUP(Tabla13[[#This Row],[ID]],[1]!Mtto_Pesv[[#Headers],[#Data],[Placa]:[Rutina]],7,FALSE)),0)</f>
        <v>0</v>
      </c>
      <c r="AI312" s="20">
        <f>IFERROR((VLOOKUP(Tabla13[[#This Row],[ID]],[1]!Mtto_Pesv[[#Headers],[#Data],[Placa]:[Rutina]],8,FALSE)),0)</f>
        <v>0</v>
      </c>
      <c r="AJ312" s="20" t="str">
        <f>IFERROR((VLOOKUP(Tabla13[[#This Row],[ID]],[1]!Mtto_Pesv[[#Headers],[#Data],[Placa]:[Rutina]],9,FALSE)),"-")</f>
        <v>-</v>
      </c>
      <c r="AK312" s="20">
        <f>IFERROR((VLOOKUP(Tabla13[[#This Row],[ID]],[1]!Mtto_Pesv[[#Headers],[#Data],[Placa]:[Rutina]],10,FALSE)),0)</f>
        <v>0</v>
      </c>
      <c r="AL312" s="20">
        <f>IF(Tabla13[[#This Row],[Km Anterior]]=0,0,Tabla13[[#This Row],[Km Ejecut]]-Tabla13[[#This Row],[Km Anterior]])</f>
        <v>0</v>
      </c>
      <c r="AM312" s="20">
        <f>IFERROR((VLOOKUP(Tabla13[[#This Row],[ID]],[1]!Mtto_Pesv[[#Headers],[#Data],[Placa]:[Rutina]],4,FALSE)),0)</f>
        <v>0</v>
      </c>
      <c r="AN312" s="21">
        <f>IFERROR((VLOOKUP(Tabla13[[#This Row],[ID]],[1]!Mtto_Pesv[[#Headers],[#Data],[Placa]:[Rutina]],5,FALSE)),0)</f>
        <v>0</v>
      </c>
      <c r="AO312" s="21">
        <f>+Tabla13[[#This Row],[Km Fin]]-Tabla13[[#This Row],[Km Ini]]</f>
        <v>0</v>
      </c>
      <c r="AP312" s="20">
        <f>IFERROR((VLOOKUP(Tabla13[[#This Row],[ID]],[1]!Estilo_Conduccion[[#All],[Placa]:[Puntuacion]],15,FALSE)),0)</f>
        <v>7.4</v>
      </c>
      <c r="AQ312" s="15" t="s">
        <v>1104</v>
      </c>
      <c r="AR312" s="15" t="s">
        <v>1105</v>
      </c>
      <c r="AS312" s="20">
        <v>2601</v>
      </c>
      <c r="AT312" s="21">
        <v>6196.5</v>
      </c>
      <c r="AU312" s="21">
        <f>(Tabla13[[#This Row],[Cap Vh]]*$AX$2)*0.56</f>
        <v>0</v>
      </c>
      <c r="AV312" s="36" t="e">
        <f>(Tabla13[[#This Row],[Cap Util (kg)]]/(Tabla13[[#This Row],[Cap Inst (Kg)]]))</f>
        <v>#DIV/0!</v>
      </c>
    </row>
    <row r="313" spans="1:48" x14ac:dyDescent="0.25">
      <c r="A313" s="13" t="s">
        <v>1068</v>
      </c>
      <c r="B313" s="14" t="s">
        <v>486</v>
      </c>
      <c r="C313" s="14" t="s">
        <v>44</v>
      </c>
      <c r="D313" s="14" t="s">
        <v>44</v>
      </c>
      <c r="E313" s="14" t="s">
        <v>45</v>
      </c>
      <c r="F313" s="14" t="s">
        <v>46</v>
      </c>
      <c r="G313" s="15" t="s">
        <v>47</v>
      </c>
      <c r="H313" s="16" t="s">
        <v>48</v>
      </c>
      <c r="I313" s="14" t="s">
        <v>49</v>
      </c>
      <c r="J313" s="14">
        <v>860002964</v>
      </c>
      <c r="K313" s="14" t="s">
        <v>102</v>
      </c>
      <c r="L313" s="14" t="s">
        <v>103</v>
      </c>
      <c r="M313" s="14" t="s">
        <v>104</v>
      </c>
      <c r="N313" s="14">
        <v>2014</v>
      </c>
      <c r="O313" s="14">
        <v>6</v>
      </c>
      <c r="P313" s="14" t="s">
        <v>53</v>
      </c>
      <c r="Q313" s="14">
        <v>1</v>
      </c>
      <c r="R313" s="14">
        <v>0</v>
      </c>
      <c r="S313" s="17" t="s">
        <v>54</v>
      </c>
      <c r="T313" s="18">
        <v>0</v>
      </c>
      <c r="U313" s="14">
        <v>30</v>
      </c>
      <c r="V313" s="19">
        <v>1</v>
      </c>
      <c r="W313" s="14">
        <v>0</v>
      </c>
      <c r="X313" s="14">
        <v>0</v>
      </c>
      <c r="Y313" s="14">
        <v>0</v>
      </c>
      <c r="Z313" s="14">
        <v>0</v>
      </c>
      <c r="AA313" s="14">
        <f>Tabla13[[#This Row],[CheckList App]]+Tabla13[[#This Row],[CheckList Fisc]]</f>
        <v>0</v>
      </c>
      <c r="AB313" s="19">
        <f t="shared" si="4"/>
        <v>0</v>
      </c>
      <c r="AC313" s="14">
        <v>0</v>
      </c>
      <c r="AD313" s="14" t="s">
        <v>55</v>
      </c>
      <c r="AE313" s="15" t="str">
        <f>IFERROR((VLOOKUP(Tabla13[[#This Row],[ID]],[1]!Mtto_Pesv[[#Headers],[#Data],[Placa]:[Rutina]],2,FALSE)),"-")</f>
        <v>-</v>
      </c>
      <c r="AF313" s="14">
        <v>0</v>
      </c>
      <c r="AG313" s="20">
        <f>IFERROR((VLOOKUP(Tabla13[[#This Row],[ID]],[1]!Mtto_Pesv[[#Headers],[#Data],[Placa]:[Rutina]],3,FALSE)),0)</f>
        <v>0</v>
      </c>
      <c r="AH313" s="20">
        <f>IFERROR((VLOOKUP(Tabla13[[#This Row],[ID]],[1]!Mtto_Pesv[[#Headers],[#Data],[Placa]:[Rutina]],7,FALSE)),0)</f>
        <v>0</v>
      </c>
      <c r="AI313" s="20">
        <f>IFERROR((VLOOKUP(Tabla13[[#This Row],[ID]],[1]!Mtto_Pesv[[#Headers],[#Data],[Placa]:[Rutina]],8,FALSE)),0)</f>
        <v>0</v>
      </c>
      <c r="AJ313" s="20" t="str">
        <f>IFERROR((VLOOKUP(Tabla13[[#This Row],[ID]],[1]!Mtto_Pesv[[#Headers],[#Data],[Placa]:[Rutina]],9,FALSE)),"-")</f>
        <v>-</v>
      </c>
      <c r="AK313" s="20">
        <f>IFERROR((VLOOKUP(Tabla13[[#This Row],[ID]],[1]!Mtto_Pesv[[#Headers],[#Data],[Placa]:[Rutina]],10,FALSE)),0)</f>
        <v>0</v>
      </c>
      <c r="AL313" s="20">
        <f>IF(Tabla13[[#This Row],[Km Anterior]]=0,0,Tabla13[[#This Row],[Km Ejecut]]-Tabla13[[#This Row],[Km Anterior]])</f>
        <v>0</v>
      </c>
      <c r="AM313" s="20">
        <f>IFERROR((VLOOKUP(Tabla13[[#This Row],[ID]],[1]!Mtto_Pesv[[#Headers],[#Data],[Placa]:[Rutina]],4,FALSE)),0)</f>
        <v>0</v>
      </c>
      <c r="AN313" s="21">
        <f>IFERROR((VLOOKUP(Tabla13[[#This Row],[ID]],[1]!Mtto_Pesv[[#Headers],[#Data],[Placa]:[Rutina]],5,FALSE)),0)</f>
        <v>0</v>
      </c>
      <c r="AO313" s="21">
        <f>+Tabla13[[#This Row],[Km Fin]]-Tabla13[[#This Row],[Km Ini]]</f>
        <v>0</v>
      </c>
      <c r="AP313" s="20">
        <f>IFERROR((VLOOKUP(Tabla13[[#This Row],[ID]],[1]!Estilo_Conduccion[[#All],[Placa]:[Puntuacion]],15,FALSE)),0)</f>
        <v>12</v>
      </c>
      <c r="AQ313" s="15" t="s">
        <v>1098</v>
      </c>
      <c r="AR313" s="15" t="s">
        <v>1099</v>
      </c>
      <c r="AS313" s="20">
        <v>2601</v>
      </c>
      <c r="AT313" s="21">
        <v>3975</v>
      </c>
      <c r="AU313" s="21">
        <f>(Tabla13[[#This Row],[Cap Vh]]*$AX$2)*0.56</f>
        <v>0</v>
      </c>
      <c r="AV313" s="36" t="e">
        <f>(Tabla13[[#This Row],[Cap Util (kg)]]/(Tabla13[[#This Row],[Cap Inst (Kg)]]))</f>
        <v>#DIV/0!</v>
      </c>
    </row>
    <row r="314" spans="1:48" x14ac:dyDescent="0.25">
      <c r="A314" s="13" t="s">
        <v>1068</v>
      </c>
      <c r="B314" s="14" t="s">
        <v>487</v>
      </c>
      <c r="C314" s="14" t="s">
        <v>44</v>
      </c>
      <c r="D314" s="14" t="s">
        <v>44</v>
      </c>
      <c r="E314" s="14" t="s">
        <v>60</v>
      </c>
      <c r="F314" s="14" t="s">
        <v>76</v>
      </c>
      <c r="G314" s="15" t="s">
        <v>47</v>
      </c>
      <c r="H314" s="16" t="s">
        <v>48</v>
      </c>
      <c r="I314" s="14" t="s">
        <v>49</v>
      </c>
      <c r="J314" s="14">
        <v>860002964</v>
      </c>
      <c r="K314" s="14" t="s">
        <v>102</v>
      </c>
      <c r="L314" s="14" t="s">
        <v>103</v>
      </c>
      <c r="M314" s="14" t="s">
        <v>104</v>
      </c>
      <c r="N314" s="14">
        <v>2014</v>
      </c>
      <c r="O314" s="14">
        <v>6</v>
      </c>
      <c r="P314" s="14" t="s">
        <v>53</v>
      </c>
      <c r="Q314" s="14">
        <v>1</v>
      </c>
      <c r="R314" s="14">
        <v>0</v>
      </c>
      <c r="S314" s="17" t="s">
        <v>54</v>
      </c>
      <c r="T314" s="18">
        <v>0</v>
      </c>
      <c r="U314" s="14">
        <v>30</v>
      </c>
      <c r="V314" s="19">
        <v>1</v>
      </c>
      <c r="W314" s="14">
        <v>0</v>
      </c>
      <c r="X314" s="14">
        <v>0</v>
      </c>
      <c r="Y314" s="14">
        <v>0</v>
      </c>
      <c r="Z314" s="14">
        <v>0</v>
      </c>
      <c r="AA314" s="14">
        <f>Tabla13[[#This Row],[CheckList App]]+Tabla13[[#This Row],[CheckList Fisc]]</f>
        <v>0</v>
      </c>
      <c r="AB314" s="19">
        <f t="shared" si="4"/>
        <v>0</v>
      </c>
      <c r="AC314" s="14">
        <v>0</v>
      </c>
      <c r="AD314" s="14" t="s">
        <v>55</v>
      </c>
      <c r="AE314" s="15" t="str">
        <f>IFERROR((VLOOKUP(Tabla13[[#This Row],[ID]],[1]!Mtto_Pesv[[#Headers],[#Data],[Placa]:[Rutina]],2,FALSE)),"-")</f>
        <v>-</v>
      </c>
      <c r="AF314" s="14">
        <v>0</v>
      </c>
      <c r="AG314" s="20">
        <f>IFERROR((VLOOKUP(Tabla13[[#This Row],[ID]],[1]!Mtto_Pesv[[#Headers],[#Data],[Placa]:[Rutina]],3,FALSE)),0)</f>
        <v>0</v>
      </c>
      <c r="AH314" s="20">
        <f>IFERROR((VLOOKUP(Tabla13[[#This Row],[ID]],[1]!Mtto_Pesv[[#Headers],[#Data],[Placa]:[Rutina]],7,FALSE)),0)</f>
        <v>0</v>
      </c>
      <c r="AI314" s="20">
        <f>IFERROR((VLOOKUP(Tabla13[[#This Row],[ID]],[1]!Mtto_Pesv[[#Headers],[#Data],[Placa]:[Rutina]],8,FALSE)),0)</f>
        <v>0</v>
      </c>
      <c r="AJ314" s="20" t="str">
        <f>IFERROR((VLOOKUP(Tabla13[[#This Row],[ID]],[1]!Mtto_Pesv[[#Headers],[#Data],[Placa]:[Rutina]],9,FALSE)),"-")</f>
        <v>-</v>
      </c>
      <c r="AK314" s="20">
        <f>IFERROR((VLOOKUP(Tabla13[[#This Row],[ID]],[1]!Mtto_Pesv[[#Headers],[#Data],[Placa]:[Rutina]],10,FALSE)),0)</f>
        <v>0</v>
      </c>
      <c r="AL314" s="20">
        <f>IF(Tabla13[[#This Row],[Km Anterior]]=0,0,Tabla13[[#This Row],[Km Ejecut]]-Tabla13[[#This Row],[Km Anterior]])</f>
        <v>0</v>
      </c>
      <c r="AM314" s="20">
        <f>IFERROR((VLOOKUP(Tabla13[[#This Row],[ID]],[1]!Mtto_Pesv[[#Headers],[#Data],[Placa]:[Rutina]],4,FALSE)),0)</f>
        <v>0</v>
      </c>
      <c r="AN314" s="21">
        <f>IFERROR((VLOOKUP(Tabla13[[#This Row],[ID]],[1]!Mtto_Pesv[[#Headers],[#Data],[Placa]:[Rutina]],5,FALSE)),0)</f>
        <v>0</v>
      </c>
      <c r="AO314" s="21">
        <f>+Tabla13[[#This Row],[Km Fin]]-Tabla13[[#This Row],[Km Ini]]</f>
        <v>0</v>
      </c>
      <c r="AP314" s="20">
        <f>IFERROR((VLOOKUP(Tabla13[[#This Row],[ID]],[1]!Estilo_Conduccion[[#All],[Placa]:[Puntuacion]],15,FALSE)),0)</f>
        <v>25</v>
      </c>
      <c r="AQ314" s="15" t="s">
        <v>1072</v>
      </c>
      <c r="AR314" s="15" t="s">
        <v>1073</v>
      </c>
      <c r="AS314" s="20">
        <v>1300</v>
      </c>
      <c r="AT314" s="21">
        <v>3080.8846153846152</v>
      </c>
      <c r="AU314" s="21">
        <f>(Tabla13[[#This Row],[Cap Vh]]*$AX$2)*0.56</f>
        <v>0</v>
      </c>
      <c r="AV314" s="36" t="e">
        <f>(Tabla13[[#This Row],[Cap Util (kg)]]/(Tabla13[[#This Row],[Cap Inst (Kg)]]))</f>
        <v>#DIV/0!</v>
      </c>
    </row>
    <row r="315" spans="1:48" x14ac:dyDescent="0.25">
      <c r="A315" s="13" t="s">
        <v>1068</v>
      </c>
      <c r="B315" s="14" t="s">
        <v>488</v>
      </c>
      <c r="C315" s="14" t="s">
        <v>44</v>
      </c>
      <c r="D315" s="14" t="s">
        <v>44</v>
      </c>
      <c r="E315" s="14" t="s">
        <v>60</v>
      </c>
      <c r="F315" s="14" t="s">
        <v>76</v>
      </c>
      <c r="G315" s="15" t="s">
        <v>47</v>
      </c>
      <c r="H315" s="16" t="s">
        <v>48</v>
      </c>
      <c r="I315" s="14" t="s">
        <v>49</v>
      </c>
      <c r="J315" s="14">
        <v>860002964</v>
      </c>
      <c r="K315" s="14" t="s">
        <v>102</v>
      </c>
      <c r="L315" s="14" t="s">
        <v>103</v>
      </c>
      <c r="M315" s="14" t="s">
        <v>104</v>
      </c>
      <c r="N315" s="14">
        <v>2014</v>
      </c>
      <c r="O315" s="14">
        <v>6</v>
      </c>
      <c r="P315" s="14" t="s">
        <v>53</v>
      </c>
      <c r="Q315" s="14">
        <v>1</v>
      </c>
      <c r="R315" s="14">
        <v>0</v>
      </c>
      <c r="S315" s="17" t="s">
        <v>54</v>
      </c>
      <c r="T315" s="18">
        <v>0</v>
      </c>
      <c r="U315" s="14">
        <v>30</v>
      </c>
      <c r="V315" s="19">
        <v>1</v>
      </c>
      <c r="W315" s="14">
        <v>0</v>
      </c>
      <c r="X315" s="14">
        <v>0</v>
      </c>
      <c r="Y315" s="14">
        <v>0</v>
      </c>
      <c r="Z315" s="14">
        <v>0</v>
      </c>
      <c r="AA315" s="14">
        <f>Tabla13[[#This Row],[CheckList App]]+Tabla13[[#This Row],[CheckList Fisc]]</f>
        <v>0</v>
      </c>
      <c r="AB315" s="19">
        <f t="shared" si="4"/>
        <v>0</v>
      </c>
      <c r="AC315" s="14">
        <v>0</v>
      </c>
      <c r="AD315" s="14" t="s">
        <v>55</v>
      </c>
      <c r="AE315" s="15" t="str">
        <f>IFERROR((VLOOKUP(Tabla13[[#This Row],[ID]],[1]!Mtto_Pesv[[#Headers],[#Data],[Placa]:[Rutina]],2,FALSE)),"-")</f>
        <v>-</v>
      </c>
      <c r="AF315" s="14">
        <v>0</v>
      </c>
      <c r="AG315" s="20">
        <f>IFERROR((VLOOKUP(Tabla13[[#This Row],[ID]],[1]!Mtto_Pesv[[#Headers],[#Data],[Placa]:[Rutina]],3,FALSE)),0)</f>
        <v>0</v>
      </c>
      <c r="AH315" s="20">
        <f>IFERROR((VLOOKUP(Tabla13[[#This Row],[ID]],[1]!Mtto_Pesv[[#Headers],[#Data],[Placa]:[Rutina]],7,FALSE)),0)</f>
        <v>0</v>
      </c>
      <c r="AI315" s="20">
        <f>IFERROR((VLOOKUP(Tabla13[[#This Row],[ID]],[1]!Mtto_Pesv[[#Headers],[#Data],[Placa]:[Rutina]],8,FALSE)),0)</f>
        <v>0</v>
      </c>
      <c r="AJ315" s="20" t="str">
        <f>IFERROR((VLOOKUP(Tabla13[[#This Row],[ID]],[1]!Mtto_Pesv[[#Headers],[#Data],[Placa]:[Rutina]],9,FALSE)),"-")</f>
        <v>-</v>
      </c>
      <c r="AK315" s="20">
        <f>IFERROR((VLOOKUP(Tabla13[[#This Row],[ID]],[1]!Mtto_Pesv[[#Headers],[#Data],[Placa]:[Rutina]],10,FALSE)),0)</f>
        <v>0</v>
      </c>
      <c r="AL315" s="20">
        <f>IF(Tabla13[[#This Row],[Km Anterior]]=0,0,Tabla13[[#This Row],[Km Ejecut]]-Tabla13[[#This Row],[Km Anterior]])</f>
        <v>0</v>
      </c>
      <c r="AM315" s="20">
        <f>IFERROR((VLOOKUP(Tabla13[[#This Row],[ID]],[1]!Mtto_Pesv[[#Headers],[#Data],[Placa]:[Rutina]],4,FALSE)),0)</f>
        <v>0</v>
      </c>
      <c r="AN315" s="21">
        <f>IFERROR((VLOOKUP(Tabla13[[#This Row],[ID]],[1]!Mtto_Pesv[[#Headers],[#Data],[Placa]:[Rutina]],5,FALSE)),0)</f>
        <v>0</v>
      </c>
      <c r="AO315" s="21">
        <f>+Tabla13[[#This Row],[Km Fin]]-Tabla13[[#This Row],[Km Ini]]</f>
        <v>0</v>
      </c>
      <c r="AP315" s="20">
        <f>IFERROR((VLOOKUP(Tabla13[[#This Row],[ID]],[1]!Estilo_Conduccion[[#All],[Placa]:[Puntuacion]],15,FALSE)),0)</f>
        <v>237.1</v>
      </c>
      <c r="AQ315" s="15" t="s">
        <v>1072</v>
      </c>
      <c r="AR315" s="15" t="s">
        <v>1073</v>
      </c>
      <c r="AS315" s="20">
        <v>1300</v>
      </c>
      <c r="AT315" s="21">
        <v>3080.8846153846152</v>
      </c>
      <c r="AU315" s="21">
        <f>(Tabla13[[#This Row],[Cap Vh]]*$AX$2)*0.56</f>
        <v>0</v>
      </c>
      <c r="AV315" s="36" t="e">
        <f>(Tabla13[[#This Row],[Cap Util (kg)]]/(Tabla13[[#This Row],[Cap Inst (Kg)]]))</f>
        <v>#DIV/0!</v>
      </c>
    </row>
    <row r="316" spans="1:48" x14ac:dyDescent="0.25">
      <c r="A316" s="13" t="s">
        <v>1068</v>
      </c>
      <c r="B316" s="14" t="s">
        <v>489</v>
      </c>
      <c r="C316" s="14" t="s">
        <v>44</v>
      </c>
      <c r="D316" s="14" t="s">
        <v>44</v>
      </c>
      <c r="E316" s="14" t="s">
        <v>60</v>
      </c>
      <c r="F316" s="14" t="s">
        <v>76</v>
      </c>
      <c r="G316" s="15" t="s">
        <v>47</v>
      </c>
      <c r="H316" s="16" t="s">
        <v>48</v>
      </c>
      <c r="I316" s="14" t="s">
        <v>49</v>
      </c>
      <c r="J316" s="14">
        <v>860029644</v>
      </c>
      <c r="K316" s="14" t="s">
        <v>102</v>
      </c>
      <c r="L316" s="14" t="s">
        <v>103</v>
      </c>
      <c r="M316" s="14" t="s">
        <v>104</v>
      </c>
      <c r="N316" s="14">
        <v>2014</v>
      </c>
      <c r="O316" s="14">
        <v>6</v>
      </c>
      <c r="P316" s="14" t="s">
        <v>53</v>
      </c>
      <c r="Q316" s="14">
        <v>1</v>
      </c>
      <c r="R316" s="14">
        <v>0</v>
      </c>
      <c r="S316" s="17" t="s">
        <v>54</v>
      </c>
      <c r="T316" s="18">
        <v>0</v>
      </c>
      <c r="U316" s="14">
        <v>30</v>
      </c>
      <c r="V316" s="19">
        <v>1</v>
      </c>
      <c r="W316" s="14">
        <v>0</v>
      </c>
      <c r="X316" s="14">
        <v>0</v>
      </c>
      <c r="Y316" s="14">
        <v>0</v>
      </c>
      <c r="Z316" s="14">
        <v>0</v>
      </c>
      <c r="AA316" s="14">
        <f>Tabla13[[#This Row],[CheckList App]]+Tabla13[[#This Row],[CheckList Fisc]]</f>
        <v>0</v>
      </c>
      <c r="AB316" s="19">
        <f t="shared" si="4"/>
        <v>0</v>
      </c>
      <c r="AC316" s="14">
        <v>0</v>
      </c>
      <c r="AD316" s="14" t="s">
        <v>55</v>
      </c>
      <c r="AE316" s="15" t="str">
        <f>IFERROR((VLOOKUP(Tabla13[[#This Row],[ID]],[1]!Mtto_Pesv[[#Headers],[#Data],[Placa]:[Rutina]],2,FALSE)),"-")</f>
        <v>-</v>
      </c>
      <c r="AF316" s="14">
        <v>0</v>
      </c>
      <c r="AG316" s="20">
        <f>IFERROR((VLOOKUP(Tabla13[[#This Row],[ID]],[1]!Mtto_Pesv[[#Headers],[#Data],[Placa]:[Rutina]],3,FALSE)),0)</f>
        <v>0</v>
      </c>
      <c r="AH316" s="20">
        <f>IFERROR((VLOOKUP(Tabla13[[#This Row],[ID]],[1]!Mtto_Pesv[[#Headers],[#Data],[Placa]:[Rutina]],7,FALSE)),0)</f>
        <v>0</v>
      </c>
      <c r="AI316" s="20">
        <f>IFERROR((VLOOKUP(Tabla13[[#This Row],[ID]],[1]!Mtto_Pesv[[#Headers],[#Data],[Placa]:[Rutina]],8,FALSE)),0)</f>
        <v>0</v>
      </c>
      <c r="AJ316" s="20" t="str">
        <f>IFERROR((VLOOKUP(Tabla13[[#This Row],[ID]],[1]!Mtto_Pesv[[#Headers],[#Data],[Placa]:[Rutina]],9,FALSE)),"-")</f>
        <v>-</v>
      </c>
      <c r="AK316" s="20">
        <f>IFERROR((VLOOKUP(Tabla13[[#This Row],[ID]],[1]!Mtto_Pesv[[#Headers],[#Data],[Placa]:[Rutina]],10,FALSE)),0)</f>
        <v>0</v>
      </c>
      <c r="AL316" s="20">
        <f>IF(Tabla13[[#This Row],[Km Anterior]]=0,0,Tabla13[[#This Row],[Km Ejecut]]-Tabla13[[#This Row],[Km Anterior]])</f>
        <v>0</v>
      </c>
      <c r="AM316" s="20">
        <f>IFERROR((VLOOKUP(Tabla13[[#This Row],[ID]],[1]!Mtto_Pesv[[#Headers],[#Data],[Placa]:[Rutina]],4,FALSE)),0)</f>
        <v>0</v>
      </c>
      <c r="AN316" s="21">
        <f>IFERROR((VLOOKUP(Tabla13[[#This Row],[ID]],[1]!Mtto_Pesv[[#Headers],[#Data],[Placa]:[Rutina]],5,FALSE)),0)</f>
        <v>0</v>
      </c>
      <c r="AO316" s="21">
        <f>+Tabla13[[#This Row],[Km Fin]]-Tabla13[[#This Row],[Km Ini]]</f>
        <v>0</v>
      </c>
      <c r="AP316" s="20">
        <f>IFERROR((VLOOKUP(Tabla13[[#This Row],[ID]],[1]!Estilo_Conduccion[[#All],[Placa]:[Puntuacion]],15,FALSE)),0)</f>
        <v>329.9</v>
      </c>
      <c r="AQ316" s="15" t="s">
        <v>1265</v>
      </c>
      <c r="AR316" s="15" t="s">
        <v>1266</v>
      </c>
      <c r="AS316" s="20">
        <v>1300</v>
      </c>
      <c r="AT316" s="21">
        <v>17298</v>
      </c>
      <c r="AU316" s="21">
        <f>(Tabla13[[#This Row],[Cap Vh]]*$AX$2)*0.56</f>
        <v>0</v>
      </c>
      <c r="AV316" s="36" t="e">
        <f>(Tabla13[[#This Row],[Cap Util (kg)]]/(Tabla13[[#This Row],[Cap Inst (Kg)]]))</f>
        <v>#DIV/0!</v>
      </c>
    </row>
    <row r="317" spans="1:48" x14ac:dyDescent="0.25">
      <c r="A317" s="13" t="s">
        <v>1068</v>
      </c>
      <c r="B317" s="14" t="s">
        <v>490</v>
      </c>
      <c r="C317" s="14" t="s">
        <v>44</v>
      </c>
      <c r="D317" s="14" t="s">
        <v>44</v>
      </c>
      <c r="E317" s="14" t="s">
        <v>60</v>
      </c>
      <c r="F317" s="14" t="s">
        <v>76</v>
      </c>
      <c r="G317" s="15" t="s">
        <v>47</v>
      </c>
      <c r="H317" s="16" t="s">
        <v>48</v>
      </c>
      <c r="I317" s="14" t="s">
        <v>49</v>
      </c>
      <c r="J317" s="14">
        <v>860002964</v>
      </c>
      <c r="K317" s="14" t="s">
        <v>102</v>
      </c>
      <c r="L317" s="14" t="s">
        <v>103</v>
      </c>
      <c r="M317" s="14" t="s">
        <v>104</v>
      </c>
      <c r="N317" s="14">
        <v>2014</v>
      </c>
      <c r="O317" s="14">
        <v>6</v>
      </c>
      <c r="P317" s="14" t="s">
        <v>53</v>
      </c>
      <c r="Q317" s="14">
        <v>0</v>
      </c>
      <c r="R317" s="14">
        <v>0</v>
      </c>
      <c r="S317" s="17" t="s">
        <v>54</v>
      </c>
      <c r="T317" s="18">
        <v>0</v>
      </c>
      <c r="U317" s="14">
        <v>0</v>
      </c>
      <c r="V317" s="19">
        <v>1</v>
      </c>
      <c r="W317" s="14">
        <v>0</v>
      </c>
      <c r="X317" s="14">
        <v>0</v>
      </c>
      <c r="Y317" s="14">
        <v>0</v>
      </c>
      <c r="Z317" s="14">
        <v>0</v>
      </c>
      <c r="AA317" s="14">
        <f>Tabla13[[#This Row],[CheckList App]]+Tabla13[[#This Row],[CheckList Fisc]]</f>
        <v>0</v>
      </c>
      <c r="AB317" s="19" t="str">
        <f t="shared" si="4"/>
        <v/>
      </c>
      <c r="AC317" s="14">
        <v>0</v>
      </c>
      <c r="AD317" s="14" t="s">
        <v>55</v>
      </c>
      <c r="AE317" s="15" t="str">
        <f>IFERROR((VLOOKUP(Tabla13[[#This Row],[ID]],[1]!Mtto_Pesv[[#Headers],[#Data],[Placa]:[Rutina]],2,FALSE)),"-")</f>
        <v>-</v>
      </c>
      <c r="AF317" s="14">
        <v>0</v>
      </c>
      <c r="AG317" s="20">
        <f>IFERROR((VLOOKUP(Tabla13[[#This Row],[ID]],[1]!Mtto_Pesv[[#Headers],[#Data],[Placa]:[Rutina]],3,FALSE)),0)</f>
        <v>0</v>
      </c>
      <c r="AH317" s="20">
        <f>IFERROR((VLOOKUP(Tabla13[[#This Row],[ID]],[1]!Mtto_Pesv[[#Headers],[#Data],[Placa]:[Rutina]],7,FALSE)),0)</f>
        <v>0</v>
      </c>
      <c r="AI317" s="20">
        <f>IFERROR((VLOOKUP(Tabla13[[#This Row],[ID]],[1]!Mtto_Pesv[[#Headers],[#Data],[Placa]:[Rutina]],8,FALSE)),0)</f>
        <v>0</v>
      </c>
      <c r="AJ317" s="20" t="str">
        <f>IFERROR((VLOOKUP(Tabla13[[#This Row],[ID]],[1]!Mtto_Pesv[[#Headers],[#Data],[Placa]:[Rutina]],9,FALSE)),"-")</f>
        <v>-</v>
      </c>
      <c r="AK317" s="20">
        <f>IFERROR((VLOOKUP(Tabla13[[#This Row],[ID]],[1]!Mtto_Pesv[[#Headers],[#Data],[Placa]:[Rutina]],10,FALSE)),0)</f>
        <v>0</v>
      </c>
      <c r="AL317" s="20">
        <f>IF(Tabla13[[#This Row],[Km Anterior]]=0,0,Tabla13[[#This Row],[Km Ejecut]]-Tabla13[[#This Row],[Km Anterior]])</f>
        <v>0</v>
      </c>
      <c r="AM317" s="20">
        <f>IFERROR((VLOOKUP(Tabla13[[#This Row],[ID]],[1]!Mtto_Pesv[[#Headers],[#Data],[Placa]:[Rutina]],4,FALSE)),0)</f>
        <v>0</v>
      </c>
      <c r="AN317" s="21">
        <f>IFERROR((VLOOKUP(Tabla13[[#This Row],[ID]],[1]!Mtto_Pesv[[#Headers],[#Data],[Placa]:[Rutina]],5,FALSE)),0)</f>
        <v>0</v>
      </c>
      <c r="AO317" s="21">
        <f>+Tabla13[[#This Row],[Km Fin]]-Tabla13[[#This Row],[Km Ini]]</f>
        <v>0</v>
      </c>
      <c r="AP317" s="20">
        <f>IFERROR((VLOOKUP(Tabla13[[#This Row],[ID]],[1]!Estilo_Conduccion[[#All],[Placa]:[Puntuacion]],15,FALSE)),0)</f>
        <v>0</v>
      </c>
      <c r="AQ317" s="15" t="s">
        <v>1267</v>
      </c>
      <c r="AR317" s="15" t="s">
        <v>1268</v>
      </c>
      <c r="AS317" s="20">
        <v>1300</v>
      </c>
      <c r="AT317" s="21">
        <v>3037.5</v>
      </c>
      <c r="AU317" s="21">
        <f>(Tabla13[[#This Row],[Cap Vh]]*$AX$2)*0.56</f>
        <v>0</v>
      </c>
      <c r="AV317" s="36" t="e">
        <f>(Tabla13[[#This Row],[Cap Util (kg)]]/(Tabla13[[#This Row],[Cap Inst (Kg)]]))</f>
        <v>#DIV/0!</v>
      </c>
    </row>
    <row r="318" spans="1:48" x14ac:dyDescent="0.25">
      <c r="A318" s="13" t="s">
        <v>1068</v>
      </c>
      <c r="B318" s="14" t="s">
        <v>491</v>
      </c>
      <c r="C318" s="14" t="s">
        <v>44</v>
      </c>
      <c r="D318" s="14" t="s">
        <v>44</v>
      </c>
      <c r="E318" s="14" t="s">
        <v>60</v>
      </c>
      <c r="F318" s="14" t="s">
        <v>76</v>
      </c>
      <c r="G318" s="15" t="s">
        <v>47</v>
      </c>
      <c r="H318" s="16" t="s">
        <v>48</v>
      </c>
      <c r="I318" s="14" t="s">
        <v>49</v>
      </c>
      <c r="J318" s="14">
        <v>860002964</v>
      </c>
      <c r="K318" s="14" t="s">
        <v>102</v>
      </c>
      <c r="L318" s="14" t="s">
        <v>103</v>
      </c>
      <c r="M318" s="14" t="s">
        <v>104</v>
      </c>
      <c r="N318" s="14">
        <v>2014</v>
      </c>
      <c r="O318" s="14">
        <v>6</v>
      </c>
      <c r="P318" s="14" t="s">
        <v>53</v>
      </c>
      <c r="Q318" s="14">
        <v>1</v>
      </c>
      <c r="R318" s="14">
        <v>0</v>
      </c>
      <c r="S318" s="17" t="s">
        <v>54</v>
      </c>
      <c r="T318" s="18">
        <v>0</v>
      </c>
      <c r="U318" s="14">
        <v>0</v>
      </c>
      <c r="V318" s="19">
        <v>1</v>
      </c>
      <c r="W318" s="14">
        <v>0</v>
      </c>
      <c r="X318" s="14">
        <v>0</v>
      </c>
      <c r="Y318" s="14">
        <v>0</v>
      </c>
      <c r="Z318" s="14">
        <v>0</v>
      </c>
      <c r="AA318" s="14">
        <f>Tabla13[[#This Row],[CheckList App]]+Tabla13[[#This Row],[CheckList Fisc]]</f>
        <v>0</v>
      </c>
      <c r="AB318" s="19" t="str">
        <f t="shared" si="4"/>
        <v/>
      </c>
      <c r="AC318" s="14">
        <v>0</v>
      </c>
      <c r="AD318" s="14" t="s">
        <v>55</v>
      </c>
      <c r="AE318" s="15" t="str">
        <f>IFERROR((VLOOKUP(Tabla13[[#This Row],[ID]],[1]!Mtto_Pesv[[#Headers],[#Data],[Placa]:[Rutina]],2,FALSE)),"-")</f>
        <v>-</v>
      </c>
      <c r="AF318" s="14">
        <v>0</v>
      </c>
      <c r="AG318" s="20">
        <f>IFERROR((VLOOKUP(Tabla13[[#This Row],[ID]],[1]!Mtto_Pesv[[#Headers],[#Data],[Placa]:[Rutina]],3,FALSE)),0)</f>
        <v>0</v>
      </c>
      <c r="AH318" s="20">
        <f>IFERROR((VLOOKUP(Tabla13[[#This Row],[ID]],[1]!Mtto_Pesv[[#Headers],[#Data],[Placa]:[Rutina]],7,FALSE)),0)</f>
        <v>0</v>
      </c>
      <c r="AI318" s="20">
        <f>IFERROR((VLOOKUP(Tabla13[[#This Row],[ID]],[1]!Mtto_Pesv[[#Headers],[#Data],[Placa]:[Rutina]],8,FALSE)),0)</f>
        <v>0</v>
      </c>
      <c r="AJ318" s="20" t="str">
        <f>IFERROR((VLOOKUP(Tabla13[[#This Row],[ID]],[1]!Mtto_Pesv[[#Headers],[#Data],[Placa]:[Rutina]],9,FALSE)),"-")</f>
        <v>-</v>
      </c>
      <c r="AK318" s="20">
        <f>IFERROR((VLOOKUP(Tabla13[[#This Row],[ID]],[1]!Mtto_Pesv[[#Headers],[#Data],[Placa]:[Rutina]],10,FALSE)),0)</f>
        <v>0</v>
      </c>
      <c r="AL318" s="20">
        <f>IF(Tabla13[[#This Row],[Km Anterior]]=0,0,Tabla13[[#This Row],[Km Ejecut]]-Tabla13[[#This Row],[Km Anterior]])</f>
        <v>0</v>
      </c>
      <c r="AM318" s="20">
        <f>IFERROR((VLOOKUP(Tabla13[[#This Row],[ID]],[1]!Mtto_Pesv[[#Headers],[#Data],[Placa]:[Rutina]],4,FALSE)),0)</f>
        <v>0</v>
      </c>
      <c r="AN318" s="21">
        <f>IFERROR((VLOOKUP(Tabla13[[#This Row],[ID]],[1]!Mtto_Pesv[[#Headers],[#Data],[Placa]:[Rutina]],5,FALSE)),0)</f>
        <v>0</v>
      </c>
      <c r="AO318" s="21">
        <f>+Tabla13[[#This Row],[Km Fin]]-Tabla13[[#This Row],[Km Ini]]</f>
        <v>0</v>
      </c>
      <c r="AP318" s="20">
        <f>IFERROR((VLOOKUP(Tabla13[[#This Row],[ID]],[1]!Estilo_Conduccion[[#All],[Placa]:[Puntuacion]],15,FALSE)),0)</f>
        <v>629</v>
      </c>
      <c r="AQ318" s="15" t="s">
        <v>1246</v>
      </c>
      <c r="AR318" s="15" t="s">
        <v>1247</v>
      </c>
      <c r="AS318" s="20">
        <v>1300</v>
      </c>
      <c r="AT318" s="21">
        <v>10506</v>
      </c>
      <c r="AU318" s="21">
        <f>(Tabla13[[#This Row],[Cap Vh]]*$AX$2)*0.56</f>
        <v>0</v>
      </c>
      <c r="AV318" s="36" t="e">
        <f>(Tabla13[[#This Row],[Cap Util (kg)]]/(Tabla13[[#This Row],[Cap Inst (Kg)]]))</f>
        <v>#DIV/0!</v>
      </c>
    </row>
    <row r="319" spans="1:48" x14ac:dyDescent="0.25">
      <c r="A319" s="13" t="s">
        <v>1068</v>
      </c>
      <c r="B319" s="14" t="s">
        <v>492</v>
      </c>
      <c r="C319" s="14" t="s">
        <v>44</v>
      </c>
      <c r="D319" s="14" t="s">
        <v>44</v>
      </c>
      <c r="E319" s="14" t="s">
        <v>60</v>
      </c>
      <c r="F319" s="14" t="s">
        <v>76</v>
      </c>
      <c r="G319" s="15" t="s">
        <v>47</v>
      </c>
      <c r="H319" s="16" t="s">
        <v>48</v>
      </c>
      <c r="I319" s="14" t="s">
        <v>49</v>
      </c>
      <c r="J319" s="14">
        <v>860002964</v>
      </c>
      <c r="K319" s="14" t="s">
        <v>102</v>
      </c>
      <c r="L319" s="14" t="s">
        <v>103</v>
      </c>
      <c r="M319" s="14" t="s">
        <v>104</v>
      </c>
      <c r="N319" s="14">
        <v>2014</v>
      </c>
      <c r="O319" s="14">
        <v>6</v>
      </c>
      <c r="P319" s="14" t="s">
        <v>53</v>
      </c>
      <c r="Q319" s="14">
        <v>0</v>
      </c>
      <c r="R319" s="14">
        <v>0</v>
      </c>
      <c r="S319" s="17" t="s">
        <v>54</v>
      </c>
      <c r="T319" s="18">
        <v>0</v>
      </c>
      <c r="U319" s="14">
        <v>0</v>
      </c>
      <c r="V319" s="19">
        <v>1</v>
      </c>
      <c r="W319" s="14">
        <v>0</v>
      </c>
      <c r="X319" s="14">
        <v>0</v>
      </c>
      <c r="Y319" s="14">
        <v>0</v>
      </c>
      <c r="Z319" s="14">
        <v>0</v>
      </c>
      <c r="AA319" s="14">
        <f>Tabla13[[#This Row],[CheckList App]]+Tabla13[[#This Row],[CheckList Fisc]]</f>
        <v>0</v>
      </c>
      <c r="AB319" s="19" t="str">
        <f t="shared" si="4"/>
        <v/>
      </c>
      <c r="AC319" s="14">
        <v>0</v>
      </c>
      <c r="AD319" s="14" t="s">
        <v>55</v>
      </c>
      <c r="AE319" s="15" t="str">
        <f>IFERROR((VLOOKUP(Tabla13[[#This Row],[ID]],[1]!Mtto_Pesv[[#Headers],[#Data],[Placa]:[Rutina]],2,FALSE)),"-")</f>
        <v>-</v>
      </c>
      <c r="AF319" s="14">
        <v>0</v>
      </c>
      <c r="AG319" s="20">
        <f>IFERROR((VLOOKUP(Tabla13[[#This Row],[ID]],[1]!Mtto_Pesv[[#Headers],[#Data],[Placa]:[Rutina]],3,FALSE)),0)</f>
        <v>0</v>
      </c>
      <c r="AH319" s="20">
        <f>IFERROR((VLOOKUP(Tabla13[[#This Row],[ID]],[1]!Mtto_Pesv[[#Headers],[#Data],[Placa]:[Rutina]],7,FALSE)),0)</f>
        <v>0</v>
      </c>
      <c r="AI319" s="20">
        <f>IFERROR((VLOOKUP(Tabla13[[#This Row],[ID]],[1]!Mtto_Pesv[[#Headers],[#Data],[Placa]:[Rutina]],8,FALSE)),0)</f>
        <v>0</v>
      </c>
      <c r="AJ319" s="20" t="str">
        <f>IFERROR((VLOOKUP(Tabla13[[#This Row],[ID]],[1]!Mtto_Pesv[[#Headers],[#Data],[Placa]:[Rutina]],9,FALSE)),"-")</f>
        <v>-</v>
      </c>
      <c r="AK319" s="20">
        <f>IFERROR((VLOOKUP(Tabla13[[#This Row],[ID]],[1]!Mtto_Pesv[[#Headers],[#Data],[Placa]:[Rutina]],10,FALSE)),0)</f>
        <v>0</v>
      </c>
      <c r="AL319" s="20">
        <f>IF(Tabla13[[#This Row],[Km Anterior]]=0,0,Tabla13[[#This Row],[Km Ejecut]]-Tabla13[[#This Row],[Km Anterior]])</f>
        <v>0</v>
      </c>
      <c r="AM319" s="20">
        <f>IFERROR((VLOOKUP(Tabla13[[#This Row],[ID]],[1]!Mtto_Pesv[[#Headers],[#Data],[Placa]:[Rutina]],4,FALSE)),0)</f>
        <v>0</v>
      </c>
      <c r="AN319" s="21">
        <f>IFERROR((VLOOKUP(Tabla13[[#This Row],[ID]],[1]!Mtto_Pesv[[#Headers],[#Data],[Placa]:[Rutina]],5,FALSE)),0)</f>
        <v>0</v>
      </c>
      <c r="AO319" s="21">
        <f>+Tabla13[[#This Row],[Km Fin]]-Tabla13[[#This Row],[Km Ini]]</f>
        <v>0</v>
      </c>
      <c r="AP319" s="20">
        <f>IFERROR((VLOOKUP(Tabla13[[#This Row],[ID]],[1]!Estilo_Conduccion[[#All],[Placa]:[Puntuacion]],15,FALSE)),0)</f>
        <v>0</v>
      </c>
      <c r="AQ319" s="15" t="s">
        <v>1267</v>
      </c>
      <c r="AR319" s="15" t="s">
        <v>1268</v>
      </c>
      <c r="AS319" s="20">
        <v>1300</v>
      </c>
      <c r="AT319" s="21">
        <v>3037.5</v>
      </c>
      <c r="AU319" s="21">
        <f>(Tabla13[[#This Row],[Cap Vh]]*$AX$2)*0.56</f>
        <v>0</v>
      </c>
      <c r="AV319" s="36" t="e">
        <f>(Tabla13[[#This Row],[Cap Util (kg)]]/(Tabla13[[#This Row],[Cap Inst (Kg)]]))</f>
        <v>#DIV/0!</v>
      </c>
    </row>
    <row r="320" spans="1:48" x14ac:dyDescent="0.25">
      <c r="A320" s="13" t="s">
        <v>1068</v>
      </c>
      <c r="B320" s="14" t="s">
        <v>493</v>
      </c>
      <c r="C320" s="14" t="s">
        <v>44</v>
      </c>
      <c r="D320" s="14" t="s">
        <v>44</v>
      </c>
      <c r="E320" s="14" t="s">
        <v>127</v>
      </c>
      <c r="F320" s="14" t="s">
        <v>64</v>
      </c>
      <c r="G320" s="15" t="s">
        <v>47</v>
      </c>
      <c r="H320" s="16" t="s">
        <v>48</v>
      </c>
      <c r="I320" s="14" t="s">
        <v>49</v>
      </c>
      <c r="J320" s="14">
        <v>900335279</v>
      </c>
      <c r="K320" s="14" t="s">
        <v>77</v>
      </c>
      <c r="L320" s="14" t="s">
        <v>103</v>
      </c>
      <c r="M320" s="14" t="s">
        <v>104</v>
      </c>
      <c r="N320" s="14">
        <v>2014</v>
      </c>
      <c r="O320" s="14">
        <v>6</v>
      </c>
      <c r="P320" s="14" t="s">
        <v>53</v>
      </c>
      <c r="Q320" s="14">
        <v>1</v>
      </c>
      <c r="R320" s="14">
        <v>1</v>
      </c>
      <c r="S320" s="17">
        <v>44812.411377314813</v>
      </c>
      <c r="T320" s="18">
        <v>28.084000000000003</v>
      </c>
      <c r="U320" s="14">
        <v>0</v>
      </c>
      <c r="V320" s="19">
        <v>1</v>
      </c>
      <c r="W320" s="14">
        <v>0</v>
      </c>
      <c r="X320" s="14">
        <v>0</v>
      </c>
      <c r="Y320" s="14">
        <v>0</v>
      </c>
      <c r="Z320" s="14">
        <v>0</v>
      </c>
      <c r="AA320" s="14">
        <f>Tabla13[[#This Row],[CheckList App]]+Tabla13[[#This Row],[CheckList Fisc]]</f>
        <v>0</v>
      </c>
      <c r="AB320" s="19" t="str">
        <f t="shared" si="4"/>
        <v/>
      </c>
      <c r="AC320" s="14">
        <v>0</v>
      </c>
      <c r="AD320" s="14" t="s">
        <v>70</v>
      </c>
      <c r="AE320" s="15" t="str">
        <f>IFERROR((VLOOKUP(Tabla13[[#This Row],[ID]],[1]!Mtto_Pesv[[#Headers],[#Data],[Placa]:[Rutina]],2,FALSE)),"-")</f>
        <v>-</v>
      </c>
      <c r="AF320" s="14">
        <v>1</v>
      </c>
      <c r="AG320" s="20">
        <f>IFERROR((VLOOKUP(Tabla13[[#This Row],[ID]],[1]!Mtto_Pesv[[#Headers],[#Data],[Placa]:[Rutina]],3,FALSE)),0)</f>
        <v>0</v>
      </c>
      <c r="AH320" s="20">
        <f>IFERROR((VLOOKUP(Tabla13[[#This Row],[ID]],[1]!Mtto_Pesv[[#Headers],[#Data],[Placa]:[Rutina]],7,FALSE)),0)</f>
        <v>0</v>
      </c>
      <c r="AI320" s="20">
        <f>IFERROR((VLOOKUP(Tabla13[[#This Row],[ID]],[1]!Mtto_Pesv[[#Headers],[#Data],[Placa]:[Rutina]],8,FALSE)),0)</f>
        <v>0</v>
      </c>
      <c r="AJ320" s="20" t="str">
        <f>IFERROR((VLOOKUP(Tabla13[[#This Row],[ID]],[1]!Mtto_Pesv[[#Headers],[#Data],[Placa]:[Rutina]],9,FALSE)),"-")</f>
        <v>-</v>
      </c>
      <c r="AK320" s="20">
        <f>IFERROR((VLOOKUP(Tabla13[[#This Row],[ID]],[1]!Mtto_Pesv[[#Headers],[#Data],[Placa]:[Rutina]],10,FALSE)),0)</f>
        <v>0</v>
      </c>
      <c r="AL320" s="20">
        <f>IF(Tabla13[[#This Row],[Km Anterior]]=0,0,Tabla13[[#This Row],[Km Ejecut]]-Tabla13[[#This Row],[Km Anterior]])</f>
        <v>0</v>
      </c>
      <c r="AM320" s="20">
        <f>IFERROR((VLOOKUP(Tabla13[[#This Row],[ID]],[1]!Mtto_Pesv[[#Headers],[#Data],[Placa]:[Rutina]],4,FALSE)),0)</f>
        <v>0</v>
      </c>
      <c r="AN320" s="21">
        <f>IFERROR((VLOOKUP(Tabla13[[#This Row],[ID]],[1]!Mtto_Pesv[[#Headers],[#Data],[Placa]:[Rutina]],5,FALSE)),0)</f>
        <v>0</v>
      </c>
      <c r="AO320" s="21">
        <f>+Tabla13[[#This Row],[Km Fin]]-Tabla13[[#This Row],[Km Ini]]</f>
        <v>0</v>
      </c>
      <c r="AP320" s="20">
        <f>IFERROR((VLOOKUP(Tabla13[[#This Row],[ID]],[1]!Estilo_Conduccion[[#All],[Placa]:[Puntuacion]],15,FALSE)),0)</f>
        <v>2130.8000000000002</v>
      </c>
      <c r="AQ320" s="15" t="s">
        <v>1131</v>
      </c>
      <c r="AR320" s="15" t="s">
        <v>1132</v>
      </c>
      <c r="AS320" s="20">
        <v>1300</v>
      </c>
      <c r="AT320" s="21">
        <v>3514</v>
      </c>
      <c r="AU320" s="21">
        <f>(Tabla13[[#This Row],[Cap Vh]]*$AX$2)*0.56</f>
        <v>0</v>
      </c>
      <c r="AV320" s="36" t="e">
        <f>(Tabla13[[#This Row],[Cap Util (kg)]]/(Tabla13[[#This Row],[Cap Inst (Kg)]]))</f>
        <v>#DIV/0!</v>
      </c>
    </row>
    <row r="321" spans="1:48" x14ac:dyDescent="0.25">
      <c r="A321" s="13" t="s">
        <v>1068</v>
      </c>
      <c r="B321" s="14" t="s">
        <v>494</v>
      </c>
      <c r="C321" s="14" t="s">
        <v>44</v>
      </c>
      <c r="D321" s="14" t="s">
        <v>44</v>
      </c>
      <c r="E321" s="14" t="s">
        <v>45</v>
      </c>
      <c r="F321" s="14" t="s">
        <v>337</v>
      </c>
      <c r="G321" s="15" t="s">
        <v>47</v>
      </c>
      <c r="H321" s="16" t="s">
        <v>48</v>
      </c>
      <c r="I321" s="14" t="s">
        <v>49</v>
      </c>
      <c r="J321" s="14">
        <v>860002964</v>
      </c>
      <c r="K321" s="14" t="s">
        <v>102</v>
      </c>
      <c r="L321" s="14" t="s">
        <v>103</v>
      </c>
      <c r="M321" s="14" t="s">
        <v>104</v>
      </c>
      <c r="N321" s="14">
        <v>2014</v>
      </c>
      <c r="O321" s="14">
        <v>6</v>
      </c>
      <c r="P321" s="14" t="s">
        <v>53</v>
      </c>
      <c r="Q321" s="14">
        <v>1</v>
      </c>
      <c r="R321" s="14">
        <v>0</v>
      </c>
      <c r="S321" s="17" t="s">
        <v>54</v>
      </c>
      <c r="T321" s="18">
        <v>0</v>
      </c>
      <c r="U321" s="14">
        <v>0</v>
      </c>
      <c r="V321" s="19">
        <v>1</v>
      </c>
      <c r="W321" s="14">
        <v>0</v>
      </c>
      <c r="X321" s="14">
        <v>0</v>
      </c>
      <c r="Y321" s="14">
        <v>0</v>
      </c>
      <c r="Z321" s="14">
        <v>0</v>
      </c>
      <c r="AA321" s="14">
        <f>Tabla13[[#This Row],[CheckList App]]+Tabla13[[#This Row],[CheckList Fisc]]</f>
        <v>0</v>
      </c>
      <c r="AB321" s="19" t="str">
        <f t="shared" si="4"/>
        <v/>
      </c>
      <c r="AC321" s="14">
        <v>0</v>
      </c>
      <c r="AD321" s="14" t="s">
        <v>55</v>
      </c>
      <c r="AE321" s="15" t="str">
        <f>IFERROR((VLOOKUP(Tabla13[[#This Row],[ID]],[1]!Mtto_Pesv[[#Headers],[#Data],[Placa]:[Rutina]],2,FALSE)),"-")</f>
        <v>-</v>
      </c>
      <c r="AF321" s="14">
        <v>0</v>
      </c>
      <c r="AG321" s="20">
        <f>IFERROR((VLOOKUP(Tabla13[[#This Row],[ID]],[1]!Mtto_Pesv[[#Headers],[#Data],[Placa]:[Rutina]],3,FALSE)),0)</f>
        <v>0</v>
      </c>
      <c r="AH321" s="20">
        <f>IFERROR((VLOOKUP(Tabla13[[#This Row],[ID]],[1]!Mtto_Pesv[[#Headers],[#Data],[Placa]:[Rutina]],7,FALSE)),0)</f>
        <v>0</v>
      </c>
      <c r="AI321" s="20">
        <f>IFERROR((VLOOKUP(Tabla13[[#This Row],[ID]],[1]!Mtto_Pesv[[#Headers],[#Data],[Placa]:[Rutina]],8,FALSE)),0)</f>
        <v>0</v>
      </c>
      <c r="AJ321" s="20" t="str">
        <f>IFERROR((VLOOKUP(Tabla13[[#This Row],[ID]],[1]!Mtto_Pesv[[#Headers],[#Data],[Placa]:[Rutina]],9,FALSE)),"-")</f>
        <v>-</v>
      </c>
      <c r="AK321" s="20">
        <f>IFERROR((VLOOKUP(Tabla13[[#This Row],[ID]],[1]!Mtto_Pesv[[#Headers],[#Data],[Placa]:[Rutina]],10,FALSE)),0)</f>
        <v>0</v>
      </c>
      <c r="AL321" s="20">
        <f>IF(Tabla13[[#This Row],[Km Anterior]]=0,0,Tabla13[[#This Row],[Km Ejecut]]-Tabla13[[#This Row],[Km Anterior]])</f>
        <v>0</v>
      </c>
      <c r="AM321" s="20">
        <f>IFERROR((VLOOKUP(Tabla13[[#This Row],[ID]],[1]!Mtto_Pesv[[#Headers],[#Data],[Placa]:[Rutina]],4,FALSE)),0)</f>
        <v>0</v>
      </c>
      <c r="AN321" s="21">
        <f>IFERROR((VLOOKUP(Tabla13[[#This Row],[ID]],[1]!Mtto_Pesv[[#Headers],[#Data],[Placa]:[Rutina]],5,FALSE)),0)</f>
        <v>0</v>
      </c>
      <c r="AO321" s="21">
        <f>+Tabla13[[#This Row],[Km Fin]]-Tabla13[[#This Row],[Km Ini]]</f>
        <v>0</v>
      </c>
      <c r="AP321" s="20">
        <f>IFERROR((VLOOKUP(Tabla13[[#This Row],[ID]],[1]!Estilo_Conduccion[[#All],[Placa]:[Puntuacion]],15,FALSE)),0)</f>
        <v>1062.7</v>
      </c>
      <c r="AQ321" s="15" t="s">
        <v>1164</v>
      </c>
      <c r="AR321" s="15" t="s">
        <v>1165</v>
      </c>
      <c r="AS321" s="20">
        <v>1300</v>
      </c>
      <c r="AT321" s="21">
        <v>4420.3846153846152</v>
      </c>
      <c r="AU321" s="21">
        <f>(Tabla13[[#This Row],[Cap Vh]]*$AX$2)*0.56</f>
        <v>0</v>
      </c>
      <c r="AV321" s="36" t="e">
        <f>(Tabla13[[#This Row],[Cap Util (kg)]]/(Tabla13[[#This Row],[Cap Inst (Kg)]]))</f>
        <v>#DIV/0!</v>
      </c>
    </row>
    <row r="322" spans="1:48" x14ac:dyDescent="0.25">
      <c r="A322" s="13" t="s">
        <v>1068</v>
      </c>
      <c r="B322" s="14" t="s">
        <v>495</v>
      </c>
      <c r="C322" s="14" t="s">
        <v>44</v>
      </c>
      <c r="D322" s="14" t="s">
        <v>44</v>
      </c>
      <c r="E322" s="14" t="s">
        <v>69</v>
      </c>
      <c r="F322" s="14" t="s">
        <v>64</v>
      </c>
      <c r="G322" s="15" t="s">
        <v>47</v>
      </c>
      <c r="H322" s="16" t="s">
        <v>48</v>
      </c>
      <c r="I322" s="14" t="s">
        <v>203</v>
      </c>
      <c r="J322" s="14">
        <v>900335279</v>
      </c>
      <c r="K322" s="14" t="s">
        <v>77</v>
      </c>
      <c r="L322" s="14" t="s">
        <v>103</v>
      </c>
      <c r="M322" s="14" t="s">
        <v>104</v>
      </c>
      <c r="N322" s="14">
        <v>2014</v>
      </c>
      <c r="O322" s="14">
        <v>6</v>
      </c>
      <c r="P322" s="14" t="s">
        <v>53</v>
      </c>
      <c r="Q322" s="14">
        <v>0</v>
      </c>
      <c r="R322" s="14">
        <v>0</v>
      </c>
      <c r="S322" s="17" t="s">
        <v>54</v>
      </c>
      <c r="T322" s="18">
        <v>0</v>
      </c>
      <c r="U322" s="14">
        <v>30</v>
      </c>
      <c r="V322" s="19">
        <v>1</v>
      </c>
      <c r="W322" s="14">
        <v>0</v>
      </c>
      <c r="X322" s="14">
        <v>0</v>
      </c>
      <c r="Y322" s="14">
        <v>0</v>
      </c>
      <c r="Z322" s="14">
        <v>0</v>
      </c>
      <c r="AA322" s="14">
        <f>Tabla13[[#This Row],[CheckList App]]+Tabla13[[#This Row],[CheckList Fisc]]</f>
        <v>0</v>
      </c>
      <c r="AB322" s="19">
        <f t="shared" ref="AB322:AB385" si="5">IF(U322=0,"",(IFERROR((AA322/X322),0)))</f>
        <v>0</v>
      </c>
      <c r="AC322" s="14">
        <v>0</v>
      </c>
      <c r="AD322" s="14" t="s">
        <v>70</v>
      </c>
      <c r="AE322" s="15" t="str">
        <f>IFERROR((VLOOKUP(Tabla13[[#This Row],[ID]],[1]!Mtto_Pesv[[#Headers],[#Data],[Placa]:[Rutina]],2,FALSE)),"-")</f>
        <v>-</v>
      </c>
      <c r="AF322" s="14">
        <v>1</v>
      </c>
      <c r="AG322" s="20">
        <f>IFERROR((VLOOKUP(Tabla13[[#This Row],[ID]],[1]!Mtto_Pesv[[#Headers],[#Data],[Placa]:[Rutina]],3,FALSE)),0)</f>
        <v>0</v>
      </c>
      <c r="AH322" s="20">
        <f>IFERROR((VLOOKUP(Tabla13[[#This Row],[ID]],[1]!Mtto_Pesv[[#Headers],[#Data],[Placa]:[Rutina]],7,FALSE)),0)</f>
        <v>0</v>
      </c>
      <c r="AI322" s="20">
        <f>IFERROR((VLOOKUP(Tabla13[[#This Row],[ID]],[1]!Mtto_Pesv[[#Headers],[#Data],[Placa]:[Rutina]],8,FALSE)),0)</f>
        <v>0</v>
      </c>
      <c r="AJ322" s="20" t="str">
        <f>IFERROR((VLOOKUP(Tabla13[[#This Row],[ID]],[1]!Mtto_Pesv[[#Headers],[#Data],[Placa]:[Rutina]],9,FALSE)),"-")</f>
        <v>-</v>
      </c>
      <c r="AK322" s="20">
        <f>IFERROR((VLOOKUP(Tabla13[[#This Row],[ID]],[1]!Mtto_Pesv[[#Headers],[#Data],[Placa]:[Rutina]],10,FALSE)),0)</f>
        <v>0</v>
      </c>
      <c r="AL322" s="20">
        <f>IF(Tabla13[[#This Row],[Km Anterior]]=0,0,Tabla13[[#This Row],[Km Ejecut]]-Tabla13[[#This Row],[Km Anterior]])</f>
        <v>0</v>
      </c>
      <c r="AM322" s="20">
        <f>IFERROR((VLOOKUP(Tabla13[[#This Row],[ID]],[1]!Mtto_Pesv[[#Headers],[#Data],[Placa]:[Rutina]],4,FALSE)),0)</f>
        <v>0</v>
      </c>
      <c r="AN322" s="21">
        <f>IFERROR((VLOOKUP(Tabla13[[#This Row],[ID]],[1]!Mtto_Pesv[[#Headers],[#Data],[Placa]:[Rutina]],5,FALSE)),0)</f>
        <v>0</v>
      </c>
      <c r="AO322" s="21">
        <f>+Tabla13[[#This Row],[Km Fin]]-Tabla13[[#This Row],[Km Ini]]</f>
        <v>0</v>
      </c>
      <c r="AP322" s="20">
        <f>IFERROR((VLOOKUP(Tabla13[[#This Row],[ID]],[1]!Estilo_Conduccion[[#All],[Placa]:[Puntuacion]],15,FALSE)),0)</f>
        <v>0</v>
      </c>
      <c r="AQ322" s="15" t="s">
        <v>1269</v>
      </c>
      <c r="AR322" s="15" t="s">
        <v>1270</v>
      </c>
      <c r="AS322" s="20">
        <v>1300</v>
      </c>
      <c r="AT322" s="21">
        <v>11298</v>
      </c>
      <c r="AU322" s="21">
        <f>(Tabla13[[#This Row],[Cap Vh]]*$AX$2)*0.56</f>
        <v>0</v>
      </c>
      <c r="AV322" s="36" t="e">
        <f>(Tabla13[[#This Row],[Cap Util (kg)]]/(Tabla13[[#This Row],[Cap Inst (Kg)]]))</f>
        <v>#DIV/0!</v>
      </c>
    </row>
    <row r="323" spans="1:48" x14ac:dyDescent="0.25">
      <c r="A323" s="13" t="s">
        <v>1068</v>
      </c>
      <c r="B323" s="14" t="s">
        <v>497</v>
      </c>
      <c r="C323" s="14" t="s">
        <v>44</v>
      </c>
      <c r="D323" s="14" t="s">
        <v>44</v>
      </c>
      <c r="E323" s="14" t="s">
        <v>45</v>
      </c>
      <c r="F323" s="14" t="s">
        <v>76</v>
      </c>
      <c r="G323" s="15" t="s">
        <v>47</v>
      </c>
      <c r="H323" s="16" t="s">
        <v>48</v>
      </c>
      <c r="I323" s="14" t="s">
        <v>49</v>
      </c>
      <c r="J323" s="14">
        <v>860002964</v>
      </c>
      <c r="K323" s="14" t="s">
        <v>102</v>
      </c>
      <c r="L323" s="14" t="s">
        <v>103</v>
      </c>
      <c r="M323" s="14" t="s">
        <v>104</v>
      </c>
      <c r="N323" s="14">
        <v>2014</v>
      </c>
      <c r="O323" s="14">
        <v>6</v>
      </c>
      <c r="P323" s="14" t="s">
        <v>53</v>
      </c>
      <c r="Q323" s="14">
        <v>0</v>
      </c>
      <c r="R323" s="14">
        <v>0</v>
      </c>
      <c r="S323" s="17" t="s">
        <v>54</v>
      </c>
      <c r="T323" s="18">
        <v>0</v>
      </c>
      <c r="U323" s="14">
        <v>30</v>
      </c>
      <c r="V323" s="19">
        <v>1</v>
      </c>
      <c r="W323" s="14">
        <v>0</v>
      </c>
      <c r="X323" s="14">
        <v>0</v>
      </c>
      <c r="Y323" s="14">
        <v>0</v>
      </c>
      <c r="Z323" s="14">
        <v>0</v>
      </c>
      <c r="AA323" s="14">
        <f>Tabla13[[#This Row],[CheckList App]]+Tabla13[[#This Row],[CheckList Fisc]]</f>
        <v>0</v>
      </c>
      <c r="AB323" s="19">
        <f t="shared" si="5"/>
        <v>0</v>
      </c>
      <c r="AC323" s="14">
        <v>0</v>
      </c>
      <c r="AD323" s="14" t="s">
        <v>55</v>
      </c>
      <c r="AE323" s="15" t="str">
        <f>IFERROR((VLOOKUP(Tabla13[[#This Row],[ID]],[1]!Mtto_Pesv[[#Headers],[#Data],[Placa]:[Rutina]],2,FALSE)),"-")</f>
        <v>-</v>
      </c>
      <c r="AF323" s="14">
        <v>0</v>
      </c>
      <c r="AG323" s="20">
        <f>IFERROR((VLOOKUP(Tabla13[[#This Row],[ID]],[1]!Mtto_Pesv[[#Headers],[#Data],[Placa]:[Rutina]],3,FALSE)),0)</f>
        <v>0</v>
      </c>
      <c r="AH323" s="20">
        <f>IFERROR((VLOOKUP(Tabla13[[#This Row],[ID]],[1]!Mtto_Pesv[[#Headers],[#Data],[Placa]:[Rutina]],7,FALSE)),0)</f>
        <v>0</v>
      </c>
      <c r="AI323" s="20">
        <f>IFERROR((VLOOKUP(Tabla13[[#This Row],[ID]],[1]!Mtto_Pesv[[#Headers],[#Data],[Placa]:[Rutina]],8,FALSE)),0)</f>
        <v>0</v>
      </c>
      <c r="AJ323" s="20" t="str">
        <f>IFERROR((VLOOKUP(Tabla13[[#This Row],[ID]],[1]!Mtto_Pesv[[#Headers],[#Data],[Placa]:[Rutina]],9,FALSE)),"-")</f>
        <v>-</v>
      </c>
      <c r="AK323" s="20">
        <f>IFERROR((VLOOKUP(Tabla13[[#This Row],[ID]],[1]!Mtto_Pesv[[#Headers],[#Data],[Placa]:[Rutina]],10,FALSE)),0)</f>
        <v>0</v>
      </c>
      <c r="AL323" s="20">
        <f>IF(Tabla13[[#This Row],[Km Anterior]]=0,0,Tabla13[[#This Row],[Km Ejecut]]-Tabla13[[#This Row],[Km Anterior]])</f>
        <v>0</v>
      </c>
      <c r="AM323" s="20">
        <f>IFERROR((VLOOKUP(Tabla13[[#This Row],[ID]],[1]!Mtto_Pesv[[#Headers],[#Data],[Placa]:[Rutina]],4,FALSE)),0)</f>
        <v>0</v>
      </c>
      <c r="AN323" s="21">
        <f>IFERROR((VLOOKUP(Tabla13[[#This Row],[ID]],[1]!Mtto_Pesv[[#Headers],[#Data],[Placa]:[Rutina]],5,FALSE)),0)</f>
        <v>0</v>
      </c>
      <c r="AO323" s="21">
        <f>+Tabla13[[#This Row],[Km Fin]]-Tabla13[[#This Row],[Km Ini]]</f>
        <v>0</v>
      </c>
      <c r="AP323" s="20">
        <f>IFERROR((VLOOKUP(Tabla13[[#This Row],[ID]],[1]!Estilo_Conduccion[[#All],[Placa]:[Puntuacion]],15,FALSE)),0)</f>
        <v>0</v>
      </c>
      <c r="AQ323" s="15" t="s">
        <v>1271</v>
      </c>
      <c r="AR323" s="15" t="s">
        <v>1272</v>
      </c>
      <c r="AS323" s="20">
        <v>1300</v>
      </c>
      <c r="AT323" s="21">
        <v>9009</v>
      </c>
      <c r="AU323" s="21">
        <f>(Tabla13[[#This Row],[Cap Vh]]*$AX$2)*0.56</f>
        <v>0</v>
      </c>
      <c r="AV323" s="36" t="e">
        <f>(Tabla13[[#This Row],[Cap Util (kg)]]/(Tabla13[[#This Row],[Cap Inst (Kg)]]))</f>
        <v>#DIV/0!</v>
      </c>
    </row>
    <row r="324" spans="1:48" x14ac:dyDescent="0.25">
      <c r="A324" s="13" t="s">
        <v>1068</v>
      </c>
      <c r="B324" s="14" t="s">
        <v>498</v>
      </c>
      <c r="C324" s="14" t="s">
        <v>44</v>
      </c>
      <c r="D324" s="14" t="s">
        <v>44</v>
      </c>
      <c r="E324" s="14" t="s">
        <v>45</v>
      </c>
      <c r="F324" s="14" t="s">
        <v>64</v>
      </c>
      <c r="G324" s="15" t="s">
        <v>119</v>
      </c>
      <c r="H324" s="16" t="s">
        <v>120</v>
      </c>
      <c r="I324" s="14" t="s">
        <v>177</v>
      </c>
      <c r="J324" s="14">
        <v>830064700</v>
      </c>
      <c r="K324" s="14" t="s">
        <v>50</v>
      </c>
      <c r="L324" s="14" t="s">
        <v>103</v>
      </c>
      <c r="M324" s="14" t="s">
        <v>435</v>
      </c>
      <c r="N324" s="14">
        <v>2013</v>
      </c>
      <c r="O324" s="14">
        <v>7</v>
      </c>
      <c r="P324" s="14" t="s">
        <v>53</v>
      </c>
      <c r="Q324" s="14">
        <v>1</v>
      </c>
      <c r="R324" s="14">
        <v>1</v>
      </c>
      <c r="S324" s="17">
        <v>44833.779224537036</v>
      </c>
      <c r="T324" s="18">
        <v>88.192999999999998</v>
      </c>
      <c r="U324" s="14">
        <v>0</v>
      </c>
      <c r="V324" s="19">
        <v>0.3</v>
      </c>
      <c r="W324" s="14">
        <v>0</v>
      </c>
      <c r="X324" s="14">
        <v>26</v>
      </c>
      <c r="Y324" s="14">
        <v>7</v>
      </c>
      <c r="Z324" s="14">
        <v>0</v>
      </c>
      <c r="AA324" s="14">
        <f>Tabla13[[#This Row],[CheckList App]]+Tabla13[[#This Row],[CheckList Fisc]]</f>
        <v>7</v>
      </c>
      <c r="AB324" s="19" t="str">
        <f t="shared" si="5"/>
        <v/>
      </c>
      <c r="AC324" s="14">
        <v>44</v>
      </c>
      <c r="AD324" s="14" t="s">
        <v>70</v>
      </c>
      <c r="AE324" s="22" t="str">
        <f>IFERROR((VLOOKUP(Tabla13[[#This Row],[ID]],[1]!Mtto_Pesv[[#Headers],[#Data],[Placa]:[Rutina]],2,FALSE)),"-")</f>
        <v>-</v>
      </c>
      <c r="AF324" s="14">
        <v>1</v>
      </c>
      <c r="AG324" s="20">
        <f>IFERROR((VLOOKUP(Tabla13[[#This Row],[ID]],[1]!Mtto_Pesv[[#Headers],[#Data],[Placa]:[Rutina]],3,FALSE)),0)</f>
        <v>0</v>
      </c>
      <c r="AH324" s="20">
        <f>IFERROR((VLOOKUP(Tabla13[[#This Row],[ID]],[1]!Mtto_Pesv[[#Headers],[#Data],[Placa]:[Rutina]],7,FALSE)),0)</f>
        <v>0</v>
      </c>
      <c r="AI324" s="20">
        <f>IFERROR((VLOOKUP(Tabla13[[#This Row],[ID]],[1]!Mtto_Pesv[[#Headers],[#Data],[Placa]:[Rutina]],8,FALSE)),0)</f>
        <v>0</v>
      </c>
      <c r="AJ324" s="20" t="str">
        <f>IFERROR((VLOOKUP(Tabla13[[#This Row],[ID]],[1]!Mtto_Pesv[[#Headers],[#Data],[Placa]:[Rutina]],9,FALSE)),"-")</f>
        <v>-</v>
      </c>
      <c r="AK324" s="20">
        <f>IFERROR((VLOOKUP(Tabla13[[#This Row],[ID]],[1]!Mtto_Pesv[[#Headers],[#Data],[Placa]:[Rutina]],10,FALSE)),0)</f>
        <v>0</v>
      </c>
      <c r="AL324" s="20">
        <f>IF(Tabla13[[#This Row],[Km Anterior]]=0,0,Tabla13[[#This Row],[Km Ejecut]]-Tabla13[[#This Row],[Km Anterior]])</f>
        <v>0</v>
      </c>
      <c r="AM324" s="20">
        <f>IFERROR((VLOOKUP(Tabla13[[#This Row],[ID]],[1]!Mtto_Pesv[[#Headers],[#Data],[Placa]:[Rutina]],4,FALSE)),0)</f>
        <v>0</v>
      </c>
      <c r="AN324" s="21">
        <f>IFERROR((VLOOKUP(Tabla13[[#This Row],[ID]],[1]!Mtto_Pesv[[#Headers],[#Data],[Placa]:[Rutina]],5,FALSE)),0)</f>
        <v>0</v>
      </c>
      <c r="AO324" s="21">
        <f>+Tabla13[[#This Row],[Km Fin]]-Tabla13[[#This Row],[Km Ini]]</f>
        <v>0</v>
      </c>
      <c r="AP324" s="20">
        <f>IFERROR((VLOOKUP(Tabla13[[#This Row],[ID]],[1]!Estilo_Conduccion[[#All],[Placa]:[Puntuacion]],15,FALSE)),0)</f>
        <v>32.5</v>
      </c>
      <c r="AQ324" s="15" t="s">
        <v>54</v>
      </c>
      <c r="AR324" s="15" t="s">
        <v>54</v>
      </c>
      <c r="AS324" s="20">
        <v>4500</v>
      </c>
      <c r="AT324" s="21">
        <v>0</v>
      </c>
      <c r="AU324" s="21">
        <f>(Tabla13[[#This Row],[Cap Vh]]*$AX$2)*0.56</f>
        <v>0</v>
      </c>
      <c r="AV324" s="36" t="e">
        <f>(Tabla13[[#This Row],[Cap Util (kg)]]/(Tabla13[[#This Row],[Cap Inst (Kg)]]))</f>
        <v>#DIV/0!</v>
      </c>
    </row>
    <row r="325" spans="1:48" x14ac:dyDescent="0.25">
      <c r="A325" s="13" t="s">
        <v>1068</v>
      </c>
      <c r="B325" s="14" t="s">
        <v>499</v>
      </c>
      <c r="C325" s="14" t="s">
        <v>44</v>
      </c>
      <c r="D325" s="14" t="s">
        <v>44</v>
      </c>
      <c r="E325" s="14" t="s">
        <v>45</v>
      </c>
      <c r="F325" s="14" t="s">
        <v>64</v>
      </c>
      <c r="G325" s="15" t="s">
        <v>119</v>
      </c>
      <c r="H325" s="16" t="s">
        <v>120</v>
      </c>
      <c r="I325" s="14" t="s">
        <v>177</v>
      </c>
      <c r="J325" s="14">
        <v>830064700</v>
      </c>
      <c r="K325" s="14" t="s">
        <v>50</v>
      </c>
      <c r="L325" s="14" t="s">
        <v>103</v>
      </c>
      <c r="M325" s="14" t="s">
        <v>110</v>
      </c>
      <c r="N325" s="14">
        <v>2013</v>
      </c>
      <c r="O325" s="14">
        <v>7</v>
      </c>
      <c r="P325" s="14" t="s">
        <v>53</v>
      </c>
      <c r="Q325" s="14">
        <v>1</v>
      </c>
      <c r="R325" s="14">
        <v>1</v>
      </c>
      <c r="S325" s="17">
        <v>44834.310543981483</v>
      </c>
      <c r="T325" s="18">
        <v>239.63699999999997</v>
      </c>
      <c r="U325" s="14">
        <v>0</v>
      </c>
      <c r="V325" s="19">
        <v>0.8666666666666667</v>
      </c>
      <c r="W325" s="14">
        <v>0</v>
      </c>
      <c r="X325" s="14">
        <v>26</v>
      </c>
      <c r="Y325" s="14">
        <v>16</v>
      </c>
      <c r="Z325" s="14">
        <v>0</v>
      </c>
      <c r="AA325" s="14">
        <f>Tabla13[[#This Row],[CheckList App]]+Tabla13[[#This Row],[CheckList Fisc]]</f>
        <v>16</v>
      </c>
      <c r="AB325" s="19" t="str">
        <f t="shared" si="5"/>
        <v/>
      </c>
      <c r="AC325" s="14">
        <v>9</v>
      </c>
      <c r="AD325" s="14" t="s">
        <v>70</v>
      </c>
      <c r="AE325" s="22" t="str">
        <f>IFERROR((VLOOKUP(Tabla13[[#This Row],[ID]],[1]!Mtto_Pesv[[#Headers],[#Data],[Placa]:[Rutina]],2,FALSE)),"-")</f>
        <v>-</v>
      </c>
      <c r="AF325" s="14">
        <v>1</v>
      </c>
      <c r="AG325" s="20">
        <f>IFERROR((VLOOKUP(Tabla13[[#This Row],[ID]],[1]!Mtto_Pesv[[#Headers],[#Data],[Placa]:[Rutina]],3,FALSE)),0)</f>
        <v>0</v>
      </c>
      <c r="AH325" s="20">
        <f>IFERROR((VLOOKUP(Tabla13[[#This Row],[ID]],[1]!Mtto_Pesv[[#Headers],[#Data],[Placa]:[Rutina]],7,FALSE)),0)</f>
        <v>0</v>
      </c>
      <c r="AI325" s="20">
        <f>IFERROR((VLOOKUP(Tabla13[[#This Row],[ID]],[1]!Mtto_Pesv[[#Headers],[#Data],[Placa]:[Rutina]],8,FALSE)),0)</f>
        <v>0</v>
      </c>
      <c r="AJ325" s="20" t="str">
        <f>IFERROR((VLOOKUP(Tabla13[[#This Row],[ID]],[1]!Mtto_Pesv[[#Headers],[#Data],[Placa]:[Rutina]],9,FALSE)),"-")</f>
        <v>-</v>
      </c>
      <c r="AK325" s="20">
        <f>IFERROR((VLOOKUP(Tabla13[[#This Row],[ID]],[1]!Mtto_Pesv[[#Headers],[#Data],[Placa]:[Rutina]],10,FALSE)),0)</f>
        <v>0</v>
      </c>
      <c r="AL325" s="20">
        <f>IF(Tabla13[[#This Row],[Km Anterior]]=0,0,Tabla13[[#This Row],[Km Ejecut]]-Tabla13[[#This Row],[Km Anterior]])</f>
        <v>0</v>
      </c>
      <c r="AM325" s="20">
        <f>IFERROR((VLOOKUP(Tabla13[[#This Row],[ID]],[1]!Mtto_Pesv[[#Headers],[#Data],[Placa]:[Rutina]],4,FALSE)),0)</f>
        <v>0</v>
      </c>
      <c r="AN325" s="21">
        <f>IFERROR((VLOOKUP(Tabla13[[#This Row],[ID]],[1]!Mtto_Pesv[[#Headers],[#Data],[Placa]:[Rutina]],5,FALSE)),0)</f>
        <v>0</v>
      </c>
      <c r="AO325" s="21">
        <f>+Tabla13[[#This Row],[Km Fin]]-Tabla13[[#This Row],[Km Ini]]</f>
        <v>0</v>
      </c>
      <c r="AP325" s="20">
        <f>IFERROR((VLOOKUP(Tabla13[[#This Row],[ID]],[1]!Estilo_Conduccion[[#All],[Placa]:[Puntuacion]],15,FALSE)),0)</f>
        <v>66</v>
      </c>
      <c r="AQ325" s="15" t="s">
        <v>54</v>
      </c>
      <c r="AR325" s="15" t="s">
        <v>54</v>
      </c>
      <c r="AS325" s="20">
        <v>8000</v>
      </c>
      <c r="AT325" s="21">
        <v>0</v>
      </c>
      <c r="AU325" s="21">
        <f>(Tabla13[[#This Row],[Cap Vh]]*$AX$2)*0.56</f>
        <v>0</v>
      </c>
      <c r="AV325" s="36" t="e">
        <f>(Tabla13[[#This Row],[Cap Util (kg)]]/(Tabla13[[#This Row],[Cap Inst (Kg)]]))</f>
        <v>#DIV/0!</v>
      </c>
    </row>
    <row r="326" spans="1:48" x14ac:dyDescent="0.25">
      <c r="A326" s="13" t="s">
        <v>1068</v>
      </c>
      <c r="B326" s="14" t="s">
        <v>500</v>
      </c>
      <c r="C326" s="14" t="s">
        <v>44</v>
      </c>
      <c r="D326" s="14" t="s">
        <v>44</v>
      </c>
      <c r="E326" s="14" t="s">
        <v>45</v>
      </c>
      <c r="F326" s="14" t="s">
        <v>64</v>
      </c>
      <c r="G326" s="15" t="s">
        <v>119</v>
      </c>
      <c r="H326" s="16" t="s">
        <v>120</v>
      </c>
      <c r="I326" s="14" t="s">
        <v>177</v>
      </c>
      <c r="J326" s="14">
        <v>830064700</v>
      </c>
      <c r="K326" s="14" t="s">
        <v>50</v>
      </c>
      <c r="L326" s="14" t="s">
        <v>103</v>
      </c>
      <c r="M326" s="14" t="s">
        <v>110</v>
      </c>
      <c r="N326" s="14">
        <v>2013</v>
      </c>
      <c r="O326" s="14">
        <v>7</v>
      </c>
      <c r="P326" s="14" t="s">
        <v>53</v>
      </c>
      <c r="Q326" s="14">
        <v>1</v>
      </c>
      <c r="R326" s="14">
        <v>1</v>
      </c>
      <c r="S326" s="17">
        <v>44833.514791666668</v>
      </c>
      <c r="T326" s="18">
        <v>527.96199999999999</v>
      </c>
      <c r="U326" s="14">
        <v>0</v>
      </c>
      <c r="V326" s="19">
        <v>0.9</v>
      </c>
      <c r="W326" s="14">
        <v>0</v>
      </c>
      <c r="X326" s="14">
        <v>26</v>
      </c>
      <c r="Y326" s="14">
        <v>26</v>
      </c>
      <c r="Z326" s="14">
        <v>0</v>
      </c>
      <c r="AA326" s="14">
        <f>Tabla13[[#This Row],[CheckList App]]+Tabla13[[#This Row],[CheckList Fisc]]</f>
        <v>26</v>
      </c>
      <c r="AB326" s="19" t="str">
        <f t="shared" si="5"/>
        <v/>
      </c>
      <c r="AC326" s="14">
        <v>1</v>
      </c>
      <c r="AD326" s="14" t="s">
        <v>70</v>
      </c>
      <c r="AE326" s="22" t="str">
        <f>IFERROR((VLOOKUP(Tabla13[[#This Row],[ID]],[1]!Mtto_Pesv[[#Headers],[#Data],[Placa]:[Rutina]],2,FALSE)),"-")</f>
        <v>-</v>
      </c>
      <c r="AF326" s="14">
        <v>1</v>
      </c>
      <c r="AG326" s="20">
        <f>IFERROR((VLOOKUP(Tabla13[[#This Row],[ID]],[1]!Mtto_Pesv[[#Headers],[#Data],[Placa]:[Rutina]],3,FALSE)),0)</f>
        <v>0</v>
      </c>
      <c r="AH326" s="20">
        <f>IFERROR((VLOOKUP(Tabla13[[#This Row],[ID]],[1]!Mtto_Pesv[[#Headers],[#Data],[Placa]:[Rutina]],7,FALSE)),0)</f>
        <v>0</v>
      </c>
      <c r="AI326" s="20">
        <f>IFERROR((VLOOKUP(Tabla13[[#This Row],[ID]],[1]!Mtto_Pesv[[#Headers],[#Data],[Placa]:[Rutina]],8,FALSE)),0)</f>
        <v>0</v>
      </c>
      <c r="AJ326" s="20" t="str">
        <f>IFERROR((VLOOKUP(Tabla13[[#This Row],[ID]],[1]!Mtto_Pesv[[#Headers],[#Data],[Placa]:[Rutina]],9,FALSE)),"-")</f>
        <v>-</v>
      </c>
      <c r="AK326" s="20">
        <f>IFERROR((VLOOKUP(Tabla13[[#This Row],[ID]],[1]!Mtto_Pesv[[#Headers],[#Data],[Placa]:[Rutina]],10,FALSE)),0)</f>
        <v>0</v>
      </c>
      <c r="AL326" s="20">
        <f>IF(Tabla13[[#This Row],[Km Anterior]]=0,0,Tabla13[[#This Row],[Km Ejecut]]-Tabla13[[#This Row],[Km Anterior]])</f>
        <v>0</v>
      </c>
      <c r="AM326" s="20">
        <f>IFERROR((VLOOKUP(Tabla13[[#This Row],[ID]],[1]!Mtto_Pesv[[#Headers],[#Data],[Placa]:[Rutina]],4,FALSE)),0)</f>
        <v>0</v>
      </c>
      <c r="AN326" s="21">
        <f>IFERROR((VLOOKUP(Tabla13[[#This Row],[ID]],[1]!Mtto_Pesv[[#Headers],[#Data],[Placa]:[Rutina]],5,FALSE)),0)</f>
        <v>0</v>
      </c>
      <c r="AO326" s="21">
        <f>+Tabla13[[#This Row],[Km Fin]]-Tabla13[[#This Row],[Km Ini]]</f>
        <v>0</v>
      </c>
      <c r="AP326" s="20">
        <f>IFERROR((VLOOKUP(Tabla13[[#This Row],[ID]],[1]!Estilo_Conduccion[[#All],[Placa]:[Puntuacion]],15,FALSE)),0)</f>
        <v>235.2</v>
      </c>
      <c r="AQ326" s="15" t="s">
        <v>54</v>
      </c>
      <c r="AR326" s="15" t="s">
        <v>54</v>
      </c>
      <c r="AS326" s="20">
        <v>8000</v>
      </c>
      <c r="AT326" s="21">
        <v>0</v>
      </c>
      <c r="AU326" s="21">
        <f>(Tabla13[[#This Row],[Cap Vh]]*$AX$2)*0.56</f>
        <v>0</v>
      </c>
      <c r="AV326" s="36" t="e">
        <f>(Tabla13[[#This Row],[Cap Util (kg)]]/(Tabla13[[#This Row],[Cap Inst (Kg)]]))</f>
        <v>#DIV/0!</v>
      </c>
    </row>
    <row r="327" spans="1:48" x14ac:dyDescent="0.25">
      <c r="A327" s="13" t="s">
        <v>1068</v>
      </c>
      <c r="B327" s="14" t="s">
        <v>501</v>
      </c>
      <c r="C327" s="14" t="s">
        <v>44</v>
      </c>
      <c r="D327" s="14" t="s">
        <v>44</v>
      </c>
      <c r="E327" s="14" t="s">
        <v>45</v>
      </c>
      <c r="F327" s="14" t="s">
        <v>64</v>
      </c>
      <c r="G327" s="15" t="s">
        <v>119</v>
      </c>
      <c r="H327" s="16" t="s">
        <v>120</v>
      </c>
      <c r="I327" s="14" t="s">
        <v>109</v>
      </c>
      <c r="J327" s="14">
        <v>830064700</v>
      </c>
      <c r="K327" s="14" t="s">
        <v>50</v>
      </c>
      <c r="L327" s="14" t="s">
        <v>103</v>
      </c>
      <c r="M327" s="14" t="s">
        <v>121</v>
      </c>
      <c r="N327" s="14">
        <v>2014</v>
      </c>
      <c r="O327" s="14">
        <v>6</v>
      </c>
      <c r="P327" s="14" t="s">
        <v>53</v>
      </c>
      <c r="Q327" s="14">
        <v>1</v>
      </c>
      <c r="R327" s="14">
        <v>0</v>
      </c>
      <c r="S327" s="17" t="s">
        <v>54</v>
      </c>
      <c r="T327" s="18">
        <v>0</v>
      </c>
      <c r="U327" s="14">
        <v>0</v>
      </c>
      <c r="V327" s="19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f>Tabla13[[#This Row],[CheckList App]]+Tabla13[[#This Row],[CheckList Fisc]]</f>
        <v>0</v>
      </c>
      <c r="AB327" s="19" t="str">
        <f t="shared" si="5"/>
        <v/>
      </c>
      <c r="AC327" s="14">
        <v>0</v>
      </c>
      <c r="AD327" s="14" t="s">
        <v>70</v>
      </c>
      <c r="AE327" s="22" t="str">
        <f>IFERROR((VLOOKUP(Tabla13[[#This Row],[ID]],[1]!Mtto_Pesv[[#Headers],[#Data],[Placa]:[Rutina]],2,FALSE)),"-")</f>
        <v>-</v>
      </c>
      <c r="AF327" s="14">
        <v>1</v>
      </c>
      <c r="AG327" s="20">
        <f>IFERROR((VLOOKUP(Tabla13[[#This Row],[ID]],[1]!Mtto_Pesv[[#Headers],[#Data],[Placa]:[Rutina]],3,FALSE)),0)</f>
        <v>0</v>
      </c>
      <c r="AH327" s="20">
        <f>IFERROR((VLOOKUP(Tabla13[[#This Row],[ID]],[1]!Mtto_Pesv[[#Headers],[#Data],[Placa]:[Rutina]],7,FALSE)),0)</f>
        <v>0</v>
      </c>
      <c r="AI327" s="20">
        <f>IFERROR((VLOOKUP(Tabla13[[#This Row],[ID]],[1]!Mtto_Pesv[[#Headers],[#Data],[Placa]:[Rutina]],8,FALSE)),0)</f>
        <v>0</v>
      </c>
      <c r="AJ327" s="20" t="str">
        <f>IFERROR((VLOOKUP(Tabla13[[#This Row],[ID]],[1]!Mtto_Pesv[[#Headers],[#Data],[Placa]:[Rutina]],9,FALSE)),"-")</f>
        <v>-</v>
      </c>
      <c r="AK327" s="20">
        <f>IFERROR((VLOOKUP(Tabla13[[#This Row],[ID]],[1]!Mtto_Pesv[[#Headers],[#Data],[Placa]:[Rutina]],10,FALSE)),0)</f>
        <v>0</v>
      </c>
      <c r="AL327" s="20">
        <f>IF(Tabla13[[#This Row],[Km Anterior]]=0,0,Tabla13[[#This Row],[Km Ejecut]]-Tabla13[[#This Row],[Km Anterior]])</f>
        <v>0</v>
      </c>
      <c r="AM327" s="20">
        <f>IFERROR((VLOOKUP(Tabla13[[#This Row],[ID]],[1]!Mtto_Pesv[[#Headers],[#Data],[Placa]:[Rutina]],4,FALSE)),0)</f>
        <v>0</v>
      </c>
      <c r="AN327" s="21">
        <f>IFERROR((VLOOKUP(Tabla13[[#This Row],[ID]],[1]!Mtto_Pesv[[#Headers],[#Data],[Placa]:[Rutina]],5,FALSE)),0)</f>
        <v>0</v>
      </c>
      <c r="AO327" s="21">
        <f>+Tabla13[[#This Row],[Km Fin]]-Tabla13[[#This Row],[Km Ini]]</f>
        <v>0</v>
      </c>
      <c r="AP327" s="20">
        <f>IFERROR((VLOOKUP(Tabla13[[#This Row],[ID]],[1]!Estilo_Conduccion[[#All],[Placa]:[Puntuacion]],15,FALSE)),0)</f>
        <v>0</v>
      </c>
      <c r="AQ327" s="15" t="s">
        <v>54</v>
      </c>
      <c r="AR327" s="15" t="s">
        <v>54</v>
      </c>
      <c r="AS327" s="20">
        <v>2500</v>
      </c>
      <c r="AT327" s="21">
        <v>0</v>
      </c>
      <c r="AU327" s="21">
        <f>(Tabla13[[#This Row],[Cap Vh]]*$AX$2)*0.56</f>
        <v>0</v>
      </c>
      <c r="AV327" s="36" t="e">
        <f>(Tabla13[[#This Row],[Cap Util (kg)]]/(Tabla13[[#This Row],[Cap Inst (Kg)]]))</f>
        <v>#DIV/0!</v>
      </c>
    </row>
    <row r="328" spans="1:48" x14ac:dyDescent="0.25">
      <c r="A328" s="13" t="s">
        <v>1068</v>
      </c>
      <c r="B328" s="14" t="s">
        <v>502</v>
      </c>
      <c r="C328" s="14" t="s">
        <v>44</v>
      </c>
      <c r="D328" s="14" t="s">
        <v>44</v>
      </c>
      <c r="E328" s="14" t="s">
        <v>60</v>
      </c>
      <c r="F328" s="14" t="s">
        <v>46</v>
      </c>
      <c r="G328" s="15" t="s">
        <v>47</v>
      </c>
      <c r="H328" s="16" t="s">
        <v>48</v>
      </c>
      <c r="I328" s="14" t="s">
        <v>49</v>
      </c>
      <c r="J328" s="14">
        <v>830064700</v>
      </c>
      <c r="K328" s="14" t="s">
        <v>50</v>
      </c>
      <c r="L328" s="14" t="s">
        <v>103</v>
      </c>
      <c r="M328" s="14" t="s">
        <v>121</v>
      </c>
      <c r="N328" s="14">
        <v>2014</v>
      </c>
      <c r="O328" s="14">
        <v>6</v>
      </c>
      <c r="P328" s="14" t="s">
        <v>53</v>
      </c>
      <c r="Q328" s="14">
        <v>1</v>
      </c>
      <c r="R328" s="14">
        <v>0</v>
      </c>
      <c r="S328" s="17" t="s">
        <v>54</v>
      </c>
      <c r="T328" s="18">
        <v>0</v>
      </c>
      <c r="U328" s="14">
        <v>30</v>
      </c>
      <c r="V328" s="19">
        <v>1</v>
      </c>
      <c r="W328" s="14">
        <v>0</v>
      </c>
      <c r="X328" s="14">
        <v>0</v>
      </c>
      <c r="Y328" s="14">
        <v>0</v>
      </c>
      <c r="Z328" s="14">
        <v>0</v>
      </c>
      <c r="AA328" s="14">
        <f>Tabla13[[#This Row],[CheckList App]]+Tabla13[[#This Row],[CheckList Fisc]]</f>
        <v>0</v>
      </c>
      <c r="AB328" s="19">
        <f t="shared" si="5"/>
        <v>0</v>
      </c>
      <c r="AC328" s="14">
        <v>0</v>
      </c>
      <c r="AD328" s="14" t="s">
        <v>55</v>
      </c>
      <c r="AE328" s="15" t="str">
        <f>IFERROR((VLOOKUP(Tabla13[[#This Row],[ID]],[1]!Mtto_Pesv[[#Headers],[#Data],[Placa]:[Rutina]],2,FALSE)),"-")</f>
        <v>-</v>
      </c>
      <c r="AF328" s="14">
        <v>0</v>
      </c>
      <c r="AG328" s="20">
        <f>IFERROR((VLOOKUP(Tabla13[[#This Row],[ID]],[1]!Mtto_Pesv[[#Headers],[#Data],[Placa]:[Rutina]],3,FALSE)),0)</f>
        <v>0</v>
      </c>
      <c r="AH328" s="20">
        <f>IFERROR((VLOOKUP(Tabla13[[#This Row],[ID]],[1]!Mtto_Pesv[[#Headers],[#Data],[Placa]:[Rutina]],7,FALSE)),0)</f>
        <v>0</v>
      </c>
      <c r="AI328" s="20">
        <f>IFERROR((VLOOKUP(Tabla13[[#This Row],[ID]],[1]!Mtto_Pesv[[#Headers],[#Data],[Placa]:[Rutina]],8,FALSE)),0)</f>
        <v>0</v>
      </c>
      <c r="AJ328" s="20" t="str">
        <f>IFERROR((VLOOKUP(Tabla13[[#This Row],[ID]],[1]!Mtto_Pesv[[#Headers],[#Data],[Placa]:[Rutina]],9,FALSE)),"-")</f>
        <v>-</v>
      </c>
      <c r="AK328" s="20">
        <f>IFERROR((VLOOKUP(Tabla13[[#This Row],[ID]],[1]!Mtto_Pesv[[#Headers],[#Data],[Placa]:[Rutina]],10,FALSE)),0)</f>
        <v>0</v>
      </c>
      <c r="AL328" s="20">
        <f>IF(Tabla13[[#This Row],[Km Anterior]]=0,0,Tabla13[[#This Row],[Km Ejecut]]-Tabla13[[#This Row],[Km Anterior]])</f>
        <v>0</v>
      </c>
      <c r="AM328" s="20">
        <f>IFERROR((VLOOKUP(Tabla13[[#This Row],[ID]],[1]!Mtto_Pesv[[#Headers],[#Data],[Placa]:[Rutina]],4,FALSE)),0)</f>
        <v>0</v>
      </c>
      <c r="AN328" s="21">
        <f>IFERROR((VLOOKUP(Tabla13[[#This Row],[ID]],[1]!Mtto_Pesv[[#Headers],[#Data],[Placa]:[Rutina]],5,FALSE)),0)</f>
        <v>0</v>
      </c>
      <c r="AO328" s="21">
        <f>+Tabla13[[#This Row],[Km Fin]]-Tabla13[[#This Row],[Km Ini]]</f>
        <v>0</v>
      </c>
      <c r="AP328" s="20">
        <f>IFERROR((VLOOKUP(Tabla13[[#This Row],[ID]],[1]!Estilo_Conduccion[[#All],[Placa]:[Puntuacion]],15,FALSE)),0)</f>
        <v>259.7</v>
      </c>
      <c r="AQ328" s="15" t="s">
        <v>1072</v>
      </c>
      <c r="AR328" s="15" t="s">
        <v>1073</v>
      </c>
      <c r="AS328" s="20">
        <v>2500</v>
      </c>
      <c r="AT328" s="21">
        <v>3080.8846153846152</v>
      </c>
      <c r="AU328" s="21">
        <f>(Tabla13[[#This Row],[Cap Vh]]*$AX$2)*0.56</f>
        <v>0</v>
      </c>
      <c r="AV328" s="36" t="e">
        <f>(Tabla13[[#This Row],[Cap Util (kg)]]/(Tabla13[[#This Row],[Cap Inst (Kg)]]))</f>
        <v>#DIV/0!</v>
      </c>
    </row>
    <row r="329" spans="1:48" x14ac:dyDescent="0.25">
      <c r="A329" s="13" t="s">
        <v>1068</v>
      </c>
      <c r="B329" s="14" t="s">
        <v>503</v>
      </c>
      <c r="C329" s="14" t="s">
        <v>44</v>
      </c>
      <c r="D329" s="14" t="s">
        <v>44</v>
      </c>
      <c r="E329" s="14" t="s">
        <v>60</v>
      </c>
      <c r="F329" s="14" t="s">
        <v>46</v>
      </c>
      <c r="G329" s="15" t="s">
        <v>47</v>
      </c>
      <c r="H329" s="16" t="s">
        <v>48</v>
      </c>
      <c r="I329" s="14" t="s">
        <v>49</v>
      </c>
      <c r="J329" s="14">
        <v>830064700</v>
      </c>
      <c r="K329" s="14" t="s">
        <v>50</v>
      </c>
      <c r="L329" s="14" t="s">
        <v>103</v>
      </c>
      <c r="M329" s="14" t="s">
        <v>121</v>
      </c>
      <c r="N329" s="14">
        <v>2014</v>
      </c>
      <c r="O329" s="14">
        <v>6</v>
      </c>
      <c r="P329" s="14" t="s">
        <v>53</v>
      </c>
      <c r="Q329" s="14">
        <v>1</v>
      </c>
      <c r="R329" s="14">
        <v>0</v>
      </c>
      <c r="S329" s="17" t="s">
        <v>54</v>
      </c>
      <c r="T329" s="18">
        <v>0</v>
      </c>
      <c r="U329" s="14">
        <v>30</v>
      </c>
      <c r="V329" s="19">
        <v>1</v>
      </c>
      <c r="W329" s="14">
        <v>0</v>
      </c>
      <c r="X329" s="14">
        <v>0</v>
      </c>
      <c r="Y329" s="14">
        <v>0</v>
      </c>
      <c r="Z329" s="14">
        <v>0</v>
      </c>
      <c r="AA329" s="14">
        <f>Tabla13[[#This Row],[CheckList App]]+Tabla13[[#This Row],[CheckList Fisc]]</f>
        <v>0</v>
      </c>
      <c r="AB329" s="19">
        <f t="shared" si="5"/>
        <v>0</v>
      </c>
      <c r="AC329" s="14">
        <v>0</v>
      </c>
      <c r="AD329" s="14" t="s">
        <v>55</v>
      </c>
      <c r="AE329" s="15" t="str">
        <f>IFERROR((VLOOKUP(Tabla13[[#This Row],[ID]],[1]!Mtto_Pesv[[#Headers],[#Data],[Placa]:[Rutina]],2,FALSE)),"-")</f>
        <v>-</v>
      </c>
      <c r="AF329" s="14">
        <v>0</v>
      </c>
      <c r="AG329" s="20">
        <f>IFERROR((VLOOKUP(Tabla13[[#This Row],[ID]],[1]!Mtto_Pesv[[#Headers],[#Data],[Placa]:[Rutina]],3,FALSE)),0)</f>
        <v>0</v>
      </c>
      <c r="AH329" s="20">
        <f>IFERROR((VLOOKUP(Tabla13[[#This Row],[ID]],[1]!Mtto_Pesv[[#Headers],[#Data],[Placa]:[Rutina]],7,FALSE)),0)</f>
        <v>0</v>
      </c>
      <c r="AI329" s="20">
        <f>IFERROR((VLOOKUP(Tabla13[[#This Row],[ID]],[1]!Mtto_Pesv[[#Headers],[#Data],[Placa]:[Rutina]],8,FALSE)),0)</f>
        <v>0</v>
      </c>
      <c r="AJ329" s="20" t="str">
        <f>IFERROR((VLOOKUP(Tabla13[[#This Row],[ID]],[1]!Mtto_Pesv[[#Headers],[#Data],[Placa]:[Rutina]],9,FALSE)),"-")</f>
        <v>-</v>
      </c>
      <c r="AK329" s="20">
        <f>IFERROR((VLOOKUP(Tabla13[[#This Row],[ID]],[1]!Mtto_Pesv[[#Headers],[#Data],[Placa]:[Rutina]],10,FALSE)),0)</f>
        <v>0</v>
      </c>
      <c r="AL329" s="20">
        <f>IF(Tabla13[[#This Row],[Km Anterior]]=0,0,Tabla13[[#This Row],[Km Ejecut]]-Tabla13[[#This Row],[Km Anterior]])</f>
        <v>0</v>
      </c>
      <c r="AM329" s="20">
        <f>IFERROR((VLOOKUP(Tabla13[[#This Row],[ID]],[1]!Mtto_Pesv[[#Headers],[#Data],[Placa]:[Rutina]],4,FALSE)),0)</f>
        <v>0</v>
      </c>
      <c r="AN329" s="21">
        <f>IFERROR((VLOOKUP(Tabla13[[#This Row],[ID]],[1]!Mtto_Pesv[[#Headers],[#Data],[Placa]:[Rutina]],5,FALSE)),0)</f>
        <v>0</v>
      </c>
      <c r="AO329" s="21">
        <f>+Tabla13[[#This Row],[Km Fin]]-Tabla13[[#This Row],[Km Ini]]</f>
        <v>0</v>
      </c>
      <c r="AP329" s="20">
        <f>IFERROR((VLOOKUP(Tabla13[[#This Row],[ID]],[1]!Estilo_Conduccion[[#All],[Placa]:[Puntuacion]],15,FALSE)),0)</f>
        <v>116.19999999999999</v>
      </c>
      <c r="AQ329" s="15" t="s">
        <v>1072</v>
      </c>
      <c r="AR329" s="15" t="s">
        <v>1073</v>
      </c>
      <c r="AS329" s="20">
        <v>2500</v>
      </c>
      <c r="AT329" s="21">
        <v>3080.8846153846152</v>
      </c>
      <c r="AU329" s="21">
        <f>(Tabla13[[#This Row],[Cap Vh]]*$AX$2)*0.56</f>
        <v>0</v>
      </c>
      <c r="AV329" s="36" t="e">
        <f>(Tabla13[[#This Row],[Cap Util (kg)]]/(Tabla13[[#This Row],[Cap Inst (Kg)]]))</f>
        <v>#DIV/0!</v>
      </c>
    </row>
    <row r="330" spans="1:48" x14ac:dyDescent="0.25">
      <c r="A330" s="13" t="s">
        <v>1068</v>
      </c>
      <c r="B330" s="14" t="s">
        <v>504</v>
      </c>
      <c r="C330" s="14" t="s">
        <v>44</v>
      </c>
      <c r="D330" s="14" t="s">
        <v>44</v>
      </c>
      <c r="E330" s="14" t="s">
        <v>63</v>
      </c>
      <c r="F330" s="14" t="s">
        <v>46</v>
      </c>
      <c r="G330" s="15" t="s">
        <v>47</v>
      </c>
      <c r="H330" s="16" t="s">
        <v>48</v>
      </c>
      <c r="I330" s="14" t="s">
        <v>49</v>
      </c>
      <c r="J330" s="14">
        <v>830064700</v>
      </c>
      <c r="K330" s="14" t="s">
        <v>50</v>
      </c>
      <c r="L330" s="14" t="s">
        <v>103</v>
      </c>
      <c r="M330" s="14" t="s">
        <v>121</v>
      </c>
      <c r="N330" s="14">
        <v>2014</v>
      </c>
      <c r="O330" s="14">
        <v>6</v>
      </c>
      <c r="P330" s="14" t="s">
        <v>53</v>
      </c>
      <c r="Q330" s="14">
        <v>1</v>
      </c>
      <c r="R330" s="14">
        <v>0</v>
      </c>
      <c r="S330" s="17" t="s">
        <v>54</v>
      </c>
      <c r="T330" s="18">
        <v>0</v>
      </c>
      <c r="U330" s="14">
        <v>30</v>
      </c>
      <c r="V330" s="19">
        <v>1</v>
      </c>
      <c r="W330" s="14">
        <v>0</v>
      </c>
      <c r="X330" s="14">
        <v>0</v>
      </c>
      <c r="Y330" s="14">
        <v>0</v>
      </c>
      <c r="Z330" s="14">
        <v>0</v>
      </c>
      <c r="AA330" s="14">
        <f>Tabla13[[#This Row],[CheckList App]]+Tabla13[[#This Row],[CheckList Fisc]]</f>
        <v>0</v>
      </c>
      <c r="AB330" s="19">
        <f t="shared" si="5"/>
        <v>0</v>
      </c>
      <c r="AC330" s="14">
        <v>0</v>
      </c>
      <c r="AD330" s="14" t="s">
        <v>55</v>
      </c>
      <c r="AE330" s="15" t="str">
        <f>IFERROR((VLOOKUP(Tabla13[[#This Row],[ID]],[1]!Mtto_Pesv[[#Headers],[#Data],[Placa]:[Rutina]],2,FALSE)),"-")</f>
        <v>-</v>
      </c>
      <c r="AF330" s="14">
        <v>0</v>
      </c>
      <c r="AG330" s="20">
        <f>IFERROR((VLOOKUP(Tabla13[[#This Row],[ID]],[1]!Mtto_Pesv[[#Headers],[#Data],[Placa]:[Rutina]],3,FALSE)),0)</f>
        <v>0</v>
      </c>
      <c r="AH330" s="20">
        <f>IFERROR((VLOOKUP(Tabla13[[#This Row],[ID]],[1]!Mtto_Pesv[[#Headers],[#Data],[Placa]:[Rutina]],7,FALSE)),0)</f>
        <v>0</v>
      </c>
      <c r="AI330" s="20">
        <f>IFERROR((VLOOKUP(Tabla13[[#This Row],[ID]],[1]!Mtto_Pesv[[#Headers],[#Data],[Placa]:[Rutina]],8,FALSE)),0)</f>
        <v>0</v>
      </c>
      <c r="AJ330" s="20" t="str">
        <f>IFERROR((VLOOKUP(Tabla13[[#This Row],[ID]],[1]!Mtto_Pesv[[#Headers],[#Data],[Placa]:[Rutina]],9,FALSE)),"-")</f>
        <v>-</v>
      </c>
      <c r="AK330" s="20">
        <f>IFERROR((VLOOKUP(Tabla13[[#This Row],[ID]],[1]!Mtto_Pesv[[#Headers],[#Data],[Placa]:[Rutina]],10,FALSE)),0)</f>
        <v>0</v>
      </c>
      <c r="AL330" s="20">
        <f>IF(Tabla13[[#This Row],[Km Anterior]]=0,0,Tabla13[[#This Row],[Km Ejecut]]-Tabla13[[#This Row],[Km Anterior]])</f>
        <v>0</v>
      </c>
      <c r="AM330" s="20">
        <f>IFERROR((VLOOKUP(Tabla13[[#This Row],[ID]],[1]!Mtto_Pesv[[#Headers],[#Data],[Placa]:[Rutina]],4,FALSE)),0)</f>
        <v>0</v>
      </c>
      <c r="AN330" s="21">
        <f>IFERROR((VLOOKUP(Tabla13[[#This Row],[ID]],[1]!Mtto_Pesv[[#Headers],[#Data],[Placa]:[Rutina]],5,FALSE)),0)</f>
        <v>0</v>
      </c>
      <c r="AO330" s="21">
        <f>+Tabla13[[#This Row],[Km Fin]]-Tabla13[[#This Row],[Km Ini]]</f>
        <v>0</v>
      </c>
      <c r="AP330" s="20">
        <f>IFERROR((VLOOKUP(Tabla13[[#This Row],[ID]],[1]!Estilo_Conduccion[[#All],[Placa]:[Puntuacion]],15,FALSE)),0)</f>
        <v>2114.9</v>
      </c>
      <c r="AQ330" s="15" t="s">
        <v>1162</v>
      </c>
      <c r="AR330" s="15" t="s">
        <v>1163</v>
      </c>
      <c r="AS330" s="20">
        <v>2500</v>
      </c>
      <c r="AT330" s="21">
        <v>7600</v>
      </c>
      <c r="AU330" s="21">
        <f>(Tabla13[[#This Row],[Cap Vh]]*$AX$2)*0.56</f>
        <v>0</v>
      </c>
      <c r="AV330" s="36" t="e">
        <f>(Tabla13[[#This Row],[Cap Util (kg)]]/(Tabla13[[#This Row],[Cap Inst (Kg)]]))</f>
        <v>#DIV/0!</v>
      </c>
    </row>
    <row r="331" spans="1:48" x14ac:dyDescent="0.25">
      <c r="A331" s="13" t="s">
        <v>1068</v>
      </c>
      <c r="B331" s="14" t="s">
        <v>505</v>
      </c>
      <c r="C331" s="14" t="s">
        <v>44</v>
      </c>
      <c r="D331" s="14" t="s">
        <v>44</v>
      </c>
      <c r="E331" s="14" t="s">
        <v>45</v>
      </c>
      <c r="F331" s="14" t="s">
        <v>46</v>
      </c>
      <c r="G331" s="15" t="s">
        <v>47</v>
      </c>
      <c r="H331" s="16" t="s">
        <v>48</v>
      </c>
      <c r="I331" s="14" t="s">
        <v>49</v>
      </c>
      <c r="J331" s="14">
        <v>830064700</v>
      </c>
      <c r="K331" s="14" t="s">
        <v>50</v>
      </c>
      <c r="L331" s="14" t="s">
        <v>103</v>
      </c>
      <c r="M331" s="14" t="s">
        <v>121</v>
      </c>
      <c r="N331" s="14">
        <v>2014</v>
      </c>
      <c r="O331" s="14">
        <v>6</v>
      </c>
      <c r="P331" s="14" t="s">
        <v>53</v>
      </c>
      <c r="Q331" s="14">
        <v>1</v>
      </c>
      <c r="R331" s="14">
        <v>0</v>
      </c>
      <c r="S331" s="17" t="s">
        <v>54</v>
      </c>
      <c r="T331" s="18">
        <v>0</v>
      </c>
      <c r="U331" s="14">
        <v>30</v>
      </c>
      <c r="V331" s="19">
        <v>1</v>
      </c>
      <c r="W331" s="14">
        <v>0</v>
      </c>
      <c r="X331" s="14">
        <v>0</v>
      </c>
      <c r="Y331" s="14">
        <v>0</v>
      </c>
      <c r="Z331" s="14">
        <v>0</v>
      </c>
      <c r="AA331" s="14">
        <f>Tabla13[[#This Row],[CheckList App]]+Tabla13[[#This Row],[CheckList Fisc]]</f>
        <v>0</v>
      </c>
      <c r="AB331" s="19">
        <f t="shared" si="5"/>
        <v>0</v>
      </c>
      <c r="AC331" s="14">
        <v>0</v>
      </c>
      <c r="AD331" s="14" t="s">
        <v>55</v>
      </c>
      <c r="AE331" s="15" t="str">
        <f>IFERROR((VLOOKUP(Tabla13[[#This Row],[ID]],[1]!Mtto_Pesv[[#Headers],[#Data],[Placa]:[Rutina]],2,FALSE)),"-")</f>
        <v>-</v>
      </c>
      <c r="AF331" s="14">
        <v>0</v>
      </c>
      <c r="AG331" s="20">
        <f>IFERROR((VLOOKUP(Tabla13[[#This Row],[ID]],[1]!Mtto_Pesv[[#Headers],[#Data],[Placa]:[Rutina]],3,FALSE)),0)</f>
        <v>0</v>
      </c>
      <c r="AH331" s="20">
        <f>IFERROR((VLOOKUP(Tabla13[[#This Row],[ID]],[1]!Mtto_Pesv[[#Headers],[#Data],[Placa]:[Rutina]],7,FALSE)),0)</f>
        <v>0</v>
      </c>
      <c r="AI331" s="20">
        <f>IFERROR((VLOOKUP(Tabla13[[#This Row],[ID]],[1]!Mtto_Pesv[[#Headers],[#Data],[Placa]:[Rutina]],8,FALSE)),0)</f>
        <v>0</v>
      </c>
      <c r="AJ331" s="20" t="str">
        <f>IFERROR((VLOOKUP(Tabla13[[#This Row],[ID]],[1]!Mtto_Pesv[[#Headers],[#Data],[Placa]:[Rutina]],9,FALSE)),"-")</f>
        <v>-</v>
      </c>
      <c r="AK331" s="20">
        <f>IFERROR((VLOOKUP(Tabla13[[#This Row],[ID]],[1]!Mtto_Pesv[[#Headers],[#Data],[Placa]:[Rutina]],10,FALSE)),0)</f>
        <v>0</v>
      </c>
      <c r="AL331" s="20">
        <f>IF(Tabla13[[#This Row],[Km Anterior]]=0,0,Tabla13[[#This Row],[Km Ejecut]]-Tabla13[[#This Row],[Km Anterior]])</f>
        <v>0</v>
      </c>
      <c r="AM331" s="20">
        <f>IFERROR((VLOOKUP(Tabla13[[#This Row],[ID]],[1]!Mtto_Pesv[[#Headers],[#Data],[Placa]:[Rutina]],4,FALSE)),0)</f>
        <v>0</v>
      </c>
      <c r="AN331" s="21">
        <f>IFERROR((VLOOKUP(Tabla13[[#This Row],[ID]],[1]!Mtto_Pesv[[#Headers],[#Data],[Placa]:[Rutina]],5,FALSE)),0)</f>
        <v>0</v>
      </c>
      <c r="AO331" s="21">
        <f>+Tabla13[[#This Row],[Km Fin]]-Tabla13[[#This Row],[Km Ini]]</f>
        <v>0</v>
      </c>
      <c r="AP331" s="20">
        <f>IFERROR((VLOOKUP(Tabla13[[#This Row],[ID]],[1]!Estilo_Conduccion[[#All],[Placa]:[Puntuacion]],15,FALSE)),0)</f>
        <v>426.90000000000003</v>
      </c>
      <c r="AQ331" s="15" t="s">
        <v>1199</v>
      </c>
      <c r="AR331" s="15" t="s">
        <v>1200</v>
      </c>
      <c r="AS331" s="20">
        <v>2500</v>
      </c>
      <c r="AT331" s="21">
        <v>4029</v>
      </c>
      <c r="AU331" s="21">
        <f>(Tabla13[[#This Row],[Cap Vh]]*$AX$2)*0.56</f>
        <v>0</v>
      </c>
      <c r="AV331" s="36" t="e">
        <f>(Tabla13[[#This Row],[Cap Util (kg)]]/(Tabla13[[#This Row],[Cap Inst (Kg)]]))</f>
        <v>#DIV/0!</v>
      </c>
    </row>
    <row r="332" spans="1:48" x14ac:dyDescent="0.25">
      <c r="A332" s="13" t="s">
        <v>1068</v>
      </c>
      <c r="B332" s="14" t="s">
        <v>506</v>
      </c>
      <c r="C332" s="14" t="s">
        <v>44</v>
      </c>
      <c r="D332" s="14" t="s">
        <v>44</v>
      </c>
      <c r="E332" s="14" t="s">
        <v>45</v>
      </c>
      <c r="F332" s="14" t="s">
        <v>46</v>
      </c>
      <c r="G332" s="15" t="s">
        <v>47</v>
      </c>
      <c r="H332" s="16" t="s">
        <v>48</v>
      </c>
      <c r="I332" s="14" t="s">
        <v>49</v>
      </c>
      <c r="J332" s="14">
        <v>830064700</v>
      </c>
      <c r="K332" s="14" t="s">
        <v>50</v>
      </c>
      <c r="L332" s="14" t="s">
        <v>103</v>
      </c>
      <c r="M332" s="14" t="s">
        <v>104</v>
      </c>
      <c r="N332" s="14">
        <v>2014</v>
      </c>
      <c r="O332" s="14">
        <v>6</v>
      </c>
      <c r="P332" s="14" t="s">
        <v>53</v>
      </c>
      <c r="Q332" s="14">
        <v>1</v>
      </c>
      <c r="R332" s="14">
        <v>0</v>
      </c>
      <c r="S332" s="17" t="s">
        <v>54</v>
      </c>
      <c r="T332" s="18">
        <v>0</v>
      </c>
      <c r="U332" s="14">
        <v>30</v>
      </c>
      <c r="V332" s="19">
        <v>1</v>
      </c>
      <c r="W332" s="14">
        <v>0</v>
      </c>
      <c r="X332" s="14">
        <v>0</v>
      </c>
      <c r="Y332" s="14">
        <v>0</v>
      </c>
      <c r="Z332" s="14">
        <v>0</v>
      </c>
      <c r="AA332" s="14">
        <f>Tabla13[[#This Row],[CheckList App]]+Tabla13[[#This Row],[CheckList Fisc]]</f>
        <v>0</v>
      </c>
      <c r="AB332" s="19">
        <f t="shared" si="5"/>
        <v>0</v>
      </c>
      <c r="AC332" s="14">
        <v>0</v>
      </c>
      <c r="AD332" s="14" t="s">
        <v>55</v>
      </c>
      <c r="AE332" s="15" t="str">
        <f>IFERROR((VLOOKUP(Tabla13[[#This Row],[ID]],[1]!Mtto_Pesv[[#Headers],[#Data],[Placa]:[Rutina]],2,FALSE)),"-")</f>
        <v>-</v>
      </c>
      <c r="AF332" s="14">
        <v>0</v>
      </c>
      <c r="AG332" s="20">
        <f>IFERROR((VLOOKUP(Tabla13[[#This Row],[ID]],[1]!Mtto_Pesv[[#Headers],[#Data],[Placa]:[Rutina]],3,FALSE)),0)</f>
        <v>0</v>
      </c>
      <c r="AH332" s="20">
        <f>IFERROR((VLOOKUP(Tabla13[[#This Row],[ID]],[1]!Mtto_Pesv[[#Headers],[#Data],[Placa]:[Rutina]],7,FALSE)),0)</f>
        <v>0</v>
      </c>
      <c r="AI332" s="20">
        <f>IFERROR((VLOOKUP(Tabla13[[#This Row],[ID]],[1]!Mtto_Pesv[[#Headers],[#Data],[Placa]:[Rutina]],8,FALSE)),0)</f>
        <v>0</v>
      </c>
      <c r="AJ332" s="20" t="str">
        <f>IFERROR((VLOOKUP(Tabla13[[#This Row],[ID]],[1]!Mtto_Pesv[[#Headers],[#Data],[Placa]:[Rutina]],9,FALSE)),"-")</f>
        <v>-</v>
      </c>
      <c r="AK332" s="20">
        <f>IFERROR((VLOOKUP(Tabla13[[#This Row],[ID]],[1]!Mtto_Pesv[[#Headers],[#Data],[Placa]:[Rutina]],10,FALSE)),0)</f>
        <v>0</v>
      </c>
      <c r="AL332" s="20">
        <f>IF(Tabla13[[#This Row],[Km Anterior]]=0,0,Tabla13[[#This Row],[Km Ejecut]]-Tabla13[[#This Row],[Km Anterior]])</f>
        <v>0</v>
      </c>
      <c r="AM332" s="20">
        <f>IFERROR((VLOOKUP(Tabla13[[#This Row],[ID]],[1]!Mtto_Pesv[[#Headers],[#Data],[Placa]:[Rutina]],4,FALSE)),0)</f>
        <v>0</v>
      </c>
      <c r="AN332" s="21">
        <f>IFERROR((VLOOKUP(Tabla13[[#This Row],[ID]],[1]!Mtto_Pesv[[#Headers],[#Data],[Placa]:[Rutina]],5,FALSE)),0)</f>
        <v>0</v>
      </c>
      <c r="AO332" s="21">
        <f>+Tabla13[[#This Row],[Km Fin]]-Tabla13[[#This Row],[Km Ini]]</f>
        <v>0</v>
      </c>
      <c r="AP332" s="20">
        <f>IFERROR((VLOOKUP(Tabla13[[#This Row],[ID]],[1]!Estilo_Conduccion[[#All],[Placa]:[Puntuacion]],15,FALSE)),0)</f>
        <v>4.5</v>
      </c>
      <c r="AQ332" s="15" t="s">
        <v>1250</v>
      </c>
      <c r="AR332" s="15" t="s">
        <v>1251</v>
      </c>
      <c r="AS332" s="20">
        <v>1335</v>
      </c>
      <c r="AT332" s="21">
        <v>247.5</v>
      </c>
      <c r="AU332" s="21">
        <f>(Tabla13[[#This Row],[Cap Vh]]*$AX$2)*0.56</f>
        <v>0</v>
      </c>
      <c r="AV332" s="36" t="e">
        <f>(Tabla13[[#This Row],[Cap Util (kg)]]/(Tabla13[[#This Row],[Cap Inst (Kg)]]))</f>
        <v>#DIV/0!</v>
      </c>
    </row>
    <row r="333" spans="1:48" x14ac:dyDescent="0.25">
      <c r="A333" s="13" t="s">
        <v>1068</v>
      </c>
      <c r="B333" s="14" t="s">
        <v>507</v>
      </c>
      <c r="C333" s="14" t="s">
        <v>44</v>
      </c>
      <c r="D333" s="14" t="s">
        <v>44</v>
      </c>
      <c r="E333" s="14" t="s">
        <v>45</v>
      </c>
      <c r="F333" s="14" t="s">
        <v>46</v>
      </c>
      <c r="G333" s="15" t="s">
        <v>47</v>
      </c>
      <c r="H333" s="16" t="s">
        <v>48</v>
      </c>
      <c r="I333" s="14" t="s">
        <v>49</v>
      </c>
      <c r="J333" s="14">
        <v>830064700</v>
      </c>
      <c r="K333" s="14" t="s">
        <v>50</v>
      </c>
      <c r="L333" s="14" t="s">
        <v>103</v>
      </c>
      <c r="M333" s="14" t="s">
        <v>104</v>
      </c>
      <c r="N333" s="14">
        <v>2014</v>
      </c>
      <c r="O333" s="14">
        <v>6</v>
      </c>
      <c r="P333" s="14" t="s">
        <v>53</v>
      </c>
      <c r="Q333" s="14">
        <v>1</v>
      </c>
      <c r="R333" s="14">
        <v>0</v>
      </c>
      <c r="S333" s="17" t="s">
        <v>54</v>
      </c>
      <c r="T333" s="18">
        <v>0</v>
      </c>
      <c r="U333" s="14">
        <v>30</v>
      </c>
      <c r="V333" s="19">
        <v>1</v>
      </c>
      <c r="W333" s="14">
        <v>0</v>
      </c>
      <c r="X333" s="14">
        <v>26</v>
      </c>
      <c r="Y333" s="14">
        <v>26</v>
      </c>
      <c r="Z333" s="14">
        <v>0</v>
      </c>
      <c r="AA333" s="14">
        <f>Tabla13[[#This Row],[CheckList App]]+Tabla13[[#This Row],[CheckList Fisc]]</f>
        <v>26</v>
      </c>
      <c r="AB333" s="19">
        <f t="shared" si="5"/>
        <v>1</v>
      </c>
      <c r="AC333" s="14">
        <v>0</v>
      </c>
      <c r="AD333" s="14" t="s">
        <v>55</v>
      </c>
      <c r="AE333" s="15" t="str">
        <f>IFERROR((VLOOKUP(Tabla13[[#This Row],[ID]],[1]!Mtto_Pesv[[#Headers],[#Data],[Placa]:[Rutina]],2,FALSE)),"-")</f>
        <v>-</v>
      </c>
      <c r="AF333" s="14">
        <v>0</v>
      </c>
      <c r="AG333" s="20">
        <f>IFERROR((VLOOKUP(Tabla13[[#This Row],[ID]],[1]!Mtto_Pesv[[#Headers],[#Data],[Placa]:[Rutina]],3,FALSE)),0)</f>
        <v>0</v>
      </c>
      <c r="AH333" s="20">
        <f>IFERROR((VLOOKUP(Tabla13[[#This Row],[ID]],[1]!Mtto_Pesv[[#Headers],[#Data],[Placa]:[Rutina]],7,FALSE)),0)</f>
        <v>0</v>
      </c>
      <c r="AI333" s="20">
        <f>IFERROR((VLOOKUP(Tabla13[[#This Row],[ID]],[1]!Mtto_Pesv[[#Headers],[#Data],[Placa]:[Rutina]],8,FALSE)),0)</f>
        <v>0</v>
      </c>
      <c r="AJ333" s="20" t="str">
        <f>IFERROR((VLOOKUP(Tabla13[[#This Row],[ID]],[1]!Mtto_Pesv[[#Headers],[#Data],[Placa]:[Rutina]],9,FALSE)),"-")</f>
        <v>-</v>
      </c>
      <c r="AK333" s="20">
        <f>IFERROR((VLOOKUP(Tabla13[[#This Row],[ID]],[1]!Mtto_Pesv[[#Headers],[#Data],[Placa]:[Rutina]],10,FALSE)),0)</f>
        <v>0</v>
      </c>
      <c r="AL333" s="20">
        <f>IF(Tabla13[[#This Row],[Km Anterior]]=0,0,Tabla13[[#This Row],[Km Ejecut]]-Tabla13[[#This Row],[Km Anterior]])</f>
        <v>0</v>
      </c>
      <c r="AM333" s="20">
        <f>IFERROR((VLOOKUP(Tabla13[[#This Row],[ID]],[1]!Mtto_Pesv[[#Headers],[#Data],[Placa]:[Rutina]],4,FALSE)),0)</f>
        <v>0</v>
      </c>
      <c r="AN333" s="21">
        <f>IFERROR((VLOOKUP(Tabla13[[#This Row],[ID]],[1]!Mtto_Pesv[[#Headers],[#Data],[Placa]:[Rutina]],5,FALSE)),0)</f>
        <v>0</v>
      </c>
      <c r="AO333" s="21">
        <f>+Tabla13[[#This Row],[Km Fin]]-Tabla13[[#This Row],[Km Ini]]</f>
        <v>0</v>
      </c>
      <c r="AP333" s="20">
        <f>IFERROR((VLOOKUP(Tabla13[[#This Row],[ID]],[1]!Estilo_Conduccion[[#All],[Placa]:[Puntuacion]],15,FALSE)),0)</f>
        <v>15860.5</v>
      </c>
      <c r="AQ333" s="15" t="s">
        <v>1084</v>
      </c>
      <c r="AR333" s="15" t="s">
        <v>1085</v>
      </c>
      <c r="AS333" s="20">
        <v>1335</v>
      </c>
      <c r="AT333" s="21">
        <v>4974.8571428571431</v>
      </c>
      <c r="AU333" s="21">
        <f>(Tabla13[[#This Row],[Cap Vh]]*$AX$2)*0.56</f>
        <v>0</v>
      </c>
      <c r="AV333" s="36" t="e">
        <f>(Tabla13[[#This Row],[Cap Util (kg)]]/(Tabla13[[#This Row],[Cap Inst (Kg)]]))</f>
        <v>#DIV/0!</v>
      </c>
    </row>
    <row r="334" spans="1:48" x14ac:dyDescent="0.25">
      <c r="A334" s="13" t="s">
        <v>1068</v>
      </c>
      <c r="B334" s="14" t="s">
        <v>508</v>
      </c>
      <c r="C334" s="14" t="s">
        <v>44</v>
      </c>
      <c r="D334" s="14" t="s">
        <v>44</v>
      </c>
      <c r="E334" s="14" t="s">
        <v>85</v>
      </c>
      <c r="F334" s="14" t="s">
        <v>46</v>
      </c>
      <c r="G334" s="15" t="s">
        <v>47</v>
      </c>
      <c r="H334" s="16" t="s">
        <v>48</v>
      </c>
      <c r="I334" s="14" t="s">
        <v>49</v>
      </c>
      <c r="J334" s="14">
        <v>830064700</v>
      </c>
      <c r="K334" s="14" t="s">
        <v>50</v>
      </c>
      <c r="L334" s="14" t="s">
        <v>103</v>
      </c>
      <c r="M334" s="14" t="s">
        <v>121</v>
      </c>
      <c r="N334" s="14">
        <v>2014</v>
      </c>
      <c r="O334" s="14">
        <v>6</v>
      </c>
      <c r="P334" s="14" t="s">
        <v>53</v>
      </c>
      <c r="Q334" s="14">
        <v>1</v>
      </c>
      <c r="R334" s="14">
        <v>0</v>
      </c>
      <c r="S334" s="17" t="s">
        <v>54</v>
      </c>
      <c r="T334" s="18">
        <v>0</v>
      </c>
      <c r="U334" s="14">
        <v>30</v>
      </c>
      <c r="V334" s="19">
        <v>1</v>
      </c>
      <c r="W334" s="14">
        <v>0</v>
      </c>
      <c r="X334" s="14">
        <v>0</v>
      </c>
      <c r="Y334" s="14">
        <v>0</v>
      </c>
      <c r="Z334" s="14">
        <v>0</v>
      </c>
      <c r="AA334" s="14">
        <f>Tabla13[[#This Row],[CheckList App]]+Tabla13[[#This Row],[CheckList Fisc]]</f>
        <v>0</v>
      </c>
      <c r="AB334" s="19">
        <f t="shared" si="5"/>
        <v>0</v>
      </c>
      <c r="AC334" s="14">
        <v>0</v>
      </c>
      <c r="AD334" s="14" t="s">
        <v>55</v>
      </c>
      <c r="AE334" s="15" t="str">
        <f>IFERROR((VLOOKUP(Tabla13[[#This Row],[ID]],[1]!Mtto_Pesv[[#Headers],[#Data],[Placa]:[Rutina]],2,FALSE)),"-")</f>
        <v>-</v>
      </c>
      <c r="AF334" s="14">
        <v>0</v>
      </c>
      <c r="AG334" s="20">
        <f>IFERROR((VLOOKUP(Tabla13[[#This Row],[ID]],[1]!Mtto_Pesv[[#Headers],[#Data],[Placa]:[Rutina]],3,FALSE)),0)</f>
        <v>0</v>
      </c>
      <c r="AH334" s="20">
        <f>IFERROR((VLOOKUP(Tabla13[[#This Row],[ID]],[1]!Mtto_Pesv[[#Headers],[#Data],[Placa]:[Rutina]],7,FALSE)),0)</f>
        <v>0</v>
      </c>
      <c r="AI334" s="20">
        <f>IFERROR((VLOOKUP(Tabla13[[#This Row],[ID]],[1]!Mtto_Pesv[[#Headers],[#Data],[Placa]:[Rutina]],8,FALSE)),0)</f>
        <v>0</v>
      </c>
      <c r="AJ334" s="20" t="str">
        <f>IFERROR((VLOOKUP(Tabla13[[#This Row],[ID]],[1]!Mtto_Pesv[[#Headers],[#Data],[Placa]:[Rutina]],9,FALSE)),"-")</f>
        <v>-</v>
      </c>
      <c r="AK334" s="20">
        <f>IFERROR((VLOOKUP(Tabla13[[#This Row],[ID]],[1]!Mtto_Pesv[[#Headers],[#Data],[Placa]:[Rutina]],10,FALSE)),0)</f>
        <v>0</v>
      </c>
      <c r="AL334" s="20">
        <f>IF(Tabla13[[#This Row],[Km Anterior]]=0,0,Tabla13[[#This Row],[Km Ejecut]]-Tabla13[[#This Row],[Km Anterior]])</f>
        <v>0</v>
      </c>
      <c r="AM334" s="20">
        <f>IFERROR((VLOOKUP(Tabla13[[#This Row],[ID]],[1]!Mtto_Pesv[[#Headers],[#Data],[Placa]:[Rutina]],4,FALSE)),0)</f>
        <v>0</v>
      </c>
      <c r="AN334" s="21">
        <f>IFERROR((VLOOKUP(Tabla13[[#This Row],[ID]],[1]!Mtto_Pesv[[#Headers],[#Data],[Placa]:[Rutina]],5,FALSE)),0)</f>
        <v>0</v>
      </c>
      <c r="AO334" s="21">
        <f>+Tabla13[[#This Row],[Km Fin]]-Tabla13[[#This Row],[Km Ini]]</f>
        <v>0</v>
      </c>
      <c r="AP334" s="20">
        <f>IFERROR((VLOOKUP(Tabla13[[#This Row],[ID]],[1]!Estilo_Conduccion[[#All],[Placa]:[Puntuacion]],15,FALSE)),0)</f>
        <v>498.5</v>
      </c>
      <c r="AQ334" s="15" t="s">
        <v>1203</v>
      </c>
      <c r="AR334" s="15" t="s">
        <v>1204</v>
      </c>
      <c r="AS334" s="20">
        <v>2500</v>
      </c>
      <c r="AT334" s="21">
        <v>4687.5</v>
      </c>
      <c r="AU334" s="21">
        <f>(Tabla13[[#This Row],[Cap Vh]]*$AX$2)*0.56</f>
        <v>0</v>
      </c>
      <c r="AV334" s="36" t="e">
        <f>(Tabla13[[#This Row],[Cap Util (kg)]]/(Tabla13[[#This Row],[Cap Inst (Kg)]]))</f>
        <v>#DIV/0!</v>
      </c>
    </row>
    <row r="335" spans="1:48" x14ac:dyDescent="0.25">
      <c r="A335" s="13" t="s">
        <v>1068</v>
      </c>
      <c r="B335" s="14" t="s">
        <v>509</v>
      </c>
      <c r="C335" s="14" t="s">
        <v>44</v>
      </c>
      <c r="D335" s="14" t="s">
        <v>44</v>
      </c>
      <c r="E335" s="14" t="s">
        <v>60</v>
      </c>
      <c r="F335" s="14" t="s">
        <v>46</v>
      </c>
      <c r="G335" s="15" t="s">
        <v>47</v>
      </c>
      <c r="H335" s="16" t="s">
        <v>48</v>
      </c>
      <c r="I335" s="14" t="s">
        <v>49</v>
      </c>
      <c r="J335" s="14">
        <v>830064700</v>
      </c>
      <c r="K335" s="14" t="s">
        <v>50</v>
      </c>
      <c r="L335" s="14" t="s">
        <v>103</v>
      </c>
      <c r="M335" s="14" t="s">
        <v>121</v>
      </c>
      <c r="N335" s="14">
        <v>2014</v>
      </c>
      <c r="O335" s="14">
        <v>6</v>
      </c>
      <c r="P335" s="14" t="s">
        <v>53</v>
      </c>
      <c r="Q335" s="14">
        <v>1</v>
      </c>
      <c r="R335" s="14">
        <v>0</v>
      </c>
      <c r="S335" s="17" t="s">
        <v>54</v>
      </c>
      <c r="T335" s="18">
        <v>0</v>
      </c>
      <c r="U335" s="14">
        <v>30</v>
      </c>
      <c r="V335" s="19">
        <v>1</v>
      </c>
      <c r="W335" s="14">
        <v>0</v>
      </c>
      <c r="X335" s="14">
        <v>0</v>
      </c>
      <c r="Y335" s="14">
        <v>0</v>
      </c>
      <c r="Z335" s="14">
        <v>0</v>
      </c>
      <c r="AA335" s="14">
        <f>Tabla13[[#This Row],[CheckList App]]+Tabla13[[#This Row],[CheckList Fisc]]</f>
        <v>0</v>
      </c>
      <c r="AB335" s="19">
        <f t="shared" si="5"/>
        <v>0</v>
      </c>
      <c r="AC335" s="14">
        <v>0</v>
      </c>
      <c r="AD335" s="14" t="s">
        <v>55</v>
      </c>
      <c r="AE335" s="15" t="str">
        <f>IFERROR((VLOOKUP(Tabla13[[#This Row],[ID]],[1]!Mtto_Pesv[[#Headers],[#Data],[Placa]:[Rutina]],2,FALSE)),"-")</f>
        <v>-</v>
      </c>
      <c r="AF335" s="14">
        <v>0</v>
      </c>
      <c r="AG335" s="20">
        <f>IFERROR((VLOOKUP(Tabla13[[#This Row],[ID]],[1]!Mtto_Pesv[[#Headers],[#Data],[Placa]:[Rutina]],3,FALSE)),0)</f>
        <v>0</v>
      </c>
      <c r="AH335" s="20">
        <f>IFERROR((VLOOKUP(Tabla13[[#This Row],[ID]],[1]!Mtto_Pesv[[#Headers],[#Data],[Placa]:[Rutina]],7,FALSE)),0)</f>
        <v>0</v>
      </c>
      <c r="AI335" s="20">
        <f>IFERROR((VLOOKUP(Tabla13[[#This Row],[ID]],[1]!Mtto_Pesv[[#Headers],[#Data],[Placa]:[Rutina]],8,FALSE)),0)</f>
        <v>0</v>
      </c>
      <c r="AJ335" s="20" t="str">
        <f>IFERROR((VLOOKUP(Tabla13[[#This Row],[ID]],[1]!Mtto_Pesv[[#Headers],[#Data],[Placa]:[Rutina]],9,FALSE)),"-")</f>
        <v>-</v>
      </c>
      <c r="AK335" s="20">
        <f>IFERROR((VLOOKUP(Tabla13[[#This Row],[ID]],[1]!Mtto_Pesv[[#Headers],[#Data],[Placa]:[Rutina]],10,FALSE)),0)</f>
        <v>0</v>
      </c>
      <c r="AL335" s="20">
        <f>IF(Tabla13[[#This Row],[Km Anterior]]=0,0,Tabla13[[#This Row],[Km Ejecut]]-Tabla13[[#This Row],[Km Anterior]])</f>
        <v>0</v>
      </c>
      <c r="AM335" s="20">
        <f>IFERROR((VLOOKUP(Tabla13[[#This Row],[ID]],[1]!Mtto_Pesv[[#Headers],[#Data],[Placa]:[Rutina]],4,FALSE)),0)</f>
        <v>0</v>
      </c>
      <c r="AN335" s="21">
        <f>IFERROR((VLOOKUP(Tabla13[[#This Row],[ID]],[1]!Mtto_Pesv[[#Headers],[#Data],[Placa]:[Rutina]],5,FALSE)),0)</f>
        <v>0</v>
      </c>
      <c r="AO335" s="21">
        <f>+Tabla13[[#This Row],[Km Fin]]-Tabla13[[#This Row],[Km Ini]]</f>
        <v>0</v>
      </c>
      <c r="AP335" s="20">
        <f>IFERROR((VLOOKUP(Tabla13[[#This Row],[ID]],[1]!Estilo_Conduccion[[#All],[Placa]:[Puntuacion]],15,FALSE)),0)</f>
        <v>469.3</v>
      </c>
      <c r="AQ335" s="15" t="s">
        <v>1072</v>
      </c>
      <c r="AR335" s="15" t="s">
        <v>1073</v>
      </c>
      <c r="AS335" s="20">
        <v>2500</v>
      </c>
      <c r="AT335" s="21">
        <v>3080.8846153846152</v>
      </c>
      <c r="AU335" s="21">
        <f>(Tabla13[[#This Row],[Cap Vh]]*$AX$2)*0.56</f>
        <v>0</v>
      </c>
      <c r="AV335" s="36" t="e">
        <f>(Tabla13[[#This Row],[Cap Util (kg)]]/(Tabla13[[#This Row],[Cap Inst (Kg)]]))</f>
        <v>#DIV/0!</v>
      </c>
    </row>
    <row r="336" spans="1:48" x14ac:dyDescent="0.25">
      <c r="A336" s="13" t="s">
        <v>1068</v>
      </c>
      <c r="B336" s="14" t="s">
        <v>510</v>
      </c>
      <c r="C336" s="14" t="s">
        <v>44</v>
      </c>
      <c r="D336" s="14" t="s">
        <v>44</v>
      </c>
      <c r="E336" s="14" t="s">
        <v>45</v>
      </c>
      <c r="F336" s="14" t="s">
        <v>46</v>
      </c>
      <c r="G336" s="15" t="s">
        <v>47</v>
      </c>
      <c r="H336" s="16" t="s">
        <v>48</v>
      </c>
      <c r="I336" s="14" t="s">
        <v>49</v>
      </c>
      <c r="J336" s="14">
        <v>830064700</v>
      </c>
      <c r="K336" s="14" t="s">
        <v>50</v>
      </c>
      <c r="L336" s="14" t="s">
        <v>103</v>
      </c>
      <c r="M336" s="14" t="s">
        <v>104</v>
      </c>
      <c r="N336" s="14">
        <v>2014</v>
      </c>
      <c r="O336" s="14">
        <v>6</v>
      </c>
      <c r="P336" s="14" t="s">
        <v>53</v>
      </c>
      <c r="Q336" s="14">
        <v>1</v>
      </c>
      <c r="R336" s="14">
        <v>0</v>
      </c>
      <c r="S336" s="17" t="s">
        <v>54</v>
      </c>
      <c r="T336" s="18">
        <v>0</v>
      </c>
      <c r="U336" s="14">
        <v>30</v>
      </c>
      <c r="V336" s="19">
        <v>1</v>
      </c>
      <c r="W336" s="14">
        <v>0</v>
      </c>
      <c r="X336" s="14">
        <v>0</v>
      </c>
      <c r="Y336" s="14">
        <v>0</v>
      </c>
      <c r="Z336" s="14">
        <v>0</v>
      </c>
      <c r="AA336" s="14">
        <f>Tabla13[[#This Row],[CheckList App]]+Tabla13[[#This Row],[CheckList Fisc]]</f>
        <v>0</v>
      </c>
      <c r="AB336" s="19">
        <f t="shared" si="5"/>
        <v>0</v>
      </c>
      <c r="AC336" s="14">
        <v>0</v>
      </c>
      <c r="AD336" s="14" t="s">
        <v>55</v>
      </c>
      <c r="AE336" s="15" t="str">
        <f>IFERROR((VLOOKUP(Tabla13[[#This Row],[ID]],[1]!Mtto_Pesv[[#Headers],[#Data],[Placa]:[Rutina]],2,FALSE)),"-")</f>
        <v>-</v>
      </c>
      <c r="AF336" s="14">
        <v>0</v>
      </c>
      <c r="AG336" s="20">
        <f>IFERROR((VLOOKUP(Tabla13[[#This Row],[ID]],[1]!Mtto_Pesv[[#Headers],[#Data],[Placa]:[Rutina]],3,FALSE)),0)</f>
        <v>0</v>
      </c>
      <c r="AH336" s="20">
        <f>IFERROR((VLOOKUP(Tabla13[[#This Row],[ID]],[1]!Mtto_Pesv[[#Headers],[#Data],[Placa]:[Rutina]],7,FALSE)),0)</f>
        <v>0</v>
      </c>
      <c r="AI336" s="20">
        <f>IFERROR((VLOOKUP(Tabla13[[#This Row],[ID]],[1]!Mtto_Pesv[[#Headers],[#Data],[Placa]:[Rutina]],8,FALSE)),0)</f>
        <v>0</v>
      </c>
      <c r="AJ336" s="20" t="str">
        <f>IFERROR((VLOOKUP(Tabla13[[#This Row],[ID]],[1]!Mtto_Pesv[[#Headers],[#Data],[Placa]:[Rutina]],9,FALSE)),"-")</f>
        <v>-</v>
      </c>
      <c r="AK336" s="20">
        <f>IFERROR((VLOOKUP(Tabla13[[#This Row],[ID]],[1]!Mtto_Pesv[[#Headers],[#Data],[Placa]:[Rutina]],10,FALSE)),0)</f>
        <v>0</v>
      </c>
      <c r="AL336" s="20">
        <f>IF(Tabla13[[#This Row],[Km Anterior]]=0,0,Tabla13[[#This Row],[Km Ejecut]]-Tabla13[[#This Row],[Km Anterior]])</f>
        <v>0</v>
      </c>
      <c r="AM336" s="20">
        <f>IFERROR((VLOOKUP(Tabla13[[#This Row],[ID]],[1]!Mtto_Pesv[[#Headers],[#Data],[Placa]:[Rutina]],4,FALSE)),0)</f>
        <v>0</v>
      </c>
      <c r="AN336" s="21">
        <f>IFERROR((VLOOKUP(Tabla13[[#This Row],[ID]],[1]!Mtto_Pesv[[#Headers],[#Data],[Placa]:[Rutina]],5,FALSE)),0)</f>
        <v>0</v>
      </c>
      <c r="AO336" s="21">
        <f>+Tabla13[[#This Row],[Km Fin]]-Tabla13[[#This Row],[Km Ini]]</f>
        <v>0</v>
      </c>
      <c r="AP336" s="20">
        <f>IFERROR((VLOOKUP(Tabla13[[#This Row],[ID]],[1]!Estilo_Conduccion[[#All],[Placa]:[Puntuacion]],15,FALSE)),0)</f>
        <v>214.8</v>
      </c>
      <c r="AQ336" s="15" t="s">
        <v>1273</v>
      </c>
      <c r="AR336" s="15" t="s">
        <v>1274</v>
      </c>
      <c r="AS336" s="20">
        <v>1335</v>
      </c>
      <c r="AT336" s="21">
        <v>11604</v>
      </c>
      <c r="AU336" s="21">
        <f>(Tabla13[[#This Row],[Cap Vh]]*$AX$2)*0.56</f>
        <v>0</v>
      </c>
      <c r="AV336" s="36" t="e">
        <f>(Tabla13[[#This Row],[Cap Util (kg)]]/(Tabla13[[#This Row],[Cap Inst (Kg)]]))</f>
        <v>#DIV/0!</v>
      </c>
    </row>
    <row r="337" spans="1:48" x14ac:dyDescent="0.25">
      <c r="A337" s="13" t="s">
        <v>1068</v>
      </c>
      <c r="B337" s="14" t="s">
        <v>511</v>
      </c>
      <c r="C337" s="14" t="s">
        <v>44</v>
      </c>
      <c r="D337" s="14" t="s">
        <v>44</v>
      </c>
      <c r="E337" s="14" t="s">
        <v>69</v>
      </c>
      <c r="F337" s="14" t="s">
        <v>46</v>
      </c>
      <c r="G337" s="15" t="s">
        <v>47</v>
      </c>
      <c r="H337" s="16" t="s">
        <v>48</v>
      </c>
      <c r="I337" s="14" t="s">
        <v>49</v>
      </c>
      <c r="J337" s="14">
        <v>830064700</v>
      </c>
      <c r="K337" s="14" t="s">
        <v>50</v>
      </c>
      <c r="L337" s="14" t="s">
        <v>103</v>
      </c>
      <c r="M337" s="14" t="s">
        <v>104</v>
      </c>
      <c r="N337" s="14">
        <v>2014</v>
      </c>
      <c r="O337" s="14">
        <v>6</v>
      </c>
      <c r="P337" s="14" t="s">
        <v>53</v>
      </c>
      <c r="Q337" s="14">
        <v>1</v>
      </c>
      <c r="R337" s="14">
        <v>0</v>
      </c>
      <c r="S337" s="17" t="s">
        <v>54</v>
      </c>
      <c r="T337" s="18">
        <v>0</v>
      </c>
      <c r="U337" s="14">
        <v>30</v>
      </c>
      <c r="V337" s="19">
        <v>1</v>
      </c>
      <c r="W337" s="14">
        <v>0</v>
      </c>
      <c r="X337" s="14">
        <v>0</v>
      </c>
      <c r="Y337" s="14">
        <v>0</v>
      </c>
      <c r="Z337" s="14">
        <v>0</v>
      </c>
      <c r="AA337" s="14">
        <f>Tabla13[[#This Row],[CheckList App]]+Tabla13[[#This Row],[CheckList Fisc]]</f>
        <v>0</v>
      </c>
      <c r="AB337" s="19">
        <f t="shared" si="5"/>
        <v>0</v>
      </c>
      <c r="AC337" s="14">
        <v>0</v>
      </c>
      <c r="AD337" s="14" t="s">
        <v>55</v>
      </c>
      <c r="AE337" s="15" t="str">
        <f>IFERROR((VLOOKUP(Tabla13[[#This Row],[ID]],[1]!Mtto_Pesv[[#Headers],[#Data],[Placa]:[Rutina]],2,FALSE)),"-")</f>
        <v>-</v>
      </c>
      <c r="AF337" s="14">
        <v>0</v>
      </c>
      <c r="AG337" s="20">
        <f>IFERROR((VLOOKUP(Tabla13[[#This Row],[ID]],[1]!Mtto_Pesv[[#Headers],[#Data],[Placa]:[Rutina]],3,FALSE)),0)</f>
        <v>0</v>
      </c>
      <c r="AH337" s="20">
        <f>IFERROR((VLOOKUP(Tabla13[[#This Row],[ID]],[1]!Mtto_Pesv[[#Headers],[#Data],[Placa]:[Rutina]],7,FALSE)),0)</f>
        <v>0</v>
      </c>
      <c r="AI337" s="20">
        <f>IFERROR((VLOOKUP(Tabla13[[#This Row],[ID]],[1]!Mtto_Pesv[[#Headers],[#Data],[Placa]:[Rutina]],8,FALSE)),0)</f>
        <v>0</v>
      </c>
      <c r="AJ337" s="20" t="str">
        <f>IFERROR((VLOOKUP(Tabla13[[#This Row],[ID]],[1]!Mtto_Pesv[[#Headers],[#Data],[Placa]:[Rutina]],9,FALSE)),"-")</f>
        <v>-</v>
      </c>
      <c r="AK337" s="20">
        <f>IFERROR((VLOOKUP(Tabla13[[#This Row],[ID]],[1]!Mtto_Pesv[[#Headers],[#Data],[Placa]:[Rutina]],10,FALSE)),0)</f>
        <v>0</v>
      </c>
      <c r="AL337" s="20">
        <f>IF(Tabla13[[#This Row],[Km Anterior]]=0,0,Tabla13[[#This Row],[Km Ejecut]]-Tabla13[[#This Row],[Km Anterior]])</f>
        <v>0</v>
      </c>
      <c r="AM337" s="20">
        <f>IFERROR((VLOOKUP(Tabla13[[#This Row],[ID]],[1]!Mtto_Pesv[[#Headers],[#Data],[Placa]:[Rutina]],4,FALSE)),0)</f>
        <v>0</v>
      </c>
      <c r="AN337" s="21">
        <f>IFERROR((VLOOKUP(Tabla13[[#This Row],[ID]],[1]!Mtto_Pesv[[#Headers],[#Data],[Placa]:[Rutina]],5,FALSE)),0)</f>
        <v>0</v>
      </c>
      <c r="AO337" s="21">
        <f>+Tabla13[[#This Row],[Km Fin]]-Tabla13[[#This Row],[Km Ini]]</f>
        <v>0</v>
      </c>
      <c r="AP337" s="20">
        <f>IFERROR((VLOOKUP(Tabla13[[#This Row],[ID]],[1]!Estilo_Conduccion[[#All],[Placa]:[Puntuacion]],15,FALSE)),0)</f>
        <v>152.4</v>
      </c>
      <c r="AQ337" s="15" t="s">
        <v>1269</v>
      </c>
      <c r="AR337" s="15" t="s">
        <v>1270</v>
      </c>
      <c r="AS337" s="20">
        <v>1335</v>
      </c>
      <c r="AT337" s="21">
        <v>11298</v>
      </c>
      <c r="AU337" s="21">
        <f>(Tabla13[[#This Row],[Cap Vh]]*$AX$2)*0.56</f>
        <v>0</v>
      </c>
      <c r="AV337" s="36" t="e">
        <f>(Tabla13[[#This Row],[Cap Util (kg)]]/(Tabla13[[#This Row],[Cap Inst (Kg)]]))</f>
        <v>#DIV/0!</v>
      </c>
    </row>
    <row r="338" spans="1:48" x14ac:dyDescent="0.25">
      <c r="A338" s="13" t="s">
        <v>1068</v>
      </c>
      <c r="B338" s="14" t="s">
        <v>512</v>
      </c>
      <c r="C338" s="14" t="s">
        <v>44</v>
      </c>
      <c r="D338" s="14" t="s">
        <v>44</v>
      </c>
      <c r="E338" s="14" t="s">
        <v>45</v>
      </c>
      <c r="F338" s="14" t="s">
        <v>64</v>
      </c>
      <c r="G338" s="14" t="s">
        <v>65</v>
      </c>
      <c r="H338" s="16" t="s">
        <v>66</v>
      </c>
      <c r="I338" s="14" t="s">
        <v>49</v>
      </c>
      <c r="J338" s="14">
        <v>830064700</v>
      </c>
      <c r="K338" s="14" t="s">
        <v>50</v>
      </c>
      <c r="L338" s="14" t="s">
        <v>103</v>
      </c>
      <c r="M338" s="14" t="s">
        <v>104</v>
      </c>
      <c r="N338" s="14">
        <v>2014</v>
      </c>
      <c r="O338" s="14">
        <v>6</v>
      </c>
      <c r="P338" s="14" t="s">
        <v>53</v>
      </c>
      <c r="Q338" s="14">
        <v>0</v>
      </c>
      <c r="R338" s="14">
        <v>0</v>
      </c>
      <c r="S338" s="17" t="s">
        <v>54</v>
      </c>
      <c r="T338" s="18">
        <v>0</v>
      </c>
      <c r="U338" s="14">
        <v>0</v>
      </c>
      <c r="V338" s="19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f>Tabla13[[#This Row],[CheckList App]]+Tabla13[[#This Row],[CheckList Fisc]]</f>
        <v>0</v>
      </c>
      <c r="AB338" s="19" t="str">
        <f t="shared" si="5"/>
        <v/>
      </c>
      <c r="AC338" s="14">
        <v>0</v>
      </c>
      <c r="AD338" s="14" t="s">
        <v>55</v>
      </c>
      <c r="AE338" s="15" t="str">
        <f>IFERROR((VLOOKUP(Tabla13[[#This Row],[ID]],[1]!Mtto_Pesv[[#Headers],[#Data],[Placa]:[Rutina]],2,FALSE)),"-")</f>
        <v>-</v>
      </c>
      <c r="AF338" s="14">
        <v>0</v>
      </c>
      <c r="AG338" s="20">
        <f>IFERROR((VLOOKUP(Tabla13[[#This Row],[ID]],[1]!Mtto_Pesv[[#Headers],[#Data],[Placa]:[Rutina]],3,FALSE)),0)</f>
        <v>0</v>
      </c>
      <c r="AH338" s="20">
        <f>IFERROR((VLOOKUP(Tabla13[[#This Row],[ID]],[1]!Mtto_Pesv[[#Headers],[#Data],[Placa]:[Rutina]],7,FALSE)),0)</f>
        <v>0</v>
      </c>
      <c r="AI338" s="20">
        <f>IFERROR((VLOOKUP(Tabla13[[#This Row],[ID]],[1]!Mtto_Pesv[[#Headers],[#Data],[Placa]:[Rutina]],8,FALSE)),0)</f>
        <v>0</v>
      </c>
      <c r="AJ338" s="20" t="str">
        <f>IFERROR((VLOOKUP(Tabla13[[#This Row],[ID]],[1]!Mtto_Pesv[[#Headers],[#Data],[Placa]:[Rutina]],9,FALSE)),"-")</f>
        <v>-</v>
      </c>
      <c r="AK338" s="20">
        <f>IFERROR((VLOOKUP(Tabla13[[#This Row],[ID]],[1]!Mtto_Pesv[[#Headers],[#Data],[Placa]:[Rutina]],10,FALSE)),0)</f>
        <v>0</v>
      </c>
      <c r="AL338" s="20">
        <f>IF(Tabla13[[#This Row],[Km Anterior]]=0,0,Tabla13[[#This Row],[Km Ejecut]]-Tabla13[[#This Row],[Km Anterior]])</f>
        <v>0</v>
      </c>
      <c r="AM338" s="20">
        <f>IFERROR((VLOOKUP(Tabla13[[#This Row],[ID]],[1]!Mtto_Pesv[[#Headers],[#Data],[Placa]:[Rutina]],4,FALSE)),0)</f>
        <v>0</v>
      </c>
      <c r="AN338" s="21">
        <f>IFERROR((VLOOKUP(Tabla13[[#This Row],[ID]],[1]!Mtto_Pesv[[#Headers],[#Data],[Placa]:[Rutina]],5,FALSE)),0)</f>
        <v>0</v>
      </c>
      <c r="AO338" s="21">
        <f>+Tabla13[[#This Row],[Km Fin]]-Tabla13[[#This Row],[Km Ini]]</f>
        <v>0</v>
      </c>
      <c r="AP338" s="20">
        <f>IFERROR((VLOOKUP(Tabla13[[#This Row],[ID]],[1]!Estilo_Conduccion[[#All],[Placa]:[Puntuacion]],15,FALSE)),0)</f>
        <v>0</v>
      </c>
      <c r="AQ338" s="15" t="s">
        <v>54</v>
      </c>
      <c r="AR338" s="15" t="s">
        <v>1176</v>
      </c>
      <c r="AS338" s="20">
        <v>1335</v>
      </c>
      <c r="AT338" s="21">
        <v>0</v>
      </c>
      <c r="AU338" s="21">
        <f>(Tabla13[[#This Row],[Cap Vh]]*$AX$2)*0.56</f>
        <v>0</v>
      </c>
      <c r="AV338" s="36" t="e">
        <f>(Tabla13[[#This Row],[Cap Util (kg)]]/(Tabla13[[#This Row],[Cap Inst (Kg)]]))</f>
        <v>#DIV/0!</v>
      </c>
    </row>
    <row r="339" spans="1:48" x14ac:dyDescent="0.25">
      <c r="A339" s="13" t="s">
        <v>1068</v>
      </c>
      <c r="B339" s="14" t="s">
        <v>513</v>
      </c>
      <c r="C339" s="14" t="s">
        <v>44</v>
      </c>
      <c r="D339" s="14" t="s">
        <v>44</v>
      </c>
      <c r="E339" s="14" t="s">
        <v>45</v>
      </c>
      <c r="F339" s="14" t="s">
        <v>46</v>
      </c>
      <c r="G339" s="15" t="s">
        <v>47</v>
      </c>
      <c r="H339" s="16" t="s">
        <v>48</v>
      </c>
      <c r="I339" s="14" t="s">
        <v>49</v>
      </c>
      <c r="J339" s="14">
        <v>830064700</v>
      </c>
      <c r="K339" s="14" t="s">
        <v>50</v>
      </c>
      <c r="L339" s="14" t="s">
        <v>103</v>
      </c>
      <c r="M339" s="14" t="s">
        <v>104</v>
      </c>
      <c r="N339" s="14">
        <v>2014</v>
      </c>
      <c r="O339" s="14">
        <v>6</v>
      </c>
      <c r="P339" s="14" t="s">
        <v>53</v>
      </c>
      <c r="Q339" s="14">
        <v>1</v>
      </c>
      <c r="R339" s="14">
        <v>0</v>
      </c>
      <c r="S339" s="17" t="s">
        <v>54</v>
      </c>
      <c r="T339" s="18">
        <v>0</v>
      </c>
      <c r="U339" s="14">
        <v>30</v>
      </c>
      <c r="V339" s="19">
        <v>1</v>
      </c>
      <c r="W339" s="14">
        <v>0</v>
      </c>
      <c r="X339" s="14">
        <v>0</v>
      </c>
      <c r="Y339" s="14">
        <v>0</v>
      </c>
      <c r="Z339" s="14">
        <v>0</v>
      </c>
      <c r="AA339" s="14">
        <f>Tabla13[[#This Row],[CheckList App]]+Tabla13[[#This Row],[CheckList Fisc]]</f>
        <v>0</v>
      </c>
      <c r="AB339" s="19">
        <f t="shared" si="5"/>
        <v>0</v>
      </c>
      <c r="AC339" s="14">
        <v>0</v>
      </c>
      <c r="AD339" s="14" t="s">
        <v>55</v>
      </c>
      <c r="AE339" s="15" t="str">
        <f>IFERROR((VLOOKUP(Tabla13[[#This Row],[ID]],[1]!Mtto_Pesv[[#Headers],[#Data],[Placa]:[Rutina]],2,FALSE)),"-")</f>
        <v>-</v>
      </c>
      <c r="AF339" s="14">
        <v>0</v>
      </c>
      <c r="AG339" s="20">
        <f>IFERROR((VLOOKUP(Tabla13[[#This Row],[ID]],[1]!Mtto_Pesv[[#Headers],[#Data],[Placa]:[Rutina]],3,FALSE)),0)</f>
        <v>0</v>
      </c>
      <c r="AH339" s="20">
        <f>IFERROR((VLOOKUP(Tabla13[[#This Row],[ID]],[1]!Mtto_Pesv[[#Headers],[#Data],[Placa]:[Rutina]],7,FALSE)),0)</f>
        <v>0</v>
      </c>
      <c r="AI339" s="20">
        <f>IFERROR((VLOOKUP(Tabla13[[#This Row],[ID]],[1]!Mtto_Pesv[[#Headers],[#Data],[Placa]:[Rutina]],8,FALSE)),0)</f>
        <v>0</v>
      </c>
      <c r="AJ339" s="20" t="str">
        <f>IFERROR((VLOOKUP(Tabla13[[#This Row],[ID]],[1]!Mtto_Pesv[[#Headers],[#Data],[Placa]:[Rutina]],9,FALSE)),"-")</f>
        <v>-</v>
      </c>
      <c r="AK339" s="20">
        <f>IFERROR((VLOOKUP(Tabla13[[#This Row],[ID]],[1]!Mtto_Pesv[[#Headers],[#Data],[Placa]:[Rutina]],10,FALSE)),0)</f>
        <v>0</v>
      </c>
      <c r="AL339" s="20">
        <f>IF(Tabla13[[#This Row],[Km Anterior]]=0,0,Tabla13[[#This Row],[Km Ejecut]]-Tabla13[[#This Row],[Km Anterior]])</f>
        <v>0</v>
      </c>
      <c r="AM339" s="20">
        <f>IFERROR((VLOOKUP(Tabla13[[#This Row],[ID]],[1]!Mtto_Pesv[[#Headers],[#Data],[Placa]:[Rutina]],4,FALSE)),0)</f>
        <v>0</v>
      </c>
      <c r="AN339" s="21">
        <f>IFERROR((VLOOKUP(Tabla13[[#This Row],[ID]],[1]!Mtto_Pesv[[#Headers],[#Data],[Placa]:[Rutina]],5,FALSE)),0)</f>
        <v>0</v>
      </c>
      <c r="AO339" s="21">
        <f>+Tabla13[[#This Row],[Km Fin]]-Tabla13[[#This Row],[Km Ini]]</f>
        <v>0</v>
      </c>
      <c r="AP339" s="20">
        <f>IFERROR((VLOOKUP(Tabla13[[#This Row],[ID]],[1]!Estilo_Conduccion[[#All],[Placa]:[Puntuacion]],15,FALSE)),0)</f>
        <v>127</v>
      </c>
      <c r="AQ339" s="15" t="s">
        <v>1211</v>
      </c>
      <c r="AR339" s="15" t="s">
        <v>1212</v>
      </c>
      <c r="AS339" s="20">
        <v>1335</v>
      </c>
      <c r="AT339" s="21">
        <v>6559.5</v>
      </c>
      <c r="AU339" s="21">
        <f>(Tabla13[[#This Row],[Cap Vh]]*$AX$2)*0.56</f>
        <v>0</v>
      </c>
      <c r="AV339" s="36" t="e">
        <f>(Tabla13[[#This Row],[Cap Util (kg)]]/(Tabla13[[#This Row],[Cap Inst (Kg)]]))</f>
        <v>#DIV/0!</v>
      </c>
    </row>
    <row r="340" spans="1:48" x14ac:dyDescent="0.25">
      <c r="A340" s="13" t="s">
        <v>1068</v>
      </c>
      <c r="B340" s="14" t="s">
        <v>514</v>
      </c>
      <c r="C340" s="14" t="s">
        <v>44</v>
      </c>
      <c r="D340" s="14" t="s">
        <v>44</v>
      </c>
      <c r="E340" s="14" t="s">
        <v>69</v>
      </c>
      <c r="F340" s="14" t="s">
        <v>64</v>
      </c>
      <c r="G340" s="15" t="s">
        <v>119</v>
      </c>
      <c r="H340" s="16" t="s">
        <v>120</v>
      </c>
      <c r="I340" s="14" t="s">
        <v>109</v>
      </c>
      <c r="J340" s="14">
        <v>830064700</v>
      </c>
      <c r="K340" s="14" t="s">
        <v>50</v>
      </c>
      <c r="L340" s="14" t="s">
        <v>103</v>
      </c>
      <c r="M340" s="14" t="s">
        <v>438</v>
      </c>
      <c r="N340" s="14">
        <v>2015</v>
      </c>
      <c r="O340" s="14">
        <v>5</v>
      </c>
      <c r="P340" s="14" t="s">
        <v>53</v>
      </c>
      <c r="Q340" s="14">
        <v>1</v>
      </c>
      <c r="R340" s="14">
        <v>0</v>
      </c>
      <c r="S340" s="17" t="s">
        <v>54</v>
      </c>
      <c r="T340" s="18">
        <v>0</v>
      </c>
      <c r="U340" s="14">
        <v>30</v>
      </c>
      <c r="V340" s="19">
        <v>1</v>
      </c>
      <c r="W340" s="14">
        <v>0</v>
      </c>
      <c r="X340" s="14">
        <v>0</v>
      </c>
      <c r="Y340" s="14">
        <v>0</v>
      </c>
      <c r="Z340" s="14">
        <v>0</v>
      </c>
      <c r="AA340" s="14">
        <f>Tabla13[[#This Row],[CheckList App]]+Tabla13[[#This Row],[CheckList Fisc]]</f>
        <v>0</v>
      </c>
      <c r="AB340" s="19">
        <f t="shared" si="5"/>
        <v>0</v>
      </c>
      <c r="AC340" s="14">
        <v>34</v>
      </c>
      <c r="AD340" s="14" t="s">
        <v>70</v>
      </c>
      <c r="AE340" s="22" t="str">
        <f>IFERROR((VLOOKUP(Tabla13[[#This Row],[ID]],[1]!Mtto_Pesv[[#Headers],[#Data],[Placa]:[Rutina]],2,FALSE)),"-")</f>
        <v>-</v>
      </c>
      <c r="AF340" s="14">
        <v>1</v>
      </c>
      <c r="AG340" s="20">
        <f>IFERROR((VLOOKUP(Tabla13[[#This Row],[ID]],[1]!Mtto_Pesv[[#Headers],[#Data],[Placa]:[Rutina]],3,FALSE)),0)</f>
        <v>0</v>
      </c>
      <c r="AH340" s="20">
        <f>IFERROR((VLOOKUP(Tabla13[[#This Row],[ID]],[1]!Mtto_Pesv[[#Headers],[#Data],[Placa]:[Rutina]],7,FALSE)),0)</f>
        <v>0</v>
      </c>
      <c r="AI340" s="20">
        <f>IFERROR((VLOOKUP(Tabla13[[#This Row],[ID]],[1]!Mtto_Pesv[[#Headers],[#Data],[Placa]:[Rutina]],8,FALSE)),0)</f>
        <v>0</v>
      </c>
      <c r="AJ340" s="20" t="str">
        <f>IFERROR((VLOOKUP(Tabla13[[#This Row],[ID]],[1]!Mtto_Pesv[[#Headers],[#Data],[Placa]:[Rutina]],9,FALSE)),"-")</f>
        <v>-</v>
      </c>
      <c r="AK340" s="20">
        <f>IFERROR((VLOOKUP(Tabla13[[#This Row],[ID]],[1]!Mtto_Pesv[[#Headers],[#Data],[Placa]:[Rutina]],10,FALSE)),0)</f>
        <v>0</v>
      </c>
      <c r="AL340" s="20">
        <f>IF(Tabla13[[#This Row],[Km Anterior]]=0,0,Tabla13[[#This Row],[Km Ejecut]]-Tabla13[[#This Row],[Km Anterior]])</f>
        <v>0</v>
      </c>
      <c r="AM340" s="20">
        <f>IFERROR((VLOOKUP(Tabla13[[#This Row],[ID]],[1]!Mtto_Pesv[[#Headers],[#Data],[Placa]:[Rutina]],4,FALSE)),0)</f>
        <v>0</v>
      </c>
      <c r="AN340" s="21">
        <f>IFERROR((VLOOKUP(Tabla13[[#This Row],[ID]],[1]!Mtto_Pesv[[#Headers],[#Data],[Placa]:[Rutina]],5,FALSE)),0)</f>
        <v>0</v>
      </c>
      <c r="AO340" s="21">
        <f>+Tabla13[[#This Row],[Km Fin]]-Tabla13[[#This Row],[Km Ini]]</f>
        <v>0</v>
      </c>
      <c r="AP340" s="20">
        <f>IFERROR((VLOOKUP(Tabla13[[#This Row],[ID]],[1]!Estilo_Conduccion[[#All],[Placa]:[Puntuacion]],15,FALSE)),0)</f>
        <v>0</v>
      </c>
      <c r="AQ340" s="15" t="s">
        <v>54</v>
      </c>
      <c r="AR340" s="15" t="s">
        <v>54</v>
      </c>
      <c r="AS340" s="20">
        <v>6100</v>
      </c>
      <c r="AT340" s="21">
        <v>0</v>
      </c>
      <c r="AU340" s="21">
        <f>(Tabla13[[#This Row],[Cap Vh]]*$AX$2)*0.56</f>
        <v>0</v>
      </c>
      <c r="AV340" s="36" t="e">
        <f>(Tabla13[[#This Row],[Cap Util (kg)]]/(Tabla13[[#This Row],[Cap Inst (Kg)]]))</f>
        <v>#DIV/0!</v>
      </c>
    </row>
    <row r="341" spans="1:48" x14ac:dyDescent="0.25">
      <c r="A341" s="13" t="s">
        <v>1068</v>
      </c>
      <c r="B341" s="14" t="s">
        <v>515</v>
      </c>
      <c r="C341" s="14" t="s">
        <v>44</v>
      </c>
      <c r="D341" s="14" t="s">
        <v>44</v>
      </c>
      <c r="E341" s="14" t="s">
        <v>60</v>
      </c>
      <c r="F341" s="14" t="s">
        <v>76</v>
      </c>
      <c r="G341" s="15" t="s">
        <v>47</v>
      </c>
      <c r="H341" s="16" t="s">
        <v>48</v>
      </c>
      <c r="I341" s="14" t="s">
        <v>49</v>
      </c>
      <c r="J341" s="14">
        <v>890300279</v>
      </c>
      <c r="K341" s="14" t="s">
        <v>282</v>
      </c>
      <c r="L341" s="14" t="s">
        <v>103</v>
      </c>
      <c r="M341" s="14" t="s">
        <v>104</v>
      </c>
      <c r="N341" s="14">
        <v>2014</v>
      </c>
      <c r="O341" s="14">
        <v>6</v>
      </c>
      <c r="P341" s="14" t="s">
        <v>53</v>
      </c>
      <c r="Q341" s="14">
        <v>1</v>
      </c>
      <c r="R341" s="14">
        <v>0</v>
      </c>
      <c r="S341" s="17" t="s">
        <v>54</v>
      </c>
      <c r="T341" s="18">
        <v>0</v>
      </c>
      <c r="U341" s="14">
        <v>30</v>
      </c>
      <c r="V341" s="19">
        <v>1</v>
      </c>
      <c r="W341" s="14">
        <v>0</v>
      </c>
      <c r="X341" s="14">
        <v>0</v>
      </c>
      <c r="Y341" s="14">
        <v>0</v>
      </c>
      <c r="Z341" s="14">
        <v>0</v>
      </c>
      <c r="AA341" s="14">
        <f>Tabla13[[#This Row],[CheckList App]]+Tabla13[[#This Row],[CheckList Fisc]]</f>
        <v>0</v>
      </c>
      <c r="AB341" s="19">
        <f t="shared" si="5"/>
        <v>0</v>
      </c>
      <c r="AC341" s="14">
        <v>0</v>
      </c>
      <c r="AD341" s="14" t="s">
        <v>55</v>
      </c>
      <c r="AE341" s="15" t="str">
        <f>IFERROR((VLOOKUP(Tabla13[[#This Row],[ID]],[1]!Mtto_Pesv[[#Headers],[#Data],[Placa]:[Rutina]],2,FALSE)),"-")</f>
        <v>-</v>
      </c>
      <c r="AF341" s="14">
        <v>0</v>
      </c>
      <c r="AG341" s="20">
        <f>IFERROR((VLOOKUP(Tabla13[[#This Row],[ID]],[1]!Mtto_Pesv[[#Headers],[#Data],[Placa]:[Rutina]],3,FALSE)),0)</f>
        <v>0</v>
      </c>
      <c r="AH341" s="20">
        <f>IFERROR((VLOOKUP(Tabla13[[#This Row],[ID]],[1]!Mtto_Pesv[[#Headers],[#Data],[Placa]:[Rutina]],7,FALSE)),0)</f>
        <v>0</v>
      </c>
      <c r="AI341" s="20">
        <f>IFERROR((VLOOKUP(Tabla13[[#This Row],[ID]],[1]!Mtto_Pesv[[#Headers],[#Data],[Placa]:[Rutina]],8,FALSE)),0)</f>
        <v>0</v>
      </c>
      <c r="AJ341" s="20" t="str">
        <f>IFERROR((VLOOKUP(Tabla13[[#This Row],[ID]],[1]!Mtto_Pesv[[#Headers],[#Data],[Placa]:[Rutina]],9,FALSE)),"-")</f>
        <v>-</v>
      </c>
      <c r="AK341" s="20">
        <f>IFERROR((VLOOKUP(Tabla13[[#This Row],[ID]],[1]!Mtto_Pesv[[#Headers],[#Data],[Placa]:[Rutina]],10,FALSE)),0)</f>
        <v>0</v>
      </c>
      <c r="AL341" s="20">
        <f>IF(Tabla13[[#This Row],[Km Anterior]]=0,0,Tabla13[[#This Row],[Km Ejecut]]-Tabla13[[#This Row],[Km Anterior]])</f>
        <v>0</v>
      </c>
      <c r="AM341" s="20">
        <f>IFERROR((VLOOKUP(Tabla13[[#This Row],[ID]],[1]!Mtto_Pesv[[#Headers],[#Data],[Placa]:[Rutina]],4,FALSE)),0)</f>
        <v>0</v>
      </c>
      <c r="AN341" s="21">
        <f>IFERROR((VLOOKUP(Tabla13[[#This Row],[ID]],[1]!Mtto_Pesv[[#Headers],[#Data],[Placa]:[Rutina]],5,FALSE)),0)</f>
        <v>0</v>
      </c>
      <c r="AO341" s="21">
        <f>+Tabla13[[#This Row],[Km Fin]]-Tabla13[[#This Row],[Km Ini]]</f>
        <v>0</v>
      </c>
      <c r="AP341" s="20">
        <f>IFERROR((VLOOKUP(Tabla13[[#This Row],[ID]],[1]!Estilo_Conduccion[[#All],[Placa]:[Puntuacion]],15,FALSE)),0)</f>
        <v>268.5</v>
      </c>
      <c r="AQ341" s="15" t="s">
        <v>1244</v>
      </c>
      <c r="AR341" s="15" t="s">
        <v>1245</v>
      </c>
      <c r="AS341" s="20">
        <v>1300</v>
      </c>
      <c r="AT341" s="21">
        <v>7608</v>
      </c>
      <c r="AU341" s="21">
        <f>(Tabla13[[#This Row],[Cap Vh]]*$AX$2)*0.56</f>
        <v>0</v>
      </c>
      <c r="AV341" s="36" t="e">
        <f>(Tabla13[[#This Row],[Cap Util (kg)]]/(Tabla13[[#This Row],[Cap Inst (Kg)]]))</f>
        <v>#DIV/0!</v>
      </c>
    </row>
    <row r="342" spans="1:48" x14ac:dyDescent="0.25">
      <c r="A342" s="13" t="s">
        <v>1068</v>
      </c>
      <c r="B342" s="14" t="s">
        <v>516</v>
      </c>
      <c r="C342" s="14" t="s">
        <v>44</v>
      </c>
      <c r="D342" s="14" t="s">
        <v>44</v>
      </c>
      <c r="E342" s="14" t="s">
        <v>45</v>
      </c>
      <c r="F342" s="14" t="s">
        <v>46</v>
      </c>
      <c r="G342" s="15" t="s">
        <v>47</v>
      </c>
      <c r="H342" s="16" t="s">
        <v>48</v>
      </c>
      <c r="I342" s="14" t="s">
        <v>49</v>
      </c>
      <c r="J342" s="14">
        <v>890300279</v>
      </c>
      <c r="K342" s="14" t="s">
        <v>282</v>
      </c>
      <c r="L342" s="14" t="s">
        <v>103</v>
      </c>
      <c r="M342" s="14" t="s">
        <v>104</v>
      </c>
      <c r="N342" s="14">
        <v>2015</v>
      </c>
      <c r="O342" s="14">
        <v>5</v>
      </c>
      <c r="P342" s="14" t="s">
        <v>53</v>
      </c>
      <c r="Q342" s="14">
        <v>1</v>
      </c>
      <c r="R342" s="14">
        <v>0</v>
      </c>
      <c r="S342" s="17" t="s">
        <v>54</v>
      </c>
      <c r="T342" s="18">
        <v>0</v>
      </c>
      <c r="U342" s="14">
        <v>30</v>
      </c>
      <c r="V342" s="19">
        <v>1</v>
      </c>
      <c r="W342" s="14">
        <v>0</v>
      </c>
      <c r="X342" s="14">
        <v>0</v>
      </c>
      <c r="Y342" s="14">
        <v>0</v>
      </c>
      <c r="Z342" s="14">
        <v>0</v>
      </c>
      <c r="AA342" s="14">
        <f>Tabla13[[#This Row],[CheckList App]]+Tabla13[[#This Row],[CheckList Fisc]]</f>
        <v>0</v>
      </c>
      <c r="AB342" s="19">
        <f t="shared" si="5"/>
        <v>0</v>
      </c>
      <c r="AC342" s="14">
        <v>0</v>
      </c>
      <c r="AD342" s="14" t="s">
        <v>70</v>
      </c>
      <c r="AE342" s="15" t="str">
        <f>IFERROR((VLOOKUP(Tabla13[[#This Row],[ID]],[1]!Mtto_Pesv[[#Headers],[#Data],[Placa]:[Rutina]],2,FALSE)),"-")</f>
        <v>-</v>
      </c>
      <c r="AF342" s="14">
        <v>1</v>
      </c>
      <c r="AG342" s="20">
        <f>IFERROR((VLOOKUP(Tabla13[[#This Row],[ID]],[1]!Mtto_Pesv[[#Headers],[#Data],[Placa]:[Rutina]],3,FALSE)),0)</f>
        <v>0</v>
      </c>
      <c r="AH342" s="20">
        <f>IFERROR((VLOOKUP(Tabla13[[#This Row],[ID]],[1]!Mtto_Pesv[[#Headers],[#Data],[Placa]:[Rutina]],7,FALSE)),0)</f>
        <v>0</v>
      </c>
      <c r="AI342" s="20">
        <f>IFERROR((VLOOKUP(Tabla13[[#This Row],[ID]],[1]!Mtto_Pesv[[#Headers],[#Data],[Placa]:[Rutina]],8,FALSE)),0)</f>
        <v>0</v>
      </c>
      <c r="AJ342" s="20" t="str">
        <f>IFERROR((VLOOKUP(Tabla13[[#This Row],[ID]],[1]!Mtto_Pesv[[#Headers],[#Data],[Placa]:[Rutina]],9,FALSE)),"-")</f>
        <v>-</v>
      </c>
      <c r="AK342" s="20">
        <f>IFERROR((VLOOKUP(Tabla13[[#This Row],[ID]],[1]!Mtto_Pesv[[#Headers],[#Data],[Placa]:[Rutina]],10,FALSE)),0)</f>
        <v>0</v>
      </c>
      <c r="AL342" s="20">
        <f>IF(Tabla13[[#This Row],[Km Anterior]]=0,0,Tabla13[[#This Row],[Km Ejecut]]-Tabla13[[#This Row],[Km Anterior]])</f>
        <v>0</v>
      </c>
      <c r="AM342" s="20">
        <f>IFERROR((VLOOKUP(Tabla13[[#This Row],[ID]],[1]!Mtto_Pesv[[#Headers],[#Data],[Placa]:[Rutina]],4,FALSE)),0)</f>
        <v>0</v>
      </c>
      <c r="AN342" s="21">
        <f>IFERROR((VLOOKUP(Tabla13[[#This Row],[ID]],[1]!Mtto_Pesv[[#Headers],[#Data],[Placa]:[Rutina]],5,FALSE)),0)</f>
        <v>0</v>
      </c>
      <c r="AO342" s="21">
        <f>+Tabla13[[#This Row],[Km Fin]]-Tabla13[[#This Row],[Km Ini]]</f>
        <v>0</v>
      </c>
      <c r="AP342" s="20">
        <f>IFERROR((VLOOKUP(Tabla13[[#This Row],[ID]],[1]!Estilo_Conduccion[[#All],[Placa]:[Puntuacion]],15,FALSE)),0)</f>
        <v>341</v>
      </c>
      <c r="AQ342" s="15" t="s">
        <v>1141</v>
      </c>
      <c r="AR342" s="15" t="s">
        <v>1142</v>
      </c>
      <c r="AS342" s="20">
        <v>1300</v>
      </c>
      <c r="AT342" s="21">
        <v>525.75</v>
      </c>
      <c r="AU342" s="21">
        <f>(Tabla13[[#This Row],[Cap Vh]]*$AX$2)*0.56</f>
        <v>0</v>
      </c>
      <c r="AV342" s="36" t="e">
        <f>(Tabla13[[#This Row],[Cap Util (kg)]]/(Tabla13[[#This Row],[Cap Inst (Kg)]]))</f>
        <v>#DIV/0!</v>
      </c>
    </row>
    <row r="343" spans="1:48" x14ac:dyDescent="0.25">
      <c r="A343" s="13" t="s">
        <v>1068</v>
      </c>
      <c r="B343" s="14" t="s">
        <v>518</v>
      </c>
      <c r="C343" s="14" t="s">
        <v>44</v>
      </c>
      <c r="D343" s="14" t="s">
        <v>44</v>
      </c>
      <c r="E343" s="14" t="s">
        <v>247</v>
      </c>
      <c r="F343" s="14" t="s">
        <v>46</v>
      </c>
      <c r="G343" s="15" t="s">
        <v>47</v>
      </c>
      <c r="H343" s="16" t="s">
        <v>48</v>
      </c>
      <c r="I343" s="14" t="s">
        <v>49</v>
      </c>
      <c r="J343" s="14">
        <v>890300279</v>
      </c>
      <c r="K343" s="14" t="s">
        <v>282</v>
      </c>
      <c r="L343" s="14" t="s">
        <v>103</v>
      </c>
      <c r="M343" s="14" t="s">
        <v>104</v>
      </c>
      <c r="N343" s="14">
        <v>2015</v>
      </c>
      <c r="O343" s="14">
        <v>5</v>
      </c>
      <c r="P343" s="14" t="s">
        <v>53</v>
      </c>
      <c r="Q343" s="14">
        <v>1</v>
      </c>
      <c r="R343" s="14">
        <v>0</v>
      </c>
      <c r="S343" s="17" t="s">
        <v>54</v>
      </c>
      <c r="T343" s="18">
        <v>0</v>
      </c>
      <c r="U343" s="14">
        <v>30</v>
      </c>
      <c r="V343" s="19">
        <v>1</v>
      </c>
      <c r="W343" s="14">
        <v>0</v>
      </c>
      <c r="X343" s="14">
        <v>0</v>
      </c>
      <c r="Y343" s="14">
        <v>0</v>
      </c>
      <c r="Z343" s="14">
        <v>0</v>
      </c>
      <c r="AA343" s="14">
        <f>Tabla13[[#This Row],[CheckList App]]+Tabla13[[#This Row],[CheckList Fisc]]</f>
        <v>0</v>
      </c>
      <c r="AB343" s="19">
        <f t="shared" si="5"/>
        <v>0</v>
      </c>
      <c r="AC343" s="14">
        <v>0</v>
      </c>
      <c r="AD343" s="14" t="s">
        <v>55</v>
      </c>
      <c r="AE343" s="15" t="str">
        <f>IFERROR((VLOOKUP(Tabla13[[#This Row],[ID]],[1]!Mtto_Pesv[[#Headers],[#Data],[Placa]:[Rutina]],2,FALSE)),"-")</f>
        <v>-</v>
      </c>
      <c r="AF343" s="14">
        <v>0</v>
      </c>
      <c r="AG343" s="20">
        <f>IFERROR((VLOOKUP(Tabla13[[#This Row],[ID]],[1]!Mtto_Pesv[[#Headers],[#Data],[Placa]:[Rutina]],3,FALSE)),0)</f>
        <v>0</v>
      </c>
      <c r="AH343" s="20">
        <f>IFERROR((VLOOKUP(Tabla13[[#This Row],[ID]],[1]!Mtto_Pesv[[#Headers],[#Data],[Placa]:[Rutina]],7,FALSE)),0)</f>
        <v>0</v>
      </c>
      <c r="AI343" s="20">
        <f>IFERROR((VLOOKUP(Tabla13[[#This Row],[ID]],[1]!Mtto_Pesv[[#Headers],[#Data],[Placa]:[Rutina]],8,FALSE)),0)</f>
        <v>0</v>
      </c>
      <c r="AJ343" s="20" t="str">
        <f>IFERROR((VLOOKUP(Tabla13[[#This Row],[ID]],[1]!Mtto_Pesv[[#Headers],[#Data],[Placa]:[Rutina]],9,FALSE)),"-")</f>
        <v>-</v>
      </c>
      <c r="AK343" s="20">
        <f>IFERROR((VLOOKUP(Tabla13[[#This Row],[ID]],[1]!Mtto_Pesv[[#Headers],[#Data],[Placa]:[Rutina]],10,FALSE)),0)</f>
        <v>0</v>
      </c>
      <c r="AL343" s="20">
        <f>IF(Tabla13[[#This Row],[Km Anterior]]=0,0,Tabla13[[#This Row],[Km Ejecut]]-Tabla13[[#This Row],[Km Anterior]])</f>
        <v>0</v>
      </c>
      <c r="AM343" s="20">
        <f>IFERROR((VLOOKUP(Tabla13[[#This Row],[ID]],[1]!Mtto_Pesv[[#Headers],[#Data],[Placa]:[Rutina]],4,FALSE)),0)</f>
        <v>0</v>
      </c>
      <c r="AN343" s="21">
        <f>IFERROR((VLOOKUP(Tabla13[[#This Row],[ID]],[1]!Mtto_Pesv[[#Headers],[#Data],[Placa]:[Rutina]],5,FALSE)),0)</f>
        <v>0</v>
      </c>
      <c r="AO343" s="21">
        <f>+Tabla13[[#This Row],[Km Fin]]-Tabla13[[#This Row],[Km Ini]]</f>
        <v>0</v>
      </c>
      <c r="AP343" s="20">
        <f>IFERROR((VLOOKUP(Tabla13[[#This Row],[ID]],[1]!Estilo_Conduccion[[#All],[Placa]:[Puntuacion]],15,FALSE)),0)</f>
        <v>109.1</v>
      </c>
      <c r="AQ343" s="15" t="s">
        <v>1275</v>
      </c>
      <c r="AR343" s="15" t="s">
        <v>1276</v>
      </c>
      <c r="AS343" s="20">
        <v>1300</v>
      </c>
      <c r="AT343" s="21">
        <v>5514</v>
      </c>
      <c r="AU343" s="21">
        <f>(Tabla13[[#This Row],[Cap Vh]]*$AX$2)*0.56</f>
        <v>0</v>
      </c>
      <c r="AV343" s="36" t="e">
        <f>(Tabla13[[#This Row],[Cap Util (kg)]]/(Tabla13[[#This Row],[Cap Inst (Kg)]]))</f>
        <v>#DIV/0!</v>
      </c>
    </row>
    <row r="344" spans="1:48" x14ac:dyDescent="0.25">
      <c r="A344" s="13" t="s">
        <v>1068</v>
      </c>
      <c r="B344" s="14" t="s">
        <v>519</v>
      </c>
      <c r="C344" s="14" t="s">
        <v>44</v>
      </c>
      <c r="D344" s="14" t="s">
        <v>44</v>
      </c>
      <c r="E344" s="14" t="s">
        <v>45</v>
      </c>
      <c r="F344" s="14" t="s">
        <v>46</v>
      </c>
      <c r="G344" s="15" t="s">
        <v>47</v>
      </c>
      <c r="H344" s="16" t="s">
        <v>48</v>
      </c>
      <c r="I344" s="14" t="s">
        <v>49</v>
      </c>
      <c r="J344" s="14">
        <v>890300279</v>
      </c>
      <c r="K344" s="14" t="s">
        <v>282</v>
      </c>
      <c r="L344" s="14" t="s">
        <v>103</v>
      </c>
      <c r="M344" s="14" t="s">
        <v>104</v>
      </c>
      <c r="N344" s="14">
        <v>2015</v>
      </c>
      <c r="O344" s="14">
        <v>5</v>
      </c>
      <c r="P344" s="14" t="s">
        <v>53</v>
      </c>
      <c r="Q344" s="14">
        <v>1</v>
      </c>
      <c r="R344" s="14">
        <v>0</v>
      </c>
      <c r="S344" s="17" t="s">
        <v>54</v>
      </c>
      <c r="T344" s="18">
        <v>0</v>
      </c>
      <c r="U344" s="14">
        <v>30</v>
      </c>
      <c r="V344" s="19">
        <v>1</v>
      </c>
      <c r="W344" s="14">
        <v>0</v>
      </c>
      <c r="X344" s="14">
        <v>0</v>
      </c>
      <c r="Y344" s="14">
        <v>0</v>
      </c>
      <c r="Z344" s="14">
        <v>0</v>
      </c>
      <c r="AA344" s="14">
        <f>Tabla13[[#This Row],[CheckList App]]+Tabla13[[#This Row],[CheckList Fisc]]</f>
        <v>0</v>
      </c>
      <c r="AB344" s="19">
        <f t="shared" si="5"/>
        <v>0</v>
      </c>
      <c r="AC344" s="14">
        <v>0</v>
      </c>
      <c r="AD344" s="14" t="s">
        <v>55</v>
      </c>
      <c r="AE344" s="15" t="str">
        <f>IFERROR((VLOOKUP(Tabla13[[#This Row],[ID]],[1]!Mtto_Pesv[[#Headers],[#Data],[Placa]:[Rutina]],2,FALSE)),"-")</f>
        <v>-</v>
      </c>
      <c r="AF344" s="14">
        <v>0</v>
      </c>
      <c r="AG344" s="20">
        <f>IFERROR((VLOOKUP(Tabla13[[#This Row],[ID]],[1]!Mtto_Pesv[[#Headers],[#Data],[Placa]:[Rutina]],3,FALSE)),0)</f>
        <v>0</v>
      </c>
      <c r="AH344" s="20">
        <f>IFERROR((VLOOKUP(Tabla13[[#This Row],[ID]],[1]!Mtto_Pesv[[#Headers],[#Data],[Placa]:[Rutina]],7,FALSE)),0)</f>
        <v>0</v>
      </c>
      <c r="AI344" s="20">
        <f>IFERROR((VLOOKUP(Tabla13[[#This Row],[ID]],[1]!Mtto_Pesv[[#Headers],[#Data],[Placa]:[Rutina]],8,FALSE)),0)</f>
        <v>0</v>
      </c>
      <c r="AJ344" s="20" t="str">
        <f>IFERROR((VLOOKUP(Tabla13[[#This Row],[ID]],[1]!Mtto_Pesv[[#Headers],[#Data],[Placa]:[Rutina]],9,FALSE)),"-")</f>
        <v>-</v>
      </c>
      <c r="AK344" s="20">
        <f>IFERROR((VLOOKUP(Tabla13[[#This Row],[ID]],[1]!Mtto_Pesv[[#Headers],[#Data],[Placa]:[Rutina]],10,FALSE)),0)</f>
        <v>0</v>
      </c>
      <c r="AL344" s="20">
        <f>IF(Tabla13[[#This Row],[Km Anterior]]=0,0,Tabla13[[#This Row],[Km Ejecut]]-Tabla13[[#This Row],[Km Anterior]])</f>
        <v>0</v>
      </c>
      <c r="AM344" s="20">
        <f>IFERROR((VLOOKUP(Tabla13[[#This Row],[ID]],[1]!Mtto_Pesv[[#Headers],[#Data],[Placa]:[Rutina]],4,FALSE)),0)</f>
        <v>0</v>
      </c>
      <c r="AN344" s="21">
        <f>IFERROR((VLOOKUP(Tabla13[[#This Row],[ID]],[1]!Mtto_Pesv[[#Headers],[#Data],[Placa]:[Rutina]],5,FALSE)),0)</f>
        <v>0</v>
      </c>
      <c r="AO344" s="21">
        <f>+Tabla13[[#This Row],[Km Fin]]-Tabla13[[#This Row],[Km Ini]]</f>
        <v>0</v>
      </c>
      <c r="AP344" s="20">
        <f>IFERROR((VLOOKUP(Tabla13[[#This Row],[ID]],[1]!Estilo_Conduccion[[#All],[Placa]:[Puntuacion]],15,FALSE)),0)</f>
        <v>1911.2</v>
      </c>
      <c r="AQ344" s="15" t="s">
        <v>1277</v>
      </c>
      <c r="AR344" s="15" t="s">
        <v>1278</v>
      </c>
      <c r="AS344" s="20">
        <v>1300</v>
      </c>
      <c r="AT344" s="21">
        <v>6219</v>
      </c>
      <c r="AU344" s="21">
        <f>(Tabla13[[#This Row],[Cap Vh]]*$AX$2)*0.56</f>
        <v>0</v>
      </c>
      <c r="AV344" s="36" t="e">
        <f>(Tabla13[[#This Row],[Cap Util (kg)]]/(Tabla13[[#This Row],[Cap Inst (Kg)]]))</f>
        <v>#DIV/0!</v>
      </c>
    </row>
    <row r="345" spans="1:48" x14ac:dyDescent="0.25">
      <c r="A345" s="13" t="s">
        <v>1068</v>
      </c>
      <c r="B345" s="14" t="s">
        <v>520</v>
      </c>
      <c r="C345" s="14" t="s">
        <v>44</v>
      </c>
      <c r="D345" s="14" t="s">
        <v>44</v>
      </c>
      <c r="E345" s="14" t="s">
        <v>45</v>
      </c>
      <c r="F345" s="14" t="s">
        <v>64</v>
      </c>
      <c r="G345" s="15" t="s">
        <v>119</v>
      </c>
      <c r="H345" s="16" t="s">
        <v>120</v>
      </c>
      <c r="I345" s="14" t="s">
        <v>49</v>
      </c>
      <c r="J345" s="14">
        <v>890300279</v>
      </c>
      <c r="K345" s="14" t="s">
        <v>282</v>
      </c>
      <c r="L345" s="14" t="s">
        <v>103</v>
      </c>
      <c r="M345" s="14" t="s">
        <v>104</v>
      </c>
      <c r="N345" s="14">
        <v>2015</v>
      </c>
      <c r="O345" s="14">
        <v>5</v>
      </c>
      <c r="P345" s="14" t="s">
        <v>53</v>
      </c>
      <c r="Q345" s="14">
        <v>1</v>
      </c>
      <c r="R345" s="14">
        <v>0</v>
      </c>
      <c r="S345" s="17" t="s">
        <v>54</v>
      </c>
      <c r="T345" s="18">
        <v>0</v>
      </c>
      <c r="U345" s="14">
        <v>30</v>
      </c>
      <c r="V345" s="19">
        <v>1</v>
      </c>
      <c r="W345" s="14">
        <v>0</v>
      </c>
      <c r="X345" s="14">
        <v>0</v>
      </c>
      <c r="Y345" s="14">
        <v>0</v>
      </c>
      <c r="Z345" s="14">
        <v>0</v>
      </c>
      <c r="AA345" s="14">
        <f>Tabla13[[#This Row],[CheckList App]]+Tabla13[[#This Row],[CheckList Fisc]]</f>
        <v>0</v>
      </c>
      <c r="AB345" s="19">
        <f t="shared" si="5"/>
        <v>0</v>
      </c>
      <c r="AC345" s="14">
        <v>0</v>
      </c>
      <c r="AD345" s="14" t="s">
        <v>70</v>
      </c>
      <c r="AE345" s="22" t="str">
        <f>IFERROR((VLOOKUP(Tabla13[[#This Row],[ID]],[1]!Mtto_Pesv[[#Headers],[#Data],[Placa]:[Rutina]],2,FALSE)),"-")</f>
        <v>-</v>
      </c>
      <c r="AF345" s="14">
        <v>1</v>
      </c>
      <c r="AG345" s="20">
        <f>IFERROR((VLOOKUP(Tabla13[[#This Row],[ID]],[1]!Mtto_Pesv[[#Headers],[#Data],[Placa]:[Rutina]],3,FALSE)),0)</f>
        <v>0</v>
      </c>
      <c r="AH345" s="20">
        <f>IFERROR((VLOOKUP(Tabla13[[#This Row],[ID]],[1]!Mtto_Pesv[[#Headers],[#Data],[Placa]:[Rutina]],7,FALSE)),0)</f>
        <v>0</v>
      </c>
      <c r="AI345" s="20">
        <f>IFERROR((VLOOKUP(Tabla13[[#This Row],[ID]],[1]!Mtto_Pesv[[#Headers],[#Data],[Placa]:[Rutina]],8,FALSE)),0)</f>
        <v>0</v>
      </c>
      <c r="AJ345" s="20" t="str">
        <f>IFERROR((VLOOKUP(Tabla13[[#This Row],[ID]],[1]!Mtto_Pesv[[#Headers],[#Data],[Placa]:[Rutina]],9,FALSE)),"-")</f>
        <v>-</v>
      </c>
      <c r="AK345" s="20">
        <f>IFERROR((VLOOKUP(Tabla13[[#This Row],[ID]],[1]!Mtto_Pesv[[#Headers],[#Data],[Placa]:[Rutina]],10,FALSE)),0)</f>
        <v>0</v>
      </c>
      <c r="AL345" s="20">
        <f>IF(Tabla13[[#This Row],[Km Anterior]]=0,0,Tabla13[[#This Row],[Km Ejecut]]-Tabla13[[#This Row],[Km Anterior]])</f>
        <v>0</v>
      </c>
      <c r="AM345" s="20">
        <f>IFERROR((VLOOKUP(Tabla13[[#This Row],[ID]],[1]!Mtto_Pesv[[#Headers],[#Data],[Placa]:[Rutina]],4,FALSE)),0)</f>
        <v>0</v>
      </c>
      <c r="AN345" s="21">
        <f>IFERROR((VLOOKUP(Tabla13[[#This Row],[ID]],[1]!Mtto_Pesv[[#Headers],[#Data],[Placa]:[Rutina]],5,FALSE)),0)</f>
        <v>0</v>
      </c>
      <c r="AO345" s="21">
        <f>+Tabla13[[#This Row],[Km Fin]]-Tabla13[[#This Row],[Km Ini]]</f>
        <v>0</v>
      </c>
      <c r="AP345" s="20">
        <f>IFERROR((VLOOKUP(Tabla13[[#This Row],[ID]],[1]!Estilo_Conduccion[[#All],[Placa]:[Puntuacion]],15,FALSE)),0)</f>
        <v>737.6</v>
      </c>
      <c r="AQ345" s="15" t="s">
        <v>54</v>
      </c>
      <c r="AR345" s="15" t="s">
        <v>54</v>
      </c>
      <c r="AS345" s="20">
        <v>1300</v>
      </c>
      <c r="AT345" s="21">
        <v>0</v>
      </c>
      <c r="AU345" s="21">
        <f>(Tabla13[[#This Row],[Cap Vh]]*$AX$2)*0.56</f>
        <v>0</v>
      </c>
      <c r="AV345" s="36" t="e">
        <f>(Tabla13[[#This Row],[Cap Util (kg)]]/(Tabla13[[#This Row],[Cap Inst (Kg)]]))</f>
        <v>#DIV/0!</v>
      </c>
    </row>
    <row r="346" spans="1:48" x14ac:dyDescent="0.25">
      <c r="A346" s="13" t="s">
        <v>1068</v>
      </c>
      <c r="B346" s="14" t="s">
        <v>521</v>
      </c>
      <c r="C346" s="14" t="s">
        <v>44</v>
      </c>
      <c r="D346" s="14" t="s">
        <v>44</v>
      </c>
      <c r="E346" s="14" t="s">
        <v>85</v>
      </c>
      <c r="F346" s="14" t="s">
        <v>337</v>
      </c>
      <c r="G346" s="15" t="s">
        <v>47</v>
      </c>
      <c r="H346" s="16" t="s">
        <v>48</v>
      </c>
      <c r="I346" s="14" t="s">
        <v>49</v>
      </c>
      <c r="J346" s="14">
        <v>890300279</v>
      </c>
      <c r="K346" s="14" t="s">
        <v>282</v>
      </c>
      <c r="L346" s="14" t="s">
        <v>103</v>
      </c>
      <c r="M346" s="14" t="s">
        <v>104</v>
      </c>
      <c r="N346" s="14">
        <v>2015</v>
      </c>
      <c r="O346" s="14">
        <v>5</v>
      </c>
      <c r="P346" s="14" t="s">
        <v>53</v>
      </c>
      <c r="Q346" s="14">
        <v>1</v>
      </c>
      <c r="R346" s="14">
        <v>0</v>
      </c>
      <c r="S346" s="17" t="s">
        <v>54</v>
      </c>
      <c r="T346" s="18">
        <v>0</v>
      </c>
      <c r="U346" s="14">
        <v>30</v>
      </c>
      <c r="V346" s="19">
        <v>1</v>
      </c>
      <c r="W346" s="14">
        <v>0</v>
      </c>
      <c r="X346" s="14">
        <v>0</v>
      </c>
      <c r="Y346" s="14">
        <v>0</v>
      </c>
      <c r="Z346" s="14">
        <v>0</v>
      </c>
      <c r="AA346" s="14">
        <f>Tabla13[[#This Row],[CheckList App]]+Tabla13[[#This Row],[CheckList Fisc]]</f>
        <v>0</v>
      </c>
      <c r="AB346" s="19">
        <f t="shared" si="5"/>
        <v>0</v>
      </c>
      <c r="AC346" s="14">
        <v>0</v>
      </c>
      <c r="AD346" s="14" t="s">
        <v>55</v>
      </c>
      <c r="AE346" s="15" t="str">
        <f>IFERROR((VLOOKUP(Tabla13[[#This Row],[ID]],[1]!Mtto_Pesv[[#Headers],[#Data],[Placa]:[Rutina]],2,FALSE)),"-")</f>
        <v>-</v>
      </c>
      <c r="AF346" s="14">
        <v>0</v>
      </c>
      <c r="AG346" s="20">
        <f>IFERROR((VLOOKUP(Tabla13[[#This Row],[ID]],[1]!Mtto_Pesv[[#Headers],[#Data],[Placa]:[Rutina]],3,FALSE)),0)</f>
        <v>0</v>
      </c>
      <c r="AH346" s="20">
        <f>IFERROR((VLOOKUP(Tabla13[[#This Row],[ID]],[1]!Mtto_Pesv[[#Headers],[#Data],[Placa]:[Rutina]],7,FALSE)),0)</f>
        <v>0</v>
      </c>
      <c r="AI346" s="20">
        <f>IFERROR((VLOOKUP(Tabla13[[#This Row],[ID]],[1]!Mtto_Pesv[[#Headers],[#Data],[Placa]:[Rutina]],8,FALSE)),0)</f>
        <v>0</v>
      </c>
      <c r="AJ346" s="20" t="str">
        <f>IFERROR((VLOOKUP(Tabla13[[#This Row],[ID]],[1]!Mtto_Pesv[[#Headers],[#Data],[Placa]:[Rutina]],9,FALSE)),"-")</f>
        <v>-</v>
      </c>
      <c r="AK346" s="20">
        <f>IFERROR((VLOOKUP(Tabla13[[#This Row],[ID]],[1]!Mtto_Pesv[[#Headers],[#Data],[Placa]:[Rutina]],10,FALSE)),0)</f>
        <v>0</v>
      </c>
      <c r="AL346" s="20">
        <f>IF(Tabla13[[#This Row],[Km Anterior]]=0,0,Tabla13[[#This Row],[Km Ejecut]]-Tabla13[[#This Row],[Km Anterior]])</f>
        <v>0</v>
      </c>
      <c r="AM346" s="20">
        <f>IFERROR((VLOOKUP(Tabla13[[#This Row],[ID]],[1]!Mtto_Pesv[[#Headers],[#Data],[Placa]:[Rutina]],4,FALSE)),0)</f>
        <v>0</v>
      </c>
      <c r="AN346" s="21">
        <f>IFERROR((VLOOKUP(Tabla13[[#This Row],[ID]],[1]!Mtto_Pesv[[#Headers],[#Data],[Placa]:[Rutina]],5,FALSE)),0)</f>
        <v>0</v>
      </c>
      <c r="AO346" s="21">
        <f>+Tabla13[[#This Row],[Km Fin]]-Tabla13[[#This Row],[Km Ini]]</f>
        <v>0</v>
      </c>
      <c r="AP346" s="20">
        <f>IFERROR((VLOOKUP(Tabla13[[#This Row],[ID]],[1]!Estilo_Conduccion[[#All],[Placa]:[Puntuacion]],15,FALSE)),0)</f>
        <v>56</v>
      </c>
      <c r="AQ346" s="15" t="s">
        <v>1069</v>
      </c>
      <c r="AR346" s="15" t="s">
        <v>1279</v>
      </c>
      <c r="AS346" s="20">
        <v>1300</v>
      </c>
      <c r="AT346" s="21">
        <v>0</v>
      </c>
      <c r="AU346" s="21">
        <f>(Tabla13[[#This Row],[Cap Vh]]*$AX$2)*0.56</f>
        <v>0</v>
      </c>
      <c r="AV346" s="36" t="e">
        <f>(Tabla13[[#This Row],[Cap Util (kg)]]/(Tabla13[[#This Row],[Cap Inst (Kg)]]))</f>
        <v>#DIV/0!</v>
      </c>
    </row>
    <row r="347" spans="1:48" x14ac:dyDescent="0.25">
      <c r="A347" s="13" t="s">
        <v>1068</v>
      </c>
      <c r="B347" s="14" t="s">
        <v>522</v>
      </c>
      <c r="C347" s="14" t="s">
        <v>44</v>
      </c>
      <c r="D347" s="14" t="s">
        <v>44</v>
      </c>
      <c r="E347" s="14" t="s">
        <v>69</v>
      </c>
      <c r="F347" s="14" t="s">
        <v>76</v>
      </c>
      <c r="G347" s="15" t="s">
        <v>47</v>
      </c>
      <c r="H347" s="16" t="s">
        <v>48</v>
      </c>
      <c r="I347" s="14" t="s">
        <v>49</v>
      </c>
      <c r="J347" s="14">
        <v>890300279</v>
      </c>
      <c r="K347" s="14" t="s">
        <v>282</v>
      </c>
      <c r="L347" s="14" t="s">
        <v>103</v>
      </c>
      <c r="M347" s="14" t="s">
        <v>104</v>
      </c>
      <c r="N347" s="14">
        <v>2015</v>
      </c>
      <c r="O347" s="14">
        <v>5</v>
      </c>
      <c r="P347" s="14" t="s">
        <v>53</v>
      </c>
      <c r="Q347" s="14">
        <v>1</v>
      </c>
      <c r="R347" s="14">
        <v>0</v>
      </c>
      <c r="S347" s="17" t="s">
        <v>54</v>
      </c>
      <c r="T347" s="18">
        <v>0</v>
      </c>
      <c r="U347" s="14">
        <v>30</v>
      </c>
      <c r="V347" s="19">
        <v>1</v>
      </c>
      <c r="W347" s="14">
        <v>0</v>
      </c>
      <c r="X347" s="14">
        <v>0</v>
      </c>
      <c r="Y347" s="14">
        <v>0</v>
      </c>
      <c r="Z347" s="14">
        <v>0</v>
      </c>
      <c r="AA347" s="14">
        <f>Tabla13[[#This Row],[CheckList App]]+Tabla13[[#This Row],[CheckList Fisc]]</f>
        <v>0</v>
      </c>
      <c r="AB347" s="19">
        <f t="shared" si="5"/>
        <v>0</v>
      </c>
      <c r="AC347" s="14">
        <v>0</v>
      </c>
      <c r="AD347" s="14" t="s">
        <v>55</v>
      </c>
      <c r="AE347" s="15" t="str">
        <f>IFERROR((VLOOKUP(Tabla13[[#This Row],[ID]],[1]!Mtto_Pesv[[#Headers],[#Data],[Placa]:[Rutina]],2,FALSE)),"-")</f>
        <v>-</v>
      </c>
      <c r="AF347" s="14">
        <v>0</v>
      </c>
      <c r="AG347" s="20">
        <f>IFERROR((VLOOKUP(Tabla13[[#This Row],[ID]],[1]!Mtto_Pesv[[#Headers],[#Data],[Placa]:[Rutina]],3,FALSE)),0)</f>
        <v>0</v>
      </c>
      <c r="AH347" s="20">
        <f>IFERROR((VLOOKUP(Tabla13[[#This Row],[ID]],[1]!Mtto_Pesv[[#Headers],[#Data],[Placa]:[Rutina]],7,FALSE)),0)</f>
        <v>0</v>
      </c>
      <c r="AI347" s="20">
        <f>IFERROR((VLOOKUP(Tabla13[[#This Row],[ID]],[1]!Mtto_Pesv[[#Headers],[#Data],[Placa]:[Rutina]],8,FALSE)),0)</f>
        <v>0</v>
      </c>
      <c r="AJ347" s="20" t="str">
        <f>IFERROR((VLOOKUP(Tabla13[[#This Row],[ID]],[1]!Mtto_Pesv[[#Headers],[#Data],[Placa]:[Rutina]],9,FALSE)),"-")</f>
        <v>-</v>
      </c>
      <c r="AK347" s="20">
        <f>IFERROR((VLOOKUP(Tabla13[[#This Row],[ID]],[1]!Mtto_Pesv[[#Headers],[#Data],[Placa]:[Rutina]],10,FALSE)),0)</f>
        <v>0</v>
      </c>
      <c r="AL347" s="20">
        <f>IF(Tabla13[[#This Row],[Km Anterior]]=0,0,Tabla13[[#This Row],[Km Ejecut]]-Tabla13[[#This Row],[Km Anterior]])</f>
        <v>0</v>
      </c>
      <c r="AM347" s="20">
        <f>IFERROR((VLOOKUP(Tabla13[[#This Row],[ID]],[1]!Mtto_Pesv[[#Headers],[#Data],[Placa]:[Rutina]],4,FALSE)),0)</f>
        <v>0</v>
      </c>
      <c r="AN347" s="21">
        <f>IFERROR((VLOOKUP(Tabla13[[#This Row],[ID]],[1]!Mtto_Pesv[[#Headers],[#Data],[Placa]:[Rutina]],5,FALSE)),0)</f>
        <v>0</v>
      </c>
      <c r="AO347" s="21">
        <f>+Tabla13[[#This Row],[Km Fin]]-Tabla13[[#This Row],[Km Ini]]</f>
        <v>0</v>
      </c>
      <c r="AP347" s="20">
        <f>IFERROR((VLOOKUP(Tabla13[[#This Row],[ID]],[1]!Estilo_Conduccion[[#All],[Placa]:[Puntuacion]],15,FALSE)),0)</f>
        <v>0</v>
      </c>
      <c r="AQ347" s="15" t="s">
        <v>1240</v>
      </c>
      <c r="AR347" s="15" t="s">
        <v>1241</v>
      </c>
      <c r="AS347" s="20">
        <v>1300</v>
      </c>
      <c r="AT347" s="21">
        <v>8191</v>
      </c>
      <c r="AU347" s="21">
        <f>(Tabla13[[#This Row],[Cap Vh]]*$AX$2)*0.56</f>
        <v>0</v>
      </c>
      <c r="AV347" s="36" t="e">
        <f>(Tabla13[[#This Row],[Cap Util (kg)]]/(Tabla13[[#This Row],[Cap Inst (Kg)]]))</f>
        <v>#DIV/0!</v>
      </c>
    </row>
    <row r="348" spans="1:48" x14ac:dyDescent="0.25">
      <c r="A348" s="13" t="s">
        <v>1068</v>
      </c>
      <c r="B348" s="14" t="s">
        <v>523</v>
      </c>
      <c r="C348" s="14" t="s">
        <v>44</v>
      </c>
      <c r="D348" s="14" t="s">
        <v>44</v>
      </c>
      <c r="E348" s="14" t="s">
        <v>45</v>
      </c>
      <c r="F348" s="14" t="s">
        <v>76</v>
      </c>
      <c r="G348" s="15" t="s">
        <v>47</v>
      </c>
      <c r="H348" s="16" t="s">
        <v>48</v>
      </c>
      <c r="I348" s="14" t="s">
        <v>49</v>
      </c>
      <c r="J348" s="14">
        <v>890300279</v>
      </c>
      <c r="K348" s="14" t="s">
        <v>282</v>
      </c>
      <c r="L348" s="14" t="s">
        <v>103</v>
      </c>
      <c r="M348" s="14" t="s">
        <v>104</v>
      </c>
      <c r="N348" s="14">
        <v>2015</v>
      </c>
      <c r="O348" s="14">
        <v>5</v>
      </c>
      <c r="P348" s="14" t="s">
        <v>53</v>
      </c>
      <c r="Q348" s="14">
        <v>1</v>
      </c>
      <c r="R348" s="14">
        <v>0</v>
      </c>
      <c r="S348" s="17" t="s">
        <v>54</v>
      </c>
      <c r="T348" s="18">
        <v>0</v>
      </c>
      <c r="U348" s="14">
        <v>30</v>
      </c>
      <c r="V348" s="19">
        <v>1</v>
      </c>
      <c r="W348" s="14">
        <v>0</v>
      </c>
      <c r="X348" s="14">
        <v>0</v>
      </c>
      <c r="Y348" s="14">
        <v>0</v>
      </c>
      <c r="Z348" s="14">
        <v>0</v>
      </c>
      <c r="AA348" s="14">
        <f>Tabla13[[#This Row],[CheckList App]]+Tabla13[[#This Row],[CheckList Fisc]]</f>
        <v>0</v>
      </c>
      <c r="AB348" s="19">
        <f t="shared" si="5"/>
        <v>0</v>
      </c>
      <c r="AC348" s="14">
        <v>0</v>
      </c>
      <c r="AD348" s="14" t="s">
        <v>55</v>
      </c>
      <c r="AE348" s="15" t="str">
        <f>IFERROR((VLOOKUP(Tabla13[[#This Row],[ID]],[1]!Mtto_Pesv[[#Headers],[#Data],[Placa]:[Rutina]],2,FALSE)),"-")</f>
        <v>-</v>
      </c>
      <c r="AF348" s="14">
        <v>0</v>
      </c>
      <c r="AG348" s="20">
        <f>IFERROR((VLOOKUP(Tabla13[[#This Row],[ID]],[1]!Mtto_Pesv[[#Headers],[#Data],[Placa]:[Rutina]],3,FALSE)),0)</f>
        <v>0</v>
      </c>
      <c r="AH348" s="20">
        <f>IFERROR((VLOOKUP(Tabla13[[#This Row],[ID]],[1]!Mtto_Pesv[[#Headers],[#Data],[Placa]:[Rutina]],7,FALSE)),0)</f>
        <v>0</v>
      </c>
      <c r="AI348" s="20">
        <f>IFERROR((VLOOKUP(Tabla13[[#This Row],[ID]],[1]!Mtto_Pesv[[#Headers],[#Data],[Placa]:[Rutina]],8,FALSE)),0)</f>
        <v>0</v>
      </c>
      <c r="AJ348" s="20" t="str">
        <f>IFERROR((VLOOKUP(Tabla13[[#This Row],[ID]],[1]!Mtto_Pesv[[#Headers],[#Data],[Placa]:[Rutina]],9,FALSE)),"-")</f>
        <v>-</v>
      </c>
      <c r="AK348" s="20">
        <f>IFERROR((VLOOKUP(Tabla13[[#This Row],[ID]],[1]!Mtto_Pesv[[#Headers],[#Data],[Placa]:[Rutina]],10,FALSE)),0)</f>
        <v>0</v>
      </c>
      <c r="AL348" s="20">
        <f>IF(Tabla13[[#This Row],[Km Anterior]]=0,0,Tabla13[[#This Row],[Km Ejecut]]-Tabla13[[#This Row],[Km Anterior]])</f>
        <v>0</v>
      </c>
      <c r="AM348" s="20">
        <f>IFERROR((VLOOKUP(Tabla13[[#This Row],[ID]],[1]!Mtto_Pesv[[#Headers],[#Data],[Placa]:[Rutina]],4,FALSE)),0)</f>
        <v>0</v>
      </c>
      <c r="AN348" s="21">
        <f>IFERROR((VLOOKUP(Tabla13[[#This Row],[ID]],[1]!Mtto_Pesv[[#Headers],[#Data],[Placa]:[Rutina]],5,FALSE)),0)</f>
        <v>0</v>
      </c>
      <c r="AO348" s="21">
        <f>+Tabla13[[#This Row],[Km Fin]]-Tabla13[[#This Row],[Km Ini]]</f>
        <v>0</v>
      </c>
      <c r="AP348" s="20">
        <f>IFERROR((VLOOKUP(Tabla13[[#This Row],[ID]],[1]!Estilo_Conduccion[[#All],[Placa]:[Puntuacion]],15,FALSE)),0)</f>
        <v>77</v>
      </c>
      <c r="AQ348" s="15" t="s">
        <v>1076</v>
      </c>
      <c r="AR348" s="15" t="s">
        <v>1077</v>
      </c>
      <c r="AS348" s="20">
        <v>1300</v>
      </c>
      <c r="AT348" s="21">
        <v>5065.7142857142853</v>
      </c>
      <c r="AU348" s="21">
        <f>(Tabla13[[#This Row],[Cap Vh]]*$AX$2)*0.56</f>
        <v>0</v>
      </c>
      <c r="AV348" s="36" t="e">
        <f>(Tabla13[[#This Row],[Cap Util (kg)]]/(Tabla13[[#This Row],[Cap Inst (Kg)]]))</f>
        <v>#DIV/0!</v>
      </c>
    </row>
    <row r="349" spans="1:48" x14ac:dyDescent="0.25">
      <c r="A349" s="13" t="s">
        <v>1068</v>
      </c>
      <c r="B349" s="14" t="s">
        <v>524</v>
      </c>
      <c r="C349" s="14" t="s">
        <v>44</v>
      </c>
      <c r="D349" s="14" t="s">
        <v>44</v>
      </c>
      <c r="E349" s="14" t="s">
        <v>45</v>
      </c>
      <c r="F349" s="14" t="s">
        <v>337</v>
      </c>
      <c r="G349" s="15" t="s">
        <v>47</v>
      </c>
      <c r="H349" s="16" t="s">
        <v>48</v>
      </c>
      <c r="I349" s="14" t="s">
        <v>49</v>
      </c>
      <c r="J349" s="14">
        <v>890300279</v>
      </c>
      <c r="K349" s="14" t="s">
        <v>282</v>
      </c>
      <c r="L349" s="14" t="s">
        <v>103</v>
      </c>
      <c r="M349" s="14" t="s">
        <v>104</v>
      </c>
      <c r="N349" s="14">
        <v>2015</v>
      </c>
      <c r="O349" s="14">
        <v>5</v>
      </c>
      <c r="P349" s="14" t="s">
        <v>53</v>
      </c>
      <c r="Q349" s="14">
        <v>1</v>
      </c>
      <c r="R349" s="14">
        <v>0</v>
      </c>
      <c r="S349" s="17" t="s">
        <v>54</v>
      </c>
      <c r="T349" s="18">
        <v>0</v>
      </c>
      <c r="U349" s="14">
        <v>30</v>
      </c>
      <c r="V349" s="19">
        <v>1</v>
      </c>
      <c r="W349" s="14">
        <v>0</v>
      </c>
      <c r="X349" s="14">
        <v>0</v>
      </c>
      <c r="Y349" s="14">
        <v>0</v>
      </c>
      <c r="Z349" s="14">
        <v>0</v>
      </c>
      <c r="AA349" s="14">
        <f>Tabla13[[#This Row],[CheckList App]]+Tabla13[[#This Row],[CheckList Fisc]]</f>
        <v>0</v>
      </c>
      <c r="AB349" s="19">
        <f t="shared" si="5"/>
        <v>0</v>
      </c>
      <c r="AC349" s="14">
        <v>0</v>
      </c>
      <c r="AD349" s="14" t="s">
        <v>70</v>
      </c>
      <c r="AE349" s="15" t="str">
        <f>IFERROR((VLOOKUP(Tabla13[[#This Row],[ID]],[1]!Mtto_Pesv[[#Headers],[#Data],[Placa]:[Rutina]],2,FALSE)),"-")</f>
        <v>-</v>
      </c>
      <c r="AF349" s="14">
        <v>1</v>
      </c>
      <c r="AG349" s="20">
        <f>IFERROR((VLOOKUP(Tabla13[[#This Row],[ID]],[1]!Mtto_Pesv[[#Headers],[#Data],[Placa]:[Rutina]],3,FALSE)),0)</f>
        <v>0</v>
      </c>
      <c r="AH349" s="20">
        <f>IFERROR((VLOOKUP(Tabla13[[#This Row],[ID]],[1]!Mtto_Pesv[[#Headers],[#Data],[Placa]:[Rutina]],7,FALSE)),0)</f>
        <v>0</v>
      </c>
      <c r="AI349" s="20">
        <f>IFERROR((VLOOKUP(Tabla13[[#This Row],[ID]],[1]!Mtto_Pesv[[#Headers],[#Data],[Placa]:[Rutina]],8,FALSE)),0)</f>
        <v>0</v>
      </c>
      <c r="AJ349" s="20" t="str">
        <f>IFERROR((VLOOKUP(Tabla13[[#This Row],[ID]],[1]!Mtto_Pesv[[#Headers],[#Data],[Placa]:[Rutina]],9,FALSE)),"-")</f>
        <v>-</v>
      </c>
      <c r="AK349" s="20">
        <f>IFERROR((VLOOKUP(Tabla13[[#This Row],[ID]],[1]!Mtto_Pesv[[#Headers],[#Data],[Placa]:[Rutina]],10,FALSE)),0)</f>
        <v>0</v>
      </c>
      <c r="AL349" s="20">
        <f>IF(Tabla13[[#This Row],[Km Anterior]]=0,0,Tabla13[[#This Row],[Km Ejecut]]-Tabla13[[#This Row],[Km Anterior]])</f>
        <v>0</v>
      </c>
      <c r="AM349" s="20">
        <f>IFERROR((VLOOKUP(Tabla13[[#This Row],[ID]],[1]!Mtto_Pesv[[#Headers],[#Data],[Placa]:[Rutina]],4,FALSE)),0)</f>
        <v>0</v>
      </c>
      <c r="AN349" s="21">
        <f>IFERROR((VLOOKUP(Tabla13[[#This Row],[ID]],[1]!Mtto_Pesv[[#Headers],[#Data],[Placa]:[Rutina]],5,FALSE)),0)</f>
        <v>0</v>
      </c>
      <c r="AO349" s="21">
        <f>+Tabla13[[#This Row],[Km Fin]]-Tabla13[[#This Row],[Km Ini]]</f>
        <v>0</v>
      </c>
      <c r="AP349" s="20">
        <f>IFERROR((VLOOKUP(Tabla13[[#This Row],[ID]],[1]!Estilo_Conduccion[[#All],[Placa]:[Puntuacion]],15,FALSE)),0)</f>
        <v>138.5</v>
      </c>
      <c r="AQ349" s="15" t="s">
        <v>1280</v>
      </c>
      <c r="AR349" s="15" t="s">
        <v>1281</v>
      </c>
      <c r="AS349" s="20">
        <v>1300</v>
      </c>
      <c r="AT349" s="21">
        <v>7785</v>
      </c>
      <c r="AU349" s="21">
        <f>(Tabla13[[#This Row],[Cap Vh]]*$AX$2)*0.56</f>
        <v>0</v>
      </c>
      <c r="AV349" s="36" t="e">
        <f>(Tabla13[[#This Row],[Cap Util (kg)]]/(Tabla13[[#This Row],[Cap Inst (Kg)]]))</f>
        <v>#DIV/0!</v>
      </c>
    </row>
    <row r="350" spans="1:48" x14ac:dyDescent="0.25">
      <c r="A350" s="13" t="s">
        <v>1068</v>
      </c>
      <c r="B350" s="14" t="s">
        <v>525</v>
      </c>
      <c r="C350" s="14" t="s">
        <v>44</v>
      </c>
      <c r="D350" s="14" t="s">
        <v>44</v>
      </c>
      <c r="E350" s="14" t="s">
        <v>45</v>
      </c>
      <c r="F350" s="14" t="s">
        <v>76</v>
      </c>
      <c r="G350" s="15" t="s">
        <v>89</v>
      </c>
      <c r="H350" s="16" t="s">
        <v>90</v>
      </c>
      <c r="I350" s="14" t="s">
        <v>49</v>
      </c>
      <c r="J350" s="14">
        <v>890300279</v>
      </c>
      <c r="K350" s="14" t="s">
        <v>282</v>
      </c>
      <c r="L350" s="14" t="s">
        <v>103</v>
      </c>
      <c r="M350" s="14" t="s">
        <v>121</v>
      </c>
      <c r="N350" s="14">
        <v>2015</v>
      </c>
      <c r="O350" s="14">
        <v>5</v>
      </c>
      <c r="P350" s="14" t="s">
        <v>53</v>
      </c>
      <c r="Q350" s="14">
        <v>1</v>
      </c>
      <c r="R350" s="14">
        <v>0</v>
      </c>
      <c r="S350" s="17" t="s">
        <v>54</v>
      </c>
      <c r="T350" s="18">
        <v>0</v>
      </c>
      <c r="U350" s="14">
        <v>0</v>
      </c>
      <c r="V350" s="19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f>Tabla13[[#This Row],[CheckList App]]+Tabla13[[#This Row],[CheckList Fisc]]</f>
        <v>0</v>
      </c>
      <c r="AB350" s="19" t="str">
        <f t="shared" si="5"/>
        <v/>
      </c>
      <c r="AC350" s="14">
        <v>0</v>
      </c>
      <c r="AD350" s="14" t="s">
        <v>70</v>
      </c>
      <c r="AE350" s="15" t="str">
        <f>IFERROR((VLOOKUP(Tabla13[[#This Row],[ID]],[1]!Mtto_Pesv[[#Headers],[#Data],[Placa]:[Rutina]],2,FALSE)),"-")</f>
        <v>-</v>
      </c>
      <c r="AF350" s="14">
        <v>1</v>
      </c>
      <c r="AG350" s="20">
        <f>IFERROR((VLOOKUP(Tabla13[[#This Row],[ID]],[1]!Mtto_Pesv[[#Headers],[#Data],[Placa]:[Rutina]],3,FALSE)),0)</f>
        <v>0</v>
      </c>
      <c r="AH350" s="20">
        <f>IFERROR((VLOOKUP(Tabla13[[#This Row],[ID]],[1]!Mtto_Pesv[[#Headers],[#Data],[Placa]:[Rutina]],7,FALSE)),0)</f>
        <v>0</v>
      </c>
      <c r="AI350" s="20">
        <f>IFERROR((VLOOKUP(Tabla13[[#This Row],[ID]],[1]!Mtto_Pesv[[#Headers],[#Data],[Placa]:[Rutina]],8,FALSE)),0)</f>
        <v>0</v>
      </c>
      <c r="AJ350" s="20" t="str">
        <f>IFERROR((VLOOKUP(Tabla13[[#This Row],[ID]],[1]!Mtto_Pesv[[#Headers],[#Data],[Placa]:[Rutina]],9,FALSE)),"-")</f>
        <v>-</v>
      </c>
      <c r="AK350" s="20">
        <f>IFERROR((VLOOKUP(Tabla13[[#This Row],[ID]],[1]!Mtto_Pesv[[#Headers],[#Data],[Placa]:[Rutina]],10,FALSE)),0)</f>
        <v>0</v>
      </c>
      <c r="AL350" s="20">
        <f>IF(Tabla13[[#This Row],[Km Anterior]]=0,0,Tabla13[[#This Row],[Km Ejecut]]-Tabla13[[#This Row],[Km Anterior]])</f>
        <v>0</v>
      </c>
      <c r="AM350" s="20">
        <f>IFERROR((VLOOKUP(Tabla13[[#This Row],[ID]],[1]!Mtto_Pesv[[#Headers],[#Data],[Placa]:[Rutina]],4,FALSE)),0)</f>
        <v>0</v>
      </c>
      <c r="AN350" s="21">
        <f>IFERROR((VLOOKUP(Tabla13[[#This Row],[ID]],[1]!Mtto_Pesv[[#Headers],[#Data],[Placa]:[Rutina]],5,FALSE)),0)</f>
        <v>0</v>
      </c>
      <c r="AO350" s="21">
        <f>+Tabla13[[#This Row],[Km Fin]]-Tabla13[[#This Row],[Km Ini]]</f>
        <v>0</v>
      </c>
      <c r="AP350" s="20">
        <f>IFERROR((VLOOKUP(Tabla13[[#This Row],[ID]],[1]!Estilo_Conduccion[[#All],[Placa]:[Puntuacion]],15,FALSE)),0)</f>
        <v>1.5</v>
      </c>
      <c r="AQ350" s="15" t="s">
        <v>1069</v>
      </c>
      <c r="AR350" s="15" t="s">
        <v>517</v>
      </c>
      <c r="AS350" s="20">
        <v>2601</v>
      </c>
      <c r="AT350" s="21">
        <v>0</v>
      </c>
      <c r="AU350" s="21">
        <f>(Tabla13[[#This Row],[Cap Vh]]*$AX$2)*0.56</f>
        <v>0</v>
      </c>
      <c r="AV350" s="36" t="e">
        <f>(Tabla13[[#This Row],[Cap Util (kg)]]/(Tabla13[[#This Row],[Cap Inst (Kg)]]))</f>
        <v>#DIV/0!</v>
      </c>
    </row>
    <row r="351" spans="1:48" x14ac:dyDescent="0.25">
      <c r="A351" s="13" t="s">
        <v>1068</v>
      </c>
      <c r="B351" s="14" t="s">
        <v>526</v>
      </c>
      <c r="C351" s="14" t="s">
        <v>44</v>
      </c>
      <c r="D351" s="14" t="s">
        <v>44</v>
      </c>
      <c r="E351" s="14" t="s">
        <v>60</v>
      </c>
      <c r="F351" s="14" t="s">
        <v>76</v>
      </c>
      <c r="G351" s="15" t="s">
        <v>89</v>
      </c>
      <c r="H351" s="16" t="s">
        <v>90</v>
      </c>
      <c r="I351" s="14" t="s">
        <v>49</v>
      </c>
      <c r="J351" s="14">
        <v>890300279</v>
      </c>
      <c r="K351" s="14" t="s">
        <v>282</v>
      </c>
      <c r="L351" s="14" t="s">
        <v>103</v>
      </c>
      <c r="M351" s="14" t="s">
        <v>121</v>
      </c>
      <c r="N351" s="14">
        <v>2015</v>
      </c>
      <c r="O351" s="14">
        <v>5</v>
      </c>
      <c r="P351" s="14" t="s">
        <v>53</v>
      </c>
      <c r="Q351" s="14">
        <v>0</v>
      </c>
      <c r="R351" s="14">
        <v>0</v>
      </c>
      <c r="S351" s="17" t="s">
        <v>54</v>
      </c>
      <c r="T351" s="18">
        <v>0</v>
      </c>
      <c r="U351" s="14">
        <v>0</v>
      </c>
      <c r="V351" s="19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f>Tabla13[[#This Row],[CheckList App]]+Tabla13[[#This Row],[CheckList Fisc]]</f>
        <v>0</v>
      </c>
      <c r="AB351" s="19" t="str">
        <f t="shared" si="5"/>
        <v/>
      </c>
      <c r="AC351" s="14">
        <v>0</v>
      </c>
      <c r="AD351" s="14" t="s">
        <v>55</v>
      </c>
      <c r="AE351" s="15" t="str">
        <f>IFERROR((VLOOKUP(Tabla13[[#This Row],[ID]],[1]!Mtto_Pesv[[#Headers],[#Data],[Placa]:[Rutina]],2,FALSE)),"-")</f>
        <v>-</v>
      </c>
      <c r="AF351" s="14">
        <v>0</v>
      </c>
      <c r="AG351" s="20">
        <f>IFERROR((VLOOKUP(Tabla13[[#This Row],[ID]],[1]!Mtto_Pesv[[#Headers],[#Data],[Placa]:[Rutina]],3,FALSE)),0)</f>
        <v>0</v>
      </c>
      <c r="AH351" s="20">
        <f>IFERROR((VLOOKUP(Tabla13[[#This Row],[ID]],[1]!Mtto_Pesv[[#Headers],[#Data],[Placa]:[Rutina]],7,FALSE)),0)</f>
        <v>0</v>
      </c>
      <c r="AI351" s="20">
        <f>IFERROR((VLOOKUP(Tabla13[[#This Row],[ID]],[1]!Mtto_Pesv[[#Headers],[#Data],[Placa]:[Rutina]],8,FALSE)),0)</f>
        <v>0</v>
      </c>
      <c r="AJ351" s="20" t="str">
        <f>IFERROR((VLOOKUP(Tabla13[[#This Row],[ID]],[1]!Mtto_Pesv[[#Headers],[#Data],[Placa]:[Rutina]],9,FALSE)),"-")</f>
        <v>-</v>
      </c>
      <c r="AK351" s="20">
        <f>IFERROR((VLOOKUP(Tabla13[[#This Row],[ID]],[1]!Mtto_Pesv[[#Headers],[#Data],[Placa]:[Rutina]],10,FALSE)),0)</f>
        <v>0</v>
      </c>
      <c r="AL351" s="20">
        <f>IF(Tabla13[[#This Row],[Km Anterior]]=0,0,Tabla13[[#This Row],[Km Ejecut]]-Tabla13[[#This Row],[Km Anterior]])</f>
        <v>0</v>
      </c>
      <c r="AM351" s="20">
        <f>IFERROR((VLOOKUP(Tabla13[[#This Row],[ID]],[1]!Mtto_Pesv[[#Headers],[#Data],[Placa]:[Rutina]],4,FALSE)),0)</f>
        <v>0</v>
      </c>
      <c r="AN351" s="21">
        <f>IFERROR((VLOOKUP(Tabla13[[#This Row],[ID]],[1]!Mtto_Pesv[[#Headers],[#Data],[Placa]:[Rutina]],5,FALSE)),0)</f>
        <v>0</v>
      </c>
      <c r="AO351" s="21">
        <f>+Tabla13[[#This Row],[Km Fin]]-Tabla13[[#This Row],[Km Ini]]</f>
        <v>0</v>
      </c>
      <c r="AP351" s="20">
        <f>IFERROR((VLOOKUP(Tabla13[[#This Row],[ID]],[1]!Estilo_Conduccion[[#All],[Placa]:[Puntuacion]],15,FALSE)),0)</f>
        <v>0</v>
      </c>
      <c r="AQ351" s="15" t="s">
        <v>1160</v>
      </c>
      <c r="AR351" s="15" t="s">
        <v>1161</v>
      </c>
      <c r="AS351" s="20">
        <v>2601</v>
      </c>
      <c r="AT351" s="21">
        <v>2850</v>
      </c>
      <c r="AU351" s="21">
        <f>(Tabla13[[#This Row],[Cap Vh]]*$AX$2)*0.56</f>
        <v>0</v>
      </c>
      <c r="AV351" s="36" t="e">
        <f>(Tabla13[[#This Row],[Cap Util (kg)]]/(Tabla13[[#This Row],[Cap Inst (Kg)]]))</f>
        <v>#DIV/0!</v>
      </c>
    </row>
    <row r="352" spans="1:48" x14ac:dyDescent="0.25">
      <c r="A352" s="13" t="s">
        <v>1068</v>
      </c>
      <c r="B352" s="14" t="s">
        <v>527</v>
      </c>
      <c r="C352" s="14" t="s">
        <v>44</v>
      </c>
      <c r="D352" s="14" t="s">
        <v>44</v>
      </c>
      <c r="E352" s="14" t="s">
        <v>45</v>
      </c>
      <c r="F352" s="14" t="s">
        <v>46</v>
      </c>
      <c r="G352" s="15" t="s">
        <v>47</v>
      </c>
      <c r="H352" s="16" t="s">
        <v>48</v>
      </c>
      <c r="I352" s="14" t="s">
        <v>49</v>
      </c>
      <c r="J352" s="14">
        <v>890300279</v>
      </c>
      <c r="K352" s="14" t="s">
        <v>282</v>
      </c>
      <c r="L352" s="14" t="s">
        <v>103</v>
      </c>
      <c r="M352" s="14" t="s">
        <v>121</v>
      </c>
      <c r="N352" s="14">
        <v>2015</v>
      </c>
      <c r="O352" s="14">
        <v>5</v>
      </c>
      <c r="P352" s="14" t="s">
        <v>53</v>
      </c>
      <c r="Q352" s="14">
        <v>1</v>
      </c>
      <c r="R352" s="14">
        <v>0</v>
      </c>
      <c r="S352" s="17" t="s">
        <v>54</v>
      </c>
      <c r="T352" s="18">
        <v>0</v>
      </c>
      <c r="U352" s="14">
        <v>30</v>
      </c>
      <c r="V352" s="19">
        <v>1</v>
      </c>
      <c r="W352" s="14">
        <v>0</v>
      </c>
      <c r="X352" s="14">
        <v>0</v>
      </c>
      <c r="Y352" s="14">
        <v>0</v>
      </c>
      <c r="Z352" s="14">
        <v>0</v>
      </c>
      <c r="AA352" s="14">
        <f>Tabla13[[#This Row],[CheckList App]]+Tabla13[[#This Row],[CheckList Fisc]]</f>
        <v>0</v>
      </c>
      <c r="AB352" s="19">
        <f t="shared" si="5"/>
        <v>0</v>
      </c>
      <c r="AC352" s="14">
        <v>0</v>
      </c>
      <c r="AD352" s="14" t="s">
        <v>70</v>
      </c>
      <c r="AE352" s="15" t="str">
        <f>IFERROR((VLOOKUP(Tabla13[[#This Row],[ID]],[1]!Mtto_Pesv[[#Headers],[#Data],[Placa]:[Rutina]],2,FALSE)),"-")</f>
        <v>-</v>
      </c>
      <c r="AF352" s="14">
        <v>1</v>
      </c>
      <c r="AG352" s="20">
        <f>IFERROR((VLOOKUP(Tabla13[[#This Row],[ID]],[1]!Mtto_Pesv[[#Headers],[#Data],[Placa]:[Rutina]],3,FALSE)),0)</f>
        <v>0</v>
      </c>
      <c r="AH352" s="20">
        <f>IFERROR((VLOOKUP(Tabla13[[#This Row],[ID]],[1]!Mtto_Pesv[[#Headers],[#Data],[Placa]:[Rutina]],7,FALSE)),0)</f>
        <v>0</v>
      </c>
      <c r="AI352" s="20">
        <f>IFERROR((VLOOKUP(Tabla13[[#This Row],[ID]],[1]!Mtto_Pesv[[#Headers],[#Data],[Placa]:[Rutina]],8,FALSE)),0)</f>
        <v>0</v>
      </c>
      <c r="AJ352" s="20" t="str">
        <f>IFERROR((VLOOKUP(Tabla13[[#This Row],[ID]],[1]!Mtto_Pesv[[#Headers],[#Data],[Placa]:[Rutina]],9,FALSE)),"-")</f>
        <v>-</v>
      </c>
      <c r="AK352" s="20">
        <f>IFERROR((VLOOKUP(Tabla13[[#This Row],[ID]],[1]!Mtto_Pesv[[#Headers],[#Data],[Placa]:[Rutina]],10,FALSE)),0)</f>
        <v>0</v>
      </c>
      <c r="AL352" s="20">
        <f>IF(Tabla13[[#This Row],[Km Anterior]]=0,0,Tabla13[[#This Row],[Km Ejecut]]-Tabla13[[#This Row],[Km Anterior]])</f>
        <v>0</v>
      </c>
      <c r="AM352" s="20">
        <f>IFERROR((VLOOKUP(Tabla13[[#This Row],[ID]],[1]!Mtto_Pesv[[#Headers],[#Data],[Placa]:[Rutina]],4,FALSE)),0)</f>
        <v>0</v>
      </c>
      <c r="AN352" s="21">
        <f>IFERROR((VLOOKUP(Tabla13[[#This Row],[ID]],[1]!Mtto_Pesv[[#Headers],[#Data],[Placa]:[Rutina]],5,FALSE)),0)</f>
        <v>0</v>
      </c>
      <c r="AO352" s="21">
        <f>+Tabla13[[#This Row],[Km Fin]]-Tabla13[[#This Row],[Km Ini]]</f>
        <v>0</v>
      </c>
      <c r="AP352" s="20">
        <f>IFERROR((VLOOKUP(Tabla13[[#This Row],[ID]],[1]!Estilo_Conduccion[[#All],[Placa]:[Puntuacion]],15,FALSE)),0)</f>
        <v>62.999999999999993</v>
      </c>
      <c r="AQ352" s="15" t="s">
        <v>1098</v>
      </c>
      <c r="AR352" s="15" t="s">
        <v>1099</v>
      </c>
      <c r="AS352" s="20">
        <v>2601</v>
      </c>
      <c r="AT352" s="21">
        <v>3975</v>
      </c>
      <c r="AU352" s="21">
        <f>(Tabla13[[#This Row],[Cap Vh]]*$AX$2)*0.56</f>
        <v>0</v>
      </c>
      <c r="AV352" s="36" t="e">
        <f>(Tabla13[[#This Row],[Cap Util (kg)]]/(Tabla13[[#This Row],[Cap Inst (Kg)]]))</f>
        <v>#DIV/0!</v>
      </c>
    </row>
    <row r="353" spans="1:48" x14ac:dyDescent="0.25">
      <c r="A353" s="13" t="s">
        <v>1068</v>
      </c>
      <c r="B353" s="14" t="s">
        <v>528</v>
      </c>
      <c r="C353" s="14" t="s">
        <v>44</v>
      </c>
      <c r="D353" s="14" t="s">
        <v>44</v>
      </c>
      <c r="E353" s="14" t="s">
        <v>127</v>
      </c>
      <c r="F353" s="14" t="s">
        <v>64</v>
      </c>
      <c r="G353" s="15" t="s">
        <v>128</v>
      </c>
      <c r="H353" s="16" t="s">
        <v>143</v>
      </c>
      <c r="I353" s="14" t="s">
        <v>49</v>
      </c>
      <c r="J353" s="14">
        <v>890300279</v>
      </c>
      <c r="K353" s="14" t="s">
        <v>282</v>
      </c>
      <c r="L353" s="14" t="s">
        <v>103</v>
      </c>
      <c r="M353" s="14" t="s">
        <v>121</v>
      </c>
      <c r="N353" s="14">
        <v>2015</v>
      </c>
      <c r="O353" s="14">
        <v>5</v>
      </c>
      <c r="P353" s="14" t="s">
        <v>53</v>
      </c>
      <c r="Q353" s="14">
        <v>1</v>
      </c>
      <c r="R353" s="14">
        <v>0</v>
      </c>
      <c r="S353" s="17" t="s">
        <v>54</v>
      </c>
      <c r="T353" s="18">
        <v>0</v>
      </c>
      <c r="U353" s="14">
        <v>30</v>
      </c>
      <c r="V353" s="19">
        <v>1</v>
      </c>
      <c r="W353" s="14">
        <v>0</v>
      </c>
      <c r="X353" s="14">
        <v>26</v>
      </c>
      <c r="Y353" s="14">
        <v>9</v>
      </c>
      <c r="Z353" s="14">
        <v>0</v>
      </c>
      <c r="AA353" s="14">
        <f>Tabla13[[#This Row],[CheckList App]]+Tabla13[[#This Row],[CheckList Fisc]]</f>
        <v>9</v>
      </c>
      <c r="AB353" s="19">
        <f t="shared" si="5"/>
        <v>0.34615384615384615</v>
      </c>
      <c r="AC353" s="14">
        <v>0</v>
      </c>
      <c r="AD353" s="14" t="s">
        <v>70</v>
      </c>
      <c r="AE353" s="15" t="str">
        <f>IFERROR((VLOOKUP(Tabla13[[#This Row],[ID]],[1]!Mtto_Pesv[[#Headers],[#Data],[Placa]:[Rutina]],2,FALSE)),"-")</f>
        <v>-</v>
      </c>
      <c r="AF353" s="14">
        <v>1</v>
      </c>
      <c r="AG353" s="20">
        <f>IFERROR((VLOOKUP(Tabla13[[#This Row],[ID]],[1]!Mtto_Pesv[[#Headers],[#Data],[Placa]:[Rutina]],3,FALSE)),0)</f>
        <v>0</v>
      </c>
      <c r="AH353" s="20">
        <f>IFERROR((VLOOKUP(Tabla13[[#This Row],[ID]],[1]!Mtto_Pesv[[#Headers],[#Data],[Placa]:[Rutina]],7,FALSE)),0)</f>
        <v>0</v>
      </c>
      <c r="AI353" s="20">
        <f>IFERROR((VLOOKUP(Tabla13[[#This Row],[ID]],[1]!Mtto_Pesv[[#Headers],[#Data],[Placa]:[Rutina]],8,FALSE)),0)</f>
        <v>0</v>
      </c>
      <c r="AJ353" s="20" t="str">
        <f>IFERROR((VLOOKUP(Tabla13[[#This Row],[ID]],[1]!Mtto_Pesv[[#Headers],[#Data],[Placa]:[Rutina]],9,FALSE)),"-")</f>
        <v>-</v>
      </c>
      <c r="AK353" s="20">
        <f>IFERROR((VLOOKUP(Tabla13[[#This Row],[ID]],[1]!Mtto_Pesv[[#Headers],[#Data],[Placa]:[Rutina]],10,FALSE)),0)</f>
        <v>0</v>
      </c>
      <c r="AL353" s="20">
        <f>IF(Tabla13[[#This Row],[Km Anterior]]=0,0,Tabla13[[#This Row],[Km Ejecut]]-Tabla13[[#This Row],[Km Anterior]])</f>
        <v>0</v>
      </c>
      <c r="AM353" s="20">
        <f>IFERROR((VLOOKUP(Tabla13[[#This Row],[ID]],[1]!Mtto_Pesv[[#Headers],[#Data],[Placa]:[Rutina]],4,FALSE)),0)</f>
        <v>0</v>
      </c>
      <c r="AN353" s="21">
        <f>IFERROR((VLOOKUP(Tabla13[[#This Row],[ID]],[1]!Mtto_Pesv[[#Headers],[#Data],[Placa]:[Rutina]],5,FALSE)),0)</f>
        <v>0</v>
      </c>
      <c r="AO353" s="21">
        <f>+Tabla13[[#This Row],[Km Fin]]-Tabla13[[#This Row],[Km Ini]]</f>
        <v>0</v>
      </c>
      <c r="AP353" s="20">
        <f>IFERROR((VLOOKUP(Tabla13[[#This Row],[ID]],[1]!Estilo_Conduccion[[#All],[Placa]:[Puntuacion]],15,FALSE)),0)</f>
        <v>61.5</v>
      </c>
      <c r="AQ353" s="15" t="s">
        <v>54</v>
      </c>
      <c r="AR353" s="15" t="s">
        <v>1282</v>
      </c>
      <c r="AS353" s="20">
        <v>2601</v>
      </c>
      <c r="AT353" s="21">
        <v>0</v>
      </c>
      <c r="AU353" s="21">
        <f>(Tabla13[[#This Row],[Cap Vh]]*$AX$2)*0.56</f>
        <v>0</v>
      </c>
      <c r="AV353" s="36" t="e">
        <f>(Tabla13[[#This Row],[Cap Util (kg)]]/(Tabla13[[#This Row],[Cap Inst (Kg)]]))</f>
        <v>#DIV/0!</v>
      </c>
    </row>
    <row r="354" spans="1:48" x14ac:dyDescent="0.25">
      <c r="A354" s="13" t="s">
        <v>1068</v>
      </c>
      <c r="B354" s="14" t="s">
        <v>529</v>
      </c>
      <c r="C354" s="14" t="s">
        <v>44</v>
      </c>
      <c r="D354" s="14" t="s">
        <v>44</v>
      </c>
      <c r="E354" s="14" t="s">
        <v>60</v>
      </c>
      <c r="F354" s="14" t="s">
        <v>76</v>
      </c>
      <c r="G354" s="15" t="s">
        <v>47</v>
      </c>
      <c r="H354" s="16" t="s">
        <v>48</v>
      </c>
      <c r="I354" s="14" t="s">
        <v>49</v>
      </c>
      <c r="J354" s="14">
        <v>890300279</v>
      </c>
      <c r="K354" s="14" t="s">
        <v>282</v>
      </c>
      <c r="L354" s="14" t="s">
        <v>103</v>
      </c>
      <c r="M354" s="14" t="s">
        <v>121</v>
      </c>
      <c r="N354" s="14">
        <v>2015</v>
      </c>
      <c r="O354" s="14">
        <v>5</v>
      </c>
      <c r="P354" s="14" t="s">
        <v>53</v>
      </c>
      <c r="Q354" s="14">
        <v>1</v>
      </c>
      <c r="R354" s="14">
        <v>0</v>
      </c>
      <c r="S354" s="17" t="s">
        <v>54</v>
      </c>
      <c r="T354" s="18">
        <v>0</v>
      </c>
      <c r="U354" s="14">
        <v>30</v>
      </c>
      <c r="V354" s="19">
        <v>1</v>
      </c>
      <c r="W354" s="14">
        <v>0</v>
      </c>
      <c r="X354" s="14">
        <v>0</v>
      </c>
      <c r="Y354" s="14">
        <v>0</v>
      </c>
      <c r="Z354" s="14">
        <v>0</v>
      </c>
      <c r="AA354" s="14">
        <f>Tabla13[[#This Row],[CheckList App]]+Tabla13[[#This Row],[CheckList Fisc]]</f>
        <v>0</v>
      </c>
      <c r="AB354" s="19">
        <f t="shared" si="5"/>
        <v>0</v>
      </c>
      <c r="AC354" s="14">
        <v>0</v>
      </c>
      <c r="AD354" s="14" t="s">
        <v>55</v>
      </c>
      <c r="AE354" s="15" t="str">
        <f>IFERROR((VLOOKUP(Tabla13[[#This Row],[ID]],[1]!Mtto_Pesv[[#Headers],[#Data],[Placa]:[Rutina]],2,FALSE)),"-")</f>
        <v>-</v>
      </c>
      <c r="AF354" s="14">
        <v>0</v>
      </c>
      <c r="AG354" s="20">
        <f>IFERROR((VLOOKUP(Tabla13[[#This Row],[ID]],[1]!Mtto_Pesv[[#Headers],[#Data],[Placa]:[Rutina]],3,FALSE)),0)</f>
        <v>0</v>
      </c>
      <c r="AH354" s="20">
        <f>IFERROR((VLOOKUP(Tabla13[[#This Row],[ID]],[1]!Mtto_Pesv[[#Headers],[#Data],[Placa]:[Rutina]],7,FALSE)),0)</f>
        <v>0</v>
      </c>
      <c r="AI354" s="20">
        <f>IFERROR((VLOOKUP(Tabla13[[#This Row],[ID]],[1]!Mtto_Pesv[[#Headers],[#Data],[Placa]:[Rutina]],8,FALSE)),0)</f>
        <v>0</v>
      </c>
      <c r="AJ354" s="20" t="str">
        <f>IFERROR((VLOOKUP(Tabla13[[#This Row],[ID]],[1]!Mtto_Pesv[[#Headers],[#Data],[Placa]:[Rutina]],9,FALSE)),"-")</f>
        <v>-</v>
      </c>
      <c r="AK354" s="20">
        <f>IFERROR((VLOOKUP(Tabla13[[#This Row],[ID]],[1]!Mtto_Pesv[[#Headers],[#Data],[Placa]:[Rutina]],10,FALSE)),0)</f>
        <v>0</v>
      </c>
      <c r="AL354" s="20">
        <f>IF(Tabla13[[#This Row],[Km Anterior]]=0,0,Tabla13[[#This Row],[Km Ejecut]]-Tabla13[[#This Row],[Km Anterior]])</f>
        <v>0</v>
      </c>
      <c r="AM354" s="20">
        <f>IFERROR((VLOOKUP(Tabla13[[#This Row],[ID]],[1]!Mtto_Pesv[[#Headers],[#Data],[Placa]:[Rutina]],4,FALSE)),0)</f>
        <v>0</v>
      </c>
      <c r="AN354" s="21">
        <f>IFERROR((VLOOKUP(Tabla13[[#This Row],[ID]],[1]!Mtto_Pesv[[#Headers],[#Data],[Placa]:[Rutina]],5,FALSE)),0)</f>
        <v>0</v>
      </c>
      <c r="AO354" s="21">
        <f>+Tabla13[[#This Row],[Km Fin]]-Tabla13[[#This Row],[Km Ini]]</f>
        <v>0</v>
      </c>
      <c r="AP354" s="20">
        <f>IFERROR((VLOOKUP(Tabla13[[#This Row],[ID]],[1]!Estilo_Conduccion[[#All],[Placa]:[Puntuacion]],15,FALSE)),0)</f>
        <v>1546.0000000000002</v>
      </c>
      <c r="AQ354" s="15" t="s">
        <v>1072</v>
      </c>
      <c r="AR354" s="15" t="s">
        <v>1073</v>
      </c>
      <c r="AS354" s="20">
        <v>2601</v>
      </c>
      <c r="AT354" s="21">
        <v>3080.8846153846152</v>
      </c>
      <c r="AU354" s="21">
        <f>(Tabla13[[#This Row],[Cap Vh]]*$AX$2)*0.56</f>
        <v>0</v>
      </c>
      <c r="AV354" s="36" t="e">
        <f>(Tabla13[[#This Row],[Cap Util (kg)]]/(Tabla13[[#This Row],[Cap Inst (Kg)]]))</f>
        <v>#DIV/0!</v>
      </c>
    </row>
    <row r="355" spans="1:48" x14ac:dyDescent="0.25">
      <c r="A355" s="13" t="s">
        <v>1068</v>
      </c>
      <c r="B355" s="14" t="s">
        <v>530</v>
      </c>
      <c r="C355" s="14" t="s">
        <v>44</v>
      </c>
      <c r="D355" s="14" t="s">
        <v>44</v>
      </c>
      <c r="E355" s="14" t="s">
        <v>69</v>
      </c>
      <c r="F355" s="14" t="s">
        <v>76</v>
      </c>
      <c r="G355" s="15" t="s">
        <v>47</v>
      </c>
      <c r="H355" s="16" t="s">
        <v>48</v>
      </c>
      <c r="I355" s="14" t="s">
        <v>49</v>
      </c>
      <c r="J355" s="14">
        <v>890300279</v>
      </c>
      <c r="K355" s="14" t="s">
        <v>282</v>
      </c>
      <c r="L355" s="14" t="s">
        <v>103</v>
      </c>
      <c r="M355" s="14" t="s">
        <v>121</v>
      </c>
      <c r="N355" s="14">
        <v>2015</v>
      </c>
      <c r="O355" s="14">
        <v>5</v>
      </c>
      <c r="P355" s="14" t="s">
        <v>53</v>
      </c>
      <c r="Q355" s="14">
        <v>1</v>
      </c>
      <c r="R355" s="14">
        <v>0</v>
      </c>
      <c r="S355" s="17" t="s">
        <v>54</v>
      </c>
      <c r="T355" s="18">
        <v>0</v>
      </c>
      <c r="U355" s="14">
        <v>30</v>
      </c>
      <c r="V355" s="19">
        <v>1</v>
      </c>
      <c r="W355" s="14">
        <v>0</v>
      </c>
      <c r="X355" s="14">
        <v>0</v>
      </c>
      <c r="Y355" s="14">
        <v>0</v>
      </c>
      <c r="Z355" s="14">
        <v>0</v>
      </c>
      <c r="AA355" s="14">
        <f>Tabla13[[#This Row],[CheckList App]]+Tabla13[[#This Row],[CheckList Fisc]]</f>
        <v>0</v>
      </c>
      <c r="AB355" s="19">
        <f t="shared" si="5"/>
        <v>0</v>
      </c>
      <c r="AC355" s="14">
        <v>0</v>
      </c>
      <c r="AD355" s="14" t="s">
        <v>55</v>
      </c>
      <c r="AE355" s="15" t="str">
        <f>IFERROR((VLOOKUP(Tabla13[[#This Row],[ID]],[1]!Mtto_Pesv[[#Headers],[#Data],[Placa]:[Rutina]],2,FALSE)),"-")</f>
        <v>-</v>
      </c>
      <c r="AF355" s="14">
        <v>0</v>
      </c>
      <c r="AG355" s="20">
        <f>IFERROR((VLOOKUP(Tabla13[[#This Row],[ID]],[1]!Mtto_Pesv[[#Headers],[#Data],[Placa]:[Rutina]],3,FALSE)),0)</f>
        <v>0</v>
      </c>
      <c r="AH355" s="20">
        <f>IFERROR((VLOOKUP(Tabla13[[#This Row],[ID]],[1]!Mtto_Pesv[[#Headers],[#Data],[Placa]:[Rutina]],7,FALSE)),0)</f>
        <v>0</v>
      </c>
      <c r="AI355" s="20">
        <f>IFERROR((VLOOKUP(Tabla13[[#This Row],[ID]],[1]!Mtto_Pesv[[#Headers],[#Data],[Placa]:[Rutina]],8,FALSE)),0)</f>
        <v>0</v>
      </c>
      <c r="AJ355" s="20" t="str">
        <f>IFERROR((VLOOKUP(Tabla13[[#This Row],[ID]],[1]!Mtto_Pesv[[#Headers],[#Data],[Placa]:[Rutina]],9,FALSE)),"-")</f>
        <v>-</v>
      </c>
      <c r="AK355" s="20">
        <f>IFERROR((VLOOKUP(Tabla13[[#This Row],[ID]],[1]!Mtto_Pesv[[#Headers],[#Data],[Placa]:[Rutina]],10,FALSE)),0)</f>
        <v>0</v>
      </c>
      <c r="AL355" s="20">
        <f>IF(Tabla13[[#This Row],[Km Anterior]]=0,0,Tabla13[[#This Row],[Km Ejecut]]-Tabla13[[#This Row],[Km Anterior]])</f>
        <v>0</v>
      </c>
      <c r="AM355" s="20">
        <f>IFERROR((VLOOKUP(Tabla13[[#This Row],[ID]],[1]!Mtto_Pesv[[#Headers],[#Data],[Placa]:[Rutina]],4,FALSE)),0)</f>
        <v>0</v>
      </c>
      <c r="AN355" s="21">
        <f>IFERROR((VLOOKUP(Tabla13[[#This Row],[ID]],[1]!Mtto_Pesv[[#Headers],[#Data],[Placa]:[Rutina]],5,FALSE)),0)</f>
        <v>0</v>
      </c>
      <c r="AO355" s="21">
        <f>+Tabla13[[#This Row],[Km Fin]]-Tabla13[[#This Row],[Km Ini]]</f>
        <v>0</v>
      </c>
      <c r="AP355" s="20">
        <f>IFERROR((VLOOKUP(Tabla13[[#This Row],[ID]],[1]!Estilo_Conduccion[[#All],[Placa]:[Puntuacion]],15,FALSE)),0)</f>
        <v>2.9000000000000004</v>
      </c>
      <c r="AQ355" s="15" t="s">
        <v>1240</v>
      </c>
      <c r="AR355" s="15" t="s">
        <v>1241</v>
      </c>
      <c r="AS355" s="20">
        <v>2601</v>
      </c>
      <c r="AT355" s="21">
        <v>8191</v>
      </c>
      <c r="AU355" s="21">
        <f>(Tabla13[[#This Row],[Cap Vh]]*$AX$2)*0.56</f>
        <v>0</v>
      </c>
      <c r="AV355" s="36" t="e">
        <f>(Tabla13[[#This Row],[Cap Util (kg)]]/(Tabla13[[#This Row],[Cap Inst (Kg)]]))</f>
        <v>#DIV/0!</v>
      </c>
    </row>
    <row r="356" spans="1:48" x14ac:dyDescent="0.25">
      <c r="A356" s="13" t="s">
        <v>1068</v>
      </c>
      <c r="B356" s="14" t="s">
        <v>531</v>
      </c>
      <c r="C356" s="14" t="s">
        <v>44</v>
      </c>
      <c r="D356" s="14" t="s">
        <v>44</v>
      </c>
      <c r="E356" s="14" t="s">
        <v>127</v>
      </c>
      <c r="F356" s="14" t="s">
        <v>64</v>
      </c>
      <c r="G356" s="15" t="s">
        <v>128</v>
      </c>
      <c r="H356" s="16" t="s">
        <v>143</v>
      </c>
      <c r="I356" s="14" t="s">
        <v>49</v>
      </c>
      <c r="J356" s="14">
        <v>890300279</v>
      </c>
      <c r="K356" s="14" t="s">
        <v>282</v>
      </c>
      <c r="L356" s="14" t="s">
        <v>103</v>
      </c>
      <c r="M356" s="14" t="s">
        <v>121</v>
      </c>
      <c r="N356" s="14">
        <v>2015</v>
      </c>
      <c r="O356" s="14">
        <v>5</v>
      </c>
      <c r="P356" s="14" t="s">
        <v>53</v>
      </c>
      <c r="Q356" s="14">
        <v>1</v>
      </c>
      <c r="R356" s="14">
        <v>0</v>
      </c>
      <c r="S356" s="17" t="s">
        <v>54</v>
      </c>
      <c r="T356" s="18">
        <v>0</v>
      </c>
      <c r="U356" s="14">
        <v>0</v>
      </c>
      <c r="V356" s="19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f>Tabla13[[#This Row],[CheckList App]]+Tabla13[[#This Row],[CheckList Fisc]]</f>
        <v>0</v>
      </c>
      <c r="AB356" s="19" t="str">
        <f t="shared" si="5"/>
        <v/>
      </c>
      <c r="AC356" s="14">
        <v>0</v>
      </c>
      <c r="AD356" s="14" t="s">
        <v>70</v>
      </c>
      <c r="AE356" s="15" t="str">
        <f>IFERROR((VLOOKUP(Tabla13[[#This Row],[ID]],[1]!Mtto_Pesv[[#Headers],[#Data],[Placa]:[Rutina]],2,FALSE)),"-")</f>
        <v>-</v>
      </c>
      <c r="AF356" s="14">
        <v>1</v>
      </c>
      <c r="AG356" s="20">
        <f>IFERROR((VLOOKUP(Tabla13[[#This Row],[ID]],[1]!Mtto_Pesv[[#Headers],[#Data],[Placa]:[Rutina]],3,FALSE)),0)</f>
        <v>0</v>
      </c>
      <c r="AH356" s="20">
        <f>IFERROR((VLOOKUP(Tabla13[[#This Row],[ID]],[1]!Mtto_Pesv[[#Headers],[#Data],[Placa]:[Rutina]],7,FALSE)),0)</f>
        <v>0</v>
      </c>
      <c r="AI356" s="20">
        <f>IFERROR((VLOOKUP(Tabla13[[#This Row],[ID]],[1]!Mtto_Pesv[[#Headers],[#Data],[Placa]:[Rutina]],8,FALSE)),0)</f>
        <v>0</v>
      </c>
      <c r="AJ356" s="20" t="str">
        <f>IFERROR((VLOOKUP(Tabla13[[#This Row],[ID]],[1]!Mtto_Pesv[[#Headers],[#Data],[Placa]:[Rutina]],9,FALSE)),"-")</f>
        <v>-</v>
      </c>
      <c r="AK356" s="20">
        <f>IFERROR((VLOOKUP(Tabla13[[#This Row],[ID]],[1]!Mtto_Pesv[[#Headers],[#Data],[Placa]:[Rutina]],10,FALSE)),0)</f>
        <v>0</v>
      </c>
      <c r="AL356" s="20">
        <f>IF(Tabla13[[#This Row],[Km Anterior]]=0,0,Tabla13[[#This Row],[Km Ejecut]]-Tabla13[[#This Row],[Km Anterior]])</f>
        <v>0</v>
      </c>
      <c r="AM356" s="20">
        <f>IFERROR((VLOOKUP(Tabla13[[#This Row],[ID]],[1]!Mtto_Pesv[[#Headers],[#Data],[Placa]:[Rutina]],4,FALSE)),0)</f>
        <v>0</v>
      </c>
      <c r="AN356" s="21">
        <f>IFERROR((VLOOKUP(Tabla13[[#This Row],[ID]],[1]!Mtto_Pesv[[#Headers],[#Data],[Placa]:[Rutina]],5,FALSE)),0)</f>
        <v>0</v>
      </c>
      <c r="AO356" s="21">
        <f>+Tabla13[[#This Row],[Km Fin]]-Tabla13[[#This Row],[Km Ini]]</f>
        <v>0</v>
      </c>
      <c r="AP356" s="20">
        <f>IFERROR((VLOOKUP(Tabla13[[#This Row],[ID]],[1]!Estilo_Conduccion[[#All],[Placa]:[Puntuacion]],15,FALSE)),0)</f>
        <v>0</v>
      </c>
      <c r="AQ356" s="15" t="s">
        <v>54</v>
      </c>
      <c r="AR356" s="15" t="s">
        <v>1283</v>
      </c>
      <c r="AS356" s="20">
        <v>2601</v>
      </c>
      <c r="AT356" s="21">
        <v>0</v>
      </c>
      <c r="AU356" s="21">
        <f>(Tabla13[[#This Row],[Cap Vh]]*$AX$2)*0.56</f>
        <v>0</v>
      </c>
      <c r="AV356" s="36" t="e">
        <f>(Tabla13[[#This Row],[Cap Util (kg)]]/(Tabla13[[#This Row],[Cap Inst (Kg)]]))</f>
        <v>#DIV/0!</v>
      </c>
    </row>
    <row r="357" spans="1:48" x14ac:dyDescent="0.25">
      <c r="A357" s="13" t="s">
        <v>1068</v>
      </c>
      <c r="B357" s="14" t="s">
        <v>532</v>
      </c>
      <c r="C357" s="14" t="s">
        <v>44</v>
      </c>
      <c r="D357" s="14" t="s">
        <v>44</v>
      </c>
      <c r="E357" s="14" t="s">
        <v>63</v>
      </c>
      <c r="F357" s="14" t="s">
        <v>64</v>
      </c>
      <c r="G357" s="15" t="s">
        <v>119</v>
      </c>
      <c r="H357" s="16" t="s">
        <v>120</v>
      </c>
      <c r="I357" s="14" t="s">
        <v>109</v>
      </c>
      <c r="J357" s="14">
        <v>890300279</v>
      </c>
      <c r="K357" s="14" t="s">
        <v>282</v>
      </c>
      <c r="L357" s="14" t="s">
        <v>103</v>
      </c>
      <c r="M357" s="14" t="s">
        <v>121</v>
      </c>
      <c r="N357" s="14">
        <v>2015</v>
      </c>
      <c r="O357" s="14">
        <v>5</v>
      </c>
      <c r="P357" s="14" t="s">
        <v>53</v>
      </c>
      <c r="Q357" s="14">
        <v>1</v>
      </c>
      <c r="R357" s="14">
        <v>1</v>
      </c>
      <c r="S357" s="17">
        <v>44829.648020833331</v>
      </c>
      <c r="T357" s="18">
        <v>158.68600000000004</v>
      </c>
      <c r="U357" s="14">
        <v>30</v>
      </c>
      <c r="V357" s="19">
        <v>1</v>
      </c>
      <c r="W357" s="14">
        <v>0</v>
      </c>
      <c r="X357" s="14">
        <v>26</v>
      </c>
      <c r="Y357" s="14">
        <v>1</v>
      </c>
      <c r="Z357" s="14">
        <v>0</v>
      </c>
      <c r="AA357" s="14">
        <f>Tabla13[[#This Row],[CheckList App]]+Tabla13[[#This Row],[CheckList Fisc]]</f>
        <v>1</v>
      </c>
      <c r="AB357" s="19">
        <f t="shared" si="5"/>
        <v>3.8461538461538464E-2</v>
      </c>
      <c r="AC357" s="14">
        <v>9</v>
      </c>
      <c r="AD357" s="14" t="s">
        <v>70</v>
      </c>
      <c r="AE357" s="22" t="str">
        <f>IFERROR((VLOOKUP(Tabla13[[#This Row],[ID]],[1]!Mtto_Pesv[[#Headers],[#Data],[Placa]:[Rutina]],2,FALSE)),"-")</f>
        <v>-</v>
      </c>
      <c r="AF357" s="14">
        <v>1</v>
      </c>
      <c r="AG357" s="20">
        <f>IFERROR((VLOOKUP(Tabla13[[#This Row],[ID]],[1]!Mtto_Pesv[[#Headers],[#Data],[Placa]:[Rutina]],3,FALSE)),0)</f>
        <v>0</v>
      </c>
      <c r="AH357" s="20">
        <f>IFERROR((VLOOKUP(Tabla13[[#This Row],[ID]],[1]!Mtto_Pesv[[#Headers],[#Data],[Placa]:[Rutina]],7,FALSE)),0)</f>
        <v>0</v>
      </c>
      <c r="AI357" s="20">
        <f>IFERROR((VLOOKUP(Tabla13[[#This Row],[ID]],[1]!Mtto_Pesv[[#Headers],[#Data],[Placa]:[Rutina]],8,FALSE)),0)</f>
        <v>0</v>
      </c>
      <c r="AJ357" s="20" t="str">
        <f>IFERROR((VLOOKUP(Tabla13[[#This Row],[ID]],[1]!Mtto_Pesv[[#Headers],[#Data],[Placa]:[Rutina]],9,FALSE)),"-")</f>
        <v>-</v>
      </c>
      <c r="AK357" s="20">
        <f>IFERROR((VLOOKUP(Tabla13[[#This Row],[ID]],[1]!Mtto_Pesv[[#Headers],[#Data],[Placa]:[Rutina]],10,FALSE)),0)</f>
        <v>0</v>
      </c>
      <c r="AL357" s="20">
        <f>IF(Tabla13[[#This Row],[Km Anterior]]=0,0,Tabla13[[#This Row],[Km Ejecut]]-Tabla13[[#This Row],[Km Anterior]])</f>
        <v>0</v>
      </c>
      <c r="AM357" s="20">
        <f>IFERROR((VLOOKUP(Tabla13[[#This Row],[ID]],[1]!Mtto_Pesv[[#Headers],[#Data],[Placa]:[Rutina]],4,FALSE)),0)</f>
        <v>0</v>
      </c>
      <c r="AN357" s="21">
        <f>IFERROR((VLOOKUP(Tabla13[[#This Row],[ID]],[1]!Mtto_Pesv[[#Headers],[#Data],[Placa]:[Rutina]],5,FALSE)),0)</f>
        <v>0</v>
      </c>
      <c r="AO357" s="21">
        <f>+Tabla13[[#This Row],[Km Fin]]-Tabla13[[#This Row],[Km Ini]]</f>
        <v>0</v>
      </c>
      <c r="AP357" s="20">
        <f>IFERROR((VLOOKUP(Tabla13[[#This Row],[ID]],[1]!Estilo_Conduccion[[#All],[Placa]:[Puntuacion]],15,FALSE)),0)</f>
        <v>347</v>
      </c>
      <c r="AQ357" s="15" t="s">
        <v>54</v>
      </c>
      <c r="AR357" s="15" t="s">
        <v>54</v>
      </c>
      <c r="AS357" s="20">
        <v>2601</v>
      </c>
      <c r="AT357" s="21">
        <v>0</v>
      </c>
      <c r="AU357" s="21">
        <f>(Tabla13[[#This Row],[Cap Vh]]*$AX$2)*0.56</f>
        <v>0</v>
      </c>
      <c r="AV357" s="36" t="e">
        <f>(Tabla13[[#This Row],[Cap Util (kg)]]/(Tabla13[[#This Row],[Cap Inst (Kg)]]))</f>
        <v>#DIV/0!</v>
      </c>
    </row>
    <row r="358" spans="1:48" x14ac:dyDescent="0.25">
      <c r="A358" s="13" t="s">
        <v>1068</v>
      </c>
      <c r="B358" s="14" t="s">
        <v>533</v>
      </c>
      <c r="C358" s="14" t="s">
        <v>44</v>
      </c>
      <c r="D358" s="14" t="s">
        <v>44</v>
      </c>
      <c r="E358" s="14" t="s">
        <v>127</v>
      </c>
      <c r="F358" s="14" t="s">
        <v>46</v>
      </c>
      <c r="G358" s="15" t="s">
        <v>47</v>
      </c>
      <c r="H358" s="16" t="s">
        <v>48</v>
      </c>
      <c r="I358" s="14" t="s">
        <v>49</v>
      </c>
      <c r="J358" s="14">
        <v>890300279</v>
      </c>
      <c r="K358" s="14" t="s">
        <v>282</v>
      </c>
      <c r="L358" s="14" t="s">
        <v>103</v>
      </c>
      <c r="M358" s="14" t="s">
        <v>121</v>
      </c>
      <c r="N358" s="14">
        <v>2015</v>
      </c>
      <c r="O358" s="14">
        <v>5</v>
      </c>
      <c r="P358" s="14" t="s">
        <v>53</v>
      </c>
      <c r="Q358" s="14">
        <v>0</v>
      </c>
      <c r="R358" s="14">
        <v>0</v>
      </c>
      <c r="S358" s="17" t="s">
        <v>54</v>
      </c>
      <c r="T358" s="18">
        <v>0</v>
      </c>
      <c r="U358" s="14">
        <v>30</v>
      </c>
      <c r="V358" s="19">
        <v>1</v>
      </c>
      <c r="W358" s="14">
        <v>0</v>
      </c>
      <c r="X358" s="14">
        <v>0</v>
      </c>
      <c r="Y358" s="14">
        <v>0</v>
      </c>
      <c r="Z358" s="14">
        <v>0</v>
      </c>
      <c r="AA358" s="14">
        <f>Tabla13[[#This Row],[CheckList App]]+Tabla13[[#This Row],[CheckList Fisc]]</f>
        <v>0</v>
      </c>
      <c r="AB358" s="19">
        <f t="shared" si="5"/>
        <v>0</v>
      </c>
      <c r="AC358" s="14">
        <v>0</v>
      </c>
      <c r="AD358" s="14" t="s">
        <v>70</v>
      </c>
      <c r="AE358" s="15" t="str">
        <f>IFERROR((VLOOKUP(Tabla13[[#This Row],[ID]],[1]!Mtto_Pesv[[#Headers],[#Data],[Placa]:[Rutina]],2,FALSE)),"-")</f>
        <v>-</v>
      </c>
      <c r="AF358" s="14">
        <v>1</v>
      </c>
      <c r="AG358" s="20">
        <f>IFERROR((VLOOKUP(Tabla13[[#This Row],[ID]],[1]!Mtto_Pesv[[#Headers],[#Data],[Placa]:[Rutina]],3,FALSE)),0)</f>
        <v>0</v>
      </c>
      <c r="AH358" s="20">
        <f>IFERROR((VLOOKUP(Tabla13[[#This Row],[ID]],[1]!Mtto_Pesv[[#Headers],[#Data],[Placa]:[Rutina]],7,FALSE)),0)</f>
        <v>0</v>
      </c>
      <c r="AI358" s="20">
        <f>IFERROR((VLOOKUP(Tabla13[[#This Row],[ID]],[1]!Mtto_Pesv[[#Headers],[#Data],[Placa]:[Rutina]],8,FALSE)),0)</f>
        <v>0</v>
      </c>
      <c r="AJ358" s="20" t="str">
        <f>IFERROR((VLOOKUP(Tabla13[[#This Row],[ID]],[1]!Mtto_Pesv[[#Headers],[#Data],[Placa]:[Rutina]],9,FALSE)),"-")</f>
        <v>-</v>
      </c>
      <c r="AK358" s="20">
        <f>IFERROR((VLOOKUP(Tabla13[[#This Row],[ID]],[1]!Mtto_Pesv[[#Headers],[#Data],[Placa]:[Rutina]],10,FALSE)),0)</f>
        <v>0</v>
      </c>
      <c r="AL358" s="20">
        <f>IF(Tabla13[[#This Row],[Km Anterior]]=0,0,Tabla13[[#This Row],[Km Ejecut]]-Tabla13[[#This Row],[Km Anterior]])</f>
        <v>0</v>
      </c>
      <c r="AM358" s="20">
        <f>IFERROR((VLOOKUP(Tabla13[[#This Row],[ID]],[1]!Mtto_Pesv[[#Headers],[#Data],[Placa]:[Rutina]],4,FALSE)),0)</f>
        <v>0</v>
      </c>
      <c r="AN358" s="21">
        <f>IFERROR((VLOOKUP(Tabla13[[#This Row],[ID]],[1]!Mtto_Pesv[[#Headers],[#Data],[Placa]:[Rutina]],5,FALSE)),0)</f>
        <v>0</v>
      </c>
      <c r="AO358" s="21">
        <f>+Tabla13[[#This Row],[Km Fin]]-Tabla13[[#This Row],[Km Ini]]</f>
        <v>0</v>
      </c>
      <c r="AP358" s="20">
        <f>IFERROR((VLOOKUP(Tabla13[[#This Row],[ID]],[1]!Estilo_Conduccion[[#All],[Placa]:[Puntuacion]],15,FALSE)),0)</f>
        <v>0</v>
      </c>
      <c r="AQ358" s="15" t="s">
        <v>1284</v>
      </c>
      <c r="AR358" s="15" t="s">
        <v>1285</v>
      </c>
      <c r="AS358" s="20">
        <v>2601</v>
      </c>
      <c r="AT358" s="21">
        <v>11205</v>
      </c>
      <c r="AU358" s="21">
        <f>(Tabla13[[#This Row],[Cap Vh]]*$AX$2)*0.56</f>
        <v>0</v>
      </c>
      <c r="AV358" s="36" t="e">
        <f>(Tabla13[[#This Row],[Cap Util (kg)]]/(Tabla13[[#This Row],[Cap Inst (Kg)]]))</f>
        <v>#DIV/0!</v>
      </c>
    </row>
    <row r="359" spans="1:48" x14ac:dyDescent="0.25">
      <c r="A359" s="13" t="s">
        <v>1068</v>
      </c>
      <c r="B359" s="14" t="s">
        <v>534</v>
      </c>
      <c r="C359" s="14" t="s">
        <v>44</v>
      </c>
      <c r="D359" s="14" t="s">
        <v>44</v>
      </c>
      <c r="E359" s="14" t="s">
        <v>85</v>
      </c>
      <c r="F359" s="14" t="s">
        <v>46</v>
      </c>
      <c r="G359" s="15" t="s">
        <v>47</v>
      </c>
      <c r="H359" s="16" t="s">
        <v>48</v>
      </c>
      <c r="I359" s="14" t="s">
        <v>49</v>
      </c>
      <c r="J359" s="14">
        <v>830064700</v>
      </c>
      <c r="K359" s="14" t="s">
        <v>50</v>
      </c>
      <c r="L359" s="14" t="s">
        <v>103</v>
      </c>
      <c r="M359" s="14" t="s">
        <v>104</v>
      </c>
      <c r="N359" s="14">
        <v>2016</v>
      </c>
      <c r="O359" s="14">
        <v>4</v>
      </c>
      <c r="P359" s="14" t="s">
        <v>105</v>
      </c>
      <c r="Q359" s="14">
        <v>1</v>
      </c>
      <c r="R359" s="14">
        <v>0</v>
      </c>
      <c r="S359" s="17" t="s">
        <v>54</v>
      </c>
      <c r="T359" s="18">
        <v>0</v>
      </c>
      <c r="U359" s="14">
        <v>30</v>
      </c>
      <c r="V359" s="19">
        <v>1</v>
      </c>
      <c r="W359" s="14">
        <v>0</v>
      </c>
      <c r="X359" s="14">
        <v>0</v>
      </c>
      <c r="Y359" s="14">
        <v>0</v>
      </c>
      <c r="Z359" s="14">
        <v>0</v>
      </c>
      <c r="AA359" s="14">
        <f>Tabla13[[#This Row],[CheckList App]]+Tabla13[[#This Row],[CheckList Fisc]]</f>
        <v>0</v>
      </c>
      <c r="AB359" s="19">
        <f t="shared" si="5"/>
        <v>0</v>
      </c>
      <c r="AC359" s="14">
        <v>0</v>
      </c>
      <c r="AD359" s="14" t="s">
        <v>55</v>
      </c>
      <c r="AE359" s="15" t="str">
        <f>IFERROR((VLOOKUP(Tabla13[[#This Row],[ID]],[1]!Mtto_Pesv[[#Headers],[#Data],[Placa]:[Rutina]],2,FALSE)),"-")</f>
        <v>-</v>
      </c>
      <c r="AF359" s="14">
        <v>0</v>
      </c>
      <c r="AG359" s="20">
        <f>IFERROR((VLOOKUP(Tabla13[[#This Row],[ID]],[1]!Mtto_Pesv[[#Headers],[#Data],[Placa]:[Rutina]],3,FALSE)),0)</f>
        <v>0</v>
      </c>
      <c r="AH359" s="20">
        <f>IFERROR((VLOOKUP(Tabla13[[#This Row],[ID]],[1]!Mtto_Pesv[[#Headers],[#Data],[Placa]:[Rutina]],7,FALSE)),0)</f>
        <v>0</v>
      </c>
      <c r="AI359" s="20">
        <f>IFERROR((VLOOKUP(Tabla13[[#This Row],[ID]],[1]!Mtto_Pesv[[#Headers],[#Data],[Placa]:[Rutina]],8,FALSE)),0)</f>
        <v>0</v>
      </c>
      <c r="AJ359" s="20" t="str">
        <f>IFERROR((VLOOKUP(Tabla13[[#This Row],[ID]],[1]!Mtto_Pesv[[#Headers],[#Data],[Placa]:[Rutina]],9,FALSE)),"-")</f>
        <v>-</v>
      </c>
      <c r="AK359" s="20">
        <f>IFERROR((VLOOKUP(Tabla13[[#This Row],[ID]],[1]!Mtto_Pesv[[#Headers],[#Data],[Placa]:[Rutina]],10,FALSE)),0)</f>
        <v>0</v>
      </c>
      <c r="AL359" s="20">
        <f>IF(Tabla13[[#This Row],[Km Anterior]]=0,0,Tabla13[[#This Row],[Km Ejecut]]-Tabla13[[#This Row],[Km Anterior]])</f>
        <v>0</v>
      </c>
      <c r="AM359" s="20">
        <f>IFERROR((VLOOKUP(Tabla13[[#This Row],[ID]],[1]!Mtto_Pesv[[#Headers],[#Data],[Placa]:[Rutina]],4,FALSE)),0)</f>
        <v>0</v>
      </c>
      <c r="AN359" s="21">
        <f>IFERROR((VLOOKUP(Tabla13[[#This Row],[ID]],[1]!Mtto_Pesv[[#Headers],[#Data],[Placa]:[Rutina]],5,FALSE)),0)</f>
        <v>0</v>
      </c>
      <c r="AO359" s="21">
        <f>+Tabla13[[#This Row],[Km Fin]]-Tabla13[[#This Row],[Km Ini]]</f>
        <v>0</v>
      </c>
      <c r="AP359" s="20">
        <f>IFERROR((VLOOKUP(Tabla13[[#This Row],[ID]],[1]!Estilo_Conduccion[[#All],[Placa]:[Puntuacion]],15,FALSE)),0)</f>
        <v>634.5</v>
      </c>
      <c r="AQ359" s="15" t="s">
        <v>1172</v>
      </c>
      <c r="AR359" s="15" t="s">
        <v>1173</v>
      </c>
      <c r="AS359" s="20">
        <v>1300</v>
      </c>
      <c r="AT359" s="21">
        <v>12338</v>
      </c>
      <c r="AU359" s="21">
        <f>(Tabla13[[#This Row],[Cap Vh]]*$AX$2)*0.56</f>
        <v>0</v>
      </c>
      <c r="AV359" s="36" t="e">
        <f>(Tabla13[[#This Row],[Cap Util (kg)]]/(Tabla13[[#This Row],[Cap Inst (Kg)]]))</f>
        <v>#DIV/0!</v>
      </c>
    </row>
    <row r="360" spans="1:48" x14ac:dyDescent="0.25">
      <c r="A360" s="13" t="s">
        <v>1068</v>
      </c>
      <c r="B360" s="14" t="s">
        <v>535</v>
      </c>
      <c r="C360" s="14" t="s">
        <v>44</v>
      </c>
      <c r="D360" s="14" t="s">
        <v>44</v>
      </c>
      <c r="E360" s="14" t="s">
        <v>45</v>
      </c>
      <c r="F360" s="14" t="s">
        <v>46</v>
      </c>
      <c r="G360" s="15" t="s">
        <v>47</v>
      </c>
      <c r="H360" s="16" t="s">
        <v>48</v>
      </c>
      <c r="I360" s="14" t="s">
        <v>49</v>
      </c>
      <c r="J360" s="14">
        <v>830064700</v>
      </c>
      <c r="K360" s="14" t="s">
        <v>50</v>
      </c>
      <c r="L360" s="14" t="s">
        <v>103</v>
      </c>
      <c r="M360" s="14" t="s">
        <v>104</v>
      </c>
      <c r="N360" s="14">
        <v>2016</v>
      </c>
      <c r="O360" s="14">
        <v>4</v>
      </c>
      <c r="P360" s="14" t="s">
        <v>105</v>
      </c>
      <c r="Q360" s="14">
        <v>1</v>
      </c>
      <c r="R360" s="14">
        <v>0</v>
      </c>
      <c r="S360" s="17" t="s">
        <v>54</v>
      </c>
      <c r="T360" s="18">
        <v>0</v>
      </c>
      <c r="U360" s="14">
        <v>0</v>
      </c>
      <c r="V360" s="19">
        <v>1</v>
      </c>
      <c r="W360" s="14">
        <v>0</v>
      </c>
      <c r="X360" s="14">
        <v>0</v>
      </c>
      <c r="Y360" s="14">
        <v>0</v>
      </c>
      <c r="Z360" s="14">
        <v>0</v>
      </c>
      <c r="AA360" s="14">
        <f>Tabla13[[#This Row],[CheckList App]]+Tabla13[[#This Row],[CheckList Fisc]]</f>
        <v>0</v>
      </c>
      <c r="AB360" s="19" t="str">
        <f t="shared" si="5"/>
        <v/>
      </c>
      <c r="AC360" s="14">
        <v>0</v>
      </c>
      <c r="AD360" s="14" t="s">
        <v>55</v>
      </c>
      <c r="AE360" s="15" t="str">
        <f>IFERROR((VLOOKUP(Tabla13[[#This Row],[ID]],[1]!Mtto_Pesv[[#Headers],[#Data],[Placa]:[Rutina]],2,FALSE)),"-")</f>
        <v>-</v>
      </c>
      <c r="AF360" s="14">
        <v>0</v>
      </c>
      <c r="AG360" s="20">
        <f>IFERROR((VLOOKUP(Tabla13[[#This Row],[ID]],[1]!Mtto_Pesv[[#Headers],[#Data],[Placa]:[Rutina]],3,FALSE)),0)</f>
        <v>0</v>
      </c>
      <c r="AH360" s="20">
        <f>IFERROR((VLOOKUP(Tabla13[[#This Row],[ID]],[1]!Mtto_Pesv[[#Headers],[#Data],[Placa]:[Rutina]],7,FALSE)),0)</f>
        <v>0</v>
      </c>
      <c r="AI360" s="20">
        <f>IFERROR((VLOOKUP(Tabla13[[#This Row],[ID]],[1]!Mtto_Pesv[[#Headers],[#Data],[Placa]:[Rutina]],8,FALSE)),0)</f>
        <v>0</v>
      </c>
      <c r="AJ360" s="20" t="str">
        <f>IFERROR((VLOOKUP(Tabla13[[#This Row],[ID]],[1]!Mtto_Pesv[[#Headers],[#Data],[Placa]:[Rutina]],9,FALSE)),"-")</f>
        <v>-</v>
      </c>
      <c r="AK360" s="20">
        <f>IFERROR((VLOOKUP(Tabla13[[#This Row],[ID]],[1]!Mtto_Pesv[[#Headers],[#Data],[Placa]:[Rutina]],10,FALSE)),0)</f>
        <v>0</v>
      </c>
      <c r="AL360" s="20">
        <f>IF(Tabla13[[#This Row],[Km Anterior]]=0,0,Tabla13[[#This Row],[Km Ejecut]]-Tabla13[[#This Row],[Km Anterior]])</f>
        <v>0</v>
      </c>
      <c r="AM360" s="20">
        <f>IFERROR((VLOOKUP(Tabla13[[#This Row],[ID]],[1]!Mtto_Pesv[[#Headers],[#Data],[Placa]:[Rutina]],4,FALSE)),0)</f>
        <v>0</v>
      </c>
      <c r="AN360" s="21">
        <f>IFERROR((VLOOKUP(Tabla13[[#This Row],[ID]],[1]!Mtto_Pesv[[#Headers],[#Data],[Placa]:[Rutina]],5,FALSE)),0)</f>
        <v>0</v>
      </c>
      <c r="AO360" s="21">
        <f>+Tabla13[[#This Row],[Km Fin]]-Tabla13[[#This Row],[Km Ini]]</f>
        <v>0</v>
      </c>
      <c r="AP360" s="20">
        <f>IFERROR((VLOOKUP(Tabla13[[#This Row],[ID]],[1]!Estilo_Conduccion[[#All],[Placa]:[Puntuacion]],15,FALSE)),0)</f>
        <v>3007.7</v>
      </c>
      <c r="AQ360" s="15" t="s">
        <v>1098</v>
      </c>
      <c r="AR360" s="15" t="s">
        <v>1099</v>
      </c>
      <c r="AS360" s="20">
        <v>1300</v>
      </c>
      <c r="AT360" s="21">
        <v>3975</v>
      </c>
      <c r="AU360" s="21">
        <f>(Tabla13[[#This Row],[Cap Vh]]*$AX$2)*0.56</f>
        <v>0</v>
      </c>
      <c r="AV360" s="36" t="e">
        <f>(Tabla13[[#This Row],[Cap Util (kg)]]/(Tabla13[[#This Row],[Cap Inst (Kg)]]))</f>
        <v>#DIV/0!</v>
      </c>
    </row>
    <row r="361" spans="1:48" x14ac:dyDescent="0.25">
      <c r="A361" s="13" t="s">
        <v>1068</v>
      </c>
      <c r="B361" s="14" t="s">
        <v>536</v>
      </c>
      <c r="C361" s="14" t="s">
        <v>44</v>
      </c>
      <c r="D361" s="14" t="s">
        <v>44</v>
      </c>
      <c r="E361" s="14" t="s">
        <v>45</v>
      </c>
      <c r="F361" s="14" t="s">
        <v>46</v>
      </c>
      <c r="G361" s="15" t="s">
        <v>47</v>
      </c>
      <c r="H361" s="16" t="s">
        <v>48</v>
      </c>
      <c r="I361" s="14" t="s">
        <v>49</v>
      </c>
      <c r="J361" s="14">
        <v>830064700</v>
      </c>
      <c r="K361" s="14" t="s">
        <v>50</v>
      </c>
      <c r="L361" s="14" t="s">
        <v>103</v>
      </c>
      <c r="M361" s="14" t="s">
        <v>104</v>
      </c>
      <c r="N361" s="14">
        <v>2016</v>
      </c>
      <c r="O361" s="14">
        <v>4</v>
      </c>
      <c r="P361" s="14" t="s">
        <v>105</v>
      </c>
      <c r="Q361" s="14">
        <v>1</v>
      </c>
      <c r="R361" s="14">
        <v>0</v>
      </c>
      <c r="S361" s="17" t="s">
        <v>54</v>
      </c>
      <c r="T361" s="18">
        <v>0</v>
      </c>
      <c r="U361" s="14">
        <v>30</v>
      </c>
      <c r="V361" s="19">
        <v>1</v>
      </c>
      <c r="W361" s="14">
        <v>0</v>
      </c>
      <c r="X361" s="14">
        <v>26</v>
      </c>
      <c r="Y361" s="14">
        <v>1</v>
      </c>
      <c r="Z361" s="14">
        <v>0</v>
      </c>
      <c r="AA361" s="14">
        <f>Tabla13[[#This Row],[CheckList App]]+Tabla13[[#This Row],[CheckList Fisc]]</f>
        <v>1</v>
      </c>
      <c r="AB361" s="19">
        <f t="shared" si="5"/>
        <v>3.8461538461538464E-2</v>
      </c>
      <c r="AC361" s="14">
        <v>0</v>
      </c>
      <c r="AD361" s="14" t="s">
        <v>55</v>
      </c>
      <c r="AE361" s="15" t="str">
        <f>IFERROR((VLOOKUP(Tabla13[[#This Row],[ID]],[1]!Mtto_Pesv[[#Headers],[#Data],[Placa]:[Rutina]],2,FALSE)),"-")</f>
        <v>-</v>
      </c>
      <c r="AF361" s="14">
        <v>0</v>
      </c>
      <c r="AG361" s="20">
        <f>IFERROR((VLOOKUP(Tabla13[[#This Row],[ID]],[1]!Mtto_Pesv[[#Headers],[#Data],[Placa]:[Rutina]],3,FALSE)),0)</f>
        <v>0</v>
      </c>
      <c r="AH361" s="20">
        <f>IFERROR((VLOOKUP(Tabla13[[#This Row],[ID]],[1]!Mtto_Pesv[[#Headers],[#Data],[Placa]:[Rutina]],7,FALSE)),0)</f>
        <v>0</v>
      </c>
      <c r="AI361" s="20">
        <f>IFERROR((VLOOKUP(Tabla13[[#This Row],[ID]],[1]!Mtto_Pesv[[#Headers],[#Data],[Placa]:[Rutina]],8,FALSE)),0)</f>
        <v>0</v>
      </c>
      <c r="AJ361" s="20" t="str">
        <f>IFERROR((VLOOKUP(Tabla13[[#This Row],[ID]],[1]!Mtto_Pesv[[#Headers],[#Data],[Placa]:[Rutina]],9,FALSE)),"-")</f>
        <v>-</v>
      </c>
      <c r="AK361" s="20">
        <f>IFERROR((VLOOKUP(Tabla13[[#This Row],[ID]],[1]!Mtto_Pesv[[#Headers],[#Data],[Placa]:[Rutina]],10,FALSE)),0)</f>
        <v>0</v>
      </c>
      <c r="AL361" s="20">
        <f>IF(Tabla13[[#This Row],[Km Anterior]]=0,0,Tabla13[[#This Row],[Km Ejecut]]-Tabla13[[#This Row],[Km Anterior]])</f>
        <v>0</v>
      </c>
      <c r="AM361" s="20">
        <f>IFERROR((VLOOKUP(Tabla13[[#This Row],[ID]],[1]!Mtto_Pesv[[#Headers],[#Data],[Placa]:[Rutina]],4,FALSE)),0)</f>
        <v>0</v>
      </c>
      <c r="AN361" s="21">
        <f>IFERROR((VLOOKUP(Tabla13[[#This Row],[ID]],[1]!Mtto_Pesv[[#Headers],[#Data],[Placa]:[Rutina]],5,FALSE)),0)</f>
        <v>0</v>
      </c>
      <c r="AO361" s="21">
        <f>+Tabla13[[#This Row],[Km Fin]]-Tabla13[[#This Row],[Km Ini]]</f>
        <v>0</v>
      </c>
      <c r="AP361" s="20">
        <f>IFERROR((VLOOKUP(Tabla13[[#This Row],[ID]],[1]!Estilo_Conduccion[[#All],[Placa]:[Puntuacion]],15,FALSE)),0)</f>
        <v>320.2</v>
      </c>
      <c r="AQ361" s="15" t="s">
        <v>1149</v>
      </c>
      <c r="AR361" s="15" t="s">
        <v>1150</v>
      </c>
      <c r="AS361" s="20">
        <v>1300</v>
      </c>
      <c r="AT361" s="21">
        <v>5496</v>
      </c>
      <c r="AU361" s="21">
        <f>(Tabla13[[#This Row],[Cap Vh]]*$AX$2)*0.56</f>
        <v>0</v>
      </c>
      <c r="AV361" s="36" t="e">
        <f>(Tabla13[[#This Row],[Cap Util (kg)]]/(Tabla13[[#This Row],[Cap Inst (Kg)]]))</f>
        <v>#DIV/0!</v>
      </c>
    </row>
    <row r="362" spans="1:48" x14ac:dyDescent="0.25">
      <c r="A362" s="13" t="s">
        <v>1068</v>
      </c>
      <c r="B362" s="14" t="s">
        <v>537</v>
      </c>
      <c r="C362" s="14" t="s">
        <v>44</v>
      </c>
      <c r="D362" s="14" t="s">
        <v>44</v>
      </c>
      <c r="E362" s="14" t="s">
        <v>45</v>
      </c>
      <c r="F362" s="14" t="s">
        <v>46</v>
      </c>
      <c r="G362" s="15" t="s">
        <v>47</v>
      </c>
      <c r="H362" s="16" t="s">
        <v>48</v>
      </c>
      <c r="I362" s="14" t="s">
        <v>49</v>
      </c>
      <c r="J362" s="14">
        <v>830064700</v>
      </c>
      <c r="K362" s="14" t="s">
        <v>50</v>
      </c>
      <c r="L362" s="14" t="s">
        <v>103</v>
      </c>
      <c r="M362" s="14" t="s">
        <v>104</v>
      </c>
      <c r="N362" s="14">
        <v>2016</v>
      </c>
      <c r="O362" s="14">
        <v>4</v>
      </c>
      <c r="P362" s="14" t="s">
        <v>105</v>
      </c>
      <c r="Q362" s="14">
        <v>1</v>
      </c>
      <c r="R362" s="14">
        <v>0</v>
      </c>
      <c r="S362" s="17" t="s">
        <v>54</v>
      </c>
      <c r="T362" s="18">
        <v>0</v>
      </c>
      <c r="U362" s="14">
        <v>0</v>
      </c>
      <c r="V362" s="19">
        <v>1</v>
      </c>
      <c r="W362" s="14">
        <v>0</v>
      </c>
      <c r="X362" s="14">
        <v>0</v>
      </c>
      <c r="Y362" s="14">
        <v>0</v>
      </c>
      <c r="Z362" s="14">
        <v>0</v>
      </c>
      <c r="AA362" s="14">
        <f>Tabla13[[#This Row],[CheckList App]]+Tabla13[[#This Row],[CheckList Fisc]]</f>
        <v>0</v>
      </c>
      <c r="AB362" s="19" t="str">
        <f t="shared" si="5"/>
        <v/>
      </c>
      <c r="AC362" s="14">
        <v>0</v>
      </c>
      <c r="AD362" s="14" t="s">
        <v>55</v>
      </c>
      <c r="AE362" s="15" t="str">
        <f>IFERROR((VLOOKUP(Tabla13[[#This Row],[ID]],[1]!Mtto_Pesv[[#Headers],[#Data],[Placa]:[Rutina]],2,FALSE)),"-")</f>
        <v>-</v>
      </c>
      <c r="AF362" s="14">
        <v>0</v>
      </c>
      <c r="AG362" s="20">
        <f>IFERROR((VLOOKUP(Tabla13[[#This Row],[ID]],[1]!Mtto_Pesv[[#Headers],[#Data],[Placa]:[Rutina]],3,FALSE)),0)</f>
        <v>0</v>
      </c>
      <c r="AH362" s="20">
        <f>IFERROR((VLOOKUP(Tabla13[[#This Row],[ID]],[1]!Mtto_Pesv[[#Headers],[#Data],[Placa]:[Rutina]],7,FALSE)),0)</f>
        <v>0</v>
      </c>
      <c r="AI362" s="20">
        <f>IFERROR((VLOOKUP(Tabla13[[#This Row],[ID]],[1]!Mtto_Pesv[[#Headers],[#Data],[Placa]:[Rutina]],8,FALSE)),0)</f>
        <v>0</v>
      </c>
      <c r="AJ362" s="20" t="str">
        <f>IFERROR((VLOOKUP(Tabla13[[#This Row],[ID]],[1]!Mtto_Pesv[[#Headers],[#Data],[Placa]:[Rutina]],9,FALSE)),"-")</f>
        <v>-</v>
      </c>
      <c r="AK362" s="20">
        <f>IFERROR((VLOOKUP(Tabla13[[#This Row],[ID]],[1]!Mtto_Pesv[[#Headers],[#Data],[Placa]:[Rutina]],10,FALSE)),0)</f>
        <v>0</v>
      </c>
      <c r="AL362" s="20">
        <f>IF(Tabla13[[#This Row],[Km Anterior]]=0,0,Tabla13[[#This Row],[Km Ejecut]]-Tabla13[[#This Row],[Km Anterior]])</f>
        <v>0</v>
      </c>
      <c r="AM362" s="20">
        <f>IFERROR((VLOOKUP(Tabla13[[#This Row],[ID]],[1]!Mtto_Pesv[[#Headers],[#Data],[Placa]:[Rutina]],4,FALSE)),0)</f>
        <v>0</v>
      </c>
      <c r="AN362" s="21">
        <f>IFERROR((VLOOKUP(Tabla13[[#This Row],[ID]],[1]!Mtto_Pesv[[#Headers],[#Data],[Placa]:[Rutina]],5,FALSE)),0)</f>
        <v>0</v>
      </c>
      <c r="AO362" s="21">
        <f>+Tabla13[[#This Row],[Km Fin]]-Tabla13[[#This Row],[Km Ini]]</f>
        <v>0</v>
      </c>
      <c r="AP362" s="20">
        <f>IFERROR((VLOOKUP(Tabla13[[#This Row],[ID]],[1]!Estilo_Conduccion[[#All],[Placa]:[Puntuacion]],15,FALSE)),0)</f>
        <v>118.8</v>
      </c>
      <c r="AQ362" s="15" t="s">
        <v>1174</v>
      </c>
      <c r="AR362" s="15" t="s">
        <v>1175</v>
      </c>
      <c r="AS362" s="20">
        <v>1300</v>
      </c>
      <c r="AT362" s="21">
        <v>4006.5</v>
      </c>
      <c r="AU362" s="21">
        <f>(Tabla13[[#This Row],[Cap Vh]]*$AX$2)*0.56</f>
        <v>0</v>
      </c>
      <c r="AV362" s="36" t="e">
        <f>(Tabla13[[#This Row],[Cap Util (kg)]]/(Tabla13[[#This Row],[Cap Inst (Kg)]]))</f>
        <v>#DIV/0!</v>
      </c>
    </row>
    <row r="363" spans="1:48" x14ac:dyDescent="0.25">
      <c r="A363" s="13" t="s">
        <v>1068</v>
      </c>
      <c r="B363" s="14" t="s">
        <v>538</v>
      </c>
      <c r="C363" s="14" t="s">
        <v>44</v>
      </c>
      <c r="D363" s="14" t="s">
        <v>44</v>
      </c>
      <c r="E363" s="14" t="s">
        <v>45</v>
      </c>
      <c r="F363" s="14" t="s">
        <v>46</v>
      </c>
      <c r="G363" s="15" t="s">
        <v>47</v>
      </c>
      <c r="H363" s="16" t="s">
        <v>48</v>
      </c>
      <c r="I363" s="14" t="s">
        <v>49</v>
      </c>
      <c r="J363" s="14">
        <v>830064700</v>
      </c>
      <c r="K363" s="14" t="s">
        <v>50</v>
      </c>
      <c r="L363" s="14" t="s">
        <v>103</v>
      </c>
      <c r="M363" s="14" t="s">
        <v>121</v>
      </c>
      <c r="N363" s="14">
        <v>2015</v>
      </c>
      <c r="O363" s="14">
        <v>5</v>
      </c>
      <c r="P363" s="14" t="s">
        <v>53</v>
      </c>
      <c r="Q363" s="14">
        <v>1</v>
      </c>
      <c r="R363" s="14">
        <v>0</v>
      </c>
      <c r="S363" s="17" t="s">
        <v>54</v>
      </c>
      <c r="T363" s="18">
        <v>0</v>
      </c>
      <c r="U363" s="14">
        <v>30</v>
      </c>
      <c r="V363" s="19">
        <v>1</v>
      </c>
      <c r="W363" s="14">
        <v>0</v>
      </c>
      <c r="X363" s="14">
        <v>0</v>
      </c>
      <c r="Y363" s="14">
        <v>0</v>
      </c>
      <c r="Z363" s="14">
        <v>0</v>
      </c>
      <c r="AA363" s="14">
        <f>Tabla13[[#This Row],[CheckList App]]+Tabla13[[#This Row],[CheckList Fisc]]</f>
        <v>0</v>
      </c>
      <c r="AB363" s="19">
        <f t="shared" si="5"/>
        <v>0</v>
      </c>
      <c r="AC363" s="14">
        <v>0</v>
      </c>
      <c r="AD363" s="14" t="s">
        <v>55</v>
      </c>
      <c r="AE363" s="15" t="str">
        <f>IFERROR((VLOOKUP(Tabla13[[#This Row],[ID]],[1]!Mtto_Pesv[[#Headers],[#Data],[Placa]:[Rutina]],2,FALSE)),"-")</f>
        <v>-</v>
      </c>
      <c r="AF363" s="14">
        <v>0</v>
      </c>
      <c r="AG363" s="20">
        <f>IFERROR((VLOOKUP(Tabla13[[#This Row],[ID]],[1]!Mtto_Pesv[[#Headers],[#Data],[Placa]:[Rutina]],3,FALSE)),0)</f>
        <v>0</v>
      </c>
      <c r="AH363" s="20">
        <f>IFERROR((VLOOKUP(Tabla13[[#This Row],[ID]],[1]!Mtto_Pesv[[#Headers],[#Data],[Placa]:[Rutina]],7,FALSE)),0)</f>
        <v>0</v>
      </c>
      <c r="AI363" s="20">
        <f>IFERROR((VLOOKUP(Tabla13[[#This Row],[ID]],[1]!Mtto_Pesv[[#Headers],[#Data],[Placa]:[Rutina]],8,FALSE)),0)</f>
        <v>0</v>
      </c>
      <c r="AJ363" s="20" t="str">
        <f>IFERROR((VLOOKUP(Tabla13[[#This Row],[ID]],[1]!Mtto_Pesv[[#Headers],[#Data],[Placa]:[Rutina]],9,FALSE)),"-")</f>
        <v>-</v>
      </c>
      <c r="AK363" s="20">
        <f>IFERROR((VLOOKUP(Tabla13[[#This Row],[ID]],[1]!Mtto_Pesv[[#Headers],[#Data],[Placa]:[Rutina]],10,FALSE)),0)</f>
        <v>0</v>
      </c>
      <c r="AL363" s="20">
        <f>IF(Tabla13[[#This Row],[Km Anterior]]=0,0,Tabla13[[#This Row],[Km Ejecut]]-Tabla13[[#This Row],[Km Anterior]])</f>
        <v>0</v>
      </c>
      <c r="AM363" s="20">
        <f>IFERROR((VLOOKUP(Tabla13[[#This Row],[ID]],[1]!Mtto_Pesv[[#Headers],[#Data],[Placa]:[Rutina]],4,FALSE)),0)</f>
        <v>0</v>
      </c>
      <c r="AN363" s="21">
        <f>IFERROR((VLOOKUP(Tabla13[[#This Row],[ID]],[1]!Mtto_Pesv[[#Headers],[#Data],[Placa]:[Rutina]],5,FALSE)),0)</f>
        <v>0</v>
      </c>
      <c r="AO363" s="21">
        <f>+Tabla13[[#This Row],[Km Fin]]-Tabla13[[#This Row],[Km Ini]]</f>
        <v>0</v>
      </c>
      <c r="AP363" s="20">
        <f>IFERROR((VLOOKUP(Tabla13[[#This Row],[ID]],[1]!Estilo_Conduccion[[#All],[Placa]:[Puntuacion]],15,FALSE)),0)</f>
        <v>454.7</v>
      </c>
      <c r="AQ363" s="15" t="s">
        <v>1199</v>
      </c>
      <c r="AR363" s="15" t="s">
        <v>1200</v>
      </c>
      <c r="AS363" s="20">
        <v>1300</v>
      </c>
      <c r="AT363" s="21">
        <v>4029</v>
      </c>
      <c r="AU363" s="21">
        <f>(Tabla13[[#This Row],[Cap Vh]]*$AX$2)*0.56</f>
        <v>0</v>
      </c>
      <c r="AV363" s="36" t="e">
        <f>(Tabla13[[#This Row],[Cap Util (kg)]]/(Tabla13[[#This Row],[Cap Inst (Kg)]]))</f>
        <v>#DIV/0!</v>
      </c>
    </row>
    <row r="364" spans="1:48" x14ac:dyDescent="0.25">
      <c r="A364" s="13" t="s">
        <v>1068</v>
      </c>
      <c r="B364" s="14" t="s">
        <v>539</v>
      </c>
      <c r="C364" s="14" t="s">
        <v>44</v>
      </c>
      <c r="D364" s="14" t="s">
        <v>44</v>
      </c>
      <c r="E364" s="14" t="s">
        <v>113</v>
      </c>
      <c r="F364" s="14" t="s">
        <v>64</v>
      </c>
      <c r="G364" s="15" t="s">
        <v>119</v>
      </c>
      <c r="H364" s="16" t="s">
        <v>120</v>
      </c>
      <c r="I364" s="14" t="s">
        <v>109</v>
      </c>
      <c r="J364" s="14">
        <v>830064700</v>
      </c>
      <c r="K364" s="14" t="s">
        <v>50</v>
      </c>
      <c r="L364" s="14" t="s">
        <v>103</v>
      </c>
      <c r="M364" s="14" t="s">
        <v>153</v>
      </c>
      <c r="N364" s="14">
        <v>2015</v>
      </c>
      <c r="O364" s="14">
        <v>5</v>
      </c>
      <c r="P364" s="14" t="s">
        <v>53</v>
      </c>
      <c r="Q364" s="14">
        <v>1</v>
      </c>
      <c r="R364" s="14">
        <v>1</v>
      </c>
      <c r="S364" s="17">
        <v>44834.279305555552</v>
      </c>
      <c r="T364" s="18">
        <v>599.99999999999977</v>
      </c>
      <c r="U364" s="14">
        <v>30</v>
      </c>
      <c r="V364" s="19">
        <v>1</v>
      </c>
      <c r="W364" s="14">
        <v>0</v>
      </c>
      <c r="X364" s="14">
        <v>26</v>
      </c>
      <c r="Y364" s="14">
        <v>24</v>
      </c>
      <c r="Z364" s="14">
        <v>0</v>
      </c>
      <c r="AA364" s="14">
        <f>Tabla13[[#This Row],[CheckList App]]+Tabla13[[#This Row],[CheckList Fisc]]</f>
        <v>24</v>
      </c>
      <c r="AB364" s="19">
        <f t="shared" si="5"/>
        <v>0.92307692307692313</v>
      </c>
      <c r="AC364" s="14">
        <v>0</v>
      </c>
      <c r="AD364" s="14" t="s">
        <v>70</v>
      </c>
      <c r="AE364" s="22" t="str">
        <f>IFERROR((VLOOKUP(Tabla13[[#This Row],[ID]],[1]!Mtto_Pesv[[#Headers],[#Data],[Placa]:[Rutina]],2,FALSE)),"-")</f>
        <v>-</v>
      </c>
      <c r="AF364" s="14">
        <v>1</v>
      </c>
      <c r="AG364" s="20">
        <f>IFERROR((VLOOKUP(Tabla13[[#This Row],[ID]],[1]!Mtto_Pesv[[#Headers],[#Data],[Placa]:[Rutina]],3,FALSE)),0)</f>
        <v>0</v>
      </c>
      <c r="AH364" s="20">
        <f>IFERROR((VLOOKUP(Tabla13[[#This Row],[ID]],[1]!Mtto_Pesv[[#Headers],[#Data],[Placa]:[Rutina]],7,FALSE)),0)</f>
        <v>0</v>
      </c>
      <c r="AI364" s="20">
        <f>IFERROR((VLOOKUP(Tabla13[[#This Row],[ID]],[1]!Mtto_Pesv[[#Headers],[#Data],[Placa]:[Rutina]],8,FALSE)),0)</f>
        <v>0</v>
      </c>
      <c r="AJ364" s="20" t="str">
        <f>IFERROR((VLOOKUP(Tabla13[[#This Row],[ID]],[1]!Mtto_Pesv[[#Headers],[#Data],[Placa]:[Rutina]],9,FALSE)),"-")</f>
        <v>-</v>
      </c>
      <c r="AK364" s="20">
        <f>IFERROR((VLOOKUP(Tabla13[[#This Row],[ID]],[1]!Mtto_Pesv[[#Headers],[#Data],[Placa]:[Rutina]],10,FALSE)),0)</f>
        <v>0</v>
      </c>
      <c r="AL364" s="20">
        <f>IF(Tabla13[[#This Row],[Km Anterior]]=0,0,Tabla13[[#This Row],[Km Ejecut]]-Tabla13[[#This Row],[Km Anterior]])</f>
        <v>0</v>
      </c>
      <c r="AM364" s="20">
        <f>IFERROR((VLOOKUP(Tabla13[[#This Row],[ID]],[1]!Mtto_Pesv[[#Headers],[#Data],[Placa]:[Rutina]],4,FALSE)),0)</f>
        <v>0</v>
      </c>
      <c r="AN364" s="21">
        <f>IFERROR((VLOOKUP(Tabla13[[#This Row],[ID]],[1]!Mtto_Pesv[[#Headers],[#Data],[Placa]:[Rutina]],5,FALSE)),0)</f>
        <v>0</v>
      </c>
      <c r="AO364" s="21">
        <f>+Tabla13[[#This Row],[Km Fin]]-Tabla13[[#This Row],[Km Ini]]</f>
        <v>0</v>
      </c>
      <c r="AP364" s="20">
        <f>IFERROR((VLOOKUP(Tabla13[[#This Row],[ID]],[1]!Estilo_Conduccion[[#All],[Placa]:[Puntuacion]],15,FALSE)),0)</f>
        <v>1212.3000000000002</v>
      </c>
      <c r="AQ364" s="15" t="s">
        <v>54</v>
      </c>
      <c r="AR364" s="15" t="s">
        <v>54</v>
      </c>
      <c r="AS364" s="20">
        <v>4200</v>
      </c>
      <c r="AT364" s="21">
        <v>0</v>
      </c>
      <c r="AU364" s="21">
        <f>(Tabla13[[#This Row],[Cap Vh]]*$AX$2)*0.56</f>
        <v>0</v>
      </c>
      <c r="AV364" s="36" t="e">
        <f>(Tabla13[[#This Row],[Cap Util (kg)]]/(Tabla13[[#This Row],[Cap Inst (Kg)]]))</f>
        <v>#DIV/0!</v>
      </c>
    </row>
    <row r="365" spans="1:48" x14ac:dyDescent="0.25">
      <c r="A365" s="13" t="s">
        <v>1068</v>
      </c>
      <c r="B365" s="14" t="s">
        <v>540</v>
      </c>
      <c r="C365" s="14" t="s">
        <v>44</v>
      </c>
      <c r="D365" s="14" t="s">
        <v>44</v>
      </c>
      <c r="E365" s="14" t="s">
        <v>60</v>
      </c>
      <c r="F365" s="14" t="s">
        <v>64</v>
      </c>
      <c r="G365" s="15" t="s">
        <v>119</v>
      </c>
      <c r="H365" s="16" t="s">
        <v>120</v>
      </c>
      <c r="I365" s="14" t="s">
        <v>184</v>
      </c>
      <c r="J365" s="14">
        <v>830064700</v>
      </c>
      <c r="K365" s="14" t="s">
        <v>50</v>
      </c>
      <c r="L365" s="14" t="s">
        <v>103</v>
      </c>
      <c r="M365" s="14" t="s">
        <v>121</v>
      </c>
      <c r="N365" s="14">
        <v>2015</v>
      </c>
      <c r="O365" s="14">
        <v>5</v>
      </c>
      <c r="P365" s="14" t="s">
        <v>53</v>
      </c>
      <c r="Q365" s="14">
        <v>0</v>
      </c>
      <c r="R365" s="14">
        <v>0</v>
      </c>
      <c r="S365" s="17" t="s">
        <v>54</v>
      </c>
      <c r="T365" s="18">
        <v>0</v>
      </c>
      <c r="U365" s="14">
        <v>30</v>
      </c>
      <c r="V365" s="19">
        <v>1</v>
      </c>
      <c r="W365" s="14">
        <v>0</v>
      </c>
      <c r="X365" s="14">
        <v>0</v>
      </c>
      <c r="Y365" s="14">
        <v>0</v>
      </c>
      <c r="Z365" s="14">
        <v>0</v>
      </c>
      <c r="AA365" s="14">
        <f>Tabla13[[#This Row],[CheckList App]]+Tabla13[[#This Row],[CheckList Fisc]]</f>
        <v>0</v>
      </c>
      <c r="AB365" s="19">
        <f t="shared" si="5"/>
        <v>0</v>
      </c>
      <c r="AC365" s="14">
        <v>14</v>
      </c>
      <c r="AD365" s="14" t="s">
        <v>70</v>
      </c>
      <c r="AE365" s="22" t="str">
        <f>IFERROR((VLOOKUP(Tabla13[[#This Row],[ID]],[1]!Mtto_Pesv[[#Headers],[#Data],[Placa]:[Rutina]],2,FALSE)),"-")</f>
        <v>-</v>
      </c>
      <c r="AF365" s="14">
        <v>1</v>
      </c>
      <c r="AG365" s="20">
        <f>IFERROR((VLOOKUP(Tabla13[[#This Row],[ID]],[1]!Mtto_Pesv[[#Headers],[#Data],[Placa]:[Rutina]],3,FALSE)),0)</f>
        <v>0</v>
      </c>
      <c r="AH365" s="20">
        <f>IFERROR((VLOOKUP(Tabla13[[#This Row],[ID]],[1]!Mtto_Pesv[[#Headers],[#Data],[Placa]:[Rutina]],7,FALSE)),0)</f>
        <v>0</v>
      </c>
      <c r="AI365" s="20">
        <f>IFERROR((VLOOKUP(Tabla13[[#This Row],[ID]],[1]!Mtto_Pesv[[#Headers],[#Data],[Placa]:[Rutina]],8,FALSE)),0)</f>
        <v>0</v>
      </c>
      <c r="AJ365" s="20" t="str">
        <f>IFERROR((VLOOKUP(Tabla13[[#This Row],[ID]],[1]!Mtto_Pesv[[#Headers],[#Data],[Placa]:[Rutina]],9,FALSE)),"-")</f>
        <v>-</v>
      </c>
      <c r="AK365" s="20">
        <f>IFERROR((VLOOKUP(Tabla13[[#This Row],[ID]],[1]!Mtto_Pesv[[#Headers],[#Data],[Placa]:[Rutina]],10,FALSE)),0)</f>
        <v>0</v>
      </c>
      <c r="AL365" s="20">
        <f>IF(Tabla13[[#This Row],[Km Anterior]]=0,0,Tabla13[[#This Row],[Km Ejecut]]-Tabla13[[#This Row],[Km Anterior]])</f>
        <v>0</v>
      </c>
      <c r="AM365" s="20">
        <f>IFERROR((VLOOKUP(Tabla13[[#This Row],[ID]],[1]!Mtto_Pesv[[#Headers],[#Data],[Placa]:[Rutina]],4,FALSE)),0)</f>
        <v>0</v>
      </c>
      <c r="AN365" s="21">
        <f>IFERROR((VLOOKUP(Tabla13[[#This Row],[ID]],[1]!Mtto_Pesv[[#Headers],[#Data],[Placa]:[Rutina]],5,FALSE)),0)</f>
        <v>0</v>
      </c>
      <c r="AO365" s="21">
        <f>+Tabla13[[#This Row],[Km Fin]]-Tabla13[[#This Row],[Km Ini]]</f>
        <v>0</v>
      </c>
      <c r="AP365" s="20">
        <f>IFERROR((VLOOKUP(Tabla13[[#This Row],[ID]],[1]!Estilo_Conduccion[[#All],[Placa]:[Puntuacion]],15,FALSE)),0)</f>
        <v>0</v>
      </c>
      <c r="AQ365" s="15" t="s">
        <v>54</v>
      </c>
      <c r="AR365" s="15" t="s">
        <v>54</v>
      </c>
      <c r="AS365" s="20">
        <v>2450</v>
      </c>
      <c r="AT365" s="21">
        <v>0</v>
      </c>
      <c r="AU365" s="21">
        <f>(Tabla13[[#This Row],[Cap Vh]]*$AX$2)*0.56</f>
        <v>0</v>
      </c>
      <c r="AV365" s="36" t="e">
        <f>(Tabla13[[#This Row],[Cap Util (kg)]]/(Tabla13[[#This Row],[Cap Inst (Kg)]]))</f>
        <v>#DIV/0!</v>
      </c>
    </row>
    <row r="366" spans="1:48" x14ac:dyDescent="0.25">
      <c r="A366" s="13" t="s">
        <v>1068</v>
      </c>
      <c r="B366" s="14" t="s">
        <v>541</v>
      </c>
      <c r="C366" s="14" t="s">
        <v>44</v>
      </c>
      <c r="D366" s="14" t="s">
        <v>44</v>
      </c>
      <c r="E366" s="14" t="s">
        <v>45</v>
      </c>
      <c r="F366" s="14" t="s">
        <v>46</v>
      </c>
      <c r="G366" s="15" t="s">
        <v>47</v>
      </c>
      <c r="H366" s="16" t="s">
        <v>48</v>
      </c>
      <c r="I366" s="14" t="s">
        <v>49</v>
      </c>
      <c r="J366" s="14">
        <v>830064700</v>
      </c>
      <c r="K366" s="14" t="s">
        <v>50</v>
      </c>
      <c r="L366" s="14" t="s">
        <v>103</v>
      </c>
      <c r="M366" s="14" t="s">
        <v>121</v>
      </c>
      <c r="N366" s="14">
        <v>2015</v>
      </c>
      <c r="O366" s="14">
        <v>5</v>
      </c>
      <c r="P366" s="14" t="s">
        <v>53</v>
      </c>
      <c r="Q366" s="14">
        <v>1</v>
      </c>
      <c r="R366" s="14">
        <v>0</v>
      </c>
      <c r="S366" s="17" t="s">
        <v>54</v>
      </c>
      <c r="T366" s="18">
        <v>0</v>
      </c>
      <c r="U366" s="14">
        <v>30</v>
      </c>
      <c r="V366" s="19">
        <v>1</v>
      </c>
      <c r="W366" s="14">
        <v>0</v>
      </c>
      <c r="X366" s="14">
        <v>26</v>
      </c>
      <c r="Y366" s="14">
        <v>3</v>
      </c>
      <c r="Z366" s="14">
        <v>0</v>
      </c>
      <c r="AA366" s="14">
        <f>Tabla13[[#This Row],[CheckList App]]+Tabla13[[#This Row],[CheckList Fisc]]</f>
        <v>3</v>
      </c>
      <c r="AB366" s="19">
        <f t="shared" si="5"/>
        <v>0.11538461538461539</v>
      </c>
      <c r="AC366" s="14">
        <v>0</v>
      </c>
      <c r="AD366" s="14" t="s">
        <v>70</v>
      </c>
      <c r="AE366" s="15" t="str">
        <f>IFERROR((VLOOKUP(Tabla13[[#This Row],[ID]],[1]!Mtto_Pesv[[#Headers],[#Data],[Placa]:[Rutina]],2,FALSE)),"-")</f>
        <v>-</v>
      </c>
      <c r="AF366" s="14">
        <v>1</v>
      </c>
      <c r="AG366" s="20">
        <f>IFERROR((VLOOKUP(Tabla13[[#This Row],[ID]],[1]!Mtto_Pesv[[#Headers],[#Data],[Placa]:[Rutina]],3,FALSE)),0)</f>
        <v>0</v>
      </c>
      <c r="AH366" s="20">
        <f>IFERROR((VLOOKUP(Tabla13[[#This Row],[ID]],[1]!Mtto_Pesv[[#Headers],[#Data],[Placa]:[Rutina]],7,FALSE)),0)</f>
        <v>0</v>
      </c>
      <c r="AI366" s="20">
        <f>IFERROR((VLOOKUP(Tabla13[[#This Row],[ID]],[1]!Mtto_Pesv[[#Headers],[#Data],[Placa]:[Rutina]],8,FALSE)),0)</f>
        <v>0</v>
      </c>
      <c r="AJ366" s="20" t="str">
        <f>IFERROR((VLOOKUP(Tabla13[[#This Row],[ID]],[1]!Mtto_Pesv[[#Headers],[#Data],[Placa]:[Rutina]],9,FALSE)),"-")</f>
        <v>-</v>
      </c>
      <c r="AK366" s="20">
        <f>IFERROR((VLOOKUP(Tabla13[[#This Row],[ID]],[1]!Mtto_Pesv[[#Headers],[#Data],[Placa]:[Rutina]],10,FALSE)),0)</f>
        <v>0</v>
      </c>
      <c r="AL366" s="20">
        <f>IF(Tabla13[[#This Row],[Km Anterior]]=0,0,Tabla13[[#This Row],[Km Ejecut]]-Tabla13[[#This Row],[Km Anterior]])</f>
        <v>0</v>
      </c>
      <c r="AM366" s="20">
        <f>IFERROR((VLOOKUP(Tabla13[[#This Row],[ID]],[1]!Mtto_Pesv[[#Headers],[#Data],[Placa]:[Rutina]],4,FALSE)),0)</f>
        <v>0</v>
      </c>
      <c r="AN366" s="21">
        <f>IFERROR((VLOOKUP(Tabla13[[#This Row],[ID]],[1]!Mtto_Pesv[[#Headers],[#Data],[Placa]:[Rutina]],5,FALSE)),0)</f>
        <v>0</v>
      </c>
      <c r="AO366" s="21">
        <f>+Tabla13[[#This Row],[Km Fin]]-Tabla13[[#This Row],[Km Ini]]</f>
        <v>0</v>
      </c>
      <c r="AP366" s="20">
        <f>IFERROR((VLOOKUP(Tabla13[[#This Row],[ID]],[1]!Estilo_Conduccion[[#All],[Placa]:[Puntuacion]],15,FALSE)),0)</f>
        <v>294.39999999999998</v>
      </c>
      <c r="AQ366" s="15" t="s">
        <v>1084</v>
      </c>
      <c r="AR366" s="15" t="s">
        <v>1085</v>
      </c>
      <c r="AS366" s="20">
        <v>2500</v>
      </c>
      <c r="AT366" s="21">
        <v>4974.8571428571431</v>
      </c>
      <c r="AU366" s="21">
        <f>(Tabla13[[#This Row],[Cap Vh]]*$AX$2)*0.56</f>
        <v>0</v>
      </c>
      <c r="AV366" s="36" t="e">
        <f>(Tabla13[[#This Row],[Cap Util (kg)]]/(Tabla13[[#This Row],[Cap Inst (Kg)]]))</f>
        <v>#DIV/0!</v>
      </c>
    </row>
    <row r="367" spans="1:48" x14ac:dyDescent="0.25">
      <c r="A367" s="13" t="s">
        <v>1068</v>
      </c>
      <c r="B367" s="14" t="s">
        <v>542</v>
      </c>
      <c r="C367" s="14" t="s">
        <v>44</v>
      </c>
      <c r="D367" s="14" t="s">
        <v>44</v>
      </c>
      <c r="E367" s="14" t="s">
        <v>45</v>
      </c>
      <c r="F367" s="14" t="s">
        <v>64</v>
      </c>
      <c r="G367" s="15" t="s">
        <v>119</v>
      </c>
      <c r="H367" s="16" t="s">
        <v>120</v>
      </c>
      <c r="I367" s="14" t="s">
        <v>177</v>
      </c>
      <c r="J367" s="14">
        <v>830064700</v>
      </c>
      <c r="K367" s="14" t="s">
        <v>50</v>
      </c>
      <c r="L367" s="14" t="s">
        <v>103</v>
      </c>
      <c r="M367" s="14" t="s">
        <v>153</v>
      </c>
      <c r="N367" s="14">
        <v>2015</v>
      </c>
      <c r="O367" s="14">
        <v>5</v>
      </c>
      <c r="P367" s="14" t="s">
        <v>53</v>
      </c>
      <c r="Q367" s="14">
        <v>1</v>
      </c>
      <c r="R367" s="14">
        <v>1</v>
      </c>
      <c r="S367" s="17">
        <v>44834.309791666667</v>
      </c>
      <c r="T367" s="18">
        <v>212.35599999999999</v>
      </c>
      <c r="U367" s="14">
        <v>0</v>
      </c>
      <c r="V367" s="19">
        <v>0.8666666666666667</v>
      </c>
      <c r="W367" s="14">
        <v>0</v>
      </c>
      <c r="X367" s="14">
        <v>26</v>
      </c>
      <c r="Y367" s="14">
        <v>15</v>
      </c>
      <c r="Z367" s="14">
        <v>0</v>
      </c>
      <c r="AA367" s="14">
        <f>Tabla13[[#This Row],[CheckList App]]+Tabla13[[#This Row],[CheckList Fisc]]</f>
        <v>15</v>
      </c>
      <c r="AB367" s="19" t="str">
        <f t="shared" si="5"/>
        <v/>
      </c>
      <c r="AC367" s="14">
        <v>0</v>
      </c>
      <c r="AD367" s="14" t="s">
        <v>70</v>
      </c>
      <c r="AE367" s="22" t="str">
        <f>IFERROR((VLOOKUP(Tabla13[[#This Row],[ID]],[1]!Mtto_Pesv[[#Headers],[#Data],[Placa]:[Rutina]],2,FALSE)),"-")</f>
        <v>-</v>
      </c>
      <c r="AF367" s="14">
        <v>1</v>
      </c>
      <c r="AG367" s="20">
        <f>IFERROR((VLOOKUP(Tabla13[[#This Row],[ID]],[1]!Mtto_Pesv[[#Headers],[#Data],[Placa]:[Rutina]],3,FALSE)),0)</f>
        <v>0</v>
      </c>
      <c r="AH367" s="20">
        <f>IFERROR((VLOOKUP(Tabla13[[#This Row],[ID]],[1]!Mtto_Pesv[[#Headers],[#Data],[Placa]:[Rutina]],7,FALSE)),0)</f>
        <v>0</v>
      </c>
      <c r="AI367" s="20">
        <f>IFERROR((VLOOKUP(Tabla13[[#This Row],[ID]],[1]!Mtto_Pesv[[#Headers],[#Data],[Placa]:[Rutina]],8,FALSE)),0)</f>
        <v>0</v>
      </c>
      <c r="AJ367" s="20" t="str">
        <f>IFERROR((VLOOKUP(Tabla13[[#This Row],[ID]],[1]!Mtto_Pesv[[#Headers],[#Data],[Placa]:[Rutina]],9,FALSE)),"-")</f>
        <v>-</v>
      </c>
      <c r="AK367" s="20">
        <f>IFERROR((VLOOKUP(Tabla13[[#This Row],[ID]],[1]!Mtto_Pesv[[#Headers],[#Data],[Placa]:[Rutina]],10,FALSE)),0)</f>
        <v>0</v>
      </c>
      <c r="AL367" s="20">
        <f>IF(Tabla13[[#This Row],[Km Anterior]]=0,0,Tabla13[[#This Row],[Km Ejecut]]-Tabla13[[#This Row],[Km Anterior]])</f>
        <v>0</v>
      </c>
      <c r="AM367" s="20">
        <f>IFERROR((VLOOKUP(Tabla13[[#This Row],[ID]],[1]!Mtto_Pesv[[#Headers],[#Data],[Placa]:[Rutina]],4,FALSE)),0)</f>
        <v>0</v>
      </c>
      <c r="AN367" s="21">
        <f>IFERROR((VLOOKUP(Tabla13[[#This Row],[ID]],[1]!Mtto_Pesv[[#Headers],[#Data],[Placa]:[Rutina]],5,FALSE)),0)</f>
        <v>0</v>
      </c>
      <c r="AO367" s="21">
        <f>+Tabla13[[#This Row],[Km Fin]]-Tabla13[[#This Row],[Km Ini]]</f>
        <v>0</v>
      </c>
      <c r="AP367" s="20">
        <f>IFERROR((VLOOKUP(Tabla13[[#This Row],[ID]],[1]!Estilo_Conduccion[[#All],[Placa]:[Puntuacion]],15,FALSE)),0)</f>
        <v>104.30000000000001</v>
      </c>
      <c r="AQ367" s="15" t="s">
        <v>54</v>
      </c>
      <c r="AR367" s="15" t="s">
        <v>54</v>
      </c>
      <c r="AS367" s="20">
        <v>4200</v>
      </c>
      <c r="AT367" s="21">
        <v>0</v>
      </c>
      <c r="AU367" s="21">
        <f>(Tabla13[[#This Row],[Cap Vh]]*$AX$2)*0.56</f>
        <v>0</v>
      </c>
      <c r="AV367" s="36" t="e">
        <f>(Tabla13[[#This Row],[Cap Util (kg)]]/(Tabla13[[#This Row],[Cap Inst (Kg)]]))</f>
        <v>#DIV/0!</v>
      </c>
    </row>
    <row r="368" spans="1:48" x14ac:dyDescent="0.25">
      <c r="A368" s="13" t="s">
        <v>1068</v>
      </c>
      <c r="B368" s="14" t="s">
        <v>543</v>
      </c>
      <c r="C368" s="14" t="s">
        <v>44</v>
      </c>
      <c r="D368" s="14" t="s">
        <v>44</v>
      </c>
      <c r="E368" s="14" t="s">
        <v>45</v>
      </c>
      <c r="F368" s="14" t="s">
        <v>46</v>
      </c>
      <c r="G368" s="15" t="s">
        <v>47</v>
      </c>
      <c r="H368" s="16" t="s">
        <v>48</v>
      </c>
      <c r="I368" s="14" t="s">
        <v>49</v>
      </c>
      <c r="J368" s="14">
        <v>830064700</v>
      </c>
      <c r="K368" s="14" t="s">
        <v>50</v>
      </c>
      <c r="L368" s="14" t="s">
        <v>103</v>
      </c>
      <c r="M368" s="14" t="s">
        <v>121</v>
      </c>
      <c r="N368" s="14">
        <v>2015</v>
      </c>
      <c r="O368" s="14">
        <v>5</v>
      </c>
      <c r="P368" s="14" t="s">
        <v>53</v>
      </c>
      <c r="Q368" s="14">
        <v>1</v>
      </c>
      <c r="R368" s="14">
        <v>0</v>
      </c>
      <c r="S368" s="17" t="s">
        <v>54</v>
      </c>
      <c r="T368" s="18">
        <v>0</v>
      </c>
      <c r="U368" s="14">
        <v>30</v>
      </c>
      <c r="V368" s="19">
        <v>1</v>
      </c>
      <c r="W368" s="14">
        <v>0</v>
      </c>
      <c r="X368" s="14">
        <v>0</v>
      </c>
      <c r="Y368" s="14">
        <v>0</v>
      </c>
      <c r="Z368" s="14">
        <v>0</v>
      </c>
      <c r="AA368" s="14">
        <f>Tabla13[[#This Row],[CheckList App]]+Tabla13[[#This Row],[CheckList Fisc]]</f>
        <v>0</v>
      </c>
      <c r="AB368" s="19">
        <f t="shared" si="5"/>
        <v>0</v>
      </c>
      <c r="AC368" s="14">
        <v>0</v>
      </c>
      <c r="AD368" s="14" t="s">
        <v>55</v>
      </c>
      <c r="AE368" s="15" t="str">
        <f>IFERROR((VLOOKUP(Tabla13[[#This Row],[ID]],[1]!Mtto_Pesv[[#Headers],[#Data],[Placa]:[Rutina]],2,FALSE)),"-")</f>
        <v>-</v>
      </c>
      <c r="AF368" s="14">
        <v>0</v>
      </c>
      <c r="AG368" s="20">
        <f>IFERROR((VLOOKUP(Tabla13[[#This Row],[ID]],[1]!Mtto_Pesv[[#Headers],[#Data],[Placa]:[Rutina]],3,FALSE)),0)</f>
        <v>0</v>
      </c>
      <c r="AH368" s="20">
        <f>IFERROR((VLOOKUP(Tabla13[[#This Row],[ID]],[1]!Mtto_Pesv[[#Headers],[#Data],[Placa]:[Rutina]],7,FALSE)),0)</f>
        <v>0</v>
      </c>
      <c r="AI368" s="20">
        <f>IFERROR((VLOOKUP(Tabla13[[#This Row],[ID]],[1]!Mtto_Pesv[[#Headers],[#Data],[Placa]:[Rutina]],8,FALSE)),0)</f>
        <v>0</v>
      </c>
      <c r="AJ368" s="20" t="str">
        <f>IFERROR((VLOOKUP(Tabla13[[#This Row],[ID]],[1]!Mtto_Pesv[[#Headers],[#Data],[Placa]:[Rutina]],9,FALSE)),"-")</f>
        <v>-</v>
      </c>
      <c r="AK368" s="20">
        <f>IFERROR((VLOOKUP(Tabla13[[#This Row],[ID]],[1]!Mtto_Pesv[[#Headers],[#Data],[Placa]:[Rutina]],10,FALSE)),0)</f>
        <v>0</v>
      </c>
      <c r="AL368" s="20">
        <f>IF(Tabla13[[#This Row],[Km Anterior]]=0,0,Tabla13[[#This Row],[Km Ejecut]]-Tabla13[[#This Row],[Km Anterior]])</f>
        <v>0</v>
      </c>
      <c r="AM368" s="20">
        <f>IFERROR((VLOOKUP(Tabla13[[#This Row],[ID]],[1]!Mtto_Pesv[[#Headers],[#Data],[Placa]:[Rutina]],4,FALSE)),0)</f>
        <v>0</v>
      </c>
      <c r="AN368" s="21">
        <f>IFERROR((VLOOKUP(Tabla13[[#This Row],[ID]],[1]!Mtto_Pesv[[#Headers],[#Data],[Placa]:[Rutina]],5,FALSE)),0)</f>
        <v>0</v>
      </c>
      <c r="AO368" s="21">
        <f>+Tabla13[[#This Row],[Km Fin]]-Tabla13[[#This Row],[Km Ini]]</f>
        <v>0</v>
      </c>
      <c r="AP368" s="20">
        <f>IFERROR((VLOOKUP(Tabla13[[#This Row],[ID]],[1]!Estilo_Conduccion[[#All],[Placa]:[Puntuacion]],15,FALSE)),0)</f>
        <v>602.20000000000005</v>
      </c>
      <c r="AQ368" s="15" t="s">
        <v>1076</v>
      </c>
      <c r="AR368" s="15" t="s">
        <v>1077</v>
      </c>
      <c r="AS368" s="20">
        <v>2500</v>
      </c>
      <c r="AT368" s="21">
        <v>5065.7142857142853</v>
      </c>
      <c r="AU368" s="21">
        <f>(Tabla13[[#This Row],[Cap Vh]]*$AX$2)*0.56</f>
        <v>0</v>
      </c>
      <c r="AV368" s="36" t="e">
        <f>(Tabla13[[#This Row],[Cap Util (kg)]]/(Tabla13[[#This Row],[Cap Inst (Kg)]]))</f>
        <v>#DIV/0!</v>
      </c>
    </row>
    <row r="369" spans="1:48" x14ac:dyDescent="0.25">
      <c r="A369" s="13" t="s">
        <v>1068</v>
      </c>
      <c r="B369" s="14" t="s">
        <v>544</v>
      </c>
      <c r="C369" s="14" t="s">
        <v>44</v>
      </c>
      <c r="D369" s="14" t="s">
        <v>44</v>
      </c>
      <c r="E369" s="14" t="s">
        <v>45</v>
      </c>
      <c r="F369" s="14" t="s">
        <v>76</v>
      </c>
      <c r="G369" s="15" t="s">
        <v>89</v>
      </c>
      <c r="H369" s="16" t="s">
        <v>90</v>
      </c>
      <c r="I369" s="14" t="s">
        <v>109</v>
      </c>
      <c r="J369" s="14">
        <v>830064700</v>
      </c>
      <c r="K369" s="14" t="s">
        <v>50</v>
      </c>
      <c r="L369" s="14" t="s">
        <v>103</v>
      </c>
      <c r="M369" s="14" t="s">
        <v>110</v>
      </c>
      <c r="N369" s="14">
        <v>2016</v>
      </c>
      <c r="O369" s="14">
        <v>4</v>
      </c>
      <c r="P369" s="14" t="s">
        <v>105</v>
      </c>
      <c r="Q369" s="14">
        <v>0</v>
      </c>
      <c r="R369" s="14">
        <v>0</v>
      </c>
      <c r="S369" s="17" t="s">
        <v>54</v>
      </c>
      <c r="T369" s="18">
        <v>0</v>
      </c>
      <c r="U369" s="14">
        <v>0</v>
      </c>
      <c r="V369" s="19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f>Tabla13[[#This Row],[CheckList App]]+Tabla13[[#This Row],[CheckList Fisc]]</f>
        <v>0</v>
      </c>
      <c r="AB369" s="19" t="str">
        <f t="shared" si="5"/>
        <v/>
      </c>
      <c r="AC369" s="14">
        <v>0</v>
      </c>
      <c r="AD369" s="14" t="s">
        <v>55</v>
      </c>
      <c r="AE369" s="15" t="str">
        <f>IFERROR((VLOOKUP(Tabla13[[#This Row],[ID]],[1]!Mtto_Pesv[[#Headers],[#Data],[Placa]:[Rutina]],2,FALSE)),"-")</f>
        <v>-</v>
      </c>
      <c r="AF369" s="14">
        <v>0</v>
      </c>
      <c r="AG369" s="20">
        <f>IFERROR((VLOOKUP(Tabla13[[#This Row],[ID]],[1]!Mtto_Pesv[[#Headers],[#Data],[Placa]:[Rutina]],3,FALSE)),0)</f>
        <v>0</v>
      </c>
      <c r="AH369" s="20">
        <f>IFERROR((VLOOKUP(Tabla13[[#This Row],[ID]],[1]!Mtto_Pesv[[#Headers],[#Data],[Placa]:[Rutina]],7,FALSE)),0)</f>
        <v>0</v>
      </c>
      <c r="AI369" s="20">
        <f>IFERROR((VLOOKUP(Tabla13[[#This Row],[ID]],[1]!Mtto_Pesv[[#Headers],[#Data],[Placa]:[Rutina]],8,FALSE)),0)</f>
        <v>0</v>
      </c>
      <c r="AJ369" s="20" t="str">
        <f>IFERROR((VLOOKUP(Tabla13[[#This Row],[ID]],[1]!Mtto_Pesv[[#Headers],[#Data],[Placa]:[Rutina]],9,FALSE)),"-")</f>
        <v>-</v>
      </c>
      <c r="AK369" s="20">
        <f>IFERROR((VLOOKUP(Tabla13[[#This Row],[ID]],[1]!Mtto_Pesv[[#Headers],[#Data],[Placa]:[Rutina]],10,FALSE)),0)</f>
        <v>0</v>
      </c>
      <c r="AL369" s="20">
        <f>IF(Tabla13[[#This Row],[Km Anterior]]=0,0,Tabla13[[#This Row],[Km Ejecut]]-Tabla13[[#This Row],[Km Anterior]])</f>
        <v>0</v>
      </c>
      <c r="AM369" s="20">
        <f>IFERROR((VLOOKUP(Tabla13[[#This Row],[ID]],[1]!Mtto_Pesv[[#Headers],[#Data],[Placa]:[Rutina]],4,FALSE)),0)</f>
        <v>0</v>
      </c>
      <c r="AN369" s="21">
        <f>IFERROR((VLOOKUP(Tabla13[[#This Row],[ID]],[1]!Mtto_Pesv[[#Headers],[#Data],[Placa]:[Rutina]],5,FALSE)),0)</f>
        <v>0</v>
      </c>
      <c r="AO369" s="21">
        <f>+Tabla13[[#This Row],[Km Fin]]-Tabla13[[#This Row],[Km Ini]]</f>
        <v>0</v>
      </c>
      <c r="AP369" s="20">
        <f>IFERROR((VLOOKUP(Tabla13[[#This Row],[ID]],[1]!Estilo_Conduccion[[#All],[Placa]:[Puntuacion]],15,FALSE)),0)</f>
        <v>0</v>
      </c>
      <c r="AQ369" s="15" t="s">
        <v>1141</v>
      </c>
      <c r="AR369" s="15" t="s">
        <v>1142</v>
      </c>
      <c r="AS369" s="20">
        <v>8550</v>
      </c>
      <c r="AT369" s="21">
        <v>525.75</v>
      </c>
      <c r="AU369" s="21">
        <f>(Tabla13[[#This Row],[Cap Vh]]*$AX$2)*0.56</f>
        <v>0</v>
      </c>
      <c r="AV369" s="36" t="e">
        <f>(Tabla13[[#This Row],[Cap Util (kg)]]/(Tabla13[[#This Row],[Cap Inst (Kg)]]))</f>
        <v>#DIV/0!</v>
      </c>
    </row>
    <row r="370" spans="1:48" x14ac:dyDescent="0.25">
      <c r="A370" s="13" t="s">
        <v>1068</v>
      </c>
      <c r="B370" s="14" t="s">
        <v>545</v>
      </c>
      <c r="C370" s="14" t="s">
        <v>44</v>
      </c>
      <c r="D370" s="14" t="s">
        <v>44</v>
      </c>
      <c r="E370" s="14" t="s">
        <v>45</v>
      </c>
      <c r="F370" s="14" t="s">
        <v>76</v>
      </c>
      <c r="G370" s="15" t="s">
        <v>47</v>
      </c>
      <c r="H370" s="16" t="s">
        <v>48</v>
      </c>
      <c r="I370" s="14" t="s">
        <v>49</v>
      </c>
      <c r="J370" s="14">
        <v>830064700</v>
      </c>
      <c r="K370" s="14" t="s">
        <v>50</v>
      </c>
      <c r="L370" s="14" t="s">
        <v>103</v>
      </c>
      <c r="M370" s="14" t="s">
        <v>121</v>
      </c>
      <c r="N370" s="14">
        <v>2017</v>
      </c>
      <c r="O370" s="14">
        <v>3</v>
      </c>
      <c r="P370" s="14" t="s">
        <v>105</v>
      </c>
      <c r="Q370" s="14">
        <v>0</v>
      </c>
      <c r="R370" s="14">
        <v>0</v>
      </c>
      <c r="S370" s="17" t="s">
        <v>54</v>
      </c>
      <c r="T370" s="18">
        <v>0</v>
      </c>
      <c r="U370" s="14">
        <v>0</v>
      </c>
      <c r="V370" s="19">
        <v>1</v>
      </c>
      <c r="W370" s="14">
        <v>0</v>
      </c>
      <c r="X370" s="14">
        <v>0</v>
      </c>
      <c r="Y370" s="14">
        <v>0</v>
      </c>
      <c r="Z370" s="14">
        <v>0</v>
      </c>
      <c r="AA370" s="14">
        <f>Tabla13[[#This Row],[CheckList App]]+Tabla13[[#This Row],[CheckList Fisc]]</f>
        <v>0</v>
      </c>
      <c r="AB370" s="19" t="str">
        <f t="shared" si="5"/>
        <v/>
      </c>
      <c r="AC370" s="14">
        <v>0</v>
      </c>
      <c r="AD370" s="14" t="s">
        <v>55</v>
      </c>
      <c r="AE370" s="15" t="str">
        <f>IFERROR((VLOOKUP(Tabla13[[#This Row],[ID]],[1]!Mtto_Pesv[[#Headers],[#Data],[Placa]:[Rutina]],2,FALSE)),"-")</f>
        <v>-</v>
      </c>
      <c r="AF370" s="14">
        <v>0</v>
      </c>
      <c r="AG370" s="20">
        <f>IFERROR((VLOOKUP(Tabla13[[#This Row],[ID]],[1]!Mtto_Pesv[[#Headers],[#Data],[Placa]:[Rutina]],3,FALSE)),0)</f>
        <v>0</v>
      </c>
      <c r="AH370" s="20">
        <f>IFERROR((VLOOKUP(Tabla13[[#This Row],[ID]],[1]!Mtto_Pesv[[#Headers],[#Data],[Placa]:[Rutina]],7,FALSE)),0)</f>
        <v>0</v>
      </c>
      <c r="AI370" s="20">
        <f>IFERROR((VLOOKUP(Tabla13[[#This Row],[ID]],[1]!Mtto_Pesv[[#Headers],[#Data],[Placa]:[Rutina]],8,FALSE)),0)</f>
        <v>0</v>
      </c>
      <c r="AJ370" s="20" t="str">
        <f>IFERROR((VLOOKUP(Tabla13[[#This Row],[ID]],[1]!Mtto_Pesv[[#Headers],[#Data],[Placa]:[Rutina]],9,FALSE)),"-")</f>
        <v>-</v>
      </c>
      <c r="AK370" s="20">
        <f>IFERROR((VLOOKUP(Tabla13[[#This Row],[ID]],[1]!Mtto_Pesv[[#Headers],[#Data],[Placa]:[Rutina]],10,FALSE)),0)</f>
        <v>0</v>
      </c>
      <c r="AL370" s="20">
        <f>IF(Tabla13[[#This Row],[Km Anterior]]=0,0,Tabla13[[#This Row],[Km Ejecut]]-Tabla13[[#This Row],[Km Anterior]])</f>
        <v>0</v>
      </c>
      <c r="AM370" s="20">
        <f>IFERROR((VLOOKUP(Tabla13[[#This Row],[ID]],[1]!Mtto_Pesv[[#Headers],[#Data],[Placa]:[Rutina]],4,FALSE)),0)</f>
        <v>0</v>
      </c>
      <c r="AN370" s="21">
        <f>IFERROR((VLOOKUP(Tabla13[[#This Row],[ID]],[1]!Mtto_Pesv[[#Headers],[#Data],[Placa]:[Rutina]],5,FALSE)),0)</f>
        <v>0</v>
      </c>
      <c r="AO370" s="21">
        <f>+Tabla13[[#This Row],[Km Fin]]-Tabla13[[#This Row],[Km Ini]]</f>
        <v>0</v>
      </c>
      <c r="AP370" s="20">
        <f>IFERROR((VLOOKUP(Tabla13[[#This Row],[ID]],[1]!Estilo_Conduccion[[#All],[Placa]:[Puntuacion]],15,FALSE)),0)</f>
        <v>0</v>
      </c>
      <c r="AQ370" s="15" t="s">
        <v>1189</v>
      </c>
      <c r="AR370" s="15" t="s">
        <v>1190</v>
      </c>
      <c r="AS370" s="20">
        <v>2450</v>
      </c>
      <c r="AT370" s="21">
        <v>5104.5</v>
      </c>
      <c r="AU370" s="21">
        <f>(Tabla13[[#This Row],[Cap Vh]]*$AX$2)*0.56</f>
        <v>0</v>
      </c>
      <c r="AV370" s="36" t="e">
        <f>(Tabla13[[#This Row],[Cap Util (kg)]]/(Tabla13[[#This Row],[Cap Inst (Kg)]]))</f>
        <v>#DIV/0!</v>
      </c>
    </row>
    <row r="371" spans="1:48" x14ac:dyDescent="0.25">
      <c r="A371" s="13" t="s">
        <v>1068</v>
      </c>
      <c r="B371" s="14" t="s">
        <v>546</v>
      </c>
      <c r="C371" s="14" t="s">
        <v>44</v>
      </c>
      <c r="D371" s="14" t="s">
        <v>44</v>
      </c>
      <c r="E371" s="14" t="s">
        <v>127</v>
      </c>
      <c r="F371" s="14" t="s">
        <v>64</v>
      </c>
      <c r="G371" s="15" t="s">
        <v>119</v>
      </c>
      <c r="H371" s="16" t="s">
        <v>120</v>
      </c>
      <c r="I371" s="14" t="s">
        <v>109</v>
      </c>
      <c r="J371" s="14">
        <v>830064700</v>
      </c>
      <c r="K371" s="14" t="s">
        <v>50</v>
      </c>
      <c r="L371" s="14" t="s">
        <v>103</v>
      </c>
      <c r="M371" s="14" t="s">
        <v>121</v>
      </c>
      <c r="N371" s="14">
        <v>2018</v>
      </c>
      <c r="O371" s="14">
        <v>2</v>
      </c>
      <c r="P371" s="14" t="s">
        <v>105</v>
      </c>
      <c r="Q371" s="14">
        <v>1</v>
      </c>
      <c r="R371" s="14">
        <v>1</v>
      </c>
      <c r="S371" s="17">
        <v>44834.928344907406</v>
      </c>
      <c r="T371" s="18">
        <v>336.57899999999995</v>
      </c>
      <c r="U371" s="14">
        <v>30</v>
      </c>
      <c r="V371" s="19">
        <v>1</v>
      </c>
      <c r="W371" s="14">
        <v>0</v>
      </c>
      <c r="X371" s="14">
        <v>26</v>
      </c>
      <c r="Y371" s="14">
        <v>24</v>
      </c>
      <c r="Z371" s="14">
        <v>0</v>
      </c>
      <c r="AA371" s="14">
        <f>Tabla13[[#This Row],[CheckList App]]+Tabla13[[#This Row],[CheckList Fisc]]</f>
        <v>24</v>
      </c>
      <c r="AB371" s="19">
        <f t="shared" si="5"/>
        <v>0.92307692307692313</v>
      </c>
      <c r="AC371" s="14">
        <v>0</v>
      </c>
      <c r="AD371" s="14" t="s">
        <v>70</v>
      </c>
      <c r="AE371" s="22" t="str">
        <f>IFERROR((VLOOKUP(Tabla13[[#This Row],[ID]],[1]!Mtto_Pesv[[#Headers],[#Data],[Placa]:[Rutina]],2,FALSE)),"-")</f>
        <v>-</v>
      </c>
      <c r="AF371" s="14">
        <v>1</v>
      </c>
      <c r="AG371" s="20">
        <f>IFERROR((VLOOKUP(Tabla13[[#This Row],[ID]],[1]!Mtto_Pesv[[#Headers],[#Data],[Placa]:[Rutina]],3,FALSE)),0)</f>
        <v>0</v>
      </c>
      <c r="AH371" s="20">
        <f>IFERROR((VLOOKUP(Tabla13[[#This Row],[ID]],[1]!Mtto_Pesv[[#Headers],[#Data],[Placa]:[Rutina]],7,FALSE)),0)</f>
        <v>0</v>
      </c>
      <c r="AI371" s="20">
        <f>IFERROR((VLOOKUP(Tabla13[[#This Row],[ID]],[1]!Mtto_Pesv[[#Headers],[#Data],[Placa]:[Rutina]],8,FALSE)),0)</f>
        <v>0</v>
      </c>
      <c r="AJ371" s="20" t="str">
        <f>IFERROR((VLOOKUP(Tabla13[[#This Row],[ID]],[1]!Mtto_Pesv[[#Headers],[#Data],[Placa]:[Rutina]],9,FALSE)),"-")</f>
        <v>-</v>
      </c>
      <c r="AK371" s="20">
        <f>IFERROR((VLOOKUP(Tabla13[[#This Row],[ID]],[1]!Mtto_Pesv[[#Headers],[#Data],[Placa]:[Rutina]],10,FALSE)),0)</f>
        <v>0</v>
      </c>
      <c r="AL371" s="20">
        <f>IF(Tabla13[[#This Row],[Km Anterior]]=0,0,Tabla13[[#This Row],[Km Ejecut]]-Tabla13[[#This Row],[Km Anterior]])</f>
        <v>0</v>
      </c>
      <c r="AM371" s="20">
        <f>IFERROR((VLOOKUP(Tabla13[[#This Row],[ID]],[1]!Mtto_Pesv[[#Headers],[#Data],[Placa]:[Rutina]],4,FALSE)),0)</f>
        <v>0</v>
      </c>
      <c r="AN371" s="21">
        <f>IFERROR((VLOOKUP(Tabla13[[#This Row],[ID]],[1]!Mtto_Pesv[[#Headers],[#Data],[Placa]:[Rutina]],5,FALSE)),0)</f>
        <v>0</v>
      </c>
      <c r="AO371" s="21">
        <f>+Tabla13[[#This Row],[Km Fin]]-Tabla13[[#This Row],[Km Ini]]</f>
        <v>0</v>
      </c>
      <c r="AP371" s="20">
        <f>IFERROR((VLOOKUP(Tabla13[[#This Row],[ID]],[1]!Estilo_Conduccion[[#All],[Placa]:[Puntuacion]],15,FALSE)),0)</f>
        <v>33580.5</v>
      </c>
      <c r="AQ371" s="15" t="s">
        <v>54</v>
      </c>
      <c r="AR371" s="15" t="s">
        <v>54</v>
      </c>
      <c r="AS371" s="20">
        <v>2350</v>
      </c>
      <c r="AT371" s="21">
        <v>0</v>
      </c>
      <c r="AU371" s="21">
        <f>(Tabla13[[#This Row],[Cap Vh]]*$AX$2)*0.56</f>
        <v>0</v>
      </c>
      <c r="AV371" s="36" t="e">
        <f>(Tabla13[[#This Row],[Cap Util (kg)]]/(Tabla13[[#This Row],[Cap Inst (Kg)]]))</f>
        <v>#DIV/0!</v>
      </c>
    </row>
    <row r="372" spans="1:48" x14ac:dyDescent="0.25">
      <c r="A372" s="13" t="s">
        <v>1068</v>
      </c>
      <c r="B372" s="14" t="s">
        <v>547</v>
      </c>
      <c r="C372" s="14" t="s">
        <v>44</v>
      </c>
      <c r="D372" s="14" t="s">
        <v>44</v>
      </c>
      <c r="E372" s="14" t="s">
        <v>60</v>
      </c>
      <c r="F372" s="14" t="s">
        <v>76</v>
      </c>
      <c r="G372" s="15" t="s">
        <v>89</v>
      </c>
      <c r="H372" s="16" t="s">
        <v>90</v>
      </c>
      <c r="I372" s="14" t="s">
        <v>49</v>
      </c>
      <c r="J372" s="14">
        <v>830064700</v>
      </c>
      <c r="K372" s="14" t="s">
        <v>50</v>
      </c>
      <c r="L372" s="14" t="s">
        <v>103</v>
      </c>
      <c r="M372" s="14" t="s">
        <v>121</v>
      </c>
      <c r="N372" s="14">
        <v>2018</v>
      </c>
      <c r="O372" s="14">
        <v>2</v>
      </c>
      <c r="P372" s="14" t="s">
        <v>105</v>
      </c>
      <c r="Q372" s="14">
        <v>0</v>
      </c>
      <c r="R372" s="14">
        <v>0</v>
      </c>
      <c r="S372" s="17" t="s">
        <v>54</v>
      </c>
      <c r="T372" s="18">
        <v>0</v>
      </c>
      <c r="U372" s="14">
        <v>0</v>
      </c>
      <c r="V372" s="19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f>Tabla13[[#This Row],[CheckList App]]+Tabla13[[#This Row],[CheckList Fisc]]</f>
        <v>0</v>
      </c>
      <c r="AB372" s="19" t="str">
        <f t="shared" si="5"/>
        <v/>
      </c>
      <c r="AC372" s="14">
        <v>0</v>
      </c>
      <c r="AD372" s="14" t="s">
        <v>55</v>
      </c>
      <c r="AE372" s="15" t="str">
        <f>IFERROR((VLOOKUP(Tabla13[[#This Row],[ID]],[1]!Mtto_Pesv[[#Headers],[#Data],[Placa]:[Rutina]],2,FALSE)),"-")</f>
        <v>-</v>
      </c>
      <c r="AF372" s="14">
        <v>0</v>
      </c>
      <c r="AG372" s="20">
        <f>IFERROR((VLOOKUP(Tabla13[[#This Row],[ID]],[1]!Mtto_Pesv[[#Headers],[#Data],[Placa]:[Rutina]],3,FALSE)),0)</f>
        <v>0</v>
      </c>
      <c r="AH372" s="20">
        <f>IFERROR((VLOOKUP(Tabla13[[#This Row],[ID]],[1]!Mtto_Pesv[[#Headers],[#Data],[Placa]:[Rutina]],7,FALSE)),0)</f>
        <v>0</v>
      </c>
      <c r="AI372" s="20">
        <f>IFERROR((VLOOKUP(Tabla13[[#This Row],[ID]],[1]!Mtto_Pesv[[#Headers],[#Data],[Placa]:[Rutina]],8,FALSE)),0)</f>
        <v>0</v>
      </c>
      <c r="AJ372" s="20" t="str">
        <f>IFERROR((VLOOKUP(Tabla13[[#This Row],[ID]],[1]!Mtto_Pesv[[#Headers],[#Data],[Placa]:[Rutina]],9,FALSE)),"-")</f>
        <v>-</v>
      </c>
      <c r="AK372" s="20">
        <f>IFERROR((VLOOKUP(Tabla13[[#This Row],[ID]],[1]!Mtto_Pesv[[#Headers],[#Data],[Placa]:[Rutina]],10,FALSE)),0)</f>
        <v>0</v>
      </c>
      <c r="AL372" s="20">
        <f>IF(Tabla13[[#This Row],[Km Anterior]]=0,0,Tabla13[[#This Row],[Km Ejecut]]-Tabla13[[#This Row],[Km Anterior]])</f>
        <v>0</v>
      </c>
      <c r="AM372" s="20">
        <f>IFERROR((VLOOKUP(Tabla13[[#This Row],[ID]],[1]!Mtto_Pesv[[#Headers],[#Data],[Placa]:[Rutina]],4,FALSE)),0)</f>
        <v>0</v>
      </c>
      <c r="AN372" s="21">
        <f>IFERROR((VLOOKUP(Tabla13[[#This Row],[ID]],[1]!Mtto_Pesv[[#Headers],[#Data],[Placa]:[Rutina]],5,FALSE)),0)</f>
        <v>0</v>
      </c>
      <c r="AO372" s="21">
        <f>+Tabla13[[#This Row],[Km Fin]]-Tabla13[[#This Row],[Km Ini]]</f>
        <v>0</v>
      </c>
      <c r="AP372" s="20">
        <f>IFERROR((VLOOKUP(Tabla13[[#This Row],[ID]],[1]!Estilo_Conduccion[[#All],[Placa]:[Puntuacion]],15,FALSE)),0)</f>
        <v>0</v>
      </c>
      <c r="AQ372" s="15" t="s">
        <v>1082</v>
      </c>
      <c r="AR372" s="15" t="s">
        <v>1083</v>
      </c>
      <c r="AS372" s="20">
        <v>2350</v>
      </c>
      <c r="AT372" s="21">
        <v>2634.1875</v>
      </c>
      <c r="AU372" s="21">
        <f>(Tabla13[[#This Row],[Cap Vh]]*$AX$2)*0.56</f>
        <v>0</v>
      </c>
      <c r="AV372" s="36" t="e">
        <f>(Tabla13[[#This Row],[Cap Util (kg)]]/(Tabla13[[#This Row],[Cap Inst (Kg)]]))</f>
        <v>#DIV/0!</v>
      </c>
    </row>
    <row r="373" spans="1:48" x14ac:dyDescent="0.25">
      <c r="A373" s="13" t="s">
        <v>1068</v>
      </c>
      <c r="B373" s="14" t="s">
        <v>548</v>
      </c>
      <c r="C373" s="14" t="s">
        <v>44</v>
      </c>
      <c r="D373" s="14" t="s">
        <v>44</v>
      </c>
      <c r="E373" s="14" t="s">
        <v>85</v>
      </c>
      <c r="F373" s="14" t="s">
        <v>46</v>
      </c>
      <c r="G373" s="15" t="s">
        <v>47</v>
      </c>
      <c r="H373" s="16" t="s">
        <v>48</v>
      </c>
      <c r="I373" s="14" t="s">
        <v>49</v>
      </c>
      <c r="J373" s="14">
        <v>830064700</v>
      </c>
      <c r="K373" s="14" t="s">
        <v>50</v>
      </c>
      <c r="L373" s="14" t="s">
        <v>103</v>
      </c>
      <c r="M373" s="14" t="s">
        <v>121</v>
      </c>
      <c r="N373" s="14">
        <v>2017</v>
      </c>
      <c r="O373" s="14">
        <v>3</v>
      </c>
      <c r="P373" s="14" t="s">
        <v>105</v>
      </c>
      <c r="Q373" s="14">
        <v>1</v>
      </c>
      <c r="R373" s="14">
        <v>0</v>
      </c>
      <c r="S373" s="17" t="s">
        <v>54</v>
      </c>
      <c r="T373" s="18">
        <v>0</v>
      </c>
      <c r="U373" s="14">
        <v>30</v>
      </c>
      <c r="V373" s="19">
        <v>1</v>
      </c>
      <c r="W373" s="14">
        <v>0</v>
      </c>
      <c r="X373" s="14">
        <v>0</v>
      </c>
      <c r="Y373" s="14">
        <v>0</v>
      </c>
      <c r="Z373" s="14">
        <v>0</v>
      </c>
      <c r="AA373" s="14">
        <f>Tabla13[[#This Row],[CheckList App]]+Tabla13[[#This Row],[CheckList Fisc]]</f>
        <v>0</v>
      </c>
      <c r="AB373" s="19">
        <f t="shared" si="5"/>
        <v>0</v>
      </c>
      <c r="AC373" s="14">
        <v>0</v>
      </c>
      <c r="AD373" s="14" t="s">
        <v>55</v>
      </c>
      <c r="AE373" s="15" t="str">
        <f>IFERROR((VLOOKUP(Tabla13[[#This Row],[ID]],[1]!Mtto_Pesv[[#Headers],[#Data],[Placa]:[Rutina]],2,FALSE)),"-")</f>
        <v>-</v>
      </c>
      <c r="AF373" s="14">
        <v>0</v>
      </c>
      <c r="AG373" s="20">
        <f>IFERROR((VLOOKUP(Tabla13[[#This Row],[ID]],[1]!Mtto_Pesv[[#Headers],[#Data],[Placa]:[Rutina]],3,FALSE)),0)</f>
        <v>0</v>
      </c>
      <c r="AH373" s="20">
        <f>IFERROR((VLOOKUP(Tabla13[[#This Row],[ID]],[1]!Mtto_Pesv[[#Headers],[#Data],[Placa]:[Rutina]],7,FALSE)),0)</f>
        <v>0</v>
      </c>
      <c r="AI373" s="20">
        <f>IFERROR((VLOOKUP(Tabla13[[#This Row],[ID]],[1]!Mtto_Pesv[[#Headers],[#Data],[Placa]:[Rutina]],8,FALSE)),0)</f>
        <v>0</v>
      </c>
      <c r="AJ373" s="20" t="str">
        <f>IFERROR((VLOOKUP(Tabla13[[#This Row],[ID]],[1]!Mtto_Pesv[[#Headers],[#Data],[Placa]:[Rutina]],9,FALSE)),"-")</f>
        <v>-</v>
      </c>
      <c r="AK373" s="20">
        <f>IFERROR((VLOOKUP(Tabla13[[#This Row],[ID]],[1]!Mtto_Pesv[[#Headers],[#Data],[Placa]:[Rutina]],10,FALSE)),0)</f>
        <v>0</v>
      </c>
      <c r="AL373" s="20">
        <f>IF(Tabla13[[#This Row],[Km Anterior]]=0,0,Tabla13[[#This Row],[Km Ejecut]]-Tabla13[[#This Row],[Km Anterior]])</f>
        <v>0</v>
      </c>
      <c r="AM373" s="20">
        <f>IFERROR((VLOOKUP(Tabla13[[#This Row],[ID]],[1]!Mtto_Pesv[[#Headers],[#Data],[Placa]:[Rutina]],4,FALSE)),0)</f>
        <v>0</v>
      </c>
      <c r="AN373" s="21">
        <f>IFERROR((VLOOKUP(Tabla13[[#This Row],[ID]],[1]!Mtto_Pesv[[#Headers],[#Data],[Placa]:[Rutina]],5,FALSE)),0)</f>
        <v>0</v>
      </c>
      <c r="AO373" s="21">
        <f>+Tabla13[[#This Row],[Km Fin]]-Tabla13[[#This Row],[Km Ini]]</f>
        <v>0</v>
      </c>
      <c r="AP373" s="20">
        <f>IFERROR((VLOOKUP(Tabla13[[#This Row],[ID]],[1]!Estilo_Conduccion[[#All],[Placa]:[Puntuacion]],15,FALSE)),0)</f>
        <v>583.4</v>
      </c>
      <c r="AQ373" s="15" t="s">
        <v>1156</v>
      </c>
      <c r="AR373" s="15" t="s">
        <v>1157</v>
      </c>
      <c r="AS373" s="20">
        <v>2450</v>
      </c>
      <c r="AT373" s="21">
        <v>8329.5</v>
      </c>
      <c r="AU373" s="21">
        <f>(Tabla13[[#This Row],[Cap Vh]]*$AX$2)*0.56</f>
        <v>0</v>
      </c>
      <c r="AV373" s="36" t="e">
        <f>(Tabla13[[#This Row],[Cap Util (kg)]]/(Tabla13[[#This Row],[Cap Inst (Kg)]]))</f>
        <v>#DIV/0!</v>
      </c>
    </row>
    <row r="374" spans="1:48" x14ac:dyDescent="0.25">
      <c r="A374" s="13" t="s">
        <v>1068</v>
      </c>
      <c r="B374" s="14" t="s">
        <v>549</v>
      </c>
      <c r="C374" s="14" t="s">
        <v>44</v>
      </c>
      <c r="D374" s="14" t="s">
        <v>44</v>
      </c>
      <c r="E374" s="14" t="s">
        <v>60</v>
      </c>
      <c r="F374" s="14" t="s">
        <v>76</v>
      </c>
      <c r="G374" s="15" t="s">
        <v>89</v>
      </c>
      <c r="H374" s="16" t="s">
        <v>90</v>
      </c>
      <c r="I374" s="14" t="s">
        <v>49</v>
      </c>
      <c r="J374" s="14">
        <v>830064700</v>
      </c>
      <c r="K374" s="14" t="s">
        <v>50</v>
      </c>
      <c r="L374" s="14" t="s">
        <v>103</v>
      </c>
      <c r="M374" s="14" t="s">
        <v>121</v>
      </c>
      <c r="N374" s="14">
        <v>2017</v>
      </c>
      <c r="O374" s="14">
        <v>3</v>
      </c>
      <c r="P374" s="14" t="s">
        <v>105</v>
      </c>
      <c r="Q374" s="14">
        <v>0</v>
      </c>
      <c r="R374" s="14">
        <v>0</v>
      </c>
      <c r="S374" s="17" t="s">
        <v>54</v>
      </c>
      <c r="T374" s="18">
        <v>0</v>
      </c>
      <c r="U374" s="14">
        <v>0</v>
      </c>
      <c r="V374" s="19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f>Tabla13[[#This Row],[CheckList App]]+Tabla13[[#This Row],[CheckList Fisc]]</f>
        <v>0</v>
      </c>
      <c r="AB374" s="19" t="str">
        <f t="shared" si="5"/>
        <v/>
      </c>
      <c r="AC374" s="14">
        <v>0</v>
      </c>
      <c r="AD374" s="14" t="s">
        <v>55</v>
      </c>
      <c r="AE374" s="15" t="str">
        <f>IFERROR((VLOOKUP(Tabla13[[#This Row],[ID]],[1]!Mtto_Pesv[[#Headers],[#Data],[Placa]:[Rutina]],2,FALSE)),"-")</f>
        <v>-</v>
      </c>
      <c r="AF374" s="14">
        <v>0</v>
      </c>
      <c r="AG374" s="20">
        <f>IFERROR((VLOOKUP(Tabla13[[#This Row],[ID]],[1]!Mtto_Pesv[[#Headers],[#Data],[Placa]:[Rutina]],3,FALSE)),0)</f>
        <v>0</v>
      </c>
      <c r="AH374" s="20">
        <f>IFERROR((VLOOKUP(Tabla13[[#This Row],[ID]],[1]!Mtto_Pesv[[#Headers],[#Data],[Placa]:[Rutina]],7,FALSE)),0)</f>
        <v>0</v>
      </c>
      <c r="AI374" s="20">
        <f>IFERROR((VLOOKUP(Tabla13[[#This Row],[ID]],[1]!Mtto_Pesv[[#Headers],[#Data],[Placa]:[Rutina]],8,FALSE)),0)</f>
        <v>0</v>
      </c>
      <c r="AJ374" s="20" t="str">
        <f>IFERROR((VLOOKUP(Tabla13[[#This Row],[ID]],[1]!Mtto_Pesv[[#Headers],[#Data],[Placa]:[Rutina]],9,FALSE)),"-")</f>
        <v>-</v>
      </c>
      <c r="AK374" s="20">
        <f>IFERROR((VLOOKUP(Tabla13[[#This Row],[ID]],[1]!Mtto_Pesv[[#Headers],[#Data],[Placa]:[Rutina]],10,FALSE)),0)</f>
        <v>0</v>
      </c>
      <c r="AL374" s="20">
        <f>IF(Tabla13[[#This Row],[Km Anterior]]=0,0,Tabla13[[#This Row],[Km Ejecut]]-Tabla13[[#This Row],[Km Anterior]])</f>
        <v>0</v>
      </c>
      <c r="AM374" s="20">
        <f>IFERROR((VLOOKUP(Tabla13[[#This Row],[ID]],[1]!Mtto_Pesv[[#Headers],[#Data],[Placa]:[Rutina]],4,FALSE)),0)</f>
        <v>0</v>
      </c>
      <c r="AN374" s="21">
        <f>IFERROR((VLOOKUP(Tabla13[[#This Row],[ID]],[1]!Mtto_Pesv[[#Headers],[#Data],[Placa]:[Rutina]],5,FALSE)),0)</f>
        <v>0</v>
      </c>
      <c r="AO374" s="21">
        <f>+Tabla13[[#This Row],[Km Fin]]-Tabla13[[#This Row],[Km Ini]]</f>
        <v>0</v>
      </c>
      <c r="AP374" s="20">
        <f>IFERROR((VLOOKUP(Tabla13[[#This Row],[ID]],[1]!Estilo_Conduccion[[#All],[Placa]:[Puntuacion]],15,FALSE)),0)</f>
        <v>0</v>
      </c>
      <c r="AQ374" s="15" t="s">
        <v>1082</v>
      </c>
      <c r="AR374" s="15" t="s">
        <v>1083</v>
      </c>
      <c r="AS374" s="20">
        <v>2300</v>
      </c>
      <c r="AT374" s="21">
        <v>2634.1875</v>
      </c>
      <c r="AU374" s="21">
        <f>(Tabla13[[#This Row],[Cap Vh]]*$AX$2)*0.56</f>
        <v>0</v>
      </c>
      <c r="AV374" s="36" t="e">
        <f>(Tabla13[[#This Row],[Cap Util (kg)]]/(Tabla13[[#This Row],[Cap Inst (Kg)]]))</f>
        <v>#DIV/0!</v>
      </c>
    </row>
    <row r="375" spans="1:48" x14ac:dyDescent="0.25">
      <c r="A375" s="13" t="s">
        <v>1068</v>
      </c>
      <c r="B375" s="14" t="s">
        <v>550</v>
      </c>
      <c r="C375" s="14" t="s">
        <v>44</v>
      </c>
      <c r="D375" s="14" t="s">
        <v>44</v>
      </c>
      <c r="E375" s="14" t="s">
        <v>45</v>
      </c>
      <c r="F375" s="14" t="s">
        <v>76</v>
      </c>
      <c r="G375" s="15" t="s">
        <v>89</v>
      </c>
      <c r="H375" s="16" t="s">
        <v>90</v>
      </c>
      <c r="I375" s="14" t="s">
        <v>49</v>
      </c>
      <c r="J375" s="14">
        <v>830064700</v>
      </c>
      <c r="K375" s="14" t="s">
        <v>50</v>
      </c>
      <c r="L375" s="14" t="s">
        <v>103</v>
      </c>
      <c r="M375" s="14" t="s">
        <v>121</v>
      </c>
      <c r="N375" s="14">
        <v>2017</v>
      </c>
      <c r="O375" s="14">
        <v>3</v>
      </c>
      <c r="P375" s="14" t="s">
        <v>105</v>
      </c>
      <c r="Q375" s="14">
        <v>0</v>
      </c>
      <c r="R375" s="14">
        <v>0</v>
      </c>
      <c r="S375" s="17" t="s">
        <v>54</v>
      </c>
      <c r="T375" s="18">
        <v>0</v>
      </c>
      <c r="U375" s="14">
        <v>0</v>
      </c>
      <c r="V375" s="19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f>Tabla13[[#This Row],[CheckList App]]+Tabla13[[#This Row],[CheckList Fisc]]</f>
        <v>0</v>
      </c>
      <c r="AB375" s="19" t="str">
        <f t="shared" si="5"/>
        <v/>
      </c>
      <c r="AC375" s="14">
        <v>0</v>
      </c>
      <c r="AD375" s="14" t="s">
        <v>55</v>
      </c>
      <c r="AE375" s="15" t="str">
        <f>IFERROR((VLOOKUP(Tabla13[[#This Row],[ID]],[1]!Mtto_Pesv[[#Headers],[#Data],[Placa]:[Rutina]],2,FALSE)),"-")</f>
        <v>-</v>
      </c>
      <c r="AF375" s="14">
        <v>0</v>
      </c>
      <c r="AG375" s="20">
        <f>IFERROR((VLOOKUP(Tabla13[[#This Row],[ID]],[1]!Mtto_Pesv[[#Headers],[#Data],[Placa]:[Rutina]],3,FALSE)),0)</f>
        <v>0</v>
      </c>
      <c r="AH375" s="20">
        <f>IFERROR((VLOOKUP(Tabla13[[#This Row],[ID]],[1]!Mtto_Pesv[[#Headers],[#Data],[Placa]:[Rutina]],7,FALSE)),0)</f>
        <v>0</v>
      </c>
      <c r="AI375" s="20">
        <f>IFERROR((VLOOKUP(Tabla13[[#This Row],[ID]],[1]!Mtto_Pesv[[#Headers],[#Data],[Placa]:[Rutina]],8,FALSE)),0)</f>
        <v>0</v>
      </c>
      <c r="AJ375" s="20" t="str">
        <f>IFERROR((VLOOKUP(Tabla13[[#This Row],[ID]],[1]!Mtto_Pesv[[#Headers],[#Data],[Placa]:[Rutina]],9,FALSE)),"-")</f>
        <v>-</v>
      </c>
      <c r="AK375" s="20">
        <f>IFERROR((VLOOKUP(Tabla13[[#This Row],[ID]],[1]!Mtto_Pesv[[#Headers],[#Data],[Placa]:[Rutina]],10,FALSE)),0)</f>
        <v>0</v>
      </c>
      <c r="AL375" s="20">
        <f>IF(Tabla13[[#This Row],[Km Anterior]]=0,0,Tabla13[[#This Row],[Km Ejecut]]-Tabla13[[#This Row],[Km Anterior]])</f>
        <v>0</v>
      </c>
      <c r="AM375" s="20">
        <f>IFERROR((VLOOKUP(Tabla13[[#This Row],[ID]],[1]!Mtto_Pesv[[#Headers],[#Data],[Placa]:[Rutina]],4,FALSE)),0)</f>
        <v>0</v>
      </c>
      <c r="AN375" s="21">
        <f>IFERROR((VLOOKUP(Tabla13[[#This Row],[ID]],[1]!Mtto_Pesv[[#Headers],[#Data],[Placa]:[Rutina]],5,FALSE)),0)</f>
        <v>0</v>
      </c>
      <c r="AO375" s="21">
        <f>+Tabla13[[#This Row],[Km Fin]]-Tabla13[[#This Row],[Km Ini]]</f>
        <v>0</v>
      </c>
      <c r="AP375" s="20">
        <f>IFERROR((VLOOKUP(Tabla13[[#This Row],[ID]],[1]!Estilo_Conduccion[[#All],[Placa]:[Puntuacion]],15,FALSE)),0)</f>
        <v>0</v>
      </c>
      <c r="AQ375" s="15" t="s">
        <v>1141</v>
      </c>
      <c r="AR375" s="15" t="s">
        <v>1142</v>
      </c>
      <c r="AS375" s="20">
        <v>2300</v>
      </c>
      <c r="AT375" s="21">
        <v>525.75</v>
      </c>
      <c r="AU375" s="21">
        <f>(Tabla13[[#This Row],[Cap Vh]]*$AX$2)*0.56</f>
        <v>0</v>
      </c>
      <c r="AV375" s="36" t="e">
        <f>(Tabla13[[#This Row],[Cap Util (kg)]]/(Tabla13[[#This Row],[Cap Inst (Kg)]]))</f>
        <v>#DIV/0!</v>
      </c>
    </row>
    <row r="376" spans="1:48" x14ac:dyDescent="0.25">
      <c r="A376" s="13" t="s">
        <v>1068</v>
      </c>
      <c r="B376" s="14" t="s">
        <v>551</v>
      </c>
      <c r="C376" s="14" t="s">
        <v>44</v>
      </c>
      <c r="D376" s="14" t="s">
        <v>44</v>
      </c>
      <c r="E376" s="14" t="s">
        <v>45</v>
      </c>
      <c r="F376" s="14" t="s">
        <v>76</v>
      </c>
      <c r="G376" s="15" t="s">
        <v>47</v>
      </c>
      <c r="H376" s="16" t="s">
        <v>48</v>
      </c>
      <c r="I376" s="14" t="s">
        <v>49</v>
      </c>
      <c r="J376" s="14">
        <v>830064700</v>
      </c>
      <c r="K376" s="14" t="s">
        <v>50</v>
      </c>
      <c r="L376" s="14" t="s">
        <v>103</v>
      </c>
      <c r="M376" s="14" t="s">
        <v>104</v>
      </c>
      <c r="N376" s="14">
        <v>2017</v>
      </c>
      <c r="O376" s="14">
        <v>3</v>
      </c>
      <c r="P376" s="14" t="s">
        <v>105</v>
      </c>
      <c r="Q376" s="14">
        <v>0</v>
      </c>
      <c r="R376" s="14">
        <v>0</v>
      </c>
      <c r="S376" s="17" t="s">
        <v>54</v>
      </c>
      <c r="T376" s="18">
        <v>0</v>
      </c>
      <c r="U376" s="14">
        <v>30</v>
      </c>
      <c r="V376" s="19">
        <v>1</v>
      </c>
      <c r="W376" s="14">
        <v>0</v>
      </c>
      <c r="X376" s="14">
        <v>0</v>
      </c>
      <c r="Y376" s="14">
        <v>0</v>
      </c>
      <c r="Z376" s="14">
        <v>0</v>
      </c>
      <c r="AA376" s="14">
        <f>Tabla13[[#This Row],[CheckList App]]+Tabla13[[#This Row],[CheckList Fisc]]</f>
        <v>0</v>
      </c>
      <c r="AB376" s="19">
        <f t="shared" si="5"/>
        <v>0</v>
      </c>
      <c r="AC376" s="14">
        <v>0</v>
      </c>
      <c r="AD376" s="14" t="s">
        <v>55</v>
      </c>
      <c r="AE376" s="15" t="str">
        <f>IFERROR((VLOOKUP(Tabla13[[#This Row],[ID]],[1]!Mtto_Pesv[[#Headers],[#Data],[Placa]:[Rutina]],2,FALSE)),"-")</f>
        <v>-</v>
      </c>
      <c r="AF376" s="14">
        <v>0</v>
      </c>
      <c r="AG376" s="20">
        <f>IFERROR((VLOOKUP(Tabla13[[#This Row],[ID]],[1]!Mtto_Pesv[[#Headers],[#Data],[Placa]:[Rutina]],3,FALSE)),0)</f>
        <v>0</v>
      </c>
      <c r="AH376" s="20">
        <f>IFERROR((VLOOKUP(Tabla13[[#This Row],[ID]],[1]!Mtto_Pesv[[#Headers],[#Data],[Placa]:[Rutina]],7,FALSE)),0)</f>
        <v>0</v>
      </c>
      <c r="AI376" s="20">
        <f>IFERROR((VLOOKUP(Tabla13[[#This Row],[ID]],[1]!Mtto_Pesv[[#Headers],[#Data],[Placa]:[Rutina]],8,FALSE)),0)</f>
        <v>0</v>
      </c>
      <c r="AJ376" s="20" t="str">
        <f>IFERROR((VLOOKUP(Tabla13[[#This Row],[ID]],[1]!Mtto_Pesv[[#Headers],[#Data],[Placa]:[Rutina]],9,FALSE)),"-")</f>
        <v>-</v>
      </c>
      <c r="AK376" s="20">
        <f>IFERROR((VLOOKUP(Tabla13[[#This Row],[ID]],[1]!Mtto_Pesv[[#Headers],[#Data],[Placa]:[Rutina]],10,FALSE)),0)</f>
        <v>0</v>
      </c>
      <c r="AL376" s="20">
        <f>IF(Tabla13[[#This Row],[Km Anterior]]=0,0,Tabla13[[#This Row],[Km Ejecut]]-Tabla13[[#This Row],[Km Anterior]])</f>
        <v>0</v>
      </c>
      <c r="AM376" s="20">
        <f>IFERROR((VLOOKUP(Tabla13[[#This Row],[ID]],[1]!Mtto_Pesv[[#Headers],[#Data],[Placa]:[Rutina]],4,FALSE)),0)</f>
        <v>0</v>
      </c>
      <c r="AN376" s="21">
        <f>IFERROR((VLOOKUP(Tabla13[[#This Row],[ID]],[1]!Mtto_Pesv[[#Headers],[#Data],[Placa]:[Rutina]],5,FALSE)),0)</f>
        <v>0</v>
      </c>
      <c r="AO376" s="21">
        <f>+Tabla13[[#This Row],[Km Fin]]-Tabla13[[#This Row],[Km Ini]]</f>
        <v>0</v>
      </c>
      <c r="AP376" s="20">
        <f>IFERROR((VLOOKUP(Tabla13[[#This Row],[ID]],[1]!Estilo_Conduccion[[#All],[Placa]:[Puntuacion]],15,FALSE)),0)</f>
        <v>0</v>
      </c>
      <c r="AQ376" s="15" t="s">
        <v>1139</v>
      </c>
      <c r="AR376" s="15" t="s">
        <v>1140</v>
      </c>
      <c r="AS376" s="20">
        <v>1750</v>
      </c>
      <c r="AT376" s="21">
        <v>7728</v>
      </c>
      <c r="AU376" s="21">
        <f>(Tabla13[[#This Row],[Cap Vh]]*$AX$2)*0.56</f>
        <v>0</v>
      </c>
      <c r="AV376" s="36" t="e">
        <f>(Tabla13[[#This Row],[Cap Util (kg)]]/(Tabla13[[#This Row],[Cap Inst (Kg)]]))</f>
        <v>#DIV/0!</v>
      </c>
    </row>
    <row r="377" spans="1:48" x14ac:dyDescent="0.25">
      <c r="A377" s="13" t="s">
        <v>1068</v>
      </c>
      <c r="B377" s="14" t="s">
        <v>552</v>
      </c>
      <c r="C377" s="14" t="s">
        <v>44</v>
      </c>
      <c r="D377" s="14" t="s">
        <v>44</v>
      </c>
      <c r="E377" s="14" t="s">
        <v>60</v>
      </c>
      <c r="F377" s="14" t="s">
        <v>76</v>
      </c>
      <c r="G377" s="15" t="s">
        <v>89</v>
      </c>
      <c r="H377" s="16" t="s">
        <v>90</v>
      </c>
      <c r="I377" s="14" t="s">
        <v>49</v>
      </c>
      <c r="J377" s="14">
        <v>830064700</v>
      </c>
      <c r="K377" s="14" t="s">
        <v>50</v>
      </c>
      <c r="L377" s="14" t="s">
        <v>103</v>
      </c>
      <c r="M377" s="14" t="s">
        <v>104</v>
      </c>
      <c r="N377" s="14">
        <v>2017</v>
      </c>
      <c r="O377" s="14">
        <v>3</v>
      </c>
      <c r="P377" s="14" t="s">
        <v>105</v>
      </c>
      <c r="Q377" s="14">
        <v>0</v>
      </c>
      <c r="R377" s="14">
        <v>0</v>
      </c>
      <c r="S377" s="17" t="s">
        <v>54</v>
      </c>
      <c r="T377" s="18">
        <v>0</v>
      </c>
      <c r="U377" s="14">
        <v>0</v>
      </c>
      <c r="V377" s="19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f>Tabla13[[#This Row],[CheckList App]]+Tabla13[[#This Row],[CheckList Fisc]]</f>
        <v>0</v>
      </c>
      <c r="AB377" s="19" t="str">
        <f t="shared" si="5"/>
        <v/>
      </c>
      <c r="AC377" s="14">
        <v>0</v>
      </c>
      <c r="AD377" s="14" t="s">
        <v>55</v>
      </c>
      <c r="AE377" s="15" t="str">
        <f>IFERROR((VLOOKUP(Tabla13[[#This Row],[ID]],[1]!Mtto_Pesv[[#Headers],[#Data],[Placa]:[Rutina]],2,FALSE)),"-")</f>
        <v>-</v>
      </c>
      <c r="AF377" s="14">
        <v>0</v>
      </c>
      <c r="AG377" s="20">
        <f>IFERROR((VLOOKUP(Tabla13[[#This Row],[ID]],[1]!Mtto_Pesv[[#Headers],[#Data],[Placa]:[Rutina]],3,FALSE)),0)</f>
        <v>0</v>
      </c>
      <c r="AH377" s="20">
        <f>IFERROR((VLOOKUP(Tabla13[[#This Row],[ID]],[1]!Mtto_Pesv[[#Headers],[#Data],[Placa]:[Rutina]],7,FALSE)),0)</f>
        <v>0</v>
      </c>
      <c r="AI377" s="20">
        <f>IFERROR((VLOOKUP(Tabla13[[#This Row],[ID]],[1]!Mtto_Pesv[[#Headers],[#Data],[Placa]:[Rutina]],8,FALSE)),0)</f>
        <v>0</v>
      </c>
      <c r="AJ377" s="20" t="str">
        <f>IFERROR((VLOOKUP(Tabla13[[#This Row],[ID]],[1]!Mtto_Pesv[[#Headers],[#Data],[Placa]:[Rutina]],9,FALSE)),"-")</f>
        <v>-</v>
      </c>
      <c r="AK377" s="20">
        <f>IFERROR((VLOOKUP(Tabla13[[#This Row],[ID]],[1]!Mtto_Pesv[[#Headers],[#Data],[Placa]:[Rutina]],10,FALSE)),0)</f>
        <v>0</v>
      </c>
      <c r="AL377" s="20">
        <f>IF(Tabla13[[#This Row],[Km Anterior]]=0,0,Tabla13[[#This Row],[Km Ejecut]]-Tabla13[[#This Row],[Km Anterior]])</f>
        <v>0</v>
      </c>
      <c r="AM377" s="20">
        <f>IFERROR((VLOOKUP(Tabla13[[#This Row],[ID]],[1]!Mtto_Pesv[[#Headers],[#Data],[Placa]:[Rutina]],4,FALSE)),0)</f>
        <v>0</v>
      </c>
      <c r="AN377" s="21">
        <f>IFERROR((VLOOKUP(Tabla13[[#This Row],[ID]],[1]!Mtto_Pesv[[#Headers],[#Data],[Placa]:[Rutina]],5,FALSE)),0)</f>
        <v>0</v>
      </c>
      <c r="AO377" s="21">
        <f>+Tabla13[[#This Row],[Km Fin]]-Tabla13[[#This Row],[Km Ini]]</f>
        <v>0</v>
      </c>
      <c r="AP377" s="20">
        <f>IFERROR((VLOOKUP(Tabla13[[#This Row],[ID]],[1]!Estilo_Conduccion[[#All],[Placa]:[Puntuacion]],15,FALSE)),0)</f>
        <v>0</v>
      </c>
      <c r="AQ377" s="15" t="s">
        <v>1082</v>
      </c>
      <c r="AR377" s="15" t="s">
        <v>1083</v>
      </c>
      <c r="AS377" s="20">
        <v>1750</v>
      </c>
      <c r="AT377" s="21">
        <v>2634.1875</v>
      </c>
      <c r="AU377" s="21">
        <f>(Tabla13[[#This Row],[Cap Vh]]*$AX$2)*0.56</f>
        <v>0</v>
      </c>
      <c r="AV377" s="36" t="e">
        <f>(Tabla13[[#This Row],[Cap Util (kg)]]/(Tabla13[[#This Row],[Cap Inst (Kg)]]))</f>
        <v>#DIV/0!</v>
      </c>
    </row>
    <row r="378" spans="1:48" x14ac:dyDescent="0.25">
      <c r="A378" s="13" t="s">
        <v>1068</v>
      </c>
      <c r="B378" s="14" t="s">
        <v>553</v>
      </c>
      <c r="C378" s="14" t="s">
        <v>44</v>
      </c>
      <c r="D378" s="14" t="s">
        <v>44</v>
      </c>
      <c r="E378" s="14" t="s">
        <v>60</v>
      </c>
      <c r="F378" s="14" t="s">
        <v>76</v>
      </c>
      <c r="G378" s="15" t="s">
        <v>89</v>
      </c>
      <c r="H378" s="16" t="s">
        <v>90</v>
      </c>
      <c r="I378" s="14" t="s">
        <v>49</v>
      </c>
      <c r="J378" s="14">
        <v>830064700</v>
      </c>
      <c r="K378" s="14" t="s">
        <v>50</v>
      </c>
      <c r="L378" s="14" t="s">
        <v>103</v>
      </c>
      <c r="M378" s="14" t="s">
        <v>104</v>
      </c>
      <c r="N378" s="14">
        <v>2017</v>
      </c>
      <c r="O378" s="14">
        <v>3</v>
      </c>
      <c r="P378" s="14" t="s">
        <v>105</v>
      </c>
      <c r="Q378" s="14">
        <v>0</v>
      </c>
      <c r="R378" s="14">
        <v>0</v>
      </c>
      <c r="S378" s="17" t="s">
        <v>54</v>
      </c>
      <c r="T378" s="18">
        <v>0</v>
      </c>
      <c r="U378" s="14">
        <v>0</v>
      </c>
      <c r="V378" s="19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f>Tabla13[[#This Row],[CheckList App]]+Tabla13[[#This Row],[CheckList Fisc]]</f>
        <v>0</v>
      </c>
      <c r="AB378" s="19" t="str">
        <f t="shared" si="5"/>
        <v/>
      </c>
      <c r="AC378" s="14">
        <v>0</v>
      </c>
      <c r="AD378" s="14" t="s">
        <v>55</v>
      </c>
      <c r="AE378" s="15" t="str">
        <f>IFERROR((VLOOKUP(Tabla13[[#This Row],[ID]],[1]!Mtto_Pesv[[#Headers],[#Data],[Placa]:[Rutina]],2,FALSE)),"-")</f>
        <v>-</v>
      </c>
      <c r="AF378" s="14">
        <v>0</v>
      </c>
      <c r="AG378" s="20">
        <f>IFERROR((VLOOKUP(Tabla13[[#This Row],[ID]],[1]!Mtto_Pesv[[#Headers],[#Data],[Placa]:[Rutina]],3,FALSE)),0)</f>
        <v>0</v>
      </c>
      <c r="AH378" s="20">
        <f>IFERROR((VLOOKUP(Tabla13[[#This Row],[ID]],[1]!Mtto_Pesv[[#Headers],[#Data],[Placa]:[Rutina]],7,FALSE)),0)</f>
        <v>0</v>
      </c>
      <c r="AI378" s="20">
        <f>IFERROR((VLOOKUP(Tabla13[[#This Row],[ID]],[1]!Mtto_Pesv[[#Headers],[#Data],[Placa]:[Rutina]],8,FALSE)),0)</f>
        <v>0</v>
      </c>
      <c r="AJ378" s="20" t="str">
        <f>IFERROR((VLOOKUP(Tabla13[[#This Row],[ID]],[1]!Mtto_Pesv[[#Headers],[#Data],[Placa]:[Rutina]],9,FALSE)),"-")</f>
        <v>-</v>
      </c>
      <c r="AK378" s="20">
        <f>IFERROR((VLOOKUP(Tabla13[[#This Row],[ID]],[1]!Mtto_Pesv[[#Headers],[#Data],[Placa]:[Rutina]],10,FALSE)),0)</f>
        <v>0</v>
      </c>
      <c r="AL378" s="20">
        <f>IF(Tabla13[[#This Row],[Km Anterior]]=0,0,Tabla13[[#This Row],[Km Ejecut]]-Tabla13[[#This Row],[Km Anterior]])</f>
        <v>0</v>
      </c>
      <c r="AM378" s="20">
        <f>IFERROR((VLOOKUP(Tabla13[[#This Row],[ID]],[1]!Mtto_Pesv[[#Headers],[#Data],[Placa]:[Rutina]],4,FALSE)),0)</f>
        <v>0</v>
      </c>
      <c r="AN378" s="21">
        <f>IFERROR((VLOOKUP(Tabla13[[#This Row],[ID]],[1]!Mtto_Pesv[[#Headers],[#Data],[Placa]:[Rutina]],5,FALSE)),0)</f>
        <v>0</v>
      </c>
      <c r="AO378" s="21">
        <f>+Tabla13[[#This Row],[Km Fin]]-Tabla13[[#This Row],[Km Ini]]</f>
        <v>0</v>
      </c>
      <c r="AP378" s="20">
        <f>IFERROR((VLOOKUP(Tabla13[[#This Row],[ID]],[1]!Estilo_Conduccion[[#All],[Placa]:[Puntuacion]],15,FALSE)),0)</f>
        <v>0</v>
      </c>
      <c r="AQ378" s="15" t="s">
        <v>1082</v>
      </c>
      <c r="AR378" s="15" t="s">
        <v>1083</v>
      </c>
      <c r="AS378" s="20">
        <v>1750</v>
      </c>
      <c r="AT378" s="21">
        <v>2634.1875</v>
      </c>
      <c r="AU378" s="21">
        <f>(Tabla13[[#This Row],[Cap Vh]]*$AX$2)*0.56</f>
        <v>0</v>
      </c>
      <c r="AV378" s="36" t="e">
        <f>(Tabla13[[#This Row],[Cap Util (kg)]]/(Tabla13[[#This Row],[Cap Inst (Kg)]]))</f>
        <v>#DIV/0!</v>
      </c>
    </row>
    <row r="379" spans="1:48" x14ac:dyDescent="0.25">
      <c r="A379" s="13" t="s">
        <v>1068</v>
      </c>
      <c r="B379" s="14" t="s">
        <v>554</v>
      </c>
      <c r="C379" s="14" t="s">
        <v>44</v>
      </c>
      <c r="D379" s="14" t="s">
        <v>44</v>
      </c>
      <c r="E379" s="14" t="s">
        <v>45</v>
      </c>
      <c r="F379" s="14" t="s">
        <v>64</v>
      </c>
      <c r="G379" s="15" t="s">
        <v>119</v>
      </c>
      <c r="H379" s="16" t="s">
        <v>120</v>
      </c>
      <c r="I379" s="14" t="s">
        <v>184</v>
      </c>
      <c r="J379" s="14">
        <v>860002964</v>
      </c>
      <c r="K379" s="14" t="s">
        <v>102</v>
      </c>
      <c r="L379" s="14" t="s">
        <v>103</v>
      </c>
      <c r="M379" s="14" t="s">
        <v>104</v>
      </c>
      <c r="N379" s="14">
        <v>2017</v>
      </c>
      <c r="O379" s="14">
        <v>3</v>
      </c>
      <c r="P379" s="14" t="s">
        <v>105</v>
      </c>
      <c r="Q379" s="14">
        <v>0</v>
      </c>
      <c r="R379" s="14">
        <v>0</v>
      </c>
      <c r="S379" s="17" t="s">
        <v>54</v>
      </c>
      <c r="T379" s="18">
        <v>0</v>
      </c>
      <c r="U379" s="14">
        <v>30</v>
      </c>
      <c r="V379" s="19">
        <v>1</v>
      </c>
      <c r="W379" s="14">
        <v>0</v>
      </c>
      <c r="X379" s="14">
        <v>0</v>
      </c>
      <c r="Y379" s="14">
        <v>0</v>
      </c>
      <c r="Z379" s="14">
        <v>0</v>
      </c>
      <c r="AA379" s="14">
        <f>Tabla13[[#This Row],[CheckList App]]+Tabla13[[#This Row],[CheckList Fisc]]</f>
        <v>0</v>
      </c>
      <c r="AB379" s="19">
        <f t="shared" si="5"/>
        <v>0</v>
      </c>
      <c r="AC379" s="14">
        <v>39</v>
      </c>
      <c r="AD379" s="14" t="s">
        <v>70</v>
      </c>
      <c r="AE379" s="22" t="str">
        <f>IFERROR((VLOOKUP(Tabla13[[#This Row],[ID]],[1]!Mtto_Pesv[[#Headers],[#Data],[Placa]:[Rutina]],2,FALSE)),"-")</f>
        <v>-</v>
      </c>
      <c r="AF379" s="14">
        <v>1</v>
      </c>
      <c r="AG379" s="20">
        <f>IFERROR((VLOOKUP(Tabla13[[#This Row],[ID]],[1]!Mtto_Pesv[[#Headers],[#Data],[Placa]:[Rutina]],3,FALSE)),0)</f>
        <v>0</v>
      </c>
      <c r="AH379" s="20">
        <f>IFERROR((VLOOKUP(Tabla13[[#This Row],[ID]],[1]!Mtto_Pesv[[#Headers],[#Data],[Placa]:[Rutina]],7,FALSE)),0)</f>
        <v>0</v>
      </c>
      <c r="AI379" s="20">
        <f>IFERROR((VLOOKUP(Tabla13[[#This Row],[ID]],[1]!Mtto_Pesv[[#Headers],[#Data],[Placa]:[Rutina]],8,FALSE)),0)</f>
        <v>0</v>
      </c>
      <c r="AJ379" s="20" t="str">
        <f>IFERROR((VLOOKUP(Tabla13[[#This Row],[ID]],[1]!Mtto_Pesv[[#Headers],[#Data],[Placa]:[Rutina]],9,FALSE)),"-")</f>
        <v>-</v>
      </c>
      <c r="AK379" s="20">
        <f>IFERROR((VLOOKUP(Tabla13[[#This Row],[ID]],[1]!Mtto_Pesv[[#Headers],[#Data],[Placa]:[Rutina]],10,FALSE)),0)</f>
        <v>0</v>
      </c>
      <c r="AL379" s="20">
        <f>IF(Tabla13[[#This Row],[Km Anterior]]=0,0,Tabla13[[#This Row],[Km Ejecut]]-Tabla13[[#This Row],[Km Anterior]])</f>
        <v>0</v>
      </c>
      <c r="AM379" s="20">
        <f>IFERROR((VLOOKUP(Tabla13[[#This Row],[ID]],[1]!Mtto_Pesv[[#Headers],[#Data],[Placa]:[Rutina]],4,FALSE)),0)</f>
        <v>0</v>
      </c>
      <c r="AN379" s="21">
        <f>IFERROR((VLOOKUP(Tabla13[[#This Row],[ID]],[1]!Mtto_Pesv[[#Headers],[#Data],[Placa]:[Rutina]],5,FALSE)),0)</f>
        <v>0</v>
      </c>
      <c r="AO379" s="21">
        <f>+Tabla13[[#This Row],[Km Fin]]-Tabla13[[#This Row],[Km Ini]]</f>
        <v>0</v>
      </c>
      <c r="AP379" s="20">
        <f>IFERROR((VLOOKUP(Tabla13[[#This Row],[ID]],[1]!Estilo_Conduccion[[#All],[Placa]:[Puntuacion]],15,FALSE)),0)</f>
        <v>0</v>
      </c>
      <c r="AQ379" s="15" t="s">
        <v>54</v>
      </c>
      <c r="AR379" s="15" t="s">
        <v>54</v>
      </c>
      <c r="AS379" s="20">
        <v>1750</v>
      </c>
      <c r="AT379" s="21">
        <v>0</v>
      </c>
      <c r="AU379" s="21">
        <f>(Tabla13[[#This Row],[Cap Vh]]*$AX$2)*0.56</f>
        <v>0</v>
      </c>
      <c r="AV379" s="36" t="e">
        <f>(Tabla13[[#This Row],[Cap Util (kg)]]/(Tabla13[[#This Row],[Cap Inst (Kg)]]))</f>
        <v>#DIV/0!</v>
      </c>
    </row>
    <row r="380" spans="1:48" x14ac:dyDescent="0.25">
      <c r="A380" s="13" t="s">
        <v>1068</v>
      </c>
      <c r="B380" s="14" t="s">
        <v>555</v>
      </c>
      <c r="C380" s="14" t="s">
        <v>44</v>
      </c>
      <c r="D380" s="14" t="s">
        <v>44</v>
      </c>
      <c r="E380" s="14" t="s">
        <v>45</v>
      </c>
      <c r="F380" s="14" t="s">
        <v>46</v>
      </c>
      <c r="G380" s="15" t="s">
        <v>47</v>
      </c>
      <c r="H380" s="16" t="s">
        <v>48</v>
      </c>
      <c r="I380" s="14" t="s">
        <v>49</v>
      </c>
      <c r="J380" s="14">
        <v>830064700</v>
      </c>
      <c r="K380" s="14" t="s">
        <v>50</v>
      </c>
      <c r="L380" s="14" t="s">
        <v>103</v>
      </c>
      <c r="M380" s="14" t="s">
        <v>285</v>
      </c>
      <c r="N380" s="14">
        <v>2004</v>
      </c>
      <c r="O380" s="14">
        <v>16</v>
      </c>
      <c r="P380" s="14" t="s">
        <v>173</v>
      </c>
      <c r="Q380" s="14">
        <v>0</v>
      </c>
      <c r="R380" s="14">
        <v>0</v>
      </c>
      <c r="S380" s="17" t="s">
        <v>54</v>
      </c>
      <c r="T380" s="18">
        <v>0</v>
      </c>
      <c r="U380" s="14">
        <v>30</v>
      </c>
      <c r="V380" s="19">
        <v>1</v>
      </c>
      <c r="W380" s="14">
        <v>0</v>
      </c>
      <c r="X380" s="14">
        <v>0</v>
      </c>
      <c r="Y380" s="14">
        <v>0</v>
      </c>
      <c r="Z380" s="14">
        <v>0</v>
      </c>
      <c r="AA380" s="14">
        <f>Tabla13[[#This Row],[CheckList App]]+Tabla13[[#This Row],[CheckList Fisc]]</f>
        <v>0</v>
      </c>
      <c r="AB380" s="19">
        <f t="shared" si="5"/>
        <v>0</v>
      </c>
      <c r="AC380" s="14">
        <v>0</v>
      </c>
      <c r="AD380" s="14" t="s">
        <v>55</v>
      </c>
      <c r="AE380" s="15" t="str">
        <f>IFERROR((VLOOKUP(Tabla13[[#This Row],[ID]],[1]!Mtto_Pesv[[#Headers],[#Data],[Placa]:[Rutina]],2,FALSE)),"-")</f>
        <v>-</v>
      </c>
      <c r="AF380" s="14">
        <v>0</v>
      </c>
      <c r="AG380" s="20">
        <f>IFERROR((VLOOKUP(Tabla13[[#This Row],[ID]],[1]!Mtto_Pesv[[#Headers],[#Data],[Placa]:[Rutina]],3,FALSE)),0)</f>
        <v>0</v>
      </c>
      <c r="AH380" s="20">
        <f>IFERROR((VLOOKUP(Tabla13[[#This Row],[ID]],[1]!Mtto_Pesv[[#Headers],[#Data],[Placa]:[Rutina]],7,FALSE)),0)</f>
        <v>0</v>
      </c>
      <c r="AI380" s="20">
        <f>IFERROR((VLOOKUP(Tabla13[[#This Row],[ID]],[1]!Mtto_Pesv[[#Headers],[#Data],[Placa]:[Rutina]],8,FALSE)),0)</f>
        <v>0</v>
      </c>
      <c r="AJ380" s="20" t="str">
        <f>IFERROR((VLOOKUP(Tabla13[[#This Row],[ID]],[1]!Mtto_Pesv[[#Headers],[#Data],[Placa]:[Rutina]],9,FALSE)),"-")</f>
        <v>-</v>
      </c>
      <c r="AK380" s="20">
        <f>IFERROR((VLOOKUP(Tabla13[[#This Row],[ID]],[1]!Mtto_Pesv[[#Headers],[#Data],[Placa]:[Rutina]],10,FALSE)),0)</f>
        <v>0</v>
      </c>
      <c r="AL380" s="20">
        <f>IF(Tabla13[[#This Row],[Km Anterior]]=0,0,Tabla13[[#This Row],[Km Ejecut]]-Tabla13[[#This Row],[Km Anterior]])</f>
        <v>0</v>
      </c>
      <c r="AM380" s="20">
        <f>IFERROR((VLOOKUP(Tabla13[[#This Row],[ID]],[1]!Mtto_Pesv[[#Headers],[#Data],[Placa]:[Rutina]],4,FALSE)),0)</f>
        <v>0</v>
      </c>
      <c r="AN380" s="21">
        <f>IFERROR((VLOOKUP(Tabla13[[#This Row],[ID]],[1]!Mtto_Pesv[[#Headers],[#Data],[Placa]:[Rutina]],5,FALSE)),0)</f>
        <v>0</v>
      </c>
      <c r="AO380" s="21">
        <f>+Tabla13[[#This Row],[Km Fin]]-Tabla13[[#This Row],[Km Ini]]</f>
        <v>0</v>
      </c>
      <c r="AP380" s="20">
        <f>IFERROR((VLOOKUP(Tabla13[[#This Row],[ID]],[1]!Estilo_Conduccion[[#All],[Placa]:[Puntuacion]],15,FALSE)),0)</f>
        <v>0</v>
      </c>
      <c r="AQ380" s="15" t="s">
        <v>1069</v>
      </c>
      <c r="AR380" s="15" t="s">
        <v>276</v>
      </c>
      <c r="AS380" s="20">
        <v>1000</v>
      </c>
      <c r="AT380" s="21">
        <v>0</v>
      </c>
      <c r="AU380" s="21">
        <f>(Tabla13[[#This Row],[Cap Vh]]*$AX$2)*0.56</f>
        <v>0</v>
      </c>
      <c r="AV380" s="36" t="e">
        <f>(Tabla13[[#This Row],[Cap Util (kg)]]/(Tabla13[[#This Row],[Cap Inst (Kg)]]))</f>
        <v>#DIV/0!</v>
      </c>
    </row>
    <row r="381" spans="1:48" x14ac:dyDescent="0.25">
      <c r="A381" s="13" t="s">
        <v>1068</v>
      </c>
      <c r="B381" s="14" t="s">
        <v>556</v>
      </c>
      <c r="C381" s="14" t="s">
        <v>44</v>
      </c>
      <c r="D381" s="14" t="s">
        <v>44</v>
      </c>
      <c r="E381" s="14" t="s">
        <v>45</v>
      </c>
      <c r="F381" s="14" t="s">
        <v>64</v>
      </c>
      <c r="G381" s="14" t="s">
        <v>65</v>
      </c>
      <c r="H381" s="16" t="s">
        <v>66</v>
      </c>
      <c r="I381" s="14" t="s">
        <v>49</v>
      </c>
      <c r="J381" s="14">
        <v>830064700</v>
      </c>
      <c r="K381" s="14" t="s">
        <v>50</v>
      </c>
      <c r="L381" s="14" t="s">
        <v>96</v>
      </c>
      <c r="M381" s="14" t="s">
        <v>557</v>
      </c>
      <c r="N381" s="14">
        <v>2000</v>
      </c>
      <c r="O381" s="14">
        <v>20</v>
      </c>
      <c r="P381" s="14" t="s">
        <v>173</v>
      </c>
      <c r="Q381" s="14">
        <v>0</v>
      </c>
      <c r="R381" s="14">
        <v>0</v>
      </c>
      <c r="S381" s="17" t="s">
        <v>54</v>
      </c>
      <c r="T381" s="18">
        <v>0</v>
      </c>
      <c r="U381" s="14">
        <v>0</v>
      </c>
      <c r="V381" s="19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f>Tabla13[[#This Row],[CheckList App]]+Tabla13[[#This Row],[CheckList Fisc]]</f>
        <v>0</v>
      </c>
      <c r="AB381" s="19" t="str">
        <f t="shared" si="5"/>
        <v/>
      </c>
      <c r="AC381" s="14">
        <v>0</v>
      </c>
      <c r="AD381" s="14" t="s">
        <v>55</v>
      </c>
      <c r="AE381" s="15" t="str">
        <f>IFERROR((VLOOKUP(Tabla13[[#This Row],[ID]],[1]!Mtto_Pesv[[#Headers],[#Data],[Placa]:[Rutina]],2,FALSE)),"-")</f>
        <v>-</v>
      </c>
      <c r="AF381" s="14">
        <v>0</v>
      </c>
      <c r="AG381" s="20">
        <f>IFERROR((VLOOKUP(Tabla13[[#This Row],[ID]],[1]!Mtto_Pesv[[#Headers],[#Data],[Placa]:[Rutina]],3,FALSE)),0)</f>
        <v>0</v>
      </c>
      <c r="AH381" s="20">
        <f>IFERROR((VLOOKUP(Tabla13[[#This Row],[ID]],[1]!Mtto_Pesv[[#Headers],[#Data],[Placa]:[Rutina]],7,FALSE)),0)</f>
        <v>0</v>
      </c>
      <c r="AI381" s="20">
        <f>IFERROR((VLOOKUP(Tabla13[[#This Row],[ID]],[1]!Mtto_Pesv[[#Headers],[#Data],[Placa]:[Rutina]],8,FALSE)),0)</f>
        <v>0</v>
      </c>
      <c r="AJ381" s="20" t="str">
        <f>IFERROR((VLOOKUP(Tabla13[[#This Row],[ID]],[1]!Mtto_Pesv[[#Headers],[#Data],[Placa]:[Rutina]],9,FALSE)),"-")</f>
        <v>-</v>
      </c>
      <c r="AK381" s="20">
        <f>IFERROR((VLOOKUP(Tabla13[[#This Row],[ID]],[1]!Mtto_Pesv[[#Headers],[#Data],[Placa]:[Rutina]],10,FALSE)),0)</f>
        <v>0</v>
      </c>
      <c r="AL381" s="20">
        <f>IF(Tabla13[[#This Row],[Km Anterior]]=0,0,Tabla13[[#This Row],[Km Ejecut]]-Tabla13[[#This Row],[Km Anterior]])</f>
        <v>0</v>
      </c>
      <c r="AM381" s="20">
        <f>IFERROR((VLOOKUP(Tabla13[[#This Row],[ID]],[1]!Mtto_Pesv[[#Headers],[#Data],[Placa]:[Rutina]],4,FALSE)),0)</f>
        <v>0</v>
      </c>
      <c r="AN381" s="21">
        <f>IFERROR((VLOOKUP(Tabla13[[#This Row],[ID]],[1]!Mtto_Pesv[[#Headers],[#Data],[Placa]:[Rutina]],5,FALSE)),0)</f>
        <v>0</v>
      </c>
      <c r="AO381" s="21">
        <f>+Tabla13[[#This Row],[Km Fin]]-Tabla13[[#This Row],[Km Ini]]</f>
        <v>0</v>
      </c>
      <c r="AP381" s="20">
        <f>IFERROR((VLOOKUP(Tabla13[[#This Row],[ID]],[1]!Estilo_Conduccion[[#All],[Placa]:[Puntuacion]],15,FALSE)),0)</f>
        <v>0</v>
      </c>
      <c r="AQ381" s="15" t="s">
        <v>54</v>
      </c>
      <c r="AR381" s="15" t="s">
        <v>54</v>
      </c>
      <c r="AS381" s="20">
        <v>200</v>
      </c>
      <c r="AT381" s="21">
        <v>0</v>
      </c>
      <c r="AU381" s="21">
        <f>(Tabla13[[#This Row],[Cap Vh]]*$AX$2)*0.56</f>
        <v>0</v>
      </c>
      <c r="AV381" s="36" t="e">
        <f>(Tabla13[[#This Row],[Cap Util (kg)]]/(Tabla13[[#This Row],[Cap Inst (Kg)]]))</f>
        <v>#DIV/0!</v>
      </c>
    </row>
    <row r="382" spans="1:48" x14ac:dyDescent="0.25">
      <c r="A382" s="13" t="s">
        <v>1068</v>
      </c>
      <c r="B382" s="14" t="s">
        <v>558</v>
      </c>
      <c r="C382" s="14" t="s">
        <v>44</v>
      </c>
      <c r="D382" s="14" t="s">
        <v>44</v>
      </c>
      <c r="E382" s="14" t="s">
        <v>45</v>
      </c>
      <c r="F382" s="14" t="s">
        <v>64</v>
      </c>
      <c r="G382" s="15" t="s">
        <v>182</v>
      </c>
      <c r="H382" s="13" t="s">
        <v>199</v>
      </c>
      <c r="I382" s="14" t="s">
        <v>49</v>
      </c>
      <c r="J382" s="14">
        <v>901253015</v>
      </c>
      <c r="K382" s="14" t="s">
        <v>185</v>
      </c>
      <c r="L382" s="14" t="s">
        <v>103</v>
      </c>
      <c r="M382" s="14" t="s">
        <v>104</v>
      </c>
      <c r="N382" s="14">
        <v>2022</v>
      </c>
      <c r="O382" s="14">
        <v>1</v>
      </c>
      <c r="P382" s="14" t="s">
        <v>105</v>
      </c>
      <c r="Q382" s="14">
        <v>1</v>
      </c>
      <c r="R382" s="14">
        <v>0</v>
      </c>
      <c r="S382" s="17" t="s">
        <v>54</v>
      </c>
      <c r="T382" s="18">
        <v>0</v>
      </c>
      <c r="U382" s="37">
        <v>30</v>
      </c>
      <c r="V382" s="19">
        <v>1</v>
      </c>
      <c r="W382" s="14">
        <v>0</v>
      </c>
      <c r="X382" s="14">
        <v>28</v>
      </c>
      <c r="Y382" s="14">
        <v>24</v>
      </c>
      <c r="Z382" s="14">
        <v>0</v>
      </c>
      <c r="AA382" s="14">
        <f>Tabla13[[#This Row],[CheckList App]]+Tabla13[[#This Row],[CheckList Fisc]]</f>
        <v>24</v>
      </c>
      <c r="AB382" s="19">
        <f t="shared" si="5"/>
        <v>0.8571428571428571</v>
      </c>
      <c r="AC382" s="14">
        <v>0</v>
      </c>
      <c r="AD382" s="14" t="s">
        <v>70</v>
      </c>
      <c r="AE382" s="15" t="str">
        <f>IFERROR((VLOOKUP(Tabla13[[#This Row],[ID]],[1]!Mtto_Pesv[[#Headers],[#Data],[Placa]:[Rutina]],2,FALSE)),"-")</f>
        <v>-</v>
      </c>
      <c r="AF382" s="14">
        <v>1</v>
      </c>
      <c r="AG382" s="20">
        <f>IFERROR((VLOOKUP(Tabla13[[#This Row],[ID]],[1]!Mtto_Pesv[[#Headers],[#Data],[Placa]:[Rutina]],3,FALSE)),0)</f>
        <v>0</v>
      </c>
      <c r="AH382" s="20">
        <f>IFERROR((VLOOKUP(Tabla13[[#This Row],[ID]],[1]!Mtto_Pesv[[#Headers],[#Data],[Placa]:[Rutina]],7,FALSE)),0)</f>
        <v>0</v>
      </c>
      <c r="AI382" s="20">
        <f>IFERROR((VLOOKUP(Tabla13[[#This Row],[ID]],[1]!Mtto_Pesv[[#Headers],[#Data],[Placa]:[Rutina]],8,FALSE)),0)</f>
        <v>0</v>
      </c>
      <c r="AJ382" s="20" t="str">
        <f>IFERROR((VLOOKUP(Tabla13[[#This Row],[ID]],[1]!Mtto_Pesv[[#Headers],[#Data],[Placa]:[Rutina]],9,FALSE)),"-")</f>
        <v>-</v>
      </c>
      <c r="AK382" s="20">
        <f>IFERROR((VLOOKUP(Tabla13[[#This Row],[ID]],[1]!Mtto_Pesv[[#Headers],[#Data],[Placa]:[Rutina]],10,FALSE)),0)</f>
        <v>0</v>
      </c>
      <c r="AL382" s="20">
        <f>IF(Tabla13[[#This Row],[Km Anterior]]=0,0,Tabla13[[#This Row],[Km Ejecut]]-Tabla13[[#This Row],[Km Anterior]])</f>
        <v>0</v>
      </c>
      <c r="AM382" s="20">
        <f>IFERROR((VLOOKUP(Tabla13[[#This Row],[ID]],[1]!Mtto_Pesv[[#Headers],[#Data],[Placa]:[Rutina]],4,FALSE)),0)</f>
        <v>0</v>
      </c>
      <c r="AN382" s="21">
        <f>IFERROR((VLOOKUP(Tabla13[[#This Row],[ID]],[1]!Mtto_Pesv[[#Headers],[#Data],[Placa]:[Rutina]],5,FALSE)),0)</f>
        <v>0</v>
      </c>
      <c r="AO382" s="21">
        <f>+Tabla13[[#This Row],[Km Fin]]-Tabla13[[#This Row],[Km Ini]]</f>
        <v>0</v>
      </c>
      <c r="AP382" s="20">
        <f>IFERROR((VLOOKUP(Tabla13[[#This Row],[ID]],[1]!Estilo_Conduccion[[#All],[Placa]:[Puntuacion]],15,FALSE)),0)</f>
        <v>1641.6</v>
      </c>
      <c r="AQ382" s="15" t="s">
        <v>1149</v>
      </c>
      <c r="AR382" s="15" t="s">
        <v>1150</v>
      </c>
      <c r="AS382" s="20">
        <v>1650</v>
      </c>
      <c r="AT382" s="21">
        <v>5496</v>
      </c>
      <c r="AU382" s="21">
        <f>(Tabla13[[#This Row],[Cap Vh]]*$AX$2)*0.56</f>
        <v>0</v>
      </c>
      <c r="AV382" s="36" t="e">
        <f>(Tabla13[[#This Row],[Cap Util (kg)]]/(Tabla13[[#This Row],[Cap Inst (Kg)]]))</f>
        <v>#DIV/0!</v>
      </c>
    </row>
    <row r="383" spans="1:48" x14ac:dyDescent="0.25">
      <c r="A383" s="13" t="s">
        <v>1068</v>
      </c>
      <c r="B383" s="14" t="s">
        <v>559</v>
      </c>
      <c r="C383" s="14" t="s">
        <v>44</v>
      </c>
      <c r="D383" s="14" t="s">
        <v>44</v>
      </c>
      <c r="E383" s="14" t="s">
        <v>45</v>
      </c>
      <c r="F383" s="14" t="s">
        <v>64</v>
      </c>
      <c r="G383" s="15" t="s">
        <v>182</v>
      </c>
      <c r="H383" s="13" t="s">
        <v>199</v>
      </c>
      <c r="I383" s="14" t="s">
        <v>49</v>
      </c>
      <c r="J383" s="14">
        <v>901253015</v>
      </c>
      <c r="K383" s="14" t="s">
        <v>185</v>
      </c>
      <c r="L383" s="14" t="s">
        <v>103</v>
      </c>
      <c r="M383" s="14" t="s">
        <v>104</v>
      </c>
      <c r="N383" s="14">
        <v>2022</v>
      </c>
      <c r="O383" s="14">
        <v>1</v>
      </c>
      <c r="P383" s="14" t="s">
        <v>105</v>
      </c>
      <c r="Q383" s="14">
        <v>1</v>
      </c>
      <c r="R383" s="14">
        <v>0</v>
      </c>
      <c r="S383" s="17" t="s">
        <v>54</v>
      </c>
      <c r="T383" s="18">
        <v>0</v>
      </c>
      <c r="U383" s="37">
        <v>30</v>
      </c>
      <c r="V383" s="19">
        <v>1</v>
      </c>
      <c r="W383" s="14">
        <v>0</v>
      </c>
      <c r="X383" s="14">
        <v>30</v>
      </c>
      <c r="Y383" s="14">
        <v>29</v>
      </c>
      <c r="Z383" s="14">
        <v>0</v>
      </c>
      <c r="AA383" s="14">
        <f>Tabla13[[#This Row],[CheckList App]]+Tabla13[[#This Row],[CheckList Fisc]]</f>
        <v>29</v>
      </c>
      <c r="AB383" s="19">
        <f t="shared" si="5"/>
        <v>0.96666666666666667</v>
      </c>
      <c r="AC383" s="14">
        <v>0</v>
      </c>
      <c r="AD383" s="14" t="s">
        <v>70</v>
      </c>
      <c r="AE383" s="15" t="str">
        <f>IFERROR((VLOOKUP(Tabla13[[#This Row],[ID]],[1]!Mtto_Pesv[[#Headers],[#Data],[Placa]:[Rutina]],2,FALSE)),"-")</f>
        <v>-</v>
      </c>
      <c r="AF383" s="14">
        <v>1</v>
      </c>
      <c r="AG383" s="20">
        <f>IFERROR((VLOOKUP(Tabla13[[#This Row],[ID]],[1]!Mtto_Pesv[[#Headers],[#Data],[Placa]:[Rutina]],3,FALSE)),0)</f>
        <v>0</v>
      </c>
      <c r="AH383" s="20">
        <f>IFERROR((VLOOKUP(Tabla13[[#This Row],[ID]],[1]!Mtto_Pesv[[#Headers],[#Data],[Placa]:[Rutina]],7,FALSE)),0)</f>
        <v>0</v>
      </c>
      <c r="AI383" s="20">
        <f>IFERROR((VLOOKUP(Tabla13[[#This Row],[ID]],[1]!Mtto_Pesv[[#Headers],[#Data],[Placa]:[Rutina]],8,FALSE)),0)</f>
        <v>0</v>
      </c>
      <c r="AJ383" s="20" t="str">
        <f>IFERROR((VLOOKUP(Tabla13[[#This Row],[ID]],[1]!Mtto_Pesv[[#Headers],[#Data],[Placa]:[Rutina]],9,FALSE)),"-")</f>
        <v>-</v>
      </c>
      <c r="AK383" s="20">
        <f>IFERROR((VLOOKUP(Tabla13[[#This Row],[ID]],[1]!Mtto_Pesv[[#Headers],[#Data],[Placa]:[Rutina]],10,FALSE)),0)</f>
        <v>0</v>
      </c>
      <c r="AL383" s="20">
        <f>IF(Tabla13[[#This Row],[Km Anterior]]=0,0,Tabla13[[#This Row],[Km Ejecut]]-Tabla13[[#This Row],[Km Anterior]])</f>
        <v>0</v>
      </c>
      <c r="AM383" s="20">
        <f>IFERROR((VLOOKUP(Tabla13[[#This Row],[ID]],[1]!Mtto_Pesv[[#Headers],[#Data],[Placa]:[Rutina]],4,FALSE)),0)</f>
        <v>0</v>
      </c>
      <c r="AN383" s="21">
        <f>IFERROR((VLOOKUP(Tabla13[[#This Row],[ID]],[1]!Mtto_Pesv[[#Headers],[#Data],[Placa]:[Rutina]],5,FALSE)),0)</f>
        <v>0</v>
      </c>
      <c r="AO383" s="21">
        <f>+Tabla13[[#This Row],[Km Fin]]-Tabla13[[#This Row],[Km Ini]]</f>
        <v>0</v>
      </c>
      <c r="AP383" s="20">
        <f>IFERROR((VLOOKUP(Tabla13[[#This Row],[ID]],[1]!Estilo_Conduccion[[#All],[Placa]:[Puntuacion]],15,FALSE)),0)</f>
        <v>3826.7000000000003</v>
      </c>
      <c r="AQ383" s="15" t="s">
        <v>1286</v>
      </c>
      <c r="AR383" s="15" t="s">
        <v>1287</v>
      </c>
      <c r="AS383" s="20">
        <v>1650</v>
      </c>
      <c r="AT383" s="21">
        <v>17406</v>
      </c>
      <c r="AU383" s="21">
        <f>(Tabla13[[#This Row],[Cap Vh]]*$AX$2)*0.56</f>
        <v>0</v>
      </c>
      <c r="AV383" s="36" t="e">
        <f>(Tabla13[[#This Row],[Cap Util (kg)]]/(Tabla13[[#This Row],[Cap Inst (Kg)]]))</f>
        <v>#DIV/0!</v>
      </c>
    </row>
    <row r="384" spans="1:48" x14ac:dyDescent="0.25">
      <c r="A384" s="13" t="s">
        <v>1068</v>
      </c>
      <c r="B384" s="14" t="s">
        <v>560</v>
      </c>
      <c r="C384" s="14" t="s">
        <v>44</v>
      </c>
      <c r="D384" s="14" t="s">
        <v>44</v>
      </c>
      <c r="E384" s="14" t="s">
        <v>45</v>
      </c>
      <c r="F384" s="14" t="s">
        <v>64</v>
      </c>
      <c r="G384" s="15" t="s">
        <v>182</v>
      </c>
      <c r="H384" s="13" t="s">
        <v>199</v>
      </c>
      <c r="I384" s="14" t="s">
        <v>49</v>
      </c>
      <c r="J384" s="14">
        <v>901253015</v>
      </c>
      <c r="K384" s="14" t="s">
        <v>185</v>
      </c>
      <c r="L384" s="14" t="s">
        <v>103</v>
      </c>
      <c r="M384" s="14" t="s">
        <v>104</v>
      </c>
      <c r="N384" s="14">
        <v>2022</v>
      </c>
      <c r="O384" s="14">
        <v>1</v>
      </c>
      <c r="P384" s="14" t="s">
        <v>105</v>
      </c>
      <c r="Q384" s="14">
        <v>1</v>
      </c>
      <c r="R384" s="14">
        <v>0</v>
      </c>
      <c r="S384" s="17" t="s">
        <v>54</v>
      </c>
      <c r="T384" s="18">
        <v>0</v>
      </c>
      <c r="U384" s="37">
        <v>30</v>
      </c>
      <c r="V384" s="19">
        <v>1</v>
      </c>
      <c r="W384" s="14">
        <v>0</v>
      </c>
      <c r="X384" s="14">
        <v>25</v>
      </c>
      <c r="Y384" s="14">
        <v>20</v>
      </c>
      <c r="Z384" s="14">
        <v>0</v>
      </c>
      <c r="AA384" s="14">
        <f>Tabla13[[#This Row],[CheckList App]]+Tabla13[[#This Row],[CheckList Fisc]]</f>
        <v>20</v>
      </c>
      <c r="AB384" s="19">
        <f t="shared" si="5"/>
        <v>0.8</v>
      </c>
      <c r="AC384" s="14">
        <v>0</v>
      </c>
      <c r="AD384" s="14" t="s">
        <v>70</v>
      </c>
      <c r="AE384" s="15" t="str">
        <f>IFERROR((VLOOKUP(Tabla13[[#This Row],[ID]],[1]!Mtto_Pesv[[#Headers],[#Data],[Placa]:[Rutina]],2,FALSE)),"-")</f>
        <v>-</v>
      </c>
      <c r="AF384" s="14">
        <v>1</v>
      </c>
      <c r="AG384" s="20">
        <f>IFERROR((VLOOKUP(Tabla13[[#This Row],[ID]],[1]!Mtto_Pesv[[#Headers],[#Data],[Placa]:[Rutina]],3,FALSE)),0)</f>
        <v>0</v>
      </c>
      <c r="AH384" s="20">
        <f>IFERROR((VLOOKUP(Tabla13[[#This Row],[ID]],[1]!Mtto_Pesv[[#Headers],[#Data],[Placa]:[Rutina]],7,FALSE)),0)</f>
        <v>0</v>
      </c>
      <c r="AI384" s="20">
        <f>IFERROR((VLOOKUP(Tabla13[[#This Row],[ID]],[1]!Mtto_Pesv[[#Headers],[#Data],[Placa]:[Rutina]],8,FALSE)),0)</f>
        <v>0</v>
      </c>
      <c r="AJ384" s="20" t="str">
        <f>IFERROR((VLOOKUP(Tabla13[[#This Row],[ID]],[1]!Mtto_Pesv[[#Headers],[#Data],[Placa]:[Rutina]],9,FALSE)),"-")</f>
        <v>-</v>
      </c>
      <c r="AK384" s="20">
        <f>IFERROR((VLOOKUP(Tabla13[[#This Row],[ID]],[1]!Mtto_Pesv[[#Headers],[#Data],[Placa]:[Rutina]],10,FALSE)),0)</f>
        <v>0</v>
      </c>
      <c r="AL384" s="20">
        <f>IF(Tabla13[[#This Row],[Km Anterior]]=0,0,Tabla13[[#This Row],[Km Ejecut]]-Tabla13[[#This Row],[Km Anterior]])</f>
        <v>0</v>
      </c>
      <c r="AM384" s="20">
        <f>IFERROR((VLOOKUP(Tabla13[[#This Row],[ID]],[1]!Mtto_Pesv[[#Headers],[#Data],[Placa]:[Rutina]],4,FALSE)),0)</f>
        <v>0</v>
      </c>
      <c r="AN384" s="21">
        <f>IFERROR((VLOOKUP(Tabla13[[#This Row],[ID]],[1]!Mtto_Pesv[[#Headers],[#Data],[Placa]:[Rutina]],5,FALSE)),0)</f>
        <v>0</v>
      </c>
      <c r="AO384" s="21">
        <f>+Tabla13[[#This Row],[Km Fin]]-Tabla13[[#This Row],[Km Ini]]</f>
        <v>0</v>
      </c>
      <c r="AP384" s="20">
        <f>IFERROR((VLOOKUP(Tabla13[[#This Row],[ID]],[1]!Estilo_Conduccion[[#All],[Placa]:[Puntuacion]],15,FALSE)),0)</f>
        <v>1405.6</v>
      </c>
      <c r="AQ384" s="15" t="s">
        <v>1288</v>
      </c>
      <c r="AR384" s="15" t="s">
        <v>1289</v>
      </c>
      <c r="AS384" s="20">
        <v>1650</v>
      </c>
      <c r="AT384" s="21">
        <v>10104</v>
      </c>
      <c r="AU384" s="21">
        <f>(Tabla13[[#This Row],[Cap Vh]]*$AX$2)*0.56</f>
        <v>0</v>
      </c>
      <c r="AV384" s="36" t="e">
        <f>(Tabla13[[#This Row],[Cap Util (kg)]]/(Tabla13[[#This Row],[Cap Inst (Kg)]]))</f>
        <v>#DIV/0!</v>
      </c>
    </row>
    <row r="385" spans="1:48" x14ac:dyDescent="0.25">
      <c r="A385" s="13" t="s">
        <v>1068</v>
      </c>
      <c r="B385" s="14" t="s">
        <v>561</v>
      </c>
      <c r="C385" s="14" t="s">
        <v>44</v>
      </c>
      <c r="D385" s="14" t="s">
        <v>44</v>
      </c>
      <c r="E385" s="14" t="s">
        <v>45</v>
      </c>
      <c r="F385" s="14" t="s">
        <v>64</v>
      </c>
      <c r="G385" s="15" t="s">
        <v>182</v>
      </c>
      <c r="H385" s="13" t="s">
        <v>183</v>
      </c>
      <c r="I385" s="14" t="s">
        <v>184</v>
      </c>
      <c r="J385" s="14">
        <v>901253015</v>
      </c>
      <c r="K385" s="14" t="s">
        <v>185</v>
      </c>
      <c r="L385" s="14" t="s">
        <v>103</v>
      </c>
      <c r="M385" s="14" t="s">
        <v>121</v>
      </c>
      <c r="N385" s="14">
        <v>2022</v>
      </c>
      <c r="O385" s="14">
        <v>1</v>
      </c>
      <c r="P385" s="14" t="s">
        <v>105</v>
      </c>
      <c r="Q385" s="14">
        <v>1</v>
      </c>
      <c r="R385" s="14">
        <v>0</v>
      </c>
      <c r="S385" s="17" t="s">
        <v>54</v>
      </c>
      <c r="T385" s="18">
        <v>0</v>
      </c>
      <c r="U385" s="37">
        <v>30</v>
      </c>
      <c r="V385" s="19">
        <v>1</v>
      </c>
      <c r="W385" s="14">
        <v>0</v>
      </c>
      <c r="X385" s="14">
        <v>28</v>
      </c>
      <c r="Y385" s="14">
        <v>28</v>
      </c>
      <c r="Z385" s="14">
        <v>0</v>
      </c>
      <c r="AA385" s="14">
        <f>Tabla13[[#This Row],[CheckList App]]+Tabla13[[#This Row],[CheckList Fisc]]</f>
        <v>28</v>
      </c>
      <c r="AB385" s="19">
        <f t="shared" si="5"/>
        <v>1</v>
      </c>
      <c r="AC385" s="14">
        <v>0</v>
      </c>
      <c r="AD385" s="14" t="s">
        <v>70</v>
      </c>
      <c r="AE385" s="15" t="str">
        <f>IFERROR((VLOOKUP(Tabla13[[#This Row],[ID]],[1]!Mtto_Pesv[[#Headers],[#Data],[Placa]:[Rutina]],2,FALSE)),"-")</f>
        <v>-</v>
      </c>
      <c r="AF385" s="14">
        <v>1</v>
      </c>
      <c r="AG385" s="20">
        <f>IFERROR((VLOOKUP(Tabla13[[#This Row],[ID]],[1]!Mtto_Pesv[[#Headers],[#Data],[Placa]:[Rutina]],3,FALSE)),0)</f>
        <v>0</v>
      </c>
      <c r="AH385" s="20">
        <f>IFERROR((VLOOKUP(Tabla13[[#This Row],[ID]],[1]!Mtto_Pesv[[#Headers],[#Data],[Placa]:[Rutina]],7,FALSE)),0)</f>
        <v>0</v>
      </c>
      <c r="AI385" s="20">
        <f>IFERROR((VLOOKUP(Tabla13[[#This Row],[ID]],[1]!Mtto_Pesv[[#Headers],[#Data],[Placa]:[Rutina]],8,FALSE)),0)</f>
        <v>0</v>
      </c>
      <c r="AJ385" s="20" t="str">
        <f>IFERROR((VLOOKUP(Tabla13[[#This Row],[ID]],[1]!Mtto_Pesv[[#Headers],[#Data],[Placa]:[Rutina]],9,FALSE)),"-")</f>
        <v>-</v>
      </c>
      <c r="AK385" s="20">
        <f>IFERROR((VLOOKUP(Tabla13[[#This Row],[ID]],[1]!Mtto_Pesv[[#Headers],[#Data],[Placa]:[Rutina]],10,FALSE)),0)</f>
        <v>0</v>
      </c>
      <c r="AL385" s="20">
        <f>IF(Tabla13[[#This Row],[Km Anterior]]=0,0,Tabla13[[#This Row],[Km Ejecut]]-Tabla13[[#This Row],[Km Anterior]])</f>
        <v>0</v>
      </c>
      <c r="AM385" s="20">
        <f>IFERROR((VLOOKUP(Tabla13[[#This Row],[ID]],[1]!Mtto_Pesv[[#Headers],[#Data],[Placa]:[Rutina]],4,FALSE)),0)</f>
        <v>0</v>
      </c>
      <c r="AN385" s="21">
        <f>IFERROR((VLOOKUP(Tabla13[[#This Row],[ID]],[1]!Mtto_Pesv[[#Headers],[#Data],[Placa]:[Rutina]],5,FALSE)),0)</f>
        <v>0</v>
      </c>
      <c r="AO385" s="21">
        <f>+Tabla13[[#This Row],[Km Fin]]-Tabla13[[#This Row],[Km Ini]]</f>
        <v>0</v>
      </c>
      <c r="AP385" s="20">
        <f>IFERROR((VLOOKUP(Tabla13[[#This Row],[ID]],[1]!Estilo_Conduccion[[#All],[Placa]:[Puntuacion]],15,FALSE)),0)</f>
        <v>19329.700000000004</v>
      </c>
      <c r="AQ385" s="15" t="s">
        <v>54</v>
      </c>
      <c r="AR385" s="15" t="s">
        <v>1290</v>
      </c>
      <c r="AS385" s="20">
        <v>2350</v>
      </c>
      <c r="AT385" s="21">
        <v>0</v>
      </c>
      <c r="AU385" s="21">
        <f>(Tabla13[[#This Row],[Cap Vh]]*$AX$2)*0.56</f>
        <v>0</v>
      </c>
      <c r="AV385" s="36" t="e">
        <f>(Tabla13[[#This Row],[Cap Util (kg)]]/(Tabla13[[#This Row],[Cap Inst (Kg)]]))</f>
        <v>#DIV/0!</v>
      </c>
    </row>
    <row r="386" spans="1:48" x14ac:dyDescent="0.25">
      <c r="A386" s="13" t="s">
        <v>1068</v>
      </c>
      <c r="B386" s="14" t="s">
        <v>562</v>
      </c>
      <c r="C386" s="14" t="s">
        <v>44</v>
      </c>
      <c r="D386" s="14" t="s">
        <v>44</v>
      </c>
      <c r="E386" s="14" t="s">
        <v>45</v>
      </c>
      <c r="F386" s="14" t="s">
        <v>64</v>
      </c>
      <c r="G386" s="15" t="s">
        <v>182</v>
      </c>
      <c r="H386" s="13" t="s">
        <v>183</v>
      </c>
      <c r="I386" s="14" t="s">
        <v>184</v>
      </c>
      <c r="J386" s="14">
        <v>901253015</v>
      </c>
      <c r="K386" s="14" t="s">
        <v>185</v>
      </c>
      <c r="L386" s="14" t="s">
        <v>103</v>
      </c>
      <c r="M386" s="14" t="s">
        <v>121</v>
      </c>
      <c r="N386" s="14">
        <v>2022</v>
      </c>
      <c r="O386" s="14">
        <v>1</v>
      </c>
      <c r="P386" s="14" t="s">
        <v>105</v>
      </c>
      <c r="Q386" s="14">
        <v>1</v>
      </c>
      <c r="R386" s="14">
        <v>1</v>
      </c>
      <c r="S386" s="17">
        <v>44833.42627314815</v>
      </c>
      <c r="T386" s="18">
        <v>205.98500000000001</v>
      </c>
      <c r="U386" s="37">
        <v>30</v>
      </c>
      <c r="V386" s="19">
        <v>1</v>
      </c>
      <c r="W386" s="14">
        <v>0</v>
      </c>
      <c r="X386" s="14">
        <v>23</v>
      </c>
      <c r="Y386" s="14">
        <v>22</v>
      </c>
      <c r="Z386" s="14">
        <v>0</v>
      </c>
      <c r="AA386" s="14">
        <f>Tabla13[[#This Row],[CheckList App]]+Tabla13[[#This Row],[CheckList Fisc]]</f>
        <v>22</v>
      </c>
      <c r="AB386" s="19">
        <f t="shared" ref="AB386:AB449" si="6">IF(U386=0,"",(IFERROR((AA386/X386),0)))</f>
        <v>0.95652173913043481</v>
      </c>
      <c r="AC386" s="14">
        <v>0</v>
      </c>
      <c r="AD386" s="14" t="s">
        <v>70</v>
      </c>
      <c r="AE386" s="15" t="str">
        <f>IFERROR((VLOOKUP(Tabla13[[#This Row],[ID]],[1]!Mtto_Pesv[[#Headers],[#Data],[Placa]:[Rutina]],2,FALSE)),"-")</f>
        <v>-</v>
      </c>
      <c r="AF386" s="14">
        <v>1</v>
      </c>
      <c r="AG386" s="20">
        <f>IFERROR((VLOOKUP(Tabla13[[#This Row],[ID]],[1]!Mtto_Pesv[[#Headers],[#Data],[Placa]:[Rutina]],3,FALSE)),0)</f>
        <v>0</v>
      </c>
      <c r="AH386" s="20">
        <f>IFERROR((VLOOKUP(Tabla13[[#This Row],[ID]],[1]!Mtto_Pesv[[#Headers],[#Data],[Placa]:[Rutina]],7,FALSE)),0)</f>
        <v>0</v>
      </c>
      <c r="AI386" s="20">
        <f>IFERROR((VLOOKUP(Tabla13[[#This Row],[ID]],[1]!Mtto_Pesv[[#Headers],[#Data],[Placa]:[Rutina]],8,FALSE)),0)</f>
        <v>0</v>
      </c>
      <c r="AJ386" s="20" t="str">
        <f>IFERROR((VLOOKUP(Tabla13[[#This Row],[ID]],[1]!Mtto_Pesv[[#Headers],[#Data],[Placa]:[Rutina]],9,FALSE)),"-")</f>
        <v>-</v>
      </c>
      <c r="AK386" s="20">
        <f>IFERROR((VLOOKUP(Tabla13[[#This Row],[ID]],[1]!Mtto_Pesv[[#Headers],[#Data],[Placa]:[Rutina]],10,FALSE)),0)</f>
        <v>0</v>
      </c>
      <c r="AL386" s="20">
        <f>IF(Tabla13[[#This Row],[Km Anterior]]=0,0,Tabla13[[#This Row],[Km Ejecut]]-Tabla13[[#This Row],[Km Anterior]])</f>
        <v>0</v>
      </c>
      <c r="AM386" s="20">
        <f>IFERROR((VLOOKUP(Tabla13[[#This Row],[ID]],[1]!Mtto_Pesv[[#Headers],[#Data],[Placa]:[Rutina]],4,FALSE)),0)</f>
        <v>0</v>
      </c>
      <c r="AN386" s="21">
        <f>IFERROR((VLOOKUP(Tabla13[[#This Row],[ID]],[1]!Mtto_Pesv[[#Headers],[#Data],[Placa]:[Rutina]],5,FALSE)),0)</f>
        <v>0</v>
      </c>
      <c r="AO386" s="21">
        <f>+Tabla13[[#This Row],[Km Fin]]-Tabla13[[#This Row],[Km Ini]]</f>
        <v>0</v>
      </c>
      <c r="AP386" s="20">
        <f>IFERROR((VLOOKUP(Tabla13[[#This Row],[ID]],[1]!Estilo_Conduccion[[#All],[Placa]:[Puntuacion]],15,FALSE)),0)</f>
        <v>16767.300000000003</v>
      </c>
      <c r="AQ386" s="15" t="s">
        <v>54</v>
      </c>
      <c r="AR386" s="15" t="s">
        <v>1291</v>
      </c>
      <c r="AS386" s="20">
        <v>2350</v>
      </c>
      <c r="AT386" s="21">
        <v>0</v>
      </c>
      <c r="AU386" s="21">
        <f>(Tabla13[[#This Row],[Cap Vh]]*$AX$2)*0.56</f>
        <v>0</v>
      </c>
      <c r="AV386" s="36" t="e">
        <f>(Tabla13[[#This Row],[Cap Util (kg)]]/(Tabla13[[#This Row],[Cap Inst (Kg)]]))</f>
        <v>#DIV/0!</v>
      </c>
    </row>
    <row r="387" spans="1:48" x14ac:dyDescent="0.25">
      <c r="A387" s="13" t="s">
        <v>1068</v>
      </c>
      <c r="B387" s="14" t="s">
        <v>563</v>
      </c>
      <c r="C387" s="14" t="s">
        <v>564</v>
      </c>
      <c r="D387" s="14" t="s">
        <v>565</v>
      </c>
      <c r="E387" s="14" t="s">
        <v>566</v>
      </c>
      <c r="F387" s="14" t="s">
        <v>64</v>
      </c>
      <c r="G387" s="14" t="s">
        <v>65</v>
      </c>
      <c r="H387" s="16" t="s">
        <v>66</v>
      </c>
      <c r="I387" s="14" t="s">
        <v>49</v>
      </c>
      <c r="J387" s="14">
        <v>900335279</v>
      </c>
      <c r="K387" s="14" t="s">
        <v>77</v>
      </c>
      <c r="L387" s="14" t="s">
        <v>51</v>
      </c>
      <c r="M387" s="14" t="s">
        <v>78</v>
      </c>
      <c r="N387" s="14">
        <v>2015</v>
      </c>
      <c r="O387" s="14">
        <v>5</v>
      </c>
      <c r="P387" s="14" t="s">
        <v>53</v>
      </c>
      <c r="Q387" s="14">
        <v>0</v>
      </c>
      <c r="R387" s="14">
        <v>0</v>
      </c>
      <c r="S387" s="17" t="s">
        <v>54</v>
      </c>
      <c r="T387" s="18">
        <v>0</v>
      </c>
      <c r="U387" s="14">
        <v>0</v>
      </c>
      <c r="V387" s="19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f>Tabla13[[#This Row],[CheckList App]]+Tabla13[[#This Row],[CheckList Fisc]]</f>
        <v>0</v>
      </c>
      <c r="AB387" s="19" t="str">
        <f t="shared" si="6"/>
        <v/>
      </c>
      <c r="AC387" s="14">
        <v>0</v>
      </c>
      <c r="AD387" s="14" t="s">
        <v>55</v>
      </c>
      <c r="AE387" s="15" t="str">
        <f>IFERROR((VLOOKUP(Tabla13[[#This Row],[ID]],[1]!Mtto_Pesv[[#Headers],[#Data],[Placa]:[Rutina]],2,FALSE)),"-")</f>
        <v>-</v>
      </c>
      <c r="AF387" s="14">
        <v>0</v>
      </c>
      <c r="AG387" s="20">
        <f>IFERROR((VLOOKUP(Tabla13[[#This Row],[ID]],[1]!Mtto_Pesv[[#Headers],[#Data],[Placa]:[Rutina]],3,FALSE)),0)</f>
        <v>0</v>
      </c>
      <c r="AH387" s="20">
        <f>IFERROR((VLOOKUP(Tabla13[[#This Row],[ID]],[1]!Mtto_Pesv[[#Headers],[#Data],[Placa]:[Rutina]],7,FALSE)),0)</f>
        <v>0</v>
      </c>
      <c r="AI387" s="20">
        <f>IFERROR((VLOOKUP(Tabla13[[#This Row],[ID]],[1]!Mtto_Pesv[[#Headers],[#Data],[Placa]:[Rutina]],8,FALSE)),0)</f>
        <v>0</v>
      </c>
      <c r="AJ387" s="20" t="str">
        <f>IFERROR((VLOOKUP(Tabla13[[#This Row],[ID]],[1]!Mtto_Pesv[[#Headers],[#Data],[Placa]:[Rutina]],9,FALSE)),"-")</f>
        <v>-</v>
      </c>
      <c r="AK387" s="20">
        <f>IFERROR((VLOOKUP(Tabla13[[#This Row],[ID]],[1]!Mtto_Pesv[[#Headers],[#Data],[Placa]:[Rutina]],10,FALSE)),0)</f>
        <v>0</v>
      </c>
      <c r="AL387" s="20">
        <f>IF(Tabla13[[#This Row],[Km Anterior]]=0,0,Tabla13[[#This Row],[Km Ejecut]]-Tabla13[[#This Row],[Km Anterior]])</f>
        <v>0</v>
      </c>
      <c r="AM387" s="20">
        <f>IFERROR((VLOOKUP(Tabla13[[#This Row],[ID]],[1]!Mtto_Pesv[[#Headers],[#Data],[Placa]:[Rutina]],4,FALSE)),0)</f>
        <v>0</v>
      </c>
      <c r="AN387" s="21">
        <f>IFERROR((VLOOKUP(Tabla13[[#This Row],[ID]],[1]!Mtto_Pesv[[#Headers],[#Data],[Placa]:[Rutina]],5,FALSE)),0)</f>
        <v>0</v>
      </c>
      <c r="AO387" s="21">
        <f>+Tabla13[[#This Row],[Km Fin]]-Tabla13[[#This Row],[Km Ini]]</f>
        <v>0</v>
      </c>
      <c r="AP387" s="20">
        <f>IFERROR((VLOOKUP(Tabla13[[#This Row],[ID]],[1]!Estilo_Conduccion[[#All],[Placa]:[Puntuacion]],15,FALSE)),0)</f>
        <v>0</v>
      </c>
      <c r="AQ387" s="15" t="s">
        <v>54</v>
      </c>
      <c r="AR387" s="15" t="s">
        <v>54</v>
      </c>
      <c r="AS387" s="20">
        <v>404</v>
      </c>
      <c r="AT387" s="21">
        <v>0</v>
      </c>
      <c r="AU387" s="21">
        <f>(Tabla13[[#This Row],[Cap Vh]]*$AX$2)*0.56</f>
        <v>0</v>
      </c>
      <c r="AV387" s="36" t="e">
        <f>(Tabla13[[#This Row],[Cap Util (kg)]]/(Tabla13[[#This Row],[Cap Inst (Kg)]]))</f>
        <v>#DIV/0!</v>
      </c>
    </row>
    <row r="388" spans="1:48" x14ac:dyDescent="0.25">
      <c r="A388" s="13" t="s">
        <v>1068</v>
      </c>
      <c r="B388" s="14" t="s">
        <v>567</v>
      </c>
      <c r="C388" s="14" t="s">
        <v>564</v>
      </c>
      <c r="D388" s="14" t="s">
        <v>565</v>
      </c>
      <c r="E388" s="14" t="s">
        <v>566</v>
      </c>
      <c r="F388" s="14" t="s">
        <v>64</v>
      </c>
      <c r="G388" s="14" t="s">
        <v>65</v>
      </c>
      <c r="H388" s="16" t="s">
        <v>66</v>
      </c>
      <c r="I388" s="14" t="s">
        <v>49</v>
      </c>
      <c r="J388" s="14">
        <v>900335279</v>
      </c>
      <c r="K388" s="14" t="s">
        <v>77</v>
      </c>
      <c r="L388" s="14" t="s">
        <v>51</v>
      </c>
      <c r="M388" s="14" t="s">
        <v>78</v>
      </c>
      <c r="N388" s="14">
        <v>2015</v>
      </c>
      <c r="O388" s="14">
        <v>5</v>
      </c>
      <c r="P388" s="14" t="s">
        <v>53</v>
      </c>
      <c r="Q388" s="14">
        <v>0</v>
      </c>
      <c r="R388" s="14">
        <v>0</v>
      </c>
      <c r="S388" s="17" t="s">
        <v>54</v>
      </c>
      <c r="T388" s="18">
        <v>0</v>
      </c>
      <c r="U388" s="14">
        <v>0</v>
      </c>
      <c r="V388" s="19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f>Tabla13[[#This Row],[CheckList App]]+Tabla13[[#This Row],[CheckList Fisc]]</f>
        <v>0</v>
      </c>
      <c r="AB388" s="19" t="str">
        <f t="shared" si="6"/>
        <v/>
      </c>
      <c r="AC388" s="14">
        <v>0</v>
      </c>
      <c r="AD388" s="14" t="s">
        <v>55</v>
      </c>
      <c r="AE388" s="15" t="str">
        <f>IFERROR((VLOOKUP(Tabla13[[#This Row],[ID]],[1]!Mtto_Pesv[[#Headers],[#Data],[Placa]:[Rutina]],2,FALSE)),"-")</f>
        <v>-</v>
      </c>
      <c r="AF388" s="14">
        <v>0</v>
      </c>
      <c r="AG388" s="20">
        <f>IFERROR((VLOOKUP(Tabla13[[#This Row],[ID]],[1]!Mtto_Pesv[[#Headers],[#Data],[Placa]:[Rutina]],3,FALSE)),0)</f>
        <v>0</v>
      </c>
      <c r="AH388" s="20">
        <f>IFERROR((VLOOKUP(Tabla13[[#This Row],[ID]],[1]!Mtto_Pesv[[#Headers],[#Data],[Placa]:[Rutina]],7,FALSE)),0)</f>
        <v>0</v>
      </c>
      <c r="AI388" s="20">
        <f>IFERROR((VLOOKUP(Tabla13[[#This Row],[ID]],[1]!Mtto_Pesv[[#Headers],[#Data],[Placa]:[Rutina]],8,FALSE)),0)</f>
        <v>0</v>
      </c>
      <c r="AJ388" s="20" t="str">
        <f>IFERROR((VLOOKUP(Tabla13[[#This Row],[ID]],[1]!Mtto_Pesv[[#Headers],[#Data],[Placa]:[Rutina]],9,FALSE)),"-")</f>
        <v>-</v>
      </c>
      <c r="AK388" s="20">
        <f>IFERROR((VLOOKUP(Tabla13[[#This Row],[ID]],[1]!Mtto_Pesv[[#Headers],[#Data],[Placa]:[Rutina]],10,FALSE)),0)</f>
        <v>0</v>
      </c>
      <c r="AL388" s="20">
        <f>IF(Tabla13[[#This Row],[Km Anterior]]=0,0,Tabla13[[#This Row],[Km Ejecut]]-Tabla13[[#This Row],[Km Anterior]])</f>
        <v>0</v>
      </c>
      <c r="AM388" s="20">
        <f>IFERROR((VLOOKUP(Tabla13[[#This Row],[ID]],[1]!Mtto_Pesv[[#Headers],[#Data],[Placa]:[Rutina]],4,FALSE)),0)</f>
        <v>0</v>
      </c>
      <c r="AN388" s="21">
        <f>IFERROR((VLOOKUP(Tabla13[[#This Row],[ID]],[1]!Mtto_Pesv[[#Headers],[#Data],[Placa]:[Rutina]],5,FALSE)),0)</f>
        <v>0</v>
      </c>
      <c r="AO388" s="21">
        <f>+Tabla13[[#This Row],[Km Fin]]-Tabla13[[#This Row],[Km Ini]]</f>
        <v>0</v>
      </c>
      <c r="AP388" s="20">
        <f>IFERROR((VLOOKUP(Tabla13[[#This Row],[ID]],[1]!Estilo_Conduccion[[#All],[Placa]:[Puntuacion]],15,FALSE)),0)</f>
        <v>0</v>
      </c>
      <c r="AQ388" s="15" t="s">
        <v>54</v>
      </c>
      <c r="AR388" s="15" t="s">
        <v>54</v>
      </c>
      <c r="AS388" s="20">
        <v>404</v>
      </c>
      <c r="AT388" s="21">
        <v>0</v>
      </c>
      <c r="AU388" s="21">
        <f>(Tabla13[[#This Row],[Cap Vh]]*$AX$2)*0.56</f>
        <v>0</v>
      </c>
      <c r="AV388" s="36" t="e">
        <f>(Tabla13[[#This Row],[Cap Util (kg)]]/(Tabla13[[#This Row],[Cap Inst (Kg)]]))</f>
        <v>#DIV/0!</v>
      </c>
    </row>
    <row r="389" spans="1:48" x14ac:dyDescent="0.25">
      <c r="A389" s="13" t="s">
        <v>1068</v>
      </c>
      <c r="B389" s="14" t="s">
        <v>568</v>
      </c>
      <c r="C389" s="14" t="s">
        <v>564</v>
      </c>
      <c r="D389" s="14" t="s">
        <v>565</v>
      </c>
      <c r="E389" s="14" t="s">
        <v>569</v>
      </c>
      <c r="F389" s="14" t="s">
        <v>64</v>
      </c>
      <c r="G389" s="14" t="s">
        <v>65</v>
      </c>
      <c r="H389" s="16" t="s">
        <v>66</v>
      </c>
      <c r="I389" s="14" t="s">
        <v>49</v>
      </c>
      <c r="J389" s="14">
        <v>900335279</v>
      </c>
      <c r="K389" s="14" t="s">
        <v>77</v>
      </c>
      <c r="L389" s="14" t="s">
        <v>51</v>
      </c>
      <c r="M389" s="14" t="s">
        <v>78</v>
      </c>
      <c r="N389" s="14">
        <v>2015</v>
      </c>
      <c r="O389" s="14">
        <v>5</v>
      </c>
      <c r="P389" s="14" t="s">
        <v>53</v>
      </c>
      <c r="Q389" s="14">
        <v>0</v>
      </c>
      <c r="R389" s="14">
        <v>0</v>
      </c>
      <c r="S389" s="17" t="s">
        <v>54</v>
      </c>
      <c r="T389" s="18">
        <v>0</v>
      </c>
      <c r="U389" s="14">
        <v>0</v>
      </c>
      <c r="V389" s="19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f>Tabla13[[#This Row],[CheckList App]]+Tabla13[[#This Row],[CheckList Fisc]]</f>
        <v>0</v>
      </c>
      <c r="AB389" s="19" t="str">
        <f t="shared" si="6"/>
        <v/>
      </c>
      <c r="AC389" s="14">
        <v>0</v>
      </c>
      <c r="AD389" s="14" t="s">
        <v>55</v>
      </c>
      <c r="AE389" s="15" t="str">
        <f>IFERROR((VLOOKUP(Tabla13[[#This Row],[ID]],[1]!Mtto_Pesv[[#Headers],[#Data],[Placa]:[Rutina]],2,FALSE)),"-")</f>
        <v>-</v>
      </c>
      <c r="AF389" s="14">
        <v>0</v>
      </c>
      <c r="AG389" s="20">
        <f>IFERROR((VLOOKUP(Tabla13[[#This Row],[ID]],[1]!Mtto_Pesv[[#Headers],[#Data],[Placa]:[Rutina]],3,FALSE)),0)</f>
        <v>0</v>
      </c>
      <c r="AH389" s="20">
        <f>IFERROR((VLOOKUP(Tabla13[[#This Row],[ID]],[1]!Mtto_Pesv[[#Headers],[#Data],[Placa]:[Rutina]],7,FALSE)),0)</f>
        <v>0</v>
      </c>
      <c r="AI389" s="20">
        <f>IFERROR((VLOOKUP(Tabla13[[#This Row],[ID]],[1]!Mtto_Pesv[[#Headers],[#Data],[Placa]:[Rutina]],8,FALSE)),0)</f>
        <v>0</v>
      </c>
      <c r="AJ389" s="20" t="str">
        <f>IFERROR((VLOOKUP(Tabla13[[#This Row],[ID]],[1]!Mtto_Pesv[[#Headers],[#Data],[Placa]:[Rutina]],9,FALSE)),"-")</f>
        <v>-</v>
      </c>
      <c r="AK389" s="20">
        <f>IFERROR((VLOOKUP(Tabla13[[#This Row],[ID]],[1]!Mtto_Pesv[[#Headers],[#Data],[Placa]:[Rutina]],10,FALSE)),0)</f>
        <v>0</v>
      </c>
      <c r="AL389" s="20">
        <f>IF(Tabla13[[#This Row],[Km Anterior]]=0,0,Tabla13[[#This Row],[Km Ejecut]]-Tabla13[[#This Row],[Km Anterior]])</f>
        <v>0</v>
      </c>
      <c r="AM389" s="20">
        <f>IFERROR((VLOOKUP(Tabla13[[#This Row],[ID]],[1]!Mtto_Pesv[[#Headers],[#Data],[Placa]:[Rutina]],4,FALSE)),0)</f>
        <v>0</v>
      </c>
      <c r="AN389" s="21">
        <f>IFERROR((VLOOKUP(Tabla13[[#This Row],[ID]],[1]!Mtto_Pesv[[#Headers],[#Data],[Placa]:[Rutina]],5,FALSE)),0)</f>
        <v>0</v>
      </c>
      <c r="AO389" s="21">
        <f>+Tabla13[[#This Row],[Km Fin]]-Tabla13[[#This Row],[Km Ini]]</f>
        <v>0</v>
      </c>
      <c r="AP389" s="20">
        <f>IFERROR((VLOOKUP(Tabla13[[#This Row],[ID]],[1]!Estilo_Conduccion[[#All],[Placa]:[Puntuacion]],15,FALSE)),0)</f>
        <v>0</v>
      </c>
      <c r="AQ389" s="15" t="s">
        <v>54</v>
      </c>
      <c r="AR389" s="15" t="s">
        <v>54</v>
      </c>
      <c r="AS389" s="20">
        <v>404</v>
      </c>
      <c r="AT389" s="21">
        <v>0</v>
      </c>
      <c r="AU389" s="21">
        <f>(Tabla13[[#This Row],[Cap Vh]]*$AX$2)*0.56</f>
        <v>0</v>
      </c>
      <c r="AV389" s="36" t="e">
        <f>(Tabla13[[#This Row],[Cap Util (kg)]]/(Tabla13[[#This Row],[Cap Inst (Kg)]]))</f>
        <v>#DIV/0!</v>
      </c>
    </row>
    <row r="390" spans="1:48" x14ac:dyDescent="0.25">
      <c r="A390" s="13" t="s">
        <v>1068</v>
      </c>
      <c r="B390" s="14" t="s">
        <v>570</v>
      </c>
      <c r="C390" s="14" t="s">
        <v>564</v>
      </c>
      <c r="D390" s="14" t="s">
        <v>565</v>
      </c>
      <c r="E390" s="14" t="s">
        <v>571</v>
      </c>
      <c r="F390" s="14" t="s">
        <v>76</v>
      </c>
      <c r="G390" s="15" t="s">
        <v>89</v>
      </c>
      <c r="H390" s="16" t="s">
        <v>90</v>
      </c>
      <c r="I390" s="14" t="s">
        <v>49</v>
      </c>
      <c r="J390" s="14">
        <v>900335279</v>
      </c>
      <c r="K390" s="14" t="s">
        <v>77</v>
      </c>
      <c r="L390" s="14" t="s">
        <v>103</v>
      </c>
      <c r="M390" s="14" t="s">
        <v>104</v>
      </c>
      <c r="N390" s="14">
        <v>2018</v>
      </c>
      <c r="O390" s="14">
        <v>2</v>
      </c>
      <c r="P390" s="14" t="s">
        <v>105</v>
      </c>
      <c r="Q390" s="14">
        <v>0</v>
      </c>
      <c r="R390" s="14">
        <v>0</v>
      </c>
      <c r="S390" s="17" t="s">
        <v>54</v>
      </c>
      <c r="T390" s="18">
        <v>0</v>
      </c>
      <c r="U390" s="14">
        <v>0</v>
      </c>
      <c r="V390" s="19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f>Tabla13[[#This Row],[CheckList App]]+Tabla13[[#This Row],[CheckList Fisc]]</f>
        <v>0</v>
      </c>
      <c r="AB390" s="19" t="str">
        <f t="shared" si="6"/>
        <v/>
      </c>
      <c r="AC390" s="14">
        <v>0</v>
      </c>
      <c r="AD390" s="14" t="s">
        <v>55</v>
      </c>
      <c r="AE390" s="15" t="str">
        <f>IFERROR((VLOOKUP(Tabla13[[#This Row],[ID]],[1]!Mtto_Pesv[[#Headers],[#Data],[Placa]:[Rutina]],2,FALSE)),"-")</f>
        <v>-</v>
      </c>
      <c r="AF390" s="14">
        <v>0</v>
      </c>
      <c r="AG390" s="20">
        <f>IFERROR((VLOOKUP(Tabla13[[#This Row],[ID]],[1]!Mtto_Pesv[[#Headers],[#Data],[Placa]:[Rutina]],3,FALSE)),0)</f>
        <v>0</v>
      </c>
      <c r="AH390" s="20">
        <f>IFERROR((VLOOKUP(Tabla13[[#This Row],[ID]],[1]!Mtto_Pesv[[#Headers],[#Data],[Placa]:[Rutina]],7,FALSE)),0)</f>
        <v>0</v>
      </c>
      <c r="AI390" s="20">
        <f>IFERROR((VLOOKUP(Tabla13[[#This Row],[ID]],[1]!Mtto_Pesv[[#Headers],[#Data],[Placa]:[Rutina]],8,FALSE)),0)</f>
        <v>0</v>
      </c>
      <c r="AJ390" s="20" t="str">
        <f>IFERROR((VLOOKUP(Tabla13[[#This Row],[ID]],[1]!Mtto_Pesv[[#Headers],[#Data],[Placa]:[Rutina]],9,FALSE)),"-")</f>
        <v>-</v>
      </c>
      <c r="AK390" s="20">
        <f>IFERROR((VLOOKUP(Tabla13[[#This Row],[ID]],[1]!Mtto_Pesv[[#Headers],[#Data],[Placa]:[Rutina]],10,FALSE)),0)</f>
        <v>0</v>
      </c>
      <c r="AL390" s="20">
        <f>IF(Tabla13[[#This Row],[Km Anterior]]=0,0,Tabla13[[#This Row],[Km Ejecut]]-Tabla13[[#This Row],[Km Anterior]])</f>
        <v>0</v>
      </c>
      <c r="AM390" s="20">
        <f>IFERROR((VLOOKUP(Tabla13[[#This Row],[ID]],[1]!Mtto_Pesv[[#Headers],[#Data],[Placa]:[Rutina]],4,FALSE)),0)</f>
        <v>0</v>
      </c>
      <c r="AN390" s="21">
        <f>IFERROR((VLOOKUP(Tabla13[[#This Row],[ID]],[1]!Mtto_Pesv[[#Headers],[#Data],[Placa]:[Rutina]],5,FALSE)),0)</f>
        <v>0</v>
      </c>
      <c r="AO390" s="21">
        <f>+Tabla13[[#This Row],[Km Fin]]-Tabla13[[#This Row],[Km Ini]]</f>
        <v>0</v>
      </c>
      <c r="AP390" s="20">
        <f>IFERROR((VLOOKUP(Tabla13[[#This Row],[ID]],[1]!Estilo_Conduccion[[#All],[Placa]:[Puntuacion]],15,FALSE)),0)</f>
        <v>0</v>
      </c>
      <c r="AQ390" s="15" t="s">
        <v>1069</v>
      </c>
      <c r="AR390" s="15" t="s">
        <v>1292</v>
      </c>
      <c r="AS390" s="20">
        <v>1650</v>
      </c>
      <c r="AT390" s="21">
        <v>0</v>
      </c>
      <c r="AU390" s="21">
        <f>(Tabla13[[#This Row],[Cap Vh]]*$AX$2)*0.56</f>
        <v>0</v>
      </c>
      <c r="AV390" s="36" t="e">
        <f>(Tabla13[[#This Row],[Cap Util (kg)]]/(Tabla13[[#This Row],[Cap Inst (Kg)]]))</f>
        <v>#DIV/0!</v>
      </c>
    </row>
    <row r="391" spans="1:48" x14ac:dyDescent="0.25">
      <c r="A391" s="13" t="s">
        <v>1068</v>
      </c>
      <c r="B391" s="14" t="s">
        <v>572</v>
      </c>
      <c r="C391" s="14" t="s">
        <v>564</v>
      </c>
      <c r="D391" s="14" t="s">
        <v>565</v>
      </c>
      <c r="E391" s="14" t="s">
        <v>573</v>
      </c>
      <c r="F391" s="14" t="s">
        <v>76</v>
      </c>
      <c r="G391" s="15" t="s">
        <v>89</v>
      </c>
      <c r="H391" s="16" t="s">
        <v>90</v>
      </c>
      <c r="I391" s="14" t="s">
        <v>49</v>
      </c>
      <c r="J391" s="14">
        <v>860002964</v>
      </c>
      <c r="K391" s="14" t="s">
        <v>102</v>
      </c>
      <c r="L391" s="14" t="s">
        <v>103</v>
      </c>
      <c r="M391" s="14" t="s">
        <v>104</v>
      </c>
      <c r="N391" s="14">
        <v>2018</v>
      </c>
      <c r="O391" s="14">
        <v>2</v>
      </c>
      <c r="P391" s="14" t="s">
        <v>105</v>
      </c>
      <c r="Q391" s="14">
        <v>0</v>
      </c>
      <c r="R391" s="14">
        <v>0</v>
      </c>
      <c r="S391" s="17" t="s">
        <v>54</v>
      </c>
      <c r="T391" s="18">
        <v>0</v>
      </c>
      <c r="U391" s="14">
        <v>0</v>
      </c>
      <c r="V391" s="19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f>Tabla13[[#This Row],[CheckList App]]+Tabla13[[#This Row],[CheckList Fisc]]</f>
        <v>0</v>
      </c>
      <c r="AB391" s="19" t="str">
        <f t="shared" si="6"/>
        <v/>
      </c>
      <c r="AC391" s="14">
        <v>0</v>
      </c>
      <c r="AD391" s="14" t="s">
        <v>55</v>
      </c>
      <c r="AE391" s="15" t="str">
        <f>IFERROR((VLOOKUP(Tabla13[[#This Row],[ID]],[1]!Mtto_Pesv[[#Headers],[#Data],[Placa]:[Rutina]],2,FALSE)),"-")</f>
        <v>-</v>
      </c>
      <c r="AF391" s="14">
        <v>0</v>
      </c>
      <c r="AG391" s="20">
        <f>IFERROR((VLOOKUP(Tabla13[[#This Row],[ID]],[1]!Mtto_Pesv[[#Headers],[#Data],[Placa]:[Rutina]],3,FALSE)),0)</f>
        <v>0</v>
      </c>
      <c r="AH391" s="20">
        <f>IFERROR((VLOOKUP(Tabla13[[#This Row],[ID]],[1]!Mtto_Pesv[[#Headers],[#Data],[Placa]:[Rutina]],7,FALSE)),0)</f>
        <v>0</v>
      </c>
      <c r="AI391" s="20">
        <f>IFERROR((VLOOKUP(Tabla13[[#This Row],[ID]],[1]!Mtto_Pesv[[#Headers],[#Data],[Placa]:[Rutina]],8,FALSE)),0)</f>
        <v>0</v>
      </c>
      <c r="AJ391" s="20" t="str">
        <f>IFERROR((VLOOKUP(Tabla13[[#This Row],[ID]],[1]!Mtto_Pesv[[#Headers],[#Data],[Placa]:[Rutina]],9,FALSE)),"-")</f>
        <v>-</v>
      </c>
      <c r="AK391" s="20">
        <f>IFERROR((VLOOKUP(Tabla13[[#This Row],[ID]],[1]!Mtto_Pesv[[#Headers],[#Data],[Placa]:[Rutina]],10,FALSE)),0)</f>
        <v>0</v>
      </c>
      <c r="AL391" s="20">
        <f>IF(Tabla13[[#This Row],[Km Anterior]]=0,0,Tabla13[[#This Row],[Km Ejecut]]-Tabla13[[#This Row],[Km Anterior]])</f>
        <v>0</v>
      </c>
      <c r="AM391" s="20">
        <f>IFERROR((VLOOKUP(Tabla13[[#This Row],[ID]],[1]!Mtto_Pesv[[#Headers],[#Data],[Placa]:[Rutina]],4,FALSE)),0)</f>
        <v>0</v>
      </c>
      <c r="AN391" s="21">
        <f>IFERROR((VLOOKUP(Tabla13[[#This Row],[ID]],[1]!Mtto_Pesv[[#Headers],[#Data],[Placa]:[Rutina]],5,FALSE)),0)</f>
        <v>0</v>
      </c>
      <c r="AO391" s="21">
        <f>+Tabla13[[#This Row],[Km Fin]]-Tabla13[[#This Row],[Km Ini]]</f>
        <v>0</v>
      </c>
      <c r="AP391" s="20">
        <f>IFERROR((VLOOKUP(Tabla13[[#This Row],[ID]],[1]!Estilo_Conduccion[[#All],[Placa]:[Puntuacion]],15,FALSE)),0)</f>
        <v>0</v>
      </c>
      <c r="AQ391" s="15" t="s">
        <v>1293</v>
      </c>
      <c r="AR391" s="15" t="s">
        <v>1294</v>
      </c>
      <c r="AS391" s="20">
        <v>1650</v>
      </c>
      <c r="AT391" s="21">
        <v>3616</v>
      </c>
      <c r="AU391" s="21">
        <f>(Tabla13[[#This Row],[Cap Vh]]*$AX$2)*0.56</f>
        <v>0</v>
      </c>
      <c r="AV391" s="36" t="e">
        <f>(Tabla13[[#This Row],[Cap Util (kg)]]/(Tabla13[[#This Row],[Cap Inst (Kg)]]))</f>
        <v>#DIV/0!</v>
      </c>
    </row>
    <row r="392" spans="1:48" x14ac:dyDescent="0.25">
      <c r="A392" s="13" t="s">
        <v>1068</v>
      </c>
      <c r="B392" s="14" t="s">
        <v>574</v>
      </c>
      <c r="C392" s="14" t="s">
        <v>564</v>
      </c>
      <c r="D392" s="14" t="s">
        <v>565</v>
      </c>
      <c r="E392" s="14" t="s">
        <v>575</v>
      </c>
      <c r="F392" s="14" t="s">
        <v>337</v>
      </c>
      <c r="G392" s="15" t="s">
        <v>47</v>
      </c>
      <c r="H392" s="16" t="s">
        <v>48</v>
      </c>
      <c r="I392" s="14" t="s">
        <v>49</v>
      </c>
      <c r="J392" s="14">
        <v>900335279</v>
      </c>
      <c r="K392" s="14" t="s">
        <v>77</v>
      </c>
      <c r="L392" s="14" t="s">
        <v>103</v>
      </c>
      <c r="M392" s="14" t="s">
        <v>121</v>
      </c>
      <c r="N392" s="14">
        <v>2018</v>
      </c>
      <c r="O392" s="14">
        <v>2</v>
      </c>
      <c r="P392" s="14" t="s">
        <v>105</v>
      </c>
      <c r="Q392" s="14">
        <v>0</v>
      </c>
      <c r="R392" s="14">
        <v>0</v>
      </c>
      <c r="S392" s="17" t="s">
        <v>54</v>
      </c>
      <c r="T392" s="18">
        <v>0</v>
      </c>
      <c r="U392" s="14">
        <v>0</v>
      </c>
      <c r="V392" s="19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f>Tabla13[[#This Row],[CheckList App]]+Tabla13[[#This Row],[CheckList Fisc]]</f>
        <v>0</v>
      </c>
      <c r="AB392" s="19" t="str">
        <f t="shared" si="6"/>
        <v/>
      </c>
      <c r="AC392" s="14">
        <v>10</v>
      </c>
      <c r="AD392" s="14" t="s">
        <v>70</v>
      </c>
      <c r="AE392" s="15" t="str">
        <f>IFERROR((VLOOKUP(Tabla13[[#This Row],[ID]],[1]!Mtto_Pesv[[#Headers],[#Data],[Placa]:[Rutina]],2,FALSE)),"-")</f>
        <v>-</v>
      </c>
      <c r="AF392" s="14">
        <v>1</v>
      </c>
      <c r="AG392" s="20">
        <f>IFERROR((VLOOKUP(Tabla13[[#This Row],[ID]],[1]!Mtto_Pesv[[#Headers],[#Data],[Placa]:[Rutina]],3,FALSE)),0)</f>
        <v>0</v>
      </c>
      <c r="AH392" s="20">
        <f>IFERROR((VLOOKUP(Tabla13[[#This Row],[ID]],[1]!Mtto_Pesv[[#Headers],[#Data],[Placa]:[Rutina]],7,FALSE)),0)</f>
        <v>0</v>
      </c>
      <c r="AI392" s="20">
        <f>IFERROR((VLOOKUP(Tabla13[[#This Row],[ID]],[1]!Mtto_Pesv[[#Headers],[#Data],[Placa]:[Rutina]],8,FALSE)),0)</f>
        <v>0</v>
      </c>
      <c r="AJ392" s="20" t="str">
        <f>IFERROR((VLOOKUP(Tabla13[[#This Row],[ID]],[1]!Mtto_Pesv[[#Headers],[#Data],[Placa]:[Rutina]],9,FALSE)),"-")</f>
        <v>-</v>
      </c>
      <c r="AK392" s="20">
        <f>IFERROR((VLOOKUP(Tabla13[[#This Row],[ID]],[1]!Mtto_Pesv[[#Headers],[#Data],[Placa]:[Rutina]],10,FALSE)),0)</f>
        <v>0</v>
      </c>
      <c r="AL392" s="20">
        <f>IF(Tabla13[[#This Row],[Km Anterior]]=0,0,Tabla13[[#This Row],[Km Ejecut]]-Tabla13[[#This Row],[Km Anterior]])</f>
        <v>0</v>
      </c>
      <c r="AM392" s="20">
        <f>IFERROR((VLOOKUP(Tabla13[[#This Row],[ID]],[1]!Mtto_Pesv[[#Headers],[#Data],[Placa]:[Rutina]],4,FALSE)),0)</f>
        <v>0</v>
      </c>
      <c r="AN392" s="21">
        <f>IFERROR((VLOOKUP(Tabla13[[#This Row],[ID]],[1]!Mtto_Pesv[[#Headers],[#Data],[Placa]:[Rutina]],5,FALSE)),0)</f>
        <v>0</v>
      </c>
      <c r="AO392" s="21">
        <f>+Tabla13[[#This Row],[Km Fin]]-Tabla13[[#This Row],[Km Ini]]</f>
        <v>0</v>
      </c>
      <c r="AP392" s="20">
        <f>IFERROR((VLOOKUP(Tabla13[[#This Row],[ID]],[1]!Estilo_Conduccion[[#All],[Placa]:[Puntuacion]],15,FALSE)),0)</f>
        <v>0</v>
      </c>
      <c r="AQ392" s="15" t="s">
        <v>1295</v>
      </c>
      <c r="AR392" s="15" t="s">
        <v>1296</v>
      </c>
      <c r="AS392" s="20">
        <v>2200</v>
      </c>
      <c r="AT392" s="21">
        <v>11749.5</v>
      </c>
      <c r="AU392" s="21">
        <f>(Tabla13[[#This Row],[Cap Vh]]*$AX$2)*0.56</f>
        <v>0</v>
      </c>
      <c r="AV392" s="36" t="e">
        <f>(Tabla13[[#This Row],[Cap Util (kg)]]/(Tabla13[[#This Row],[Cap Inst (Kg)]]))</f>
        <v>#DIV/0!</v>
      </c>
    </row>
    <row r="393" spans="1:48" x14ac:dyDescent="0.25">
      <c r="A393" s="13" t="s">
        <v>1068</v>
      </c>
      <c r="B393" s="14" t="s">
        <v>576</v>
      </c>
      <c r="C393" s="14" t="s">
        <v>564</v>
      </c>
      <c r="D393" s="14" t="s">
        <v>577</v>
      </c>
      <c r="E393" s="14" t="s">
        <v>578</v>
      </c>
      <c r="F393" s="14" t="s">
        <v>76</v>
      </c>
      <c r="G393" s="15" t="s">
        <v>128</v>
      </c>
      <c r="H393" s="16" t="s">
        <v>143</v>
      </c>
      <c r="I393" s="14" t="s">
        <v>49</v>
      </c>
      <c r="J393" s="14">
        <v>900335279</v>
      </c>
      <c r="K393" s="14" t="s">
        <v>77</v>
      </c>
      <c r="L393" s="14" t="s">
        <v>103</v>
      </c>
      <c r="M393" s="14" t="s">
        <v>121</v>
      </c>
      <c r="N393" s="14">
        <v>2018</v>
      </c>
      <c r="O393" s="14">
        <v>2</v>
      </c>
      <c r="P393" s="14" t="s">
        <v>105</v>
      </c>
      <c r="Q393" s="14">
        <v>1</v>
      </c>
      <c r="R393" s="14">
        <v>0</v>
      </c>
      <c r="S393" s="17" t="s">
        <v>54</v>
      </c>
      <c r="T393" s="18">
        <v>0</v>
      </c>
      <c r="U393" s="14">
        <v>30</v>
      </c>
      <c r="V393" s="19">
        <v>1</v>
      </c>
      <c r="W393" s="14">
        <v>0</v>
      </c>
      <c r="X393" s="14">
        <v>27</v>
      </c>
      <c r="Y393" s="14">
        <v>0</v>
      </c>
      <c r="Z393" s="14">
        <v>26</v>
      </c>
      <c r="AA393" s="14">
        <f>Tabla13[[#This Row],[CheckList App]]+Tabla13[[#This Row],[CheckList Fisc]]</f>
        <v>26</v>
      </c>
      <c r="AB393" s="19">
        <f t="shared" si="6"/>
        <v>0.96296296296296291</v>
      </c>
      <c r="AC393" s="14">
        <v>2</v>
      </c>
      <c r="AD393" s="14" t="s">
        <v>70</v>
      </c>
      <c r="AE393" s="15" t="str">
        <f>IFERROR((VLOOKUP(Tabla13[[#This Row],[ID]],[1]!Mtto_Pesv[[#Headers],[#Data],[Placa]:[Rutina]],2,FALSE)),"-")</f>
        <v>-</v>
      </c>
      <c r="AF393" s="14">
        <v>1</v>
      </c>
      <c r="AG393" s="20">
        <f>IFERROR((VLOOKUP(Tabla13[[#This Row],[ID]],[1]!Mtto_Pesv[[#Headers],[#Data],[Placa]:[Rutina]],3,FALSE)),0)</f>
        <v>0</v>
      </c>
      <c r="AH393" s="20">
        <f>IFERROR((VLOOKUP(Tabla13[[#This Row],[ID]],[1]!Mtto_Pesv[[#Headers],[#Data],[Placa]:[Rutina]],7,FALSE)),0)</f>
        <v>0</v>
      </c>
      <c r="AI393" s="20">
        <f>IFERROR((VLOOKUP(Tabla13[[#This Row],[ID]],[1]!Mtto_Pesv[[#Headers],[#Data],[Placa]:[Rutina]],8,FALSE)),0)</f>
        <v>0</v>
      </c>
      <c r="AJ393" s="20" t="str">
        <f>IFERROR((VLOOKUP(Tabla13[[#This Row],[ID]],[1]!Mtto_Pesv[[#Headers],[#Data],[Placa]:[Rutina]],9,FALSE)),"-")</f>
        <v>-</v>
      </c>
      <c r="AK393" s="20">
        <f>IFERROR((VLOOKUP(Tabla13[[#This Row],[ID]],[1]!Mtto_Pesv[[#Headers],[#Data],[Placa]:[Rutina]],10,FALSE)),0)</f>
        <v>0</v>
      </c>
      <c r="AL393" s="20">
        <f>IF(Tabla13[[#This Row],[Km Anterior]]=0,0,Tabla13[[#This Row],[Km Ejecut]]-Tabla13[[#This Row],[Km Anterior]])</f>
        <v>0</v>
      </c>
      <c r="AM393" s="20">
        <f>IFERROR((VLOOKUP(Tabla13[[#This Row],[ID]],[1]!Mtto_Pesv[[#Headers],[#Data],[Placa]:[Rutina]],4,FALSE)),0)</f>
        <v>0</v>
      </c>
      <c r="AN393" s="21">
        <f>IFERROR((VLOOKUP(Tabla13[[#This Row],[ID]],[1]!Mtto_Pesv[[#Headers],[#Data],[Placa]:[Rutina]],5,FALSE)),0)</f>
        <v>0</v>
      </c>
      <c r="AO393" s="21">
        <f>+Tabla13[[#This Row],[Km Fin]]-Tabla13[[#This Row],[Km Ini]]</f>
        <v>0</v>
      </c>
      <c r="AP393" s="20">
        <f>IFERROR((VLOOKUP(Tabla13[[#This Row],[ID]],[1]!Estilo_Conduccion[[#All],[Placa]:[Puntuacion]],15,FALSE)),0)</f>
        <v>201.6</v>
      </c>
      <c r="AQ393" s="15" t="s">
        <v>54</v>
      </c>
      <c r="AR393" s="15" t="s">
        <v>1297</v>
      </c>
      <c r="AS393" s="20">
        <v>2200</v>
      </c>
      <c r="AT393" s="21">
        <v>0</v>
      </c>
      <c r="AU393" s="21">
        <f>(Tabla13[[#This Row],[Cap Vh]]*$AX$2)*0.56</f>
        <v>0</v>
      </c>
      <c r="AV393" s="36" t="e">
        <f>(Tabla13[[#This Row],[Cap Util (kg)]]/(Tabla13[[#This Row],[Cap Inst (Kg)]]))</f>
        <v>#DIV/0!</v>
      </c>
    </row>
    <row r="394" spans="1:48" x14ac:dyDescent="0.25">
      <c r="A394" s="13" t="s">
        <v>1068</v>
      </c>
      <c r="B394" s="14" t="s">
        <v>579</v>
      </c>
      <c r="C394" s="14" t="s">
        <v>564</v>
      </c>
      <c r="D394" s="14" t="s">
        <v>565</v>
      </c>
      <c r="E394" s="14" t="s">
        <v>580</v>
      </c>
      <c r="F394" s="14" t="s">
        <v>64</v>
      </c>
      <c r="G394" s="15" t="s">
        <v>128</v>
      </c>
      <c r="H394" s="16" t="s">
        <v>143</v>
      </c>
      <c r="I394" s="14" t="s">
        <v>49</v>
      </c>
      <c r="J394" s="14">
        <v>890903937</v>
      </c>
      <c r="K394" s="14" t="s">
        <v>138</v>
      </c>
      <c r="L394" s="14" t="s">
        <v>103</v>
      </c>
      <c r="M394" s="14" t="s">
        <v>121</v>
      </c>
      <c r="N394" s="14">
        <v>2020</v>
      </c>
      <c r="O394" s="14">
        <v>0</v>
      </c>
      <c r="P394" s="14" t="s">
        <v>105</v>
      </c>
      <c r="Q394" s="14">
        <v>1</v>
      </c>
      <c r="R394" s="14">
        <v>1</v>
      </c>
      <c r="S394" s="17">
        <v>44834.201736111107</v>
      </c>
      <c r="T394" s="18">
        <v>124.026</v>
      </c>
      <c r="U394" s="14">
        <v>17</v>
      </c>
      <c r="V394" s="19">
        <v>0.56666666666666665</v>
      </c>
      <c r="W394" s="14">
        <v>0</v>
      </c>
      <c r="X394" s="14">
        <v>17</v>
      </c>
      <c r="Y394" s="14">
        <v>0</v>
      </c>
      <c r="Z394" s="14">
        <v>14</v>
      </c>
      <c r="AA394" s="14">
        <f>Tabla13[[#This Row],[CheckList App]]+Tabla13[[#This Row],[CheckList Fisc]]</f>
        <v>14</v>
      </c>
      <c r="AB394" s="19">
        <f t="shared" si="6"/>
        <v>0.82352941176470584</v>
      </c>
      <c r="AC394" s="14">
        <v>3</v>
      </c>
      <c r="AD394" s="14" t="s">
        <v>70</v>
      </c>
      <c r="AE394" s="15" t="str">
        <f>IFERROR((VLOOKUP(Tabla13[[#This Row],[ID]],[1]!Mtto_Pesv[[#Headers],[#Data],[Placa]:[Rutina]],2,FALSE)),"-")</f>
        <v>-</v>
      </c>
      <c r="AF394" s="14">
        <v>1</v>
      </c>
      <c r="AG394" s="20">
        <f>IFERROR((VLOOKUP(Tabla13[[#This Row],[ID]],[1]!Mtto_Pesv[[#Headers],[#Data],[Placa]:[Rutina]],3,FALSE)),0)</f>
        <v>0</v>
      </c>
      <c r="AH394" s="20">
        <f>IFERROR((VLOOKUP(Tabla13[[#This Row],[ID]],[1]!Mtto_Pesv[[#Headers],[#Data],[Placa]:[Rutina]],7,FALSE)),0)</f>
        <v>0</v>
      </c>
      <c r="AI394" s="20">
        <f>IFERROR((VLOOKUP(Tabla13[[#This Row],[ID]],[1]!Mtto_Pesv[[#Headers],[#Data],[Placa]:[Rutina]],8,FALSE)),0)</f>
        <v>0</v>
      </c>
      <c r="AJ394" s="20" t="str">
        <f>IFERROR((VLOOKUP(Tabla13[[#This Row],[ID]],[1]!Mtto_Pesv[[#Headers],[#Data],[Placa]:[Rutina]],9,FALSE)),"-")</f>
        <v>-</v>
      </c>
      <c r="AK394" s="20">
        <f>IFERROR((VLOOKUP(Tabla13[[#This Row],[ID]],[1]!Mtto_Pesv[[#Headers],[#Data],[Placa]:[Rutina]],10,FALSE)),0)</f>
        <v>0</v>
      </c>
      <c r="AL394" s="20">
        <f>IF(Tabla13[[#This Row],[Km Anterior]]=0,0,Tabla13[[#This Row],[Km Ejecut]]-Tabla13[[#This Row],[Km Anterior]])</f>
        <v>0</v>
      </c>
      <c r="AM394" s="20">
        <f>IFERROR((VLOOKUP(Tabla13[[#This Row],[ID]],[1]!Mtto_Pesv[[#Headers],[#Data],[Placa]:[Rutina]],4,FALSE)),0)</f>
        <v>0</v>
      </c>
      <c r="AN394" s="21">
        <f>IFERROR((VLOOKUP(Tabla13[[#This Row],[ID]],[1]!Mtto_Pesv[[#Headers],[#Data],[Placa]:[Rutina]],5,FALSE)),0)</f>
        <v>0</v>
      </c>
      <c r="AO394" s="21">
        <f>+Tabla13[[#This Row],[Km Fin]]-Tabla13[[#This Row],[Km Ini]]</f>
        <v>0</v>
      </c>
      <c r="AP394" s="20">
        <f>IFERROR((VLOOKUP(Tabla13[[#This Row],[ID]],[1]!Estilo_Conduccion[[#All],[Placa]:[Puntuacion]],15,FALSE)),0)</f>
        <v>227.5</v>
      </c>
      <c r="AQ394" s="15" t="s">
        <v>54</v>
      </c>
      <c r="AR394" s="15" t="s">
        <v>1298</v>
      </c>
      <c r="AS394" s="20">
        <v>2350</v>
      </c>
      <c r="AT394" s="21">
        <v>0</v>
      </c>
      <c r="AU394" s="21">
        <f>(Tabla13[[#This Row],[Cap Vh]]*$AX$2)*0.56</f>
        <v>0</v>
      </c>
      <c r="AV394" s="36" t="e">
        <f>(Tabla13[[#This Row],[Cap Util (kg)]]/(Tabla13[[#This Row],[Cap Inst (Kg)]]))</f>
        <v>#DIV/0!</v>
      </c>
    </row>
    <row r="395" spans="1:48" x14ac:dyDescent="0.25">
      <c r="A395" s="13" t="s">
        <v>1068</v>
      </c>
      <c r="B395" s="14" t="s">
        <v>581</v>
      </c>
      <c r="C395" s="14" t="s">
        <v>564</v>
      </c>
      <c r="D395" s="14" t="s">
        <v>565</v>
      </c>
      <c r="E395" s="14" t="s">
        <v>566</v>
      </c>
      <c r="F395" s="14" t="s">
        <v>64</v>
      </c>
      <c r="G395" s="15" t="s">
        <v>128</v>
      </c>
      <c r="H395" s="16" t="s">
        <v>143</v>
      </c>
      <c r="I395" s="14" t="s">
        <v>49</v>
      </c>
      <c r="J395" s="14">
        <v>890903937</v>
      </c>
      <c r="K395" s="14" t="s">
        <v>138</v>
      </c>
      <c r="L395" s="14" t="s">
        <v>103</v>
      </c>
      <c r="M395" s="14" t="s">
        <v>104</v>
      </c>
      <c r="N395" s="14">
        <v>2019</v>
      </c>
      <c r="O395" s="14">
        <v>1</v>
      </c>
      <c r="P395" s="14" t="s">
        <v>105</v>
      </c>
      <c r="Q395" s="14">
        <v>1</v>
      </c>
      <c r="R395" s="14">
        <v>1</v>
      </c>
      <c r="S395" s="17">
        <v>44830.330925925933</v>
      </c>
      <c r="T395" s="18">
        <v>110.16499999999999</v>
      </c>
      <c r="U395" s="14">
        <v>30</v>
      </c>
      <c r="V395" s="19">
        <v>1</v>
      </c>
      <c r="W395" s="14">
        <v>0</v>
      </c>
      <c r="X395" s="14">
        <v>27</v>
      </c>
      <c r="Y395" s="14">
        <v>0</v>
      </c>
      <c r="Z395" s="14">
        <v>25</v>
      </c>
      <c r="AA395" s="14">
        <f>Tabla13[[#This Row],[CheckList App]]+Tabla13[[#This Row],[CheckList Fisc]]</f>
        <v>25</v>
      </c>
      <c r="AB395" s="19">
        <f t="shared" si="6"/>
        <v>0.92592592592592593</v>
      </c>
      <c r="AC395" s="14">
        <v>0</v>
      </c>
      <c r="AD395" s="14" t="s">
        <v>70</v>
      </c>
      <c r="AE395" s="15" t="str">
        <f>IFERROR((VLOOKUP(Tabla13[[#This Row],[ID]],[1]!Mtto_Pesv[[#Headers],[#Data],[Placa]:[Rutina]],2,FALSE)),"-")</f>
        <v>-</v>
      </c>
      <c r="AF395" s="14">
        <v>1</v>
      </c>
      <c r="AG395" s="20">
        <f>IFERROR((VLOOKUP(Tabla13[[#This Row],[ID]],[1]!Mtto_Pesv[[#Headers],[#Data],[Placa]:[Rutina]],3,FALSE)),0)</f>
        <v>0</v>
      </c>
      <c r="AH395" s="20">
        <f>IFERROR((VLOOKUP(Tabla13[[#This Row],[ID]],[1]!Mtto_Pesv[[#Headers],[#Data],[Placa]:[Rutina]],7,FALSE)),0)</f>
        <v>0</v>
      </c>
      <c r="AI395" s="20">
        <f>IFERROR((VLOOKUP(Tabla13[[#This Row],[ID]],[1]!Mtto_Pesv[[#Headers],[#Data],[Placa]:[Rutina]],8,FALSE)),0)</f>
        <v>0</v>
      </c>
      <c r="AJ395" s="20" t="str">
        <f>IFERROR((VLOOKUP(Tabla13[[#This Row],[ID]],[1]!Mtto_Pesv[[#Headers],[#Data],[Placa]:[Rutina]],9,FALSE)),"-")</f>
        <v>-</v>
      </c>
      <c r="AK395" s="20">
        <f>IFERROR((VLOOKUP(Tabla13[[#This Row],[ID]],[1]!Mtto_Pesv[[#Headers],[#Data],[Placa]:[Rutina]],10,FALSE)),0)</f>
        <v>0</v>
      </c>
      <c r="AL395" s="20">
        <f>IF(Tabla13[[#This Row],[Km Anterior]]=0,0,Tabla13[[#This Row],[Km Ejecut]]-Tabla13[[#This Row],[Km Anterior]])</f>
        <v>0</v>
      </c>
      <c r="AM395" s="20">
        <f>IFERROR((VLOOKUP(Tabla13[[#This Row],[ID]],[1]!Mtto_Pesv[[#Headers],[#Data],[Placa]:[Rutina]],4,FALSE)),0)</f>
        <v>0</v>
      </c>
      <c r="AN395" s="21">
        <f>IFERROR((VLOOKUP(Tabla13[[#This Row],[ID]],[1]!Mtto_Pesv[[#Headers],[#Data],[Placa]:[Rutina]],5,FALSE)),0)</f>
        <v>0</v>
      </c>
      <c r="AO395" s="21">
        <f>+Tabla13[[#This Row],[Km Fin]]-Tabla13[[#This Row],[Km Ini]]</f>
        <v>0</v>
      </c>
      <c r="AP395" s="20">
        <f>IFERROR((VLOOKUP(Tabla13[[#This Row],[ID]],[1]!Estilo_Conduccion[[#All],[Placa]:[Puntuacion]],15,FALSE)),0)</f>
        <v>243</v>
      </c>
      <c r="AQ395" s="15" t="s">
        <v>54</v>
      </c>
      <c r="AR395" s="15" t="s">
        <v>1299</v>
      </c>
      <c r="AS395" s="20">
        <v>1650</v>
      </c>
      <c r="AT395" s="21">
        <v>0</v>
      </c>
      <c r="AU395" s="21">
        <f>(Tabla13[[#This Row],[Cap Vh]]*$AX$2)*0.56</f>
        <v>0</v>
      </c>
      <c r="AV395" s="36" t="e">
        <f>(Tabla13[[#This Row],[Cap Util (kg)]]/(Tabla13[[#This Row],[Cap Inst (Kg)]]))</f>
        <v>#DIV/0!</v>
      </c>
    </row>
    <row r="396" spans="1:48" x14ac:dyDescent="0.25">
      <c r="A396" s="13" t="s">
        <v>1068</v>
      </c>
      <c r="B396" s="14" t="s">
        <v>582</v>
      </c>
      <c r="C396" s="14" t="s">
        <v>564</v>
      </c>
      <c r="D396" s="14" t="s">
        <v>565</v>
      </c>
      <c r="E396" s="14" t="s">
        <v>575</v>
      </c>
      <c r="F396" s="14" t="s">
        <v>64</v>
      </c>
      <c r="G396" s="15" t="s">
        <v>128</v>
      </c>
      <c r="H396" s="16" t="s">
        <v>143</v>
      </c>
      <c r="I396" s="14" t="s">
        <v>49</v>
      </c>
      <c r="J396" s="14">
        <v>890903937</v>
      </c>
      <c r="K396" s="14" t="s">
        <v>138</v>
      </c>
      <c r="L396" s="14" t="s">
        <v>103</v>
      </c>
      <c r="M396" s="14" t="s">
        <v>104</v>
      </c>
      <c r="N396" s="14">
        <v>2019</v>
      </c>
      <c r="O396" s="14">
        <v>1</v>
      </c>
      <c r="P396" s="14" t="s">
        <v>105</v>
      </c>
      <c r="Q396" s="14">
        <v>1</v>
      </c>
      <c r="R396" s="14">
        <v>1</v>
      </c>
      <c r="S396" s="17">
        <v>44834.415439814817</v>
      </c>
      <c r="T396" s="18">
        <v>94.003999999999991</v>
      </c>
      <c r="U396" s="14">
        <v>30</v>
      </c>
      <c r="V396" s="19">
        <v>1</v>
      </c>
      <c r="W396" s="14">
        <v>0</v>
      </c>
      <c r="X396" s="14">
        <v>13</v>
      </c>
      <c r="Y396" s="14">
        <v>0</v>
      </c>
      <c r="Z396" s="14">
        <v>13</v>
      </c>
      <c r="AA396" s="14">
        <f>Tabla13[[#This Row],[CheckList App]]+Tabla13[[#This Row],[CheckList Fisc]]</f>
        <v>13</v>
      </c>
      <c r="AB396" s="19">
        <f t="shared" si="6"/>
        <v>1</v>
      </c>
      <c r="AC396" s="14">
        <v>0</v>
      </c>
      <c r="AD396" s="14" t="s">
        <v>70</v>
      </c>
      <c r="AE396" s="15" t="str">
        <f>IFERROR((VLOOKUP(Tabla13[[#This Row],[ID]],[1]!Mtto_Pesv[[#Headers],[#Data],[Placa]:[Rutina]],2,FALSE)),"-")</f>
        <v>-</v>
      </c>
      <c r="AF396" s="14">
        <v>1</v>
      </c>
      <c r="AG396" s="20">
        <f>IFERROR((VLOOKUP(Tabla13[[#This Row],[ID]],[1]!Mtto_Pesv[[#Headers],[#Data],[Placa]:[Rutina]],3,FALSE)),0)</f>
        <v>0</v>
      </c>
      <c r="AH396" s="20">
        <f>IFERROR((VLOOKUP(Tabla13[[#This Row],[ID]],[1]!Mtto_Pesv[[#Headers],[#Data],[Placa]:[Rutina]],7,FALSE)),0)</f>
        <v>0</v>
      </c>
      <c r="AI396" s="20">
        <f>IFERROR((VLOOKUP(Tabla13[[#This Row],[ID]],[1]!Mtto_Pesv[[#Headers],[#Data],[Placa]:[Rutina]],8,FALSE)),0)</f>
        <v>0</v>
      </c>
      <c r="AJ396" s="20" t="str">
        <f>IFERROR((VLOOKUP(Tabla13[[#This Row],[ID]],[1]!Mtto_Pesv[[#Headers],[#Data],[Placa]:[Rutina]],9,FALSE)),"-")</f>
        <v>-</v>
      </c>
      <c r="AK396" s="20">
        <f>IFERROR((VLOOKUP(Tabla13[[#This Row],[ID]],[1]!Mtto_Pesv[[#Headers],[#Data],[Placa]:[Rutina]],10,FALSE)),0)</f>
        <v>0</v>
      </c>
      <c r="AL396" s="20">
        <f>IF(Tabla13[[#This Row],[Km Anterior]]=0,0,Tabla13[[#This Row],[Km Ejecut]]-Tabla13[[#This Row],[Km Anterior]])</f>
        <v>0</v>
      </c>
      <c r="AM396" s="20">
        <f>IFERROR((VLOOKUP(Tabla13[[#This Row],[ID]],[1]!Mtto_Pesv[[#Headers],[#Data],[Placa]:[Rutina]],4,FALSE)),0)</f>
        <v>0</v>
      </c>
      <c r="AN396" s="21">
        <f>IFERROR((VLOOKUP(Tabla13[[#This Row],[ID]],[1]!Mtto_Pesv[[#Headers],[#Data],[Placa]:[Rutina]],5,FALSE)),0)</f>
        <v>0</v>
      </c>
      <c r="AO396" s="21">
        <f>+Tabla13[[#This Row],[Km Fin]]-Tabla13[[#This Row],[Km Ini]]</f>
        <v>0</v>
      </c>
      <c r="AP396" s="20">
        <f>IFERROR((VLOOKUP(Tabla13[[#This Row],[ID]],[1]!Estilo_Conduccion[[#All],[Placa]:[Puntuacion]],15,FALSE)),0)</f>
        <v>284.2</v>
      </c>
      <c r="AQ396" s="15" t="s">
        <v>54</v>
      </c>
      <c r="AR396" s="15" t="s">
        <v>54</v>
      </c>
      <c r="AS396" s="20">
        <v>1650</v>
      </c>
      <c r="AT396" s="21">
        <v>0</v>
      </c>
      <c r="AU396" s="21">
        <f>(Tabla13[[#This Row],[Cap Vh]]*$AX$2)*0.56</f>
        <v>0</v>
      </c>
      <c r="AV396" s="36" t="e">
        <f>(Tabla13[[#This Row],[Cap Util (kg)]]/(Tabla13[[#This Row],[Cap Inst (Kg)]]))</f>
        <v>#DIV/0!</v>
      </c>
    </row>
    <row r="397" spans="1:48" x14ac:dyDescent="0.25">
      <c r="A397" s="13" t="s">
        <v>1068</v>
      </c>
      <c r="B397" s="14" t="s">
        <v>583</v>
      </c>
      <c r="C397" s="14" t="s">
        <v>564</v>
      </c>
      <c r="D397" s="14" t="s">
        <v>565</v>
      </c>
      <c r="E397" s="14" t="s">
        <v>575</v>
      </c>
      <c r="F397" s="14" t="s">
        <v>76</v>
      </c>
      <c r="G397" s="15" t="s">
        <v>128</v>
      </c>
      <c r="H397" s="16" t="s">
        <v>129</v>
      </c>
      <c r="I397" s="14" t="s">
        <v>49</v>
      </c>
      <c r="J397" s="14">
        <v>890903937</v>
      </c>
      <c r="K397" s="14" t="s">
        <v>138</v>
      </c>
      <c r="L397" s="14" t="s">
        <v>103</v>
      </c>
      <c r="M397" s="14" t="s">
        <v>104</v>
      </c>
      <c r="N397" s="14">
        <v>2019</v>
      </c>
      <c r="O397" s="14">
        <v>1</v>
      </c>
      <c r="P397" s="14" t="s">
        <v>105</v>
      </c>
      <c r="Q397" s="14">
        <v>1</v>
      </c>
      <c r="R397" s="14">
        <v>0</v>
      </c>
      <c r="S397" s="17" t="s">
        <v>54</v>
      </c>
      <c r="T397" s="18">
        <v>0</v>
      </c>
      <c r="U397" s="14">
        <v>30</v>
      </c>
      <c r="V397" s="19">
        <v>1</v>
      </c>
      <c r="W397" s="14">
        <v>0</v>
      </c>
      <c r="X397" s="14">
        <v>0</v>
      </c>
      <c r="Y397" s="14">
        <v>0</v>
      </c>
      <c r="Z397" s="14">
        <v>0</v>
      </c>
      <c r="AA397" s="14">
        <f>Tabla13[[#This Row],[CheckList App]]+Tabla13[[#This Row],[CheckList Fisc]]</f>
        <v>0</v>
      </c>
      <c r="AB397" s="19">
        <f t="shared" si="6"/>
        <v>0</v>
      </c>
      <c r="AC397" s="14">
        <v>0</v>
      </c>
      <c r="AD397" s="14" t="s">
        <v>70</v>
      </c>
      <c r="AE397" s="15" t="str">
        <f>IFERROR((VLOOKUP(Tabla13[[#This Row],[ID]],[1]!Mtto_Pesv[[#Headers],[#Data],[Placa]:[Rutina]],2,FALSE)),"-")</f>
        <v>-</v>
      </c>
      <c r="AF397" s="14">
        <v>1</v>
      </c>
      <c r="AG397" s="20">
        <f>IFERROR((VLOOKUP(Tabla13[[#This Row],[ID]],[1]!Mtto_Pesv[[#Headers],[#Data],[Placa]:[Rutina]],3,FALSE)),0)</f>
        <v>0</v>
      </c>
      <c r="AH397" s="20">
        <f>IFERROR((VLOOKUP(Tabla13[[#This Row],[ID]],[1]!Mtto_Pesv[[#Headers],[#Data],[Placa]:[Rutina]],7,FALSE)),0)</f>
        <v>0</v>
      </c>
      <c r="AI397" s="20">
        <f>IFERROR((VLOOKUP(Tabla13[[#This Row],[ID]],[1]!Mtto_Pesv[[#Headers],[#Data],[Placa]:[Rutina]],8,FALSE)),0)</f>
        <v>0</v>
      </c>
      <c r="AJ397" s="20" t="str">
        <f>IFERROR((VLOOKUP(Tabla13[[#This Row],[ID]],[1]!Mtto_Pesv[[#Headers],[#Data],[Placa]:[Rutina]],9,FALSE)),"-")</f>
        <v>-</v>
      </c>
      <c r="AK397" s="20">
        <f>IFERROR((VLOOKUP(Tabla13[[#This Row],[ID]],[1]!Mtto_Pesv[[#Headers],[#Data],[Placa]:[Rutina]],10,FALSE)),0)</f>
        <v>0</v>
      </c>
      <c r="AL397" s="20">
        <f>IF(Tabla13[[#This Row],[Km Anterior]]=0,0,Tabla13[[#This Row],[Km Ejecut]]-Tabla13[[#This Row],[Km Anterior]])</f>
        <v>0</v>
      </c>
      <c r="AM397" s="20">
        <f>IFERROR((VLOOKUP(Tabla13[[#This Row],[ID]],[1]!Mtto_Pesv[[#Headers],[#Data],[Placa]:[Rutina]],4,FALSE)),0)</f>
        <v>0</v>
      </c>
      <c r="AN397" s="21">
        <f>IFERROR((VLOOKUP(Tabla13[[#This Row],[ID]],[1]!Mtto_Pesv[[#Headers],[#Data],[Placa]:[Rutina]],5,FALSE)),0)</f>
        <v>0</v>
      </c>
      <c r="AO397" s="21">
        <f>+Tabla13[[#This Row],[Km Fin]]-Tabla13[[#This Row],[Km Ini]]</f>
        <v>0</v>
      </c>
      <c r="AP397" s="20">
        <f>IFERROR((VLOOKUP(Tabla13[[#This Row],[ID]],[1]!Estilo_Conduccion[[#All],[Placa]:[Puntuacion]],15,FALSE)),0)</f>
        <v>667.2</v>
      </c>
      <c r="AQ397" s="15" t="s">
        <v>1295</v>
      </c>
      <c r="AR397" s="15" t="s">
        <v>1296</v>
      </c>
      <c r="AS397" s="20">
        <v>1650</v>
      </c>
      <c r="AT397" s="21">
        <v>11749.5</v>
      </c>
      <c r="AU397" s="21">
        <f>(Tabla13[[#This Row],[Cap Vh]]*$AX$2)*0.56</f>
        <v>0</v>
      </c>
      <c r="AV397" s="36" t="e">
        <f>(Tabla13[[#This Row],[Cap Util (kg)]]/(Tabla13[[#This Row],[Cap Inst (Kg)]]))</f>
        <v>#DIV/0!</v>
      </c>
    </row>
    <row r="398" spans="1:48" x14ac:dyDescent="0.25">
      <c r="A398" s="13" t="s">
        <v>1068</v>
      </c>
      <c r="B398" s="14" t="s">
        <v>584</v>
      </c>
      <c r="C398" s="14" t="s">
        <v>564</v>
      </c>
      <c r="D398" s="14" t="s">
        <v>565</v>
      </c>
      <c r="E398" s="14" t="s">
        <v>566</v>
      </c>
      <c r="F398" s="14" t="s">
        <v>64</v>
      </c>
      <c r="G398" s="15" t="s">
        <v>128</v>
      </c>
      <c r="H398" s="16" t="s">
        <v>143</v>
      </c>
      <c r="I398" s="14" t="s">
        <v>49</v>
      </c>
      <c r="J398" s="14">
        <v>890903937</v>
      </c>
      <c r="K398" s="14" t="s">
        <v>138</v>
      </c>
      <c r="L398" s="14" t="s">
        <v>103</v>
      </c>
      <c r="M398" s="14" t="s">
        <v>104</v>
      </c>
      <c r="N398" s="14">
        <v>2019</v>
      </c>
      <c r="O398" s="14">
        <v>1</v>
      </c>
      <c r="P398" s="14" t="s">
        <v>105</v>
      </c>
      <c r="Q398" s="14">
        <v>1</v>
      </c>
      <c r="R398" s="14">
        <v>1</v>
      </c>
      <c r="S398" s="17">
        <v>44819.716423611113</v>
      </c>
      <c r="T398" s="18">
        <v>72.847000000000008</v>
      </c>
      <c r="U398" s="14">
        <v>30</v>
      </c>
      <c r="V398" s="19">
        <v>1</v>
      </c>
      <c r="W398" s="14">
        <v>0</v>
      </c>
      <c r="X398" s="14">
        <v>13</v>
      </c>
      <c r="Y398" s="14">
        <v>0</v>
      </c>
      <c r="Z398" s="14">
        <v>12</v>
      </c>
      <c r="AA398" s="14">
        <f>Tabla13[[#This Row],[CheckList App]]+Tabla13[[#This Row],[CheckList Fisc]]</f>
        <v>12</v>
      </c>
      <c r="AB398" s="19">
        <f t="shared" si="6"/>
        <v>0.92307692307692313</v>
      </c>
      <c r="AC398" s="14">
        <v>0</v>
      </c>
      <c r="AD398" s="14" t="s">
        <v>70</v>
      </c>
      <c r="AE398" s="15" t="str">
        <f>IFERROR((VLOOKUP(Tabla13[[#This Row],[ID]],[1]!Mtto_Pesv[[#Headers],[#Data],[Placa]:[Rutina]],2,FALSE)),"-")</f>
        <v>-</v>
      </c>
      <c r="AF398" s="14">
        <v>1</v>
      </c>
      <c r="AG398" s="20">
        <f>IFERROR((VLOOKUP(Tabla13[[#This Row],[ID]],[1]!Mtto_Pesv[[#Headers],[#Data],[Placa]:[Rutina]],3,FALSE)),0)</f>
        <v>0</v>
      </c>
      <c r="AH398" s="20">
        <f>IFERROR((VLOOKUP(Tabla13[[#This Row],[ID]],[1]!Mtto_Pesv[[#Headers],[#Data],[Placa]:[Rutina]],7,FALSE)),0)</f>
        <v>0</v>
      </c>
      <c r="AI398" s="20">
        <f>IFERROR((VLOOKUP(Tabla13[[#This Row],[ID]],[1]!Mtto_Pesv[[#Headers],[#Data],[Placa]:[Rutina]],8,FALSE)),0)</f>
        <v>0</v>
      </c>
      <c r="AJ398" s="20" t="str">
        <f>IFERROR((VLOOKUP(Tabla13[[#This Row],[ID]],[1]!Mtto_Pesv[[#Headers],[#Data],[Placa]:[Rutina]],9,FALSE)),"-")</f>
        <v>-</v>
      </c>
      <c r="AK398" s="20">
        <f>IFERROR((VLOOKUP(Tabla13[[#This Row],[ID]],[1]!Mtto_Pesv[[#Headers],[#Data],[Placa]:[Rutina]],10,FALSE)),0)</f>
        <v>0</v>
      </c>
      <c r="AL398" s="20">
        <f>IF(Tabla13[[#This Row],[Km Anterior]]=0,0,Tabla13[[#This Row],[Km Ejecut]]-Tabla13[[#This Row],[Km Anterior]])</f>
        <v>0</v>
      </c>
      <c r="AM398" s="20">
        <f>IFERROR((VLOOKUP(Tabla13[[#This Row],[ID]],[1]!Mtto_Pesv[[#Headers],[#Data],[Placa]:[Rutina]],4,FALSE)),0)</f>
        <v>0</v>
      </c>
      <c r="AN398" s="21">
        <f>IFERROR((VLOOKUP(Tabla13[[#This Row],[ID]],[1]!Mtto_Pesv[[#Headers],[#Data],[Placa]:[Rutina]],5,FALSE)),0)</f>
        <v>0</v>
      </c>
      <c r="AO398" s="21">
        <f>+Tabla13[[#This Row],[Km Fin]]-Tabla13[[#This Row],[Km Ini]]</f>
        <v>0</v>
      </c>
      <c r="AP398" s="20">
        <f>IFERROR((VLOOKUP(Tabla13[[#This Row],[ID]],[1]!Estilo_Conduccion[[#All],[Placa]:[Puntuacion]],15,FALSE)),0)</f>
        <v>116.60000000000001</v>
      </c>
      <c r="AQ398" s="15" t="s">
        <v>54</v>
      </c>
      <c r="AR398" s="15" t="s">
        <v>1300</v>
      </c>
      <c r="AS398" s="20">
        <v>1650</v>
      </c>
      <c r="AT398" s="21">
        <v>0</v>
      </c>
      <c r="AU398" s="21">
        <f>(Tabla13[[#This Row],[Cap Vh]]*$AX$2)*0.56</f>
        <v>0</v>
      </c>
      <c r="AV398" s="36" t="e">
        <f>(Tabla13[[#This Row],[Cap Util (kg)]]/(Tabla13[[#This Row],[Cap Inst (Kg)]]))</f>
        <v>#DIV/0!</v>
      </c>
    </row>
    <row r="399" spans="1:48" x14ac:dyDescent="0.25">
      <c r="A399" s="13" t="s">
        <v>1068</v>
      </c>
      <c r="B399" s="14" t="s">
        <v>585</v>
      </c>
      <c r="C399" s="14" t="s">
        <v>564</v>
      </c>
      <c r="D399" s="14" t="s">
        <v>565</v>
      </c>
      <c r="E399" s="14" t="s">
        <v>569</v>
      </c>
      <c r="F399" s="14" t="s">
        <v>76</v>
      </c>
      <c r="G399" s="15" t="s">
        <v>128</v>
      </c>
      <c r="H399" s="16" t="s">
        <v>129</v>
      </c>
      <c r="I399" s="14" t="s">
        <v>49</v>
      </c>
      <c r="J399" s="14">
        <v>890903937</v>
      </c>
      <c r="K399" s="14" t="s">
        <v>138</v>
      </c>
      <c r="L399" s="14" t="s">
        <v>103</v>
      </c>
      <c r="M399" s="14" t="s">
        <v>104</v>
      </c>
      <c r="N399" s="14">
        <v>2019</v>
      </c>
      <c r="O399" s="14">
        <v>1</v>
      </c>
      <c r="P399" s="14" t="s">
        <v>105</v>
      </c>
      <c r="Q399" s="14">
        <v>1</v>
      </c>
      <c r="R399" s="14">
        <v>0</v>
      </c>
      <c r="S399" s="17" t="s">
        <v>54</v>
      </c>
      <c r="T399" s="18">
        <v>0</v>
      </c>
      <c r="U399" s="14">
        <v>30</v>
      </c>
      <c r="V399" s="19">
        <v>1</v>
      </c>
      <c r="W399" s="14">
        <v>0</v>
      </c>
      <c r="X399" s="14">
        <v>24</v>
      </c>
      <c r="Y399" s="14">
        <v>0</v>
      </c>
      <c r="Z399" s="14">
        <v>20</v>
      </c>
      <c r="AA399" s="14">
        <f>Tabla13[[#This Row],[CheckList App]]+Tabla13[[#This Row],[CheckList Fisc]]</f>
        <v>20</v>
      </c>
      <c r="AB399" s="19">
        <f t="shared" si="6"/>
        <v>0.83333333333333337</v>
      </c>
      <c r="AC399" s="14">
        <v>0</v>
      </c>
      <c r="AD399" s="14" t="s">
        <v>70</v>
      </c>
      <c r="AE399" s="15" t="str">
        <f>IFERROR((VLOOKUP(Tabla13[[#This Row],[ID]],[1]!Mtto_Pesv[[#Headers],[#Data],[Placa]:[Rutina]],2,FALSE)),"-")</f>
        <v>-</v>
      </c>
      <c r="AF399" s="14">
        <v>1</v>
      </c>
      <c r="AG399" s="20">
        <f>IFERROR((VLOOKUP(Tabla13[[#This Row],[ID]],[1]!Mtto_Pesv[[#Headers],[#Data],[Placa]:[Rutina]],3,FALSE)),0)</f>
        <v>0</v>
      </c>
      <c r="AH399" s="20">
        <f>IFERROR((VLOOKUP(Tabla13[[#This Row],[ID]],[1]!Mtto_Pesv[[#Headers],[#Data],[Placa]:[Rutina]],7,FALSE)),0)</f>
        <v>0</v>
      </c>
      <c r="AI399" s="20">
        <f>IFERROR((VLOOKUP(Tabla13[[#This Row],[ID]],[1]!Mtto_Pesv[[#Headers],[#Data],[Placa]:[Rutina]],8,FALSE)),0)</f>
        <v>0</v>
      </c>
      <c r="AJ399" s="20" t="str">
        <f>IFERROR((VLOOKUP(Tabla13[[#This Row],[ID]],[1]!Mtto_Pesv[[#Headers],[#Data],[Placa]:[Rutina]],9,FALSE)),"-")</f>
        <v>-</v>
      </c>
      <c r="AK399" s="20">
        <f>IFERROR((VLOOKUP(Tabla13[[#This Row],[ID]],[1]!Mtto_Pesv[[#Headers],[#Data],[Placa]:[Rutina]],10,FALSE)),0)</f>
        <v>0</v>
      </c>
      <c r="AL399" s="20">
        <f>IF(Tabla13[[#This Row],[Km Anterior]]=0,0,Tabla13[[#This Row],[Km Ejecut]]-Tabla13[[#This Row],[Km Anterior]])</f>
        <v>0</v>
      </c>
      <c r="AM399" s="20">
        <f>IFERROR((VLOOKUP(Tabla13[[#This Row],[ID]],[1]!Mtto_Pesv[[#Headers],[#Data],[Placa]:[Rutina]],4,FALSE)),0)</f>
        <v>0</v>
      </c>
      <c r="AN399" s="21">
        <f>IFERROR((VLOOKUP(Tabla13[[#This Row],[ID]],[1]!Mtto_Pesv[[#Headers],[#Data],[Placa]:[Rutina]],5,FALSE)),0)</f>
        <v>0</v>
      </c>
      <c r="AO399" s="21">
        <f>+Tabla13[[#This Row],[Km Fin]]-Tabla13[[#This Row],[Km Ini]]</f>
        <v>0</v>
      </c>
      <c r="AP399" s="20">
        <f>IFERROR((VLOOKUP(Tabla13[[#This Row],[ID]],[1]!Estilo_Conduccion[[#All],[Placa]:[Puntuacion]],15,FALSE)),0)</f>
        <v>510.3</v>
      </c>
      <c r="AQ399" s="15" t="s">
        <v>1301</v>
      </c>
      <c r="AR399" s="15" t="s">
        <v>1302</v>
      </c>
      <c r="AS399" s="20">
        <v>1650</v>
      </c>
      <c r="AT399" s="21">
        <v>10023</v>
      </c>
      <c r="AU399" s="21">
        <f>(Tabla13[[#This Row],[Cap Vh]]*$AX$2)*0.56</f>
        <v>0</v>
      </c>
      <c r="AV399" s="36" t="e">
        <f>(Tabla13[[#This Row],[Cap Util (kg)]]/(Tabla13[[#This Row],[Cap Inst (Kg)]]))</f>
        <v>#DIV/0!</v>
      </c>
    </row>
    <row r="400" spans="1:48" x14ac:dyDescent="0.25">
      <c r="A400" s="13" t="s">
        <v>1068</v>
      </c>
      <c r="B400" s="14" t="s">
        <v>586</v>
      </c>
      <c r="C400" s="14" t="s">
        <v>564</v>
      </c>
      <c r="D400" s="14" t="s">
        <v>565</v>
      </c>
      <c r="E400" s="14" t="s">
        <v>575</v>
      </c>
      <c r="F400" s="14" t="s">
        <v>64</v>
      </c>
      <c r="G400" s="15" t="s">
        <v>128</v>
      </c>
      <c r="H400" s="16" t="s">
        <v>143</v>
      </c>
      <c r="I400" s="14" t="s">
        <v>49</v>
      </c>
      <c r="J400" s="14">
        <v>890903937</v>
      </c>
      <c r="K400" s="14" t="s">
        <v>138</v>
      </c>
      <c r="L400" s="14" t="s">
        <v>103</v>
      </c>
      <c r="M400" s="14" t="s">
        <v>121</v>
      </c>
      <c r="N400" s="14">
        <v>2020</v>
      </c>
      <c r="O400" s="14">
        <v>0</v>
      </c>
      <c r="P400" s="14" t="s">
        <v>105</v>
      </c>
      <c r="Q400" s="14">
        <v>1</v>
      </c>
      <c r="R400" s="14">
        <v>1</v>
      </c>
      <c r="S400" s="17">
        <v>44834.578263888892</v>
      </c>
      <c r="T400" s="18">
        <v>143.33600000000001</v>
      </c>
      <c r="U400" s="14">
        <v>30</v>
      </c>
      <c r="V400" s="19">
        <v>1</v>
      </c>
      <c r="W400" s="14">
        <v>0</v>
      </c>
      <c r="X400" s="14">
        <v>25</v>
      </c>
      <c r="Y400" s="14">
        <v>0</v>
      </c>
      <c r="Z400" s="14">
        <v>18</v>
      </c>
      <c r="AA400" s="14">
        <f>Tabla13[[#This Row],[CheckList App]]+Tabla13[[#This Row],[CheckList Fisc]]</f>
        <v>18</v>
      </c>
      <c r="AB400" s="19">
        <f t="shared" si="6"/>
        <v>0.72</v>
      </c>
      <c r="AC400" s="14">
        <v>0</v>
      </c>
      <c r="AD400" s="14" t="s">
        <v>70</v>
      </c>
      <c r="AE400" s="15" t="str">
        <f>IFERROR((VLOOKUP(Tabla13[[#This Row],[ID]],[1]!Mtto_Pesv[[#Headers],[#Data],[Placa]:[Rutina]],2,FALSE)),"-")</f>
        <v>-</v>
      </c>
      <c r="AF400" s="14">
        <v>1</v>
      </c>
      <c r="AG400" s="20">
        <f>IFERROR((VLOOKUP(Tabla13[[#This Row],[ID]],[1]!Mtto_Pesv[[#Headers],[#Data],[Placa]:[Rutina]],3,FALSE)),0)</f>
        <v>0</v>
      </c>
      <c r="AH400" s="20">
        <f>IFERROR((VLOOKUP(Tabla13[[#This Row],[ID]],[1]!Mtto_Pesv[[#Headers],[#Data],[Placa]:[Rutina]],7,FALSE)),0)</f>
        <v>0</v>
      </c>
      <c r="AI400" s="20">
        <f>IFERROR((VLOOKUP(Tabla13[[#This Row],[ID]],[1]!Mtto_Pesv[[#Headers],[#Data],[Placa]:[Rutina]],8,FALSE)),0)</f>
        <v>0</v>
      </c>
      <c r="AJ400" s="20" t="str">
        <f>IFERROR((VLOOKUP(Tabla13[[#This Row],[ID]],[1]!Mtto_Pesv[[#Headers],[#Data],[Placa]:[Rutina]],9,FALSE)),"-")</f>
        <v>-</v>
      </c>
      <c r="AK400" s="20">
        <f>IFERROR((VLOOKUP(Tabla13[[#This Row],[ID]],[1]!Mtto_Pesv[[#Headers],[#Data],[Placa]:[Rutina]],10,FALSE)),0)</f>
        <v>0</v>
      </c>
      <c r="AL400" s="20">
        <f>IF(Tabla13[[#This Row],[Km Anterior]]=0,0,Tabla13[[#This Row],[Km Ejecut]]-Tabla13[[#This Row],[Km Anterior]])</f>
        <v>0</v>
      </c>
      <c r="AM400" s="20">
        <f>IFERROR((VLOOKUP(Tabla13[[#This Row],[ID]],[1]!Mtto_Pesv[[#Headers],[#Data],[Placa]:[Rutina]],4,FALSE)),0)</f>
        <v>0</v>
      </c>
      <c r="AN400" s="21">
        <f>IFERROR((VLOOKUP(Tabla13[[#This Row],[ID]],[1]!Mtto_Pesv[[#Headers],[#Data],[Placa]:[Rutina]],5,FALSE)),0)</f>
        <v>0</v>
      </c>
      <c r="AO400" s="21">
        <f>+Tabla13[[#This Row],[Km Fin]]-Tabla13[[#This Row],[Km Ini]]</f>
        <v>0</v>
      </c>
      <c r="AP400" s="20">
        <f>IFERROR((VLOOKUP(Tabla13[[#This Row],[ID]],[1]!Estilo_Conduccion[[#All],[Placa]:[Puntuacion]],15,FALSE)),0)</f>
        <v>506.79999999999995</v>
      </c>
      <c r="AQ400" s="15" t="s">
        <v>54</v>
      </c>
      <c r="AR400" s="15" t="s">
        <v>54</v>
      </c>
      <c r="AS400" s="20">
        <v>2350</v>
      </c>
      <c r="AT400" s="21">
        <v>0</v>
      </c>
      <c r="AU400" s="21">
        <f>(Tabla13[[#This Row],[Cap Vh]]*$AX$2)*0.56</f>
        <v>0</v>
      </c>
      <c r="AV400" s="36" t="e">
        <f>(Tabla13[[#This Row],[Cap Util (kg)]]/(Tabla13[[#This Row],[Cap Inst (Kg)]]))</f>
        <v>#DIV/0!</v>
      </c>
    </row>
    <row r="401" spans="1:48" x14ac:dyDescent="0.25">
      <c r="A401" s="13" t="s">
        <v>1068</v>
      </c>
      <c r="B401" s="14" t="s">
        <v>587</v>
      </c>
      <c r="C401" s="14" t="s">
        <v>564</v>
      </c>
      <c r="D401" s="14" t="s">
        <v>565</v>
      </c>
      <c r="E401" s="14" t="s">
        <v>588</v>
      </c>
      <c r="F401" s="14" t="s">
        <v>64</v>
      </c>
      <c r="G401" s="15" t="s">
        <v>128</v>
      </c>
      <c r="H401" s="16" t="s">
        <v>143</v>
      </c>
      <c r="I401" s="14" t="s">
        <v>49</v>
      </c>
      <c r="J401" s="14">
        <v>890903937</v>
      </c>
      <c r="K401" s="14" t="s">
        <v>138</v>
      </c>
      <c r="L401" s="14" t="s">
        <v>103</v>
      </c>
      <c r="M401" s="14" t="s">
        <v>589</v>
      </c>
      <c r="N401" s="14">
        <v>2019</v>
      </c>
      <c r="O401" s="14">
        <v>1</v>
      </c>
      <c r="P401" s="14" t="s">
        <v>105</v>
      </c>
      <c r="Q401" s="14">
        <v>1</v>
      </c>
      <c r="R401" s="14">
        <v>1</v>
      </c>
      <c r="S401" s="17">
        <v>44833.313958333332</v>
      </c>
      <c r="T401" s="18">
        <v>195.71900000000002</v>
      </c>
      <c r="U401" s="14">
        <v>30</v>
      </c>
      <c r="V401" s="19">
        <v>1</v>
      </c>
      <c r="W401" s="14">
        <v>0</v>
      </c>
      <c r="X401" s="14">
        <v>22</v>
      </c>
      <c r="Y401" s="14">
        <v>0</v>
      </c>
      <c r="Z401" s="14">
        <v>22</v>
      </c>
      <c r="AA401" s="14">
        <f>Tabla13[[#This Row],[CheckList App]]+Tabla13[[#This Row],[CheckList Fisc]]</f>
        <v>22</v>
      </c>
      <c r="AB401" s="19">
        <f t="shared" si="6"/>
        <v>1</v>
      </c>
      <c r="AC401" s="14">
        <v>0</v>
      </c>
      <c r="AD401" s="14" t="s">
        <v>70</v>
      </c>
      <c r="AE401" s="15" t="str">
        <f>IFERROR((VLOOKUP(Tabla13[[#This Row],[ID]],[1]!Mtto_Pesv[[#Headers],[#Data],[Placa]:[Rutina]],2,FALSE)),"-")</f>
        <v>-</v>
      </c>
      <c r="AF401" s="14">
        <v>1</v>
      </c>
      <c r="AG401" s="20">
        <f>IFERROR((VLOOKUP(Tabla13[[#This Row],[ID]],[1]!Mtto_Pesv[[#Headers],[#Data],[Placa]:[Rutina]],3,FALSE)),0)</f>
        <v>0</v>
      </c>
      <c r="AH401" s="20">
        <f>IFERROR((VLOOKUP(Tabla13[[#This Row],[ID]],[1]!Mtto_Pesv[[#Headers],[#Data],[Placa]:[Rutina]],7,FALSE)),0)</f>
        <v>0</v>
      </c>
      <c r="AI401" s="20">
        <f>IFERROR((VLOOKUP(Tabla13[[#This Row],[ID]],[1]!Mtto_Pesv[[#Headers],[#Data],[Placa]:[Rutina]],8,FALSE)),0)</f>
        <v>0</v>
      </c>
      <c r="AJ401" s="20" t="str">
        <f>IFERROR((VLOOKUP(Tabla13[[#This Row],[ID]],[1]!Mtto_Pesv[[#Headers],[#Data],[Placa]:[Rutina]],9,FALSE)),"-")</f>
        <v>-</v>
      </c>
      <c r="AK401" s="20">
        <f>IFERROR((VLOOKUP(Tabla13[[#This Row],[ID]],[1]!Mtto_Pesv[[#Headers],[#Data],[Placa]:[Rutina]],10,FALSE)),0)</f>
        <v>0</v>
      </c>
      <c r="AL401" s="20">
        <f>IF(Tabla13[[#This Row],[Km Anterior]]=0,0,Tabla13[[#This Row],[Km Ejecut]]-Tabla13[[#This Row],[Km Anterior]])</f>
        <v>0</v>
      </c>
      <c r="AM401" s="20">
        <f>IFERROR((VLOOKUP(Tabla13[[#This Row],[ID]],[1]!Mtto_Pesv[[#Headers],[#Data],[Placa]:[Rutina]],4,FALSE)),0)</f>
        <v>0</v>
      </c>
      <c r="AN401" s="21">
        <f>IFERROR((VLOOKUP(Tabla13[[#This Row],[ID]],[1]!Mtto_Pesv[[#Headers],[#Data],[Placa]:[Rutina]],5,FALSE)),0)</f>
        <v>0</v>
      </c>
      <c r="AO401" s="21">
        <f>+Tabla13[[#This Row],[Km Fin]]-Tabla13[[#This Row],[Km Ini]]</f>
        <v>0</v>
      </c>
      <c r="AP401" s="20">
        <f>IFERROR((VLOOKUP(Tabla13[[#This Row],[ID]],[1]!Estilo_Conduccion[[#All],[Placa]:[Puntuacion]],15,FALSE)),0)</f>
        <v>338.5</v>
      </c>
      <c r="AQ401" s="15" t="s">
        <v>54</v>
      </c>
      <c r="AR401" s="15" t="s">
        <v>1303</v>
      </c>
      <c r="AS401" s="20">
        <v>3900</v>
      </c>
      <c r="AT401" s="21">
        <v>0</v>
      </c>
      <c r="AU401" s="21">
        <f>(Tabla13[[#This Row],[Cap Vh]]*$AX$2)*0.56</f>
        <v>0</v>
      </c>
      <c r="AV401" s="36" t="e">
        <f>(Tabla13[[#This Row],[Cap Util (kg)]]/(Tabla13[[#This Row],[Cap Inst (Kg)]]))</f>
        <v>#DIV/0!</v>
      </c>
    </row>
    <row r="402" spans="1:48" x14ac:dyDescent="0.25">
      <c r="A402" s="13" t="s">
        <v>1068</v>
      </c>
      <c r="B402" s="14" t="s">
        <v>590</v>
      </c>
      <c r="C402" s="14" t="s">
        <v>564</v>
      </c>
      <c r="D402" s="14" t="s">
        <v>577</v>
      </c>
      <c r="E402" s="14" t="s">
        <v>591</v>
      </c>
      <c r="F402" s="14" t="s">
        <v>64</v>
      </c>
      <c r="G402" s="15" t="s">
        <v>128</v>
      </c>
      <c r="H402" s="16" t="s">
        <v>143</v>
      </c>
      <c r="I402" s="14" t="s">
        <v>49</v>
      </c>
      <c r="J402" s="14">
        <v>890903937</v>
      </c>
      <c r="K402" s="14" t="s">
        <v>138</v>
      </c>
      <c r="L402" s="14" t="s">
        <v>103</v>
      </c>
      <c r="M402" s="14" t="s">
        <v>153</v>
      </c>
      <c r="N402" s="14">
        <v>2019</v>
      </c>
      <c r="O402" s="14">
        <v>1</v>
      </c>
      <c r="P402" s="14" t="s">
        <v>105</v>
      </c>
      <c r="Q402" s="14">
        <v>1</v>
      </c>
      <c r="R402" s="14">
        <v>1</v>
      </c>
      <c r="S402" s="17">
        <v>44833.916944444441</v>
      </c>
      <c r="T402" s="18">
        <v>339.77200000000005</v>
      </c>
      <c r="U402" s="14">
        <v>28</v>
      </c>
      <c r="V402" s="19">
        <v>0.93333333333333335</v>
      </c>
      <c r="W402" s="14">
        <v>0</v>
      </c>
      <c r="X402" s="14">
        <v>24</v>
      </c>
      <c r="Y402" s="14">
        <v>1</v>
      </c>
      <c r="Z402" s="14">
        <v>23</v>
      </c>
      <c r="AA402" s="14">
        <f>Tabla13[[#This Row],[CheckList App]]+Tabla13[[#This Row],[CheckList Fisc]]</f>
        <v>24</v>
      </c>
      <c r="AB402" s="19">
        <f t="shared" si="6"/>
        <v>1</v>
      </c>
      <c r="AC402" s="14">
        <v>0</v>
      </c>
      <c r="AD402" s="14" t="s">
        <v>70</v>
      </c>
      <c r="AE402" s="15" t="str">
        <f>IFERROR((VLOOKUP(Tabla13[[#This Row],[ID]],[1]!Mtto_Pesv[[#Headers],[#Data],[Placa]:[Rutina]],2,FALSE)),"-")</f>
        <v>-</v>
      </c>
      <c r="AF402" s="14">
        <v>1</v>
      </c>
      <c r="AG402" s="20">
        <f>IFERROR((VLOOKUP(Tabla13[[#This Row],[ID]],[1]!Mtto_Pesv[[#Headers],[#Data],[Placa]:[Rutina]],3,FALSE)),0)</f>
        <v>0</v>
      </c>
      <c r="AH402" s="20">
        <f>IFERROR((VLOOKUP(Tabla13[[#This Row],[ID]],[1]!Mtto_Pesv[[#Headers],[#Data],[Placa]:[Rutina]],7,FALSE)),0)</f>
        <v>0</v>
      </c>
      <c r="AI402" s="20">
        <f>IFERROR((VLOOKUP(Tabla13[[#This Row],[ID]],[1]!Mtto_Pesv[[#Headers],[#Data],[Placa]:[Rutina]],8,FALSE)),0)</f>
        <v>0</v>
      </c>
      <c r="AJ402" s="20" t="str">
        <f>IFERROR((VLOOKUP(Tabla13[[#This Row],[ID]],[1]!Mtto_Pesv[[#Headers],[#Data],[Placa]:[Rutina]],9,FALSE)),"-")</f>
        <v>-</v>
      </c>
      <c r="AK402" s="20">
        <f>IFERROR((VLOOKUP(Tabla13[[#This Row],[ID]],[1]!Mtto_Pesv[[#Headers],[#Data],[Placa]:[Rutina]],10,FALSE)),0)</f>
        <v>0</v>
      </c>
      <c r="AL402" s="20">
        <f>IF(Tabla13[[#This Row],[Km Anterior]]=0,0,Tabla13[[#This Row],[Km Ejecut]]-Tabla13[[#This Row],[Km Anterior]])</f>
        <v>0</v>
      </c>
      <c r="AM402" s="20">
        <f>IFERROR((VLOOKUP(Tabla13[[#This Row],[ID]],[1]!Mtto_Pesv[[#Headers],[#Data],[Placa]:[Rutina]],4,FALSE)),0)</f>
        <v>0</v>
      </c>
      <c r="AN402" s="21">
        <f>IFERROR((VLOOKUP(Tabla13[[#This Row],[ID]],[1]!Mtto_Pesv[[#Headers],[#Data],[Placa]:[Rutina]],5,FALSE)),0)</f>
        <v>0</v>
      </c>
      <c r="AO402" s="21">
        <f>+Tabla13[[#This Row],[Km Fin]]-Tabla13[[#This Row],[Km Ini]]</f>
        <v>0</v>
      </c>
      <c r="AP402" s="20">
        <f>IFERROR((VLOOKUP(Tabla13[[#This Row],[ID]],[1]!Estilo_Conduccion[[#All],[Placa]:[Puntuacion]],15,FALSE)),0)</f>
        <v>1002</v>
      </c>
      <c r="AQ402" s="15" t="s">
        <v>54</v>
      </c>
      <c r="AR402" s="15" t="s">
        <v>1304</v>
      </c>
      <c r="AS402" s="20">
        <v>3900</v>
      </c>
      <c r="AT402" s="21">
        <v>0</v>
      </c>
      <c r="AU402" s="21">
        <f>(Tabla13[[#This Row],[Cap Vh]]*$AX$2)*0.56</f>
        <v>0</v>
      </c>
      <c r="AV402" s="36" t="e">
        <f>(Tabla13[[#This Row],[Cap Util (kg)]]/(Tabla13[[#This Row],[Cap Inst (Kg)]]))</f>
        <v>#DIV/0!</v>
      </c>
    </row>
    <row r="403" spans="1:48" x14ac:dyDescent="0.25">
      <c r="A403" s="13" t="s">
        <v>1068</v>
      </c>
      <c r="B403" s="14" t="s">
        <v>592</v>
      </c>
      <c r="C403" s="14" t="s">
        <v>564</v>
      </c>
      <c r="D403" s="14" t="s">
        <v>565</v>
      </c>
      <c r="E403" s="14" t="s">
        <v>566</v>
      </c>
      <c r="F403" s="14" t="s">
        <v>64</v>
      </c>
      <c r="G403" s="15" t="s">
        <v>128</v>
      </c>
      <c r="H403" s="16" t="s">
        <v>143</v>
      </c>
      <c r="I403" s="14" t="s">
        <v>49</v>
      </c>
      <c r="J403" s="14">
        <v>890903937</v>
      </c>
      <c r="K403" s="14" t="s">
        <v>138</v>
      </c>
      <c r="L403" s="14" t="s">
        <v>103</v>
      </c>
      <c r="M403" s="14" t="s">
        <v>153</v>
      </c>
      <c r="N403" s="14">
        <v>2019</v>
      </c>
      <c r="O403" s="14">
        <v>1</v>
      </c>
      <c r="P403" s="14" t="s">
        <v>105</v>
      </c>
      <c r="Q403" s="14">
        <v>1</v>
      </c>
      <c r="R403" s="14">
        <v>1</v>
      </c>
      <c r="S403" s="17">
        <v>44834.400081018517</v>
      </c>
      <c r="T403" s="18">
        <v>100</v>
      </c>
      <c r="U403" s="14">
        <v>30</v>
      </c>
      <c r="V403" s="19">
        <v>1</v>
      </c>
      <c r="W403" s="14">
        <v>0</v>
      </c>
      <c r="X403" s="14">
        <v>26</v>
      </c>
      <c r="Y403" s="14">
        <v>0</v>
      </c>
      <c r="Z403" s="14">
        <v>26</v>
      </c>
      <c r="AA403" s="14">
        <f>Tabla13[[#This Row],[CheckList App]]+Tabla13[[#This Row],[CheckList Fisc]]</f>
        <v>26</v>
      </c>
      <c r="AB403" s="19">
        <f t="shared" si="6"/>
        <v>1</v>
      </c>
      <c r="AC403" s="14">
        <v>0</v>
      </c>
      <c r="AD403" s="14" t="s">
        <v>70</v>
      </c>
      <c r="AE403" s="15" t="str">
        <f>IFERROR((VLOOKUP(Tabla13[[#This Row],[ID]],[1]!Mtto_Pesv[[#Headers],[#Data],[Placa]:[Rutina]],2,FALSE)),"-")</f>
        <v>-</v>
      </c>
      <c r="AF403" s="14">
        <v>1</v>
      </c>
      <c r="AG403" s="20">
        <f>IFERROR((VLOOKUP(Tabla13[[#This Row],[ID]],[1]!Mtto_Pesv[[#Headers],[#Data],[Placa]:[Rutina]],3,FALSE)),0)</f>
        <v>0</v>
      </c>
      <c r="AH403" s="20">
        <f>IFERROR((VLOOKUP(Tabla13[[#This Row],[ID]],[1]!Mtto_Pesv[[#Headers],[#Data],[Placa]:[Rutina]],7,FALSE)),0)</f>
        <v>0</v>
      </c>
      <c r="AI403" s="20">
        <f>IFERROR((VLOOKUP(Tabla13[[#This Row],[ID]],[1]!Mtto_Pesv[[#Headers],[#Data],[Placa]:[Rutina]],8,FALSE)),0)</f>
        <v>0</v>
      </c>
      <c r="AJ403" s="20" t="str">
        <f>IFERROR((VLOOKUP(Tabla13[[#This Row],[ID]],[1]!Mtto_Pesv[[#Headers],[#Data],[Placa]:[Rutina]],9,FALSE)),"-")</f>
        <v>-</v>
      </c>
      <c r="AK403" s="20">
        <f>IFERROR((VLOOKUP(Tabla13[[#This Row],[ID]],[1]!Mtto_Pesv[[#Headers],[#Data],[Placa]:[Rutina]],10,FALSE)),0)</f>
        <v>0</v>
      </c>
      <c r="AL403" s="20">
        <f>IF(Tabla13[[#This Row],[Km Anterior]]=0,0,Tabla13[[#This Row],[Km Ejecut]]-Tabla13[[#This Row],[Km Anterior]])</f>
        <v>0</v>
      </c>
      <c r="AM403" s="20">
        <f>IFERROR((VLOOKUP(Tabla13[[#This Row],[ID]],[1]!Mtto_Pesv[[#Headers],[#Data],[Placa]:[Rutina]],4,FALSE)),0)</f>
        <v>0</v>
      </c>
      <c r="AN403" s="21">
        <f>IFERROR((VLOOKUP(Tabla13[[#This Row],[ID]],[1]!Mtto_Pesv[[#Headers],[#Data],[Placa]:[Rutina]],5,FALSE)),0)</f>
        <v>0</v>
      </c>
      <c r="AO403" s="21">
        <f>+Tabla13[[#This Row],[Km Fin]]-Tabla13[[#This Row],[Km Ini]]</f>
        <v>0</v>
      </c>
      <c r="AP403" s="20">
        <f>IFERROR((VLOOKUP(Tabla13[[#This Row],[ID]],[1]!Estilo_Conduccion[[#All],[Placa]:[Puntuacion]],15,FALSE)),0)</f>
        <v>4777.3</v>
      </c>
      <c r="AQ403" s="15" t="s">
        <v>54</v>
      </c>
      <c r="AR403" s="15" t="s">
        <v>1305</v>
      </c>
      <c r="AS403" s="20">
        <v>3900</v>
      </c>
      <c r="AT403" s="21">
        <v>0</v>
      </c>
      <c r="AU403" s="21">
        <f>(Tabla13[[#This Row],[Cap Vh]]*$AX$2)*0.56</f>
        <v>0</v>
      </c>
      <c r="AV403" s="36" t="e">
        <f>(Tabla13[[#This Row],[Cap Util (kg)]]/(Tabla13[[#This Row],[Cap Inst (Kg)]]))</f>
        <v>#DIV/0!</v>
      </c>
    </row>
    <row r="404" spans="1:48" x14ac:dyDescent="0.25">
      <c r="A404" s="13" t="s">
        <v>1068</v>
      </c>
      <c r="B404" s="14" t="s">
        <v>593</v>
      </c>
      <c r="C404" s="14" t="s">
        <v>564</v>
      </c>
      <c r="D404" s="14" t="s">
        <v>565</v>
      </c>
      <c r="E404" s="14" t="s">
        <v>575</v>
      </c>
      <c r="F404" s="14" t="s">
        <v>64</v>
      </c>
      <c r="G404" s="15" t="s">
        <v>128</v>
      </c>
      <c r="H404" s="16" t="s">
        <v>143</v>
      </c>
      <c r="I404" s="14" t="s">
        <v>49</v>
      </c>
      <c r="J404" s="14">
        <v>890903937</v>
      </c>
      <c r="K404" s="14" t="s">
        <v>138</v>
      </c>
      <c r="L404" s="14" t="s">
        <v>103</v>
      </c>
      <c r="M404" s="14" t="s">
        <v>153</v>
      </c>
      <c r="N404" s="14">
        <v>2019</v>
      </c>
      <c r="O404" s="14">
        <v>1</v>
      </c>
      <c r="P404" s="14" t="s">
        <v>105</v>
      </c>
      <c r="Q404" s="14">
        <v>1</v>
      </c>
      <c r="R404" s="14">
        <v>1</v>
      </c>
      <c r="S404" s="17">
        <v>44834.436585648153</v>
      </c>
      <c r="T404" s="18">
        <v>253.63200000000001</v>
      </c>
      <c r="U404" s="14">
        <v>28</v>
      </c>
      <c r="V404" s="19">
        <v>0.93333333333333335</v>
      </c>
      <c r="W404" s="14">
        <v>0</v>
      </c>
      <c r="X404" s="14">
        <v>25</v>
      </c>
      <c r="Y404" s="14">
        <v>0</v>
      </c>
      <c r="Z404" s="14">
        <v>25</v>
      </c>
      <c r="AA404" s="14">
        <f>Tabla13[[#This Row],[CheckList App]]+Tabla13[[#This Row],[CheckList Fisc]]</f>
        <v>25</v>
      </c>
      <c r="AB404" s="19">
        <f t="shared" si="6"/>
        <v>1</v>
      </c>
      <c r="AC404" s="14">
        <v>0</v>
      </c>
      <c r="AD404" s="14" t="s">
        <v>70</v>
      </c>
      <c r="AE404" s="15" t="str">
        <f>IFERROR((VLOOKUP(Tabla13[[#This Row],[ID]],[1]!Mtto_Pesv[[#Headers],[#Data],[Placa]:[Rutina]],2,FALSE)),"-")</f>
        <v>-</v>
      </c>
      <c r="AF404" s="14">
        <v>1</v>
      </c>
      <c r="AG404" s="20">
        <f>IFERROR((VLOOKUP(Tabla13[[#This Row],[ID]],[1]!Mtto_Pesv[[#Headers],[#Data],[Placa]:[Rutina]],3,FALSE)),0)</f>
        <v>0</v>
      </c>
      <c r="AH404" s="20">
        <f>IFERROR((VLOOKUP(Tabla13[[#This Row],[ID]],[1]!Mtto_Pesv[[#Headers],[#Data],[Placa]:[Rutina]],7,FALSE)),0)</f>
        <v>0</v>
      </c>
      <c r="AI404" s="20">
        <f>IFERROR((VLOOKUP(Tabla13[[#This Row],[ID]],[1]!Mtto_Pesv[[#Headers],[#Data],[Placa]:[Rutina]],8,FALSE)),0)</f>
        <v>0</v>
      </c>
      <c r="AJ404" s="20" t="str">
        <f>IFERROR((VLOOKUP(Tabla13[[#This Row],[ID]],[1]!Mtto_Pesv[[#Headers],[#Data],[Placa]:[Rutina]],9,FALSE)),"-")</f>
        <v>-</v>
      </c>
      <c r="AK404" s="20">
        <f>IFERROR((VLOOKUP(Tabla13[[#This Row],[ID]],[1]!Mtto_Pesv[[#Headers],[#Data],[Placa]:[Rutina]],10,FALSE)),0)</f>
        <v>0</v>
      </c>
      <c r="AL404" s="20">
        <f>IF(Tabla13[[#This Row],[Km Anterior]]=0,0,Tabla13[[#This Row],[Km Ejecut]]-Tabla13[[#This Row],[Km Anterior]])</f>
        <v>0</v>
      </c>
      <c r="AM404" s="20">
        <f>IFERROR((VLOOKUP(Tabla13[[#This Row],[ID]],[1]!Mtto_Pesv[[#Headers],[#Data],[Placa]:[Rutina]],4,FALSE)),0)</f>
        <v>0</v>
      </c>
      <c r="AN404" s="21">
        <f>IFERROR((VLOOKUP(Tabla13[[#This Row],[ID]],[1]!Mtto_Pesv[[#Headers],[#Data],[Placa]:[Rutina]],5,FALSE)),0)</f>
        <v>0</v>
      </c>
      <c r="AO404" s="21">
        <f>+Tabla13[[#This Row],[Km Fin]]-Tabla13[[#This Row],[Km Ini]]</f>
        <v>0</v>
      </c>
      <c r="AP404" s="20">
        <f>IFERROR((VLOOKUP(Tabla13[[#This Row],[ID]],[1]!Estilo_Conduccion[[#All],[Placa]:[Puntuacion]],15,FALSE)),0)</f>
        <v>376.9</v>
      </c>
      <c r="AQ404" s="15" t="s">
        <v>54</v>
      </c>
      <c r="AR404" s="15" t="s">
        <v>1306</v>
      </c>
      <c r="AS404" s="20">
        <v>3900</v>
      </c>
      <c r="AT404" s="21">
        <v>0</v>
      </c>
      <c r="AU404" s="21">
        <f>(Tabla13[[#This Row],[Cap Vh]]*$AX$2)*0.56</f>
        <v>0</v>
      </c>
      <c r="AV404" s="36" t="e">
        <f>(Tabla13[[#This Row],[Cap Util (kg)]]/(Tabla13[[#This Row],[Cap Inst (Kg)]]))</f>
        <v>#DIV/0!</v>
      </c>
    </row>
    <row r="405" spans="1:48" x14ac:dyDescent="0.25">
      <c r="A405" s="13" t="s">
        <v>1068</v>
      </c>
      <c r="B405" s="14" t="s">
        <v>594</v>
      </c>
      <c r="C405" s="14" t="s">
        <v>564</v>
      </c>
      <c r="D405" s="14" t="s">
        <v>565</v>
      </c>
      <c r="E405" s="14" t="s">
        <v>566</v>
      </c>
      <c r="F405" s="14" t="s">
        <v>64</v>
      </c>
      <c r="G405" s="15" t="s">
        <v>128</v>
      </c>
      <c r="H405" s="16" t="s">
        <v>143</v>
      </c>
      <c r="I405" s="14" t="s">
        <v>177</v>
      </c>
      <c r="J405" s="14">
        <v>900335279</v>
      </c>
      <c r="K405" s="14" t="s">
        <v>77</v>
      </c>
      <c r="L405" s="14" t="s">
        <v>103</v>
      </c>
      <c r="M405" s="14" t="s">
        <v>132</v>
      </c>
      <c r="N405" s="14">
        <v>2020</v>
      </c>
      <c r="O405" s="14">
        <v>1</v>
      </c>
      <c r="P405" s="14" t="s">
        <v>105</v>
      </c>
      <c r="Q405" s="14">
        <v>1</v>
      </c>
      <c r="R405" s="14">
        <v>1</v>
      </c>
      <c r="S405" s="17">
        <v>44834.496307870373</v>
      </c>
      <c r="T405" s="18">
        <v>427.39700000000005</v>
      </c>
      <c r="U405" s="14">
        <v>29</v>
      </c>
      <c r="V405" s="19">
        <v>0.96666666666666667</v>
      </c>
      <c r="W405" s="14">
        <v>0</v>
      </c>
      <c r="X405" s="14">
        <v>26</v>
      </c>
      <c r="Y405" s="14">
        <v>0</v>
      </c>
      <c r="Z405" s="14">
        <v>25</v>
      </c>
      <c r="AA405" s="14">
        <f>Tabla13[[#This Row],[CheckList App]]+Tabla13[[#This Row],[CheckList Fisc]]</f>
        <v>25</v>
      </c>
      <c r="AB405" s="19">
        <f t="shared" si="6"/>
        <v>0.96153846153846156</v>
      </c>
      <c r="AC405" s="14">
        <v>1</v>
      </c>
      <c r="AD405" s="14" t="s">
        <v>70</v>
      </c>
      <c r="AE405" s="15" t="str">
        <f>IFERROR((VLOOKUP(Tabla13[[#This Row],[ID]],[1]!Mtto_Pesv[[#Headers],[#Data],[Placa]:[Rutina]],2,FALSE)),"-")</f>
        <v>-</v>
      </c>
      <c r="AF405" s="14">
        <v>1</v>
      </c>
      <c r="AG405" s="20">
        <f>IFERROR((VLOOKUP(Tabla13[[#This Row],[ID]],[1]!Mtto_Pesv[[#Headers],[#Data],[Placa]:[Rutina]],3,FALSE)),0)</f>
        <v>0</v>
      </c>
      <c r="AH405" s="20">
        <f>IFERROR((VLOOKUP(Tabla13[[#This Row],[ID]],[1]!Mtto_Pesv[[#Headers],[#Data],[Placa]:[Rutina]],7,FALSE)),0)</f>
        <v>0</v>
      </c>
      <c r="AI405" s="20">
        <f>IFERROR((VLOOKUP(Tabla13[[#This Row],[ID]],[1]!Mtto_Pesv[[#Headers],[#Data],[Placa]:[Rutina]],8,FALSE)),0)</f>
        <v>0</v>
      </c>
      <c r="AJ405" s="20" t="str">
        <f>IFERROR((VLOOKUP(Tabla13[[#This Row],[ID]],[1]!Mtto_Pesv[[#Headers],[#Data],[Placa]:[Rutina]],9,FALSE)),"-")</f>
        <v>-</v>
      </c>
      <c r="AK405" s="20">
        <f>IFERROR((VLOOKUP(Tabla13[[#This Row],[ID]],[1]!Mtto_Pesv[[#Headers],[#Data],[Placa]:[Rutina]],10,FALSE)),0)</f>
        <v>0</v>
      </c>
      <c r="AL405" s="20">
        <f>IF(Tabla13[[#This Row],[Km Anterior]]=0,0,Tabla13[[#This Row],[Km Ejecut]]-Tabla13[[#This Row],[Km Anterior]])</f>
        <v>0</v>
      </c>
      <c r="AM405" s="20">
        <f>IFERROR((VLOOKUP(Tabla13[[#This Row],[ID]],[1]!Mtto_Pesv[[#Headers],[#Data],[Placa]:[Rutina]],4,FALSE)),0)</f>
        <v>0</v>
      </c>
      <c r="AN405" s="21">
        <f>IFERROR((VLOOKUP(Tabla13[[#This Row],[ID]],[1]!Mtto_Pesv[[#Headers],[#Data],[Placa]:[Rutina]],5,FALSE)),0)</f>
        <v>0</v>
      </c>
      <c r="AO405" s="21">
        <f>+Tabla13[[#This Row],[Km Fin]]-Tabla13[[#This Row],[Km Ini]]</f>
        <v>0</v>
      </c>
      <c r="AP405" s="20">
        <f>IFERROR((VLOOKUP(Tabla13[[#This Row],[ID]],[1]!Estilo_Conduccion[[#All],[Placa]:[Puntuacion]],15,FALSE)),0)</f>
        <v>22.499999999999972</v>
      </c>
      <c r="AQ405" s="15" t="s">
        <v>54</v>
      </c>
      <c r="AR405" s="15" t="s">
        <v>1307</v>
      </c>
      <c r="AS405" s="20">
        <v>10505</v>
      </c>
      <c r="AT405" s="21">
        <v>0</v>
      </c>
      <c r="AU405" s="21">
        <f>(Tabla13[[#This Row],[Cap Vh]]*$AX$2)*0.56</f>
        <v>0</v>
      </c>
      <c r="AV405" s="36" t="e">
        <f>(Tabla13[[#This Row],[Cap Util (kg)]]/(Tabla13[[#This Row],[Cap Inst (Kg)]]))</f>
        <v>#DIV/0!</v>
      </c>
    </row>
    <row r="406" spans="1:48" x14ac:dyDescent="0.25">
      <c r="A406" s="13" t="s">
        <v>1068</v>
      </c>
      <c r="B406" s="14" t="s">
        <v>595</v>
      </c>
      <c r="C406" s="14" t="s">
        <v>564</v>
      </c>
      <c r="D406" s="14" t="s">
        <v>565</v>
      </c>
      <c r="E406" s="14" t="s">
        <v>566</v>
      </c>
      <c r="F406" s="14" t="s">
        <v>64</v>
      </c>
      <c r="G406" s="15" t="s">
        <v>182</v>
      </c>
      <c r="H406" s="13" t="s">
        <v>183</v>
      </c>
      <c r="I406" s="14" t="s">
        <v>184</v>
      </c>
      <c r="J406" s="14">
        <v>901253015</v>
      </c>
      <c r="K406" s="14" t="s">
        <v>185</v>
      </c>
      <c r="L406" s="14" t="s">
        <v>186</v>
      </c>
      <c r="M406" s="14" t="s">
        <v>187</v>
      </c>
      <c r="N406" s="14">
        <v>2021</v>
      </c>
      <c r="O406" s="14">
        <v>0</v>
      </c>
      <c r="P406" s="14" t="s">
        <v>105</v>
      </c>
      <c r="Q406" s="14">
        <v>1</v>
      </c>
      <c r="R406" s="14">
        <v>1</v>
      </c>
      <c r="S406" s="17">
        <v>44834.316782407397</v>
      </c>
      <c r="T406" s="18">
        <v>149.53</v>
      </c>
      <c r="U406" s="37">
        <v>30</v>
      </c>
      <c r="V406" s="19">
        <v>1</v>
      </c>
      <c r="W406" s="14">
        <v>0</v>
      </c>
      <c r="X406" s="14">
        <v>27</v>
      </c>
      <c r="Y406" s="14">
        <v>27</v>
      </c>
      <c r="Z406" s="14">
        <v>0</v>
      </c>
      <c r="AA406" s="14">
        <f>Tabla13[[#This Row],[CheckList App]]+Tabla13[[#This Row],[CheckList Fisc]]</f>
        <v>27</v>
      </c>
      <c r="AB406" s="19">
        <f t="shared" si="6"/>
        <v>1</v>
      </c>
      <c r="AC406" s="14">
        <v>0</v>
      </c>
      <c r="AD406" s="14" t="s">
        <v>70</v>
      </c>
      <c r="AE406" s="15" t="str">
        <f>IFERROR((VLOOKUP(Tabla13[[#This Row],[ID]],[1]!Mtto_Pesv[[#Headers],[#Data],[Placa]:[Rutina]],2,FALSE)),"-")</f>
        <v>-</v>
      </c>
      <c r="AF406" s="14">
        <v>0</v>
      </c>
      <c r="AG406" s="20">
        <f>IFERROR((VLOOKUP(Tabla13[[#This Row],[ID]],[1]!Mtto_Pesv[[#Headers],[#Data],[Placa]:[Rutina]],3,FALSE)),0)</f>
        <v>0</v>
      </c>
      <c r="AH406" s="20">
        <f>IFERROR((VLOOKUP(Tabla13[[#This Row],[ID]],[1]!Mtto_Pesv[[#Headers],[#Data],[Placa]:[Rutina]],7,FALSE)),0)</f>
        <v>0</v>
      </c>
      <c r="AI406" s="20">
        <f>IFERROR((VLOOKUP(Tabla13[[#This Row],[ID]],[1]!Mtto_Pesv[[#Headers],[#Data],[Placa]:[Rutina]],8,FALSE)),0)</f>
        <v>0</v>
      </c>
      <c r="AJ406" s="20" t="str">
        <f>IFERROR((VLOOKUP(Tabla13[[#This Row],[ID]],[1]!Mtto_Pesv[[#Headers],[#Data],[Placa]:[Rutina]],9,FALSE)),"-")</f>
        <v>-</v>
      </c>
      <c r="AK406" s="20">
        <f>IFERROR((VLOOKUP(Tabla13[[#This Row],[ID]],[1]!Mtto_Pesv[[#Headers],[#Data],[Placa]:[Rutina]],10,FALSE)),0)</f>
        <v>0</v>
      </c>
      <c r="AL406" s="20">
        <f>IF(Tabla13[[#This Row],[Km Anterior]]=0,0,Tabla13[[#This Row],[Km Ejecut]]-Tabla13[[#This Row],[Km Anterior]])</f>
        <v>0</v>
      </c>
      <c r="AM406" s="20">
        <f>IFERROR((VLOOKUP(Tabla13[[#This Row],[ID]],[1]!Mtto_Pesv[[#Headers],[#Data],[Placa]:[Rutina]],4,FALSE)),0)</f>
        <v>0</v>
      </c>
      <c r="AN406" s="21">
        <f>IFERROR((VLOOKUP(Tabla13[[#This Row],[ID]],[1]!Mtto_Pesv[[#Headers],[#Data],[Placa]:[Rutina]],5,FALSE)),0)</f>
        <v>0</v>
      </c>
      <c r="AO406" s="21">
        <f>+Tabla13[[#This Row],[Km Fin]]-Tabla13[[#This Row],[Km Ini]]</f>
        <v>0</v>
      </c>
      <c r="AP406" s="20">
        <f>IFERROR((VLOOKUP(Tabla13[[#This Row],[ID]],[1]!Estilo_Conduccion[[#All],[Placa]:[Puntuacion]],15,FALSE)),0)</f>
        <v>492</v>
      </c>
      <c r="AQ406" s="15" t="s">
        <v>54</v>
      </c>
      <c r="AR406" s="15" t="s">
        <v>1308</v>
      </c>
      <c r="AS406" s="20">
        <v>1000</v>
      </c>
      <c r="AT406" s="21">
        <v>0</v>
      </c>
      <c r="AU406" s="21">
        <f>(Tabla13[[#This Row],[Cap Vh]]*$AX$2)*0.56</f>
        <v>0</v>
      </c>
      <c r="AV406" s="36" t="e">
        <f>(Tabla13[[#This Row],[Cap Util (kg)]]/(Tabla13[[#This Row],[Cap Inst (Kg)]]))</f>
        <v>#DIV/0!</v>
      </c>
    </row>
    <row r="407" spans="1:48" x14ac:dyDescent="0.25">
      <c r="A407" s="13" t="s">
        <v>1068</v>
      </c>
      <c r="B407" s="14" t="s">
        <v>596</v>
      </c>
      <c r="C407" s="14" t="s">
        <v>564</v>
      </c>
      <c r="D407" s="14" t="s">
        <v>565</v>
      </c>
      <c r="E407" s="14" t="s">
        <v>588</v>
      </c>
      <c r="F407" s="14" t="s">
        <v>64</v>
      </c>
      <c r="G407" s="15" t="s">
        <v>182</v>
      </c>
      <c r="H407" s="13" t="s">
        <v>183</v>
      </c>
      <c r="I407" s="14" t="s">
        <v>49</v>
      </c>
      <c r="J407" s="14">
        <v>901253015</v>
      </c>
      <c r="K407" s="14" t="s">
        <v>185</v>
      </c>
      <c r="L407" s="14" t="s">
        <v>103</v>
      </c>
      <c r="M407" s="14" t="s">
        <v>153</v>
      </c>
      <c r="N407" s="14">
        <v>2021</v>
      </c>
      <c r="O407" s="14">
        <v>0</v>
      </c>
      <c r="P407" s="14" t="s">
        <v>105</v>
      </c>
      <c r="Q407" s="14">
        <v>1</v>
      </c>
      <c r="R407" s="14">
        <v>1</v>
      </c>
      <c r="S407" s="17">
        <v>44834.619027777779</v>
      </c>
      <c r="T407" s="18">
        <v>223.83799999999997</v>
      </c>
      <c r="U407" s="37">
        <v>30</v>
      </c>
      <c r="V407" s="19">
        <v>1</v>
      </c>
      <c r="W407" s="14">
        <v>0</v>
      </c>
      <c r="X407" s="14">
        <v>26</v>
      </c>
      <c r="Y407" s="14">
        <v>26</v>
      </c>
      <c r="Z407" s="14">
        <v>0</v>
      </c>
      <c r="AA407" s="14">
        <f>Tabla13[[#This Row],[CheckList App]]+Tabla13[[#This Row],[CheckList Fisc]]</f>
        <v>26</v>
      </c>
      <c r="AB407" s="19">
        <f t="shared" si="6"/>
        <v>1</v>
      </c>
      <c r="AC407" s="14">
        <v>17</v>
      </c>
      <c r="AD407" s="14" t="s">
        <v>70</v>
      </c>
      <c r="AE407" s="15" t="str">
        <f>IFERROR((VLOOKUP(Tabla13[[#This Row],[ID]],[1]!Mtto_Pesv[[#Headers],[#Data],[Placa]:[Rutina]],2,FALSE)),"-")</f>
        <v>-</v>
      </c>
      <c r="AF407" s="14">
        <v>0</v>
      </c>
      <c r="AG407" s="20">
        <f>IFERROR((VLOOKUP(Tabla13[[#This Row],[ID]],[1]!Mtto_Pesv[[#Headers],[#Data],[Placa]:[Rutina]],3,FALSE)),0)</f>
        <v>0</v>
      </c>
      <c r="AH407" s="20">
        <f>IFERROR((VLOOKUP(Tabla13[[#This Row],[ID]],[1]!Mtto_Pesv[[#Headers],[#Data],[Placa]:[Rutina]],7,FALSE)),0)</f>
        <v>0</v>
      </c>
      <c r="AI407" s="20">
        <f>IFERROR((VLOOKUP(Tabla13[[#This Row],[ID]],[1]!Mtto_Pesv[[#Headers],[#Data],[Placa]:[Rutina]],8,FALSE)),0)</f>
        <v>0</v>
      </c>
      <c r="AJ407" s="20" t="str">
        <f>IFERROR((VLOOKUP(Tabla13[[#This Row],[ID]],[1]!Mtto_Pesv[[#Headers],[#Data],[Placa]:[Rutina]],9,FALSE)),"-")</f>
        <v>-</v>
      </c>
      <c r="AK407" s="20">
        <f>IFERROR((VLOOKUP(Tabla13[[#This Row],[ID]],[1]!Mtto_Pesv[[#Headers],[#Data],[Placa]:[Rutina]],10,FALSE)),0)</f>
        <v>0</v>
      </c>
      <c r="AL407" s="20">
        <f>IF(Tabla13[[#This Row],[Km Anterior]]=0,0,Tabla13[[#This Row],[Km Ejecut]]-Tabla13[[#This Row],[Km Anterior]])</f>
        <v>0</v>
      </c>
      <c r="AM407" s="20">
        <f>IFERROR((VLOOKUP(Tabla13[[#This Row],[ID]],[1]!Mtto_Pesv[[#Headers],[#Data],[Placa]:[Rutina]],4,FALSE)),0)</f>
        <v>0</v>
      </c>
      <c r="AN407" s="21">
        <f>IFERROR((VLOOKUP(Tabla13[[#This Row],[ID]],[1]!Mtto_Pesv[[#Headers],[#Data],[Placa]:[Rutina]],5,FALSE)),0)</f>
        <v>0</v>
      </c>
      <c r="AO407" s="21">
        <f>+Tabla13[[#This Row],[Km Fin]]-Tabla13[[#This Row],[Km Ini]]</f>
        <v>0</v>
      </c>
      <c r="AP407" s="20">
        <f>IFERROR((VLOOKUP(Tabla13[[#This Row],[ID]],[1]!Estilo_Conduccion[[#All],[Placa]:[Puntuacion]],15,FALSE)),0)</f>
        <v>496.60000000000031</v>
      </c>
      <c r="AQ407" s="15" t="s">
        <v>54</v>
      </c>
      <c r="AR407" s="15" t="s">
        <v>1309</v>
      </c>
      <c r="AS407" s="20">
        <v>3900</v>
      </c>
      <c r="AT407" s="21">
        <v>0</v>
      </c>
      <c r="AU407" s="21">
        <f>(Tabla13[[#This Row],[Cap Vh]]*$AX$2)*0.56</f>
        <v>0</v>
      </c>
      <c r="AV407" s="36" t="e">
        <f>(Tabla13[[#This Row],[Cap Util (kg)]]/(Tabla13[[#This Row],[Cap Inst (Kg)]]))</f>
        <v>#DIV/0!</v>
      </c>
    </row>
    <row r="408" spans="1:48" x14ac:dyDescent="0.25">
      <c r="A408" s="13" t="s">
        <v>1068</v>
      </c>
      <c r="B408" s="14" t="s">
        <v>597</v>
      </c>
      <c r="C408" s="14" t="s">
        <v>564</v>
      </c>
      <c r="D408" s="14" t="s">
        <v>577</v>
      </c>
      <c r="E408" s="14" t="s">
        <v>598</v>
      </c>
      <c r="F408" s="14" t="s">
        <v>64</v>
      </c>
      <c r="G408" s="15" t="s">
        <v>182</v>
      </c>
      <c r="H408" s="13" t="s">
        <v>183</v>
      </c>
      <c r="I408" s="14" t="s">
        <v>49</v>
      </c>
      <c r="J408" s="14">
        <v>901253015</v>
      </c>
      <c r="K408" s="14" t="s">
        <v>185</v>
      </c>
      <c r="L408" s="14" t="s">
        <v>103</v>
      </c>
      <c r="M408" s="14" t="s">
        <v>153</v>
      </c>
      <c r="N408" s="14">
        <v>2021</v>
      </c>
      <c r="O408" s="14">
        <v>0</v>
      </c>
      <c r="P408" s="14" t="s">
        <v>105</v>
      </c>
      <c r="Q408" s="14">
        <v>1</v>
      </c>
      <c r="R408" s="14">
        <v>1</v>
      </c>
      <c r="S408" s="17">
        <v>44833.501608796287</v>
      </c>
      <c r="T408" s="18">
        <v>308.98399999999998</v>
      </c>
      <c r="U408" s="37">
        <v>30</v>
      </c>
      <c r="V408" s="19">
        <v>1</v>
      </c>
      <c r="W408" s="14">
        <v>0</v>
      </c>
      <c r="X408" s="14">
        <v>23</v>
      </c>
      <c r="Y408" s="14">
        <v>23</v>
      </c>
      <c r="Z408" s="14">
        <v>0</v>
      </c>
      <c r="AA408" s="14">
        <f>Tabla13[[#This Row],[CheckList App]]+Tabla13[[#This Row],[CheckList Fisc]]</f>
        <v>23</v>
      </c>
      <c r="AB408" s="19">
        <f t="shared" si="6"/>
        <v>1</v>
      </c>
      <c r="AC408" s="14">
        <v>5</v>
      </c>
      <c r="AD408" s="14" t="s">
        <v>70</v>
      </c>
      <c r="AE408" s="15" t="str">
        <f>IFERROR((VLOOKUP(Tabla13[[#This Row],[ID]],[1]!Mtto_Pesv[[#Headers],[#Data],[Placa]:[Rutina]],2,FALSE)),"-")</f>
        <v>-</v>
      </c>
      <c r="AF408" s="14">
        <v>0</v>
      </c>
      <c r="AG408" s="20">
        <f>IFERROR((VLOOKUP(Tabla13[[#This Row],[ID]],[1]!Mtto_Pesv[[#Headers],[#Data],[Placa]:[Rutina]],3,FALSE)),0)</f>
        <v>0</v>
      </c>
      <c r="AH408" s="20">
        <f>IFERROR((VLOOKUP(Tabla13[[#This Row],[ID]],[1]!Mtto_Pesv[[#Headers],[#Data],[Placa]:[Rutina]],7,FALSE)),0)</f>
        <v>0</v>
      </c>
      <c r="AI408" s="20">
        <f>IFERROR((VLOOKUP(Tabla13[[#This Row],[ID]],[1]!Mtto_Pesv[[#Headers],[#Data],[Placa]:[Rutina]],8,FALSE)),0)</f>
        <v>0</v>
      </c>
      <c r="AJ408" s="20" t="str">
        <f>IFERROR((VLOOKUP(Tabla13[[#This Row],[ID]],[1]!Mtto_Pesv[[#Headers],[#Data],[Placa]:[Rutina]],9,FALSE)),"-")</f>
        <v>-</v>
      </c>
      <c r="AK408" s="20">
        <f>IFERROR((VLOOKUP(Tabla13[[#This Row],[ID]],[1]!Mtto_Pesv[[#Headers],[#Data],[Placa]:[Rutina]],10,FALSE)),0)</f>
        <v>0</v>
      </c>
      <c r="AL408" s="20">
        <f>IF(Tabla13[[#This Row],[Km Anterior]]=0,0,Tabla13[[#This Row],[Km Ejecut]]-Tabla13[[#This Row],[Km Anterior]])</f>
        <v>0</v>
      </c>
      <c r="AM408" s="20">
        <f>IFERROR((VLOOKUP(Tabla13[[#This Row],[ID]],[1]!Mtto_Pesv[[#Headers],[#Data],[Placa]:[Rutina]],4,FALSE)),0)</f>
        <v>0</v>
      </c>
      <c r="AN408" s="21">
        <f>IFERROR((VLOOKUP(Tabla13[[#This Row],[ID]],[1]!Mtto_Pesv[[#Headers],[#Data],[Placa]:[Rutina]],5,FALSE)),0)</f>
        <v>0</v>
      </c>
      <c r="AO408" s="21">
        <f>+Tabla13[[#This Row],[Km Fin]]-Tabla13[[#This Row],[Km Ini]]</f>
        <v>0</v>
      </c>
      <c r="AP408" s="20">
        <f>IFERROR((VLOOKUP(Tabla13[[#This Row],[ID]],[1]!Estilo_Conduccion[[#All],[Placa]:[Puntuacion]],15,FALSE)),0)</f>
        <v>590.59999999999991</v>
      </c>
      <c r="AQ408" s="15" t="s">
        <v>54</v>
      </c>
      <c r="AR408" s="15" t="s">
        <v>1310</v>
      </c>
      <c r="AS408" s="20">
        <v>3900</v>
      </c>
      <c r="AT408" s="21">
        <v>0</v>
      </c>
      <c r="AU408" s="21">
        <f>(Tabla13[[#This Row],[Cap Vh]]*$AX$2)*0.56</f>
        <v>0</v>
      </c>
      <c r="AV408" s="36" t="e">
        <f>(Tabla13[[#This Row],[Cap Util (kg)]]/(Tabla13[[#This Row],[Cap Inst (Kg)]]))</f>
        <v>#DIV/0!</v>
      </c>
    </row>
    <row r="409" spans="1:48" x14ac:dyDescent="0.25">
      <c r="A409" s="13" t="s">
        <v>1068</v>
      </c>
      <c r="B409" s="14" t="s">
        <v>599</v>
      </c>
      <c r="C409" s="14" t="s">
        <v>564</v>
      </c>
      <c r="D409" s="14" t="s">
        <v>565</v>
      </c>
      <c r="E409" s="14" t="s">
        <v>569</v>
      </c>
      <c r="F409" s="14" t="s">
        <v>64</v>
      </c>
      <c r="G409" s="15" t="s">
        <v>182</v>
      </c>
      <c r="H409" s="13" t="s">
        <v>183</v>
      </c>
      <c r="I409" s="14" t="s">
        <v>49</v>
      </c>
      <c r="J409" s="14">
        <v>901253015</v>
      </c>
      <c r="K409" s="14" t="s">
        <v>185</v>
      </c>
      <c r="L409" s="14" t="s">
        <v>103</v>
      </c>
      <c r="M409" s="14" t="s">
        <v>153</v>
      </c>
      <c r="N409" s="14">
        <v>2021</v>
      </c>
      <c r="O409" s="14">
        <v>0</v>
      </c>
      <c r="P409" s="14" t="s">
        <v>105</v>
      </c>
      <c r="Q409" s="14">
        <v>1</v>
      </c>
      <c r="R409" s="14">
        <v>1</v>
      </c>
      <c r="S409" s="17">
        <v>44834.322199074071</v>
      </c>
      <c r="T409" s="18">
        <v>349.99899999999997</v>
      </c>
      <c r="U409" s="37">
        <v>30</v>
      </c>
      <c r="V409" s="19">
        <v>1</v>
      </c>
      <c r="W409" s="14">
        <v>0</v>
      </c>
      <c r="X409" s="14">
        <v>27</v>
      </c>
      <c r="Y409" s="14">
        <v>27</v>
      </c>
      <c r="Z409" s="14">
        <v>0</v>
      </c>
      <c r="AA409" s="14">
        <f>Tabla13[[#This Row],[CheckList App]]+Tabla13[[#This Row],[CheckList Fisc]]</f>
        <v>27</v>
      </c>
      <c r="AB409" s="19">
        <f t="shared" si="6"/>
        <v>1</v>
      </c>
      <c r="AC409" s="14">
        <v>1</v>
      </c>
      <c r="AD409" s="14" t="s">
        <v>70</v>
      </c>
      <c r="AE409" s="15" t="str">
        <f>IFERROR((VLOOKUP(Tabla13[[#This Row],[ID]],[1]!Mtto_Pesv[[#Headers],[#Data],[Placa]:[Rutina]],2,FALSE)),"-")</f>
        <v>-</v>
      </c>
      <c r="AF409" s="14">
        <v>0</v>
      </c>
      <c r="AG409" s="20">
        <f>IFERROR((VLOOKUP(Tabla13[[#This Row],[ID]],[1]!Mtto_Pesv[[#Headers],[#Data],[Placa]:[Rutina]],3,FALSE)),0)</f>
        <v>0</v>
      </c>
      <c r="AH409" s="20">
        <f>IFERROR((VLOOKUP(Tabla13[[#This Row],[ID]],[1]!Mtto_Pesv[[#Headers],[#Data],[Placa]:[Rutina]],7,FALSE)),0)</f>
        <v>0</v>
      </c>
      <c r="AI409" s="20">
        <f>IFERROR((VLOOKUP(Tabla13[[#This Row],[ID]],[1]!Mtto_Pesv[[#Headers],[#Data],[Placa]:[Rutina]],8,FALSE)),0)</f>
        <v>0</v>
      </c>
      <c r="AJ409" s="20" t="str">
        <f>IFERROR((VLOOKUP(Tabla13[[#This Row],[ID]],[1]!Mtto_Pesv[[#Headers],[#Data],[Placa]:[Rutina]],9,FALSE)),"-")</f>
        <v>-</v>
      </c>
      <c r="AK409" s="20">
        <f>IFERROR((VLOOKUP(Tabla13[[#This Row],[ID]],[1]!Mtto_Pesv[[#Headers],[#Data],[Placa]:[Rutina]],10,FALSE)),0)</f>
        <v>0</v>
      </c>
      <c r="AL409" s="20">
        <f>IF(Tabla13[[#This Row],[Km Anterior]]=0,0,Tabla13[[#This Row],[Km Ejecut]]-Tabla13[[#This Row],[Km Anterior]])</f>
        <v>0</v>
      </c>
      <c r="AM409" s="20">
        <f>IFERROR((VLOOKUP(Tabla13[[#This Row],[ID]],[1]!Mtto_Pesv[[#Headers],[#Data],[Placa]:[Rutina]],4,FALSE)),0)</f>
        <v>0</v>
      </c>
      <c r="AN409" s="21">
        <f>IFERROR((VLOOKUP(Tabla13[[#This Row],[ID]],[1]!Mtto_Pesv[[#Headers],[#Data],[Placa]:[Rutina]],5,FALSE)),0)</f>
        <v>0</v>
      </c>
      <c r="AO409" s="21">
        <f>+Tabla13[[#This Row],[Km Fin]]-Tabla13[[#This Row],[Km Ini]]</f>
        <v>0</v>
      </c>
      <c r="AP409" s="20">
        <f>IFERROR((VLOOKUP(Tabla13[[#This Row],[ID]],[1]!Estilo_Conduccion[[#All],[Placa]:[Puntuacion]],15,FALSE)),0)</f>
        <v>465.5</v>
      </c>
      <c r="AQ409" s="15" t="s">
        <v>54</v>
      </c>
      <c r="AR409" s="15" t="s">
        <v>1311</v>
      </c>
      <c r="AS409" s="20">
        <v>3900</v>
      </c>
      <c r="AT409" s="21">
        <v>0</v>
      </c>
      <c r="AU409" s="21">
        <f>(Tabla13[[#This Row],[Cap Vh]]*$AX$2)*0.56</f>
        <v>0</v>
      </c>
      <c r="AV409" s="36" t="e">
        <f>(Tabla13[[#This Row],[Cap Util (kg)]]/(Tabla13[[#This Row],[Cap Inst (Kg)]]))</f>
        <v>#DIV/0!</v>
      </c>
    </row>
    <row r="410" spans="1:48" x14ac:dyDescent="0.25">
      <c r="A410" s="13" t="s">
        <v>1068</v>
      </c>
      <c r="B410" s="14" t="s">
        <v>600</v>
      </c>
      <c r="C410" s="14" t="s">
        <v>564</v>
      </c>
      <c r="D410" s="14" t="s">
        <v>565</v>
      </c>
      <c r="E410" s="14" t="s">
        <v>566</v>
      </c>
      <c r="F410" s="14" t="s">
        <v>64</v>
      </c>
      <c r="G410" s="15" t="s">
        <v>182</v>
      </c>
      <c r="H410" s="13" t="s">
        <v>199</v>
      </c>
      <c r="I410" s="14" t="s">
        <v>49</v>
      </c>
      <c r="J410" s="14">
        <v>901253015</v>
      </c>
      <c r="K410" s="14" t="s">
        <v>185</v>
      </c>
      <c r="L410" s="14" t="s">
        <v>103</v>
      </c>
      <c r="M410" s="15" t="s">
        <v>104</v>
      </c>
      <c r="N410" s="14">
        <v>2021</v>
      </c>
      <c r="O410" s="14">
        <v>0</v>
      </c>
      <c r="P410" s="14" t="s">
        <v>105</v>
      </c>
      <c r="Q410" s="14">
        <v>1</v>
      </c>
      <c r="R410" s="14">
        <v>0</v>
      </c>
      <c r="S410" s="17" t="s">
        <v>54</v>
      </c>
      <c r="T410" s="18">
        <v>0</v>
      </c>
      <c r="U410" s="37">
        <v>30</v>
      </c>
      <c r="V410" s="19">
        <v>1</v>
      </c>
      <c r="W410" s="14">
        <v>0</v>
      </c>
      <c r="X410" s="14">
        <v>25</v>
      </c>
      <c r="Y410" s="14">
        <v>25</v>
      </c>
      <c r="Z410" s="14">
        <v>0</v>
      </c>
      <c r="AA410" s="14">
        <f>Tabla13[[#This Row],[CheckList App]]+Tabla13[[#This Row],[CheckList Fisc]]</f>
        <v>25</v>
      </c>
      <c r="AB410" s="19">
        <f t="shared" si="6"/>
        <v>1</v>
      </c>
      <c r="AC410" s="14">
        <v>0</v>
      </c>
      <c r="AD410" s="14" t="s">
        <v>70</v>
      </c>
      <c r="AE410" s="15" t="str">
        <f>IFERROR((VLOOKUP(Tabla13[[#This Row],[ID]],[1]!Mtto_Pesv[[#Headers],[#Data],[Placa]:[Rutina]],2,FALSE)),"-")</f>
        <v>-</v>
      </c>
      <c r="AF410" s="14">
        <v>0</v>
      </c>
      <c r="AG410" s="20">
        <f>IFERROR((VLOOKUP(Tabla13[[#This Row],[ID]],[1]!Mtto_Pesv[[#Headers],[#Data],[Placa]:[Rutina]],3,FALSE)),0)</f>
        <v>0</v>
      </c>
      <c r="AH410" s="20">
        <f>IFERROR((VLOOKUP(Tabla13[[#This Row],[ID]],[1]!Mtto_Pesv[[#Headers],[#Data],[Placa]:[Rutina]],7,FALSE)),0)</f>
        <v>0</v>
      </c>
      <c r="AI410" s="20">
        <f>IFERROR((VLOOKUP(Tabla13[[#This Row],[ID]],[1]!Mtto_Pesv[[#Headers],[#Data],[Placa]:[Rutina]],8,FALSE)),0)</f>
        <v>0</v>
      </c>
      <c r="AJ410" s="20" t="str">
        <f>IFERROR((VLOOKUP(Tabla13[[#This Row],[ID]],[1]!Mtto_Pesv[[#Headers],[#Data],[Placa]:[Rutina]],9,FALSE)),"-")</f>
        <v>-</v>
      </c>
      <c r="AK410" s="20">
        <f>IFERROR((VLOOKUP(Tabla13[[#This Row],[ID]],[1]!Mtto_Pesv[[#Headers],[#Data],[Placa]:[Rutina]],10,FALSE)),0)</f>
        <v>0</v>
      </c>
      <c r="AL410" s="20">
        <f>IF(Tabla13[[#This Row],[Km Anterior]]=0,0,Tabla13[[#This Row],[Km Ejecut]]-Tabla13[[#This Row],[Km Anterior]])</f>
        <v>0</v>
      </c>
      <c r="AM410" s="20">
        <f>IFERROR((VLOOKUP(Tabla13[[#This Row],[ID]],[1]!Mtto_Pesv[[#Headers],[#Data],[Placa]:[Rutina]],4,FALSE)),0)</f>
        <v>0</v>
      </c>
      <c r="AN410" s="21">
        <f>IFERROR((VLOOKUP(Tabla13[[#This Row],[ID]],[1]!Mtto_Pesv[[#Headers],[#Data],[Placa]:[Rutina]],5,FALSE)),0)</f>
        <v>0</v>
      </c>
      <c r="AO410" s="21">
        <f>+Tabla13[[#This Row],[Km Fin]]-Tabla13[[#This Row],[Km Ini]]</f>
        <v>0</v>
      </c>
      <c r="AP410" s="20">
        <f>IFERROR((VLOOKUP(Tabla13[[#This Row],[ID]],[1]!Estilo_Conduccion[[#All],[Placa]:[Puntuacion]],15,FALSE)),0)</f>
        <v>420.5</v>
      </c>
      <c r="AQ410" s="15" t="s">
        <v>1312</v>
      </c>
      <c r="AR410" s="15" t="s">
        <v>1313</v>
      </c>
      <c r="AS410" s="20">
        <v>1650</v>
      </c>
      <c r="AT410" s="21">
        <v>5232</v>
      </c>
      <c r="AU410" s="21">
        <f>(Tabla13[[#This Row],[Cap Vh]]*$AX$2)*0.56</f>
        <v>0</v>
      </c>
      <c r="AV410" s="36" t="e">
        <f>(Tabla13[[#This Row],[Cap Util (kg)]]/(Tabla13[[#This Row],[Cap Inst (Kg)]]))</f>
        <v>#DIV/0!</v>
      </c>
    </row>
    <row r="411" spans="1:48" x14ac:dyDescent="0.25">
      <c r="A411" s="13" t="s">
        <v>1068</v>
      </c>
      <c r="B411" s="14" t="s">
        <v>601</v>
      </c>
      <c r="C411" s="14" t="s">
        <v>564</v>
      </c>
      <c r="D411" s="14" t="s">
        <v>565</v>
      </c>
      <c r="E411" s="14" t="s">
        <v>566</v>
      </c>
      <c r="F411" s="14" t="s">
        <v>64</v>
      </c>
      <c r="G411" s="15" t="s">
        <v>182</v>
      </c>
      <c r="H411" s="13" t="s">
        <v>199</v>
      </c>
      <c r="I411" s="14" t="s">
        <v>49</v>
      </c>
      <c r="J411" s="14">
        <v>901253015</v>
      </c>
      <c r="K411" s="14" t="s">
        <v>185</v>
      </c>
      <c r="L411" s="14" t="s">
        <v>103</v>
      </c>
      <c r="M411" s="15" t="s">
        <v>104</v>
      </c>
      <c r="N411" s="14">
        <v>2021</v>
      </c>
      <c r="O411" s="14">
        <v>0</v>
      </c>
      <c r="P411" s="14" t="s">
        <v>105</v>
      </c>
      <c r="Q411" s="14">
        <v>1</v>
      </c>
      <c r="R411" s="14">
        <v>0</v>
      </c>
      <c r="S411" s="17" t="s">
        <v>54</v>
      </c>
      <c r="T411" s="18">
        <v>0</v>
      </c>
      <c r="U411" s="37">
        <v>30</v>
      </c>
      <c r="V411" s="19">
        <v>1</v>
      </c>
      <c r="W411" s="14">
        <v>0</v>
      </c>
      <c r="X411" s="14">
        <v>16</v>
      </c>
      <c r="Y411" s="14">
        <v>16</v>
      </c>
      <c r="Z411" s="14">
        <v>0</v>
      </c>
      <c r="AA411" s="14">
        <f>Tabla13[[#This Row],[CheckList App]]+Tabla13[[#This Row],[CheckList Fisc]]</f>
        <v>16</v>
      </c>
      <c r="AB411" s="19">
        <f t="shared" si="6"/>
        <v>1</v>
      </c>
      <c r="AC411" s="14">
        <v>1</v>
      </c>
      <c r="AD411" s="14" t="s">
        <v>70</v>
      </c>
      <c r="AE411" s="15" t="str">
        <f>IFERROR((VLOOKUP(Tabla13[[#This Row],[ID]],[1]!Mtto_Pesv[[#Headers],[#Data],[Placa]:[Rutina]],2,FALSE)),"-")</f>
        <v>-</v>
      </c>
      <c r="AF411" s="14">
        <v>0</v>
      </c>
      <c r="AG411" s="20">
        <f>IFERROR((VLOOKUP(Tabla13[[#This Row],[ID]],[1]!Mtto_Pesv[[#Headers],[#Data],[Placa]:[Rutina]],3,FALSE)),0)</f>
        <v>0</v>
      </c>
      <c r="AH411" s="20">
        <f>IFERROR((VLOOKUP(Tabla13[[#This Row],[ID]],[1]!Mtto_Pesv[[#Headers],[#Data],[Placa]:[Rutina]],7,FALSE)),0)</f>
        <v>0</v>
      </c>
      <c r="AI411" s="20">
        <f>IFERROR((VLOOKUP(Tabla13[[#This Row],[ID]],[1]!Mtto_Pesv[[#Headers],[#Data],[Placa]:[Rutina]],8,FALSE)),0)</f>
        <v>0</v>
      </c>
      <c r="AJ411" s="20" t="str">
        <f>IFERROR((VLOOKUP(Tabla13[[#This Row],[ID]],[1]!Mtto_Pesv[[#Headers],[#Data],[Placa]:[Rutina]],9,FALSE)),"-")</f>
        <v>-</v>
      </c>
      <c r="AK411" s="20">
        <f>IFERROR((VLOOKUP(Tabla13[[#This Row],[ID]],[1]!Mtto_Pesv[[#Headers],[#Data],[Placa]:[Rutina]],10,FALSE)),0)</f>
        <v>0</v>
      </c>
      <c r="AL411" s="20">
        <f>IF(Tabla13[[#This Row],[Km Anterior]]=0,0,Tabla13[[#This Row],[Km Ejecut]]-Tabla13[[#This Row],[Km Anterior]])</f>
        <v>0</v>
      </c>
      <c r="AM411" s="20">
        <f>IFERROR((VLOOKUP(Tabla13[[#This Row],[ID]],[1]!Mtto_Pesv[[#Headers],[#Data],[Placa]:[Rutina]],4,FALSE)),0)</f>
        <v>0</v>
      </c>
      <c r="AN411" s="21">
        <f>IFERROR((VLOOKUP(Tabla13[[#This Row],[ID]],[1]!Mtto_Pesv[[#Headers],[#Data],[Placa]:[Rutina]],5,FALSE)),0)</f>
        <v>0</v>
      </c>
      <c r="AO411" s="21">
        <f>+Tabla13[[#This Row],[Km Fin]]-Tabla13[[#This Row],[Km Ini]]</f>
        <v>0</v>
      </c>
      <c r="AP411" s="20">
        <f>IFERROR((VLOOKUP(Tabla13[[#This Row],[ID]],[1]!Estilo_Conduccion[[#All],[Placa]:[Puntuacion]],15,FALSE)),0)</f>
        <v>184.79999999999998</v>
      </c>
      <c r="AQ411" s="15" t="s">
        <v>1314</v>
      </c>
      <c r="AR411" s="15" t="s">
        <v>1315</v>
      </c>
      <c r="AS411" s="20">
        <v>1650</v>
      </c>
      <c r="AT411" s="21">
        <v>7720.5</v>
      </c>
      <c r="AU411" s="21">
        <f>(Tabla13[[#This Row],[Cap Vh]]*$AX$2)*0.56</f>
        <v>0</v>
      </c>
      <c r="AV411" s="36" t="e">
        <f>(Tabla13[[#This Row],[Cap Util (kg)]]/(Tabla13[[#This Row],[Cap Inst (Kg)]]))</f>
        <v>#DIV/0!</v>
      </c>
    </row>
    <row r="412" spans="1:48" x14ac:dyDescent="0.25">
      <c r="A412" s="13" t="s">
        <v>1068</v>
      </c>
      <c r="B412" s="14" t="s">
        <v>602</v>
      </c>
      <c r="C412" s="14" t="s">
        <v>564</v>
      </c>
      <c r="D412" s="14" t="s">
        <v>565</v>
      </c>
      <c r="E412" s="14" t="s">
        <v>580</v>
      </c>
      <c r="F412" s="14" t="s">
        <v>64</v>
      </c>
      <c r="G412" s="15" t="s">
        <v>182</v>
      </c>
      <c r="H412" s="13" t="s">
        <v>183</v>
      </c>
      <c r="I412" s="14" t="s">
        <v>49</v>
      </c>
      <c r="J412" s="14">
        <v>901253015</v>
      </c>
      <c r="K412" s="14" t="s">
        <v>185</v>
      </c>
      <c r="L412" s="14" t="s">
        <v>103</v>
      </c>
      <c r="M412" s="14" t="s">
        <v>121</v>
      </c>
      <c r="N412" s="14">
        <v>2021</v>
      </c>
      <c r="O412" s="14">
        <v>1</v>
      </c>
      <c r="P412" s="14" t="s">
        <v>105</v>
      </c>
      <c r="Q412" s="14">
        <v>1</v>
      </c>
      <c r="R412" s="14">
        <v>1</v>
      </c>
      <c r="S412" s="17">
        <v>44834.430960648147</v>
      </c>
      <c r="T412" s="18">
        <v>159.39299999999997</v>
      </c>
      <c r="U412" s="37">
        <v>29</v>
      </c>
      <c r="V412" s="19">
        <v>0.96666666666666667</v>
      </c>
      <c r="W412" s="14">
        <v>0</v>
      </c>
      <c r="X412" s="14">
        <v>24</v>
      </c>
      <c r="Y412" s="14">
        <v>24</v>
      </c>
      <c r="Z412" s="14">
        <v>0</v>
      </c>
      <c r="AA412" s="14">
        <f>Tabla13[[#This Row],[CheckList App]]+Tabla13[[#This Row],[CheckList Fisc]]</f>
        <v>24</v>
      </c>
      <c r="AB412" s="19">
        <f t="shared" si="6"/>
        <v>1</v>
      </c>
      <c r="AC412" s="14">
        <v>53</v>
      </c>
      <c r="AD412" s="14" t="s">
        <v>70</v>
      </c>
      <c r="AE412" s="15" t="str">
        <f>IFERROR((VLOOKUP(Tabla13[[#This Row],[ID]],[1]!Mtto_Pesv[[#Headers],[#Data],[Placa]:[Rutina]],2,FALSE)),"-")</f>
        <v>-</v>
      </c>
      <c r="AF412" s="14">
        <v>0</v>
      </c>
      <c r="AG412" s="20">
        <f>IFERROR((VLOOKUP(Tabla13[[#This Row],[ID]],[1]!Mtto_Pesv[[#Headers],[#Data],[Placa]:[Rutina]],3,FALSE)),0)</f>
        <v>0</v>
      </c>
      <c r="AH412" s="20">
        <f>IFERROR((VLOOKUP(Tabla13[[#This Row],[ID]],[1]!Mtto_Pesv[[#Headers],[#Data],[Placa]:[Rutina]],7,FALSE)),0)</f>
        <v>0</v>
      </c>
      <c r="AI412" s="20">
        <f>IFERROR((VLOOKUP(Tabla13[[#This Row],[ID]],[1]!Mtto_Pesv[[#Headers],[#Data],[Placa]:[Rutina]],8,FALSE)),0)</f>
        <v>0</v>
      </c>
      <c r="AJ412" s="20" t="str">
        <f>IFERROR((VLOOKUP(Tabla13[[#This Row],[ID]],[1]!Mtto_Pesv[[#Headers],[#Data],[Placa]:[Rutina]],9,FALSE)),"-")</f>
        <v>-</v>
      </c>
      <c r="AK412" s="20">
        <f>IFERROR((VLOOKUP(Tabla13[[#This Row],[ID]],[1]!Mtto_Pesv[[#Headers],[#Data],[Placa]:[Rutina]],10,FALSE)),0)</f>
        <v>0</v>
      </c>
      <c r="AL412" s="20">
        <f>IF(Tabla13[[#This Row],[Km Anterior]]=0,0,Tabla13[[#This Row],[Km Ejecut]]-Tabla13[[#This Row],[Km Anterior]])</f>
        <v>0</v>
      </c>
      <c r="AM412" s="20">
        <f>IFERROR((VLOOKUP(Tabla13[[#This Row],[ID]],[1]!Mtto_Pesv[[#Headers],[#Data],[Placa]:[Rutina]],4,FALSE)),0)</f>
        <v>0</v>
      </c>
      <c r="AN412" s="21">
        <f>IFERROR((VLOOKUP(Tabla13[[#This Row],[ID]],[1]!Mtto_Pesv[[#Headers],[#Data],[Placa]:[Rutina]],5,FALSE)),0)</f>
        <v>0</v>
      </c>
      <c r="AO412" s="21">
        <f>+Tabla13[[#This Row],[Km Fin]]-Tabla13[[#This Row],[Km Ini]]</f>
        <v>0</v>
      </c>
      <c r="AP412" s="20">
        <f>IFERROR((VLOOKUP(Tabla13[[#This Row],[ID]],[1]!Estilo_Conduccion[[#All],[Placa]:[Puntuacion]],15,FALSE)),0)</f>
        <v>375.59999999999991</v>
      </c>
      <c r="AQ412" s="15" t="s">
        <v>54</v>
      </c>
      <c r="AR412" s="15" t="s">
        <v>1316</v>
      </c>
      <c r="AS412" s="20">
        <v>2350</v>
      </c>
      <c r="AT412" s="21">
        <v>0</v>
      </c>
      <c r="AU412" s="21">
        <f>(Tabla13[[#This Row],[Cap Vh]]*$AX$2)*0.56</f>
        <v>0</v>
      </c>
      <c r="AV412" s="36" t="e">
        <f>(Tabla13[[#This Row],[Cap Util (kg)]]/(Tabla13[[#This Row],[Cap Inst (Kg)]]))</f>
        <v>#DIV/0!</v>
      </c>
    </row>
    <row r="413" spans="1:48" x14ac:dyDescent="0.25">
      <c r="A413" s="13" t="s">
        <v>1068</v>
      </c>
      <c r="B413" s="14" t="s">
        <v>603</v>
      </c>
      <c r="C413" s="14" t="s">
        <v>564</v>
      </c>
      <c r="D413" s="14" t="s">
        <v>565</v>
      </c>
      <c r="E413" s="14" t="s">
        <v>580</v>
      </c>
      <c r="F413" s="14" t="s">
        <v>64</v>
      </c>
      <c r="G413" s="15" t="s">
        <v>182</v>
      </c>
      <c r="H413" s="13" t="s">
        <v>183</v>
      </c>
      <c r="I413" s="14" t="s">
        <v>49</v>
      </c>
      <c r="J413" s="14">
        <v>901253015</v>
      </c>
      <c r="K413" s="14" t="s">
        <v>185</v>
      </c>
      <c r="L413" s="14" t="s">
        <v>103</v>
      </c>
      <c r="M413" s="14" t="s">
        <v>121</v>
      </c>
      <c r="N413" s="14">
        <v>2021</v>
      </c>
      <c r="O413" s="14">
        <v>1</v>
      </c>
      <c r="P413" s="14" t="s">
        <v>105</v>
      </c>
      <c r="Q413" s="14">
        <v>1</v>
      </c>
      <c r="R413" s="14">
        <v>1</v>
      </c>
      <c r="S413" s="17">
        <v>44834.286157407398</v>
      </c>
      <c r="T413" s="18">
        <v>127.15499999999999</v>
      </c>
      <c r="U413" s="37">
        <v>30</v>
      </c>
      <c r="V413" s="19">
        <v>1</v>
      </c>
      <c r="W413" s="14">
        <v>0</v>
      </c>
      <c r="X413" s="14">
        <v>24</v>
      </c>
      <c r="Y413" s="14">
        <v>24</v>
      </c>
      <c r="Z413" s="14">
        <v>0</v>
      </c>
      <c r="AA413" s="14">
        <f>Tabla13[[#This Row],[CheckList App]]+Tabla13[[#This Row],[CheckList Fisc]]</f>
        <v>24</v>
      </c>
      <c r="AB413" s="19">
        <f t="shared" si="6"/>
        <v>1</v>
      </c>
      <c r="AC413" s="14">
        <v>71</v>
      </c>
      <c r="AD413" s="14" t="s">
        <v>54</v>
      </c>
      <c r="AE413" s="15" t="str">
        <f>IFERROR((VLOOKUP(Tabla13[[#This Row],[ID]],[1]!Mtto_Pesv[[#Headers],[#Data],[Placa]:[Rutina]],2,FALSE)),"-")</f>
        <v>-</v>
      </c>
      <c r="AF413" s="14">
        <v>0</v>
      </c>
      <c r="AG413" s="20">
        <f>IFERROR((VLOOKUP(Tabla13[[#This Row],[ID]],[1]!Mtto_Pesv[[#Headers],[#Data],[Placa]:[Rutina]],3,FALSE)),0)</f>
        <v>0</v>
      </c>
      <c r="AH413" s="20">
        <f>IFERROR((VLOOKUP(Tabla13[[#This Row],[ID]],[1]!Mtto_Pesv[[#Headers],[#Data],[Placa]:[Rutina]],7,FALSE)),0)</f>
        <v>0</v>
      </c>
      <c r="AI413" s="20">
        <f>IFERROR((VLOOKUP(Tabla13[[#This Row],[ID]],[1]!Mtto_Pesv[[#Headers],[#Data],[Placa]:[Rutina]],8,FALSE)),0)</f>
        <v>0</v>
      </c>
      <c r="AJ413" s="20" t="str">
        <f>IFERROR((VLOOKUP(Tabla13[[#This Row],[ID]],[1]!Mtto_Pesv[[#Headers],[#Data],[Placa]:[Rutina]],9,FALSE)),"-")</f>
        <v>-</v>
      </c>
      <c r="AK413" s="20">
        <f>IFERROR((VLOOKUP(Tabla13[[#This Row],[ID]],[1]!Mtto_Pesv[[#Headers],[#Data],[Placa]:[Rutina]],10,FALSE)),0)</f>
        <v>0</v>
      </c>
      <c r="AL413" s="20">
        <f>IF(Tabla13[[#This Row],[Km Anterior]]=0,0,Tabla13[[#This Row],[Km Ejecut]]-Tabla13[[#This Row],[Km Anterior]])</f>
        <v>0</v>
      </c>
      <c r="AM413" s="20">
        <f>IFERROR((VLOOKUP(Tabla13[[#This Row],[ID]],[1]!Mtto_Pesv[[#Headers],[#Data],[Placa]:[Rutina]],4,FALSE)),0)</f>
        <v>0</v>
      </c>
      <c r="AN413" s="21">
        <f>IFERROR((VLOOKUP(Tabla13[[#This Row],[ID]],[1]!Mtto_Pesv[[#Headers],[#Data],[Placa]:[Rutina]],5,FALSE)),0)</f>
        <v>0</v>
      </c>
      <c r="AO413" s="21">
        <f>+Tabla13[[#This Row],[Km Fin]]-Tabla13[[#This Row],[Km Ini]]</f>
        <v>0</v>
      </c>
      <c r="AP413" s="20">
        <f>IFERROR((VLOOKUP(Tabla13[[#This Row],[ID]],[1]!Estilo_Conduccion[[#All],[Placa]:[Puntuacion]],15,FALSE)),0)</f>
        <v>32.599999999999952</v>
      </c>
      <c r="AQ413" s="15" t="s">
        <v>54</v>
      </c>
      <c r="AR413" s="15" t="s">
        <v>1317</v>
      </c>
      <c r="AS413" s="20">
        <v>2350</v>
      </c>
      <c r="AT413" s="21">
        <v>0</v>
      </c>
      <c r="AU413" s="21">
        <f>(Tabla13[[#This Row],[Cap Vh]]*$AX$2)*0.56</f>
        <v>0</v>
      </c>
      <c r="AV413" s="36" t="e">
        <f>(Tabla13[[#This Row],[Cap Util (kg)]]/(Tabla13[[#This Row],[Cap Inst (Kg)]]))</f>
        <v>#DIV/0!</v>
      </c>
    </row>
    <row r="414" spans="1:48" x14ac:dyDescent="0.25">
      <c r="A414" s="13" t="s">
        <v>1068</v>
      </c>
      <c r="B414" s="14" t="s">
        <v>604</v>
      </c>
      <c r="C414" s="14" t="s">
        <v>564</v>
      </c>
      <c r="D414" s="14" t="s">
        <v>565</v>
      </c>
      <c r="E414" s="14" t="s">
        <v>580</v>
      </c>
      <c r="F414" s="14" t="s">
        <v>64</v>
      </c>
      <c r="G414" s="15" t="s">
        <v>182</v>
      </c>
      <c r="H414" s="13" t="s">
        <v>183</v>
      </c>
      <c r="I414" s="14" t="s">
        <v>49</v>
      </c>
      <c r="J414" s="14">
        <v>901253015</v>
      </c>
      <c r="K414" s="14" t="s">
        <v>185</v>
      </c>
      <c r="L414" s="14" t="s">
        <v>103</v>
      </c>
      <c r="M414" s="14" t="s">
        <v>121</v>
      </c>
      <c r="N414" s="14">
        <v>2021</v>
      </c>
      <c r="O414" s="14">
        <v>1</v>
      </c>
      <c r="P414" s="14" t="s">
        <v>105</v>
      </c>
      <c r="Q414" s="14">
        <v>1</v>
      </c>
      <c r="R414" s="14">
        <v>1</v>
      </c>
      <c r="S414" s="17">
        <v>44834.483078703714</v>
      </c>
      <c r="T414" s="18">
        <v>172.36400000000003</v>
      </c>
      <c r="U414" s="37">
        <v>30</v>
      </c>
      <c r="V414" s="19">
        <v>1</v>
      </c>
      <c r="W414" s="14">
        <v>0</v>
      </c>
      <c r="X414" s="14">
        <v>27</v>
      </c>
      <c r="Y414" s="14">
        <v>27</v>
      </c>
      <c r="Z414" s="14">
        <v>0</v>
      </c>
      <c r="AA414" s="14">
        <f>Tabla13[[#This Row],[CheckList App]]+Tabla13[[#This Row],[CheckList Fisc]]</f>
        <v>27</v>
      </c>
      <c r="AB414" s="19">
        <f t="shared" si="6"/>
        <v>1</v>
      </c>
      <c r="AC414" s="14">
        <v>70</v>
      </c>
      <c r="AD414" s="14" t="s">
        <v>54</v>
      </c>
      <c r="AE414" s="15" t="str">
        <f>IFERROR((VLOOKUP(Tabla13[[#This Row],[ID]],[1]!Mtto_Pesv[[#Headers],[#Data],[Placa]:[Rutina]],2,FALSE)),"-")</f>
        <v>-</v>
      </c>
      <c r="AF414" s="14">
        <v>0</v>
      </c>
      <c r="AG414" s="20">
        <f>IFERROR((VLOOKUP(Tabla13[[#This Row],[ID]],[1]!Mtto_Pesv[[#Headers],[#Data],[Placa]:[Rutina]],3,FALSE)),0)</f>
        <v>0</v>
      </c>
      <c r="AH414" s="20">
        <f>IFERROR((VLOOKUP(Tabla13[[#This Row],[ID]],[1]!Mtto_Pesv[[#Headers],[#Data],[Placa]:[Rutina]],7,FALSE)),0)</f>
        <v>0</v>
      </c>
      <c r="AI414" s="20">
        <f>IFERROR((VLOOKUP(Tabla13[[#This Row],[ID]],[1]!Mtto_Pesv[[#Headers],[#Data],[Placa]:[Rutina]],8,FALSE)),0)</f>
        <v>0</v>
      </c>
      <c r="AJ414" s="20" t="str">
        <f>IFERROR((VLOOKUP(Tabla13[[#This Row],[ID]],[1]!Mtto_Pesv[[#Headers],[#Data],[Placa]:[Rutina]],9,FALSE)),"-")</f>
        <v>-</v>
      </c>
      <c r="AK414" s="20">
        <f>IFERROR((VLOOKUP(Tabla13[[#This Row],[ID]],[1]!Mtto_Pesv[[#Headers],[#Data],[Placa]:[Rutina]],10,FALSE)),0)</f>
        <v>0</v>
      </c>
      <c r="AL414" s="20">
        <f>IF(Tabla13[[#This Row],[Km Anterior]]=0,0,Tabla13[[#This Row],[Km Ejecut]]-Tabla13[[#This Row],[Km Anterior]])</f>
        <v>0</v>
      </c>
      <c r="AM414" s="20">
        <f>IFERROR((VLOOKUP(Tabla13[[#This Row],[ID]],[1]!Mtto_Pesv[[#Headers],[#Data],[Placa]:[Rutina]],4,FALSE)),0)</f>
        <v>0</v>
      </c>
      <c r="AN414" s="21">
        <f>IFERROR((VLOOKUP(Tabla13[[#This Row],[ID]],[1]!Mtto_Pesv[[#Headers],[#Data],[Placa]:[Rutina]],5,FALSE)),0)</f>
        <v>0</v>
      </c>
      <c r="AO414" s="21">
        <f>+Tabla13[[#This Row],[Km Fin]]-Tabla13[[#This Row],[Km Ini]]</f>
        <v>0</v>
      </c>
      <c r="AP414" s="20">
        <f>IFERROR((VLOOKUP(Tabla13[[#This Row],[ID]],[1]!Estilo_Conduccion[[#All],[Placa]:[Puntuacion]],15,FALSE)),0)</f>
        <v>379.09999999999997</v>
      </c>
      <c r="AQ414" s="15" t="s">
        <v>54</v>
      </c>
      <c r="AR414" s="15" t="s">
        <v>1318</v>
      </c>
      <c r="AS414" s="20">
        <v>2350</v>
      </c>
      <c r="AT414" s="21">
        <v>0</v>
      </c>
      <c r="AU414" s="21">
        <f>(Tabla13[[#This Row],[Cap Vh]]*$AX$2)*0.56</f>
        <v>0</v>
      </c>
      <c r="AV414" s="36" t="e">
        <f>(Tabla13[[#This Row],[Cap Util (kg)]]/(Tabla13[[#This Row],[Cap Inst (Kg)]]))</f>
        <v>#DIV/0!</v>
      </c>
    </row>
    <row r="415" spans="1:48" x14ac:dyDescent="0.25">
      <c r="A415" s="13" t="s">
        <v>1068</v>
      </c>
      <c r="B415" s="14" t="s">
        <v>605</v>
      </c>
      <c r="C415" s="14" t="s">
        <v>564</v>
      </c>
      <c r="D415" s="14" t="s">
        <v>565</v>
      </c>
      <c r="E415" s="14" t="s">
        <v>588</v>
      </c>
      <c r="F415" s="14" t="s">
        <v>64</v>
      </c>
      <c r="G415" s="15" t="s">
        <v>182</v>
      </c>
      <c r="H415" s="13" t="s">
        <v>183</v>
      </c>
      <c r="I415" s="14" t="s">
        <v>49</v>
      </c>
      <c r="J415" s="14">
        <v>901253015</v>
      </c>
      <c r="K415" s="14" t="s">
        <v>185</v>
      </c>
      <c r="L415" s="14" t="s">
        <v>103</v>
      </c>
      <c r="M415" s="14" t="s">
        <v>121</v>
      </c>
      <c r="N415" s="14">
        <v>2021</v>
      </c>
      <c r="O415" s="14">
        <v>1</v>
      </c>
      <c r="P415" s="14" t="s">
        <v>105</v>
      </c>
      <c r="Q415" s="14">
        <v>1</v>
      </c>
      <c r="R415" s="14">
        <v>0</v>
      </c>
      <c r="S415" s="17" t="s">
        <v>54</v>
      </c>
      <c r="T415" s="18">
        <v>0</v>
      </c>
      <c r="U415" s="37">
        <v>30</v>
      </c>
      <c r="V415" s="19">
        <v>1</v>
      </c>
      <c r="W415" s="14">
        <v>0</v>
      </c>
      <c r="X415" s="14">
        <v>25</v>
      </c>
      <c r="Y415" s="14">
        <v>25</v>
      </c>
      <c r="Z415" s="14">
        <v>0</v>
      </c>
      <c r="AA415" s="14">
        <f>Tabla13[[#This Row],[CheckList App]]+Tabla13[[#This Row],[CheckList Fisc]]</f>
        <v>25</v>
      </c>
      <c r="AB415" s="19">
        <f t="shared" si="6"/>
        <v>1</v>
      </c>
      <c r="AC415" s="14">
        <v>0</v>
      </c>
      <c r="AD415" s="14" t="s">
        <v>70</v>
      </c>
      <c r="AE415" s="15" t="str">
        <f>IFERROR((VLOOKUP(Tabla13[[#This Row],[ID]],[1]!Mtto_Pesv[[#Headers],[#Data],[Placa]:[Rutina]],2,FALSE)),"-")</f>
        <v>-</v>
      </c>
      <c r="AF415" s="14">
        <v>0</v>
      </c>
      <c r="AG415" s="20">
        <f>IFERROR((VLOOKUP(Tabla13[[#This Row],[ID]],[1]!Mtto_Pesv[[#Headers],[#Data],[Placa]:[Rutina]],3,FALSE)),0)</f>
        <v>0</v>
      </c>
      <c r="AH415" s="20">
        <f>IFERROR((VLOOKUP(Tabla13[[#This Row],[ID]],[1]!Mtto_Pesv[[#Headers],[#Data],[Placa]:[Rutina]],7,FALSE)),0)</f>
        <v>0</v>
      </c>
      <c r="AI415" s="20">
        <f>IFERROR((VLOOKUP(Tabla13[[#This Row],[ID]],[1]!Mtto_Pesv[[#Headers],[#Data],[Placa]:[Rutina]],8,FALSE)),0)</f>
        <v>0</v>
      </c>
      <c r="AJ415" s="20" t="str">
        <f>IFERROR((VLOOKUP(Tabla13[[#This Row],[ID]],[1]!Mtto_Pesv[[#Headers],[#Data],[Placa]:[Rutina]],9,FALSE)),"-")</f>
        <v>-</v>
      </c>
      <c r="AK415" s="20">
        <f>IFERROR((VLOOKUP(Tabla13[[#This Row],[ID]],[1]!Mtto_Pesv[[#Headers],[#Data],[Placa]:[Rutina]],10,FALSE)),0)</f>
        <v>0</v>
      </c>
      <c r="AL415" s="20">
        <f>IF(Tabla13[[#This Row],[Km Anterior]]=0,0,Tabla13[[#This Row],[Km Ejecut]]-Tabla13[[#This Row],[Km Anterior]])</f>
        <v>0</v>
      </c>
      <c r="AM415" s="20">
        <f>IFERROR((VLOOKUP(Tabla13[[#This Row],[ID]],[1]!Mtto_Pesv[[#Headers],[#Data],[Placa]:[Rutina]],4,FALSE)),0)</f>
        <v>0</v>
      </c>
      <c r="AN415" s="21">
        <f>IFERROR((VLOOKUP(Tabla13[[#This Row],[ID]],[1]!Mtto_Pesv[[#Headers],[#Data],[Placa]:[Rutina]],5,FALSE)),0)</f>
        <v>0</v>
      </c>
      <c r="AO415" s="21">
        <f>+Tabla13[[#This Row],[Km Fin]]-Tabla13[[#This Row],[Km Ini]]</f>
        <v>0</v>
      </c>
      <c r="AP415" s="20">
        <f>IFERROR((VLOOKUP(Tabla13[[#This Row],[ID]],[1]!Estilo_Conduccion[[#All],[Placa]:[Puntuacion]],15,FALSE)),0)</f>
        <v>41.00000000000005</v>
      </c>
      <c r="AQ415" s="15" t="s">
        <v>54</v>
      </c>
      <c r="AR415" s="15" t="s">
        <v>1319</v>
      </c>
      <c r="AS415" s="20">
        <v>2350</v>
      </c>
      <c r="AT415" s="21">
        <v>0</v>
      </c>
      <c r="AU415" s="21">
        <f>(Tabla13[[#This Row],[Cap Vh]]*$AX$2)*0.56</f>
        <v>0</v>
      </c>
      <c r="AV415" s="36" t="e">
        <f>(Tabla13[[#This Row],[Cap Util (kg)]]/(Tabla13[[#This Row],[Cap Inst (Kg)]]))</f>
        <v>#DIV/0!</v>
      </c>
    </row>
    <row r="416" spans="1:48" x14ac:dyDescent="0.25">
      <c r="A416" s="13" t="s">
        <v>1068</v>
      </c>
      <c r="B416" s="14" t="s">
        <v>606</v>
      </c>
      <c r="C416" s="14" t="s">
        <v>564</v>
      </c>
      <c r="D416" s="14" t="s">
        <v>565</v>
      </c>
      <c r="E416" s="14" t="s">
        <v>566</v>
      </c>
      <c r="F416" s="14" t="s">
        <v>64</v>
      </c>
      <c r="G416" s="15" t="s">
        <v>182</v>
      </c>
      <c r="H416" s="13" t="s">
        <v>199</v>
      </c>
      <c r="I416" s="14" t="s">
        <v>49</v>
      </c>
      <c r="J416" s="14">
        <v>901253015</v>
      </c>
      <c r="K416" s="14" t="s">
        <v>185</v>
      </c>
      <c r="L416" s="14" t="s">
        <v>103</v>
      </c>
      <c r="M416" s="14" t="s">
        <v>121</v>
      </c>
      <c r="N416" s="14">
        <v>2021</v>
      </c>
      <c r="O416" s="14">
        <v>1</v>
      </c>
      <c r="P416" s="14" t="s">
        <v>105</v>
      </c>
      <c r="Q416" s="14">
        <v>1</v>
      </c>
      <c r="R416" s="14">
        <v>0</v>
      </c>
      <c r="S416" s="17" t="s">
        <v>54</v>
      </c>
      <c r="T416" s="18">
        <v>0</v>
      </c>
      <c r="U416" s="37">
        <v>30</v>
      </c>
      <c r="V416" s="19">
        <v>1</v>
      </c>
      <c r="W416" s="14">
        <v>0</v>
      </c>
      <c r="X416" s="14">
        <v>26</v>
      </c>
      <c r="Y416" s="14">
        <v>26</v>
      </c>
      <c r="Z416" s="14">
        <v>0</v>
      </c>
      <c r="AA416" s="14">
        <f>Tabla13[[#This Row],[CheckList App]]+Tabla13[[#This Row],[CheckList Fisc]]</f>
        <v>26</v>
      </c>
      <c r="AB416" s="19">
        <f t="shared" si="6"/>
        <v>1</v>
      </c>
      <c r="AC416" s="14">
        <v>0</v>
      </c>
      <c r="AD416" s="14" t="s">
        <v>70</v>
      </c>
      <c r="AE416" s="15" t="str">
        <f>IFERROR((VLOOKUP(Tabla13[[#This Row],[ID]],[1]!Mtto_Pesv[[#Headers],[#Data],[Placa]:[Rutina]],2,FALSE)),"-")</f>
        <v>-</v>
      </c>
      <c r="AF416" s="14">
        <v>0</v>
      </c>
      <c r="AG416" s="20">
        <f>IFERROR((VLOOKUP(Tabla13[[#This Row],[ID]],[1]!Mtto_Pesv[[#Headers],[#Data],[Placa]:[Rutina]],3,FALSE)),0)</f>
        <v>0</v>
      </c>
      <c r="AH416" s="20">
        <f>IFERROR((VLOOKUP(Tabla13[[#This Row],[ID]],[1]!Mtto_Pesv[[#Headers],[#Data],[Placa]:[Rutina]],7,FALSE)),0)</f>
        <v>0</v>
      </c>
      <c r="AI416" s="20">
        <f>IFERROR((VLOOKUP(Tabla13[[#This Row],[ID]],[1]!Mtto_Pesv[[#Headers],[#Data],[Placa]:[Rutina]],8,FALSE)),0)</f>
        <v>0</v>
      </c>
      <c r="AJ416" s="20" t="str">
        <f>IFERROR((VLOOKUP(Tabla13[[#This Row],[ID]],[1]!Mtto_Pesv[[#Headers],[#Data],[Placa]:[Rutina]],9,FALSE)),"-")</f>
        <v>-</v>
      </c>
      <c r="AK416" s="20">
        <f>IFERROR((VLOOKUP(Tabla13[[#This Row],[ID]],[1]!Mtto_Pesv[[#Headers],[#Data],[Placa]:[Rutina]],10,FALSE)),0)</f>
        <v>0</v>
      </c>
      <c r="AL416" s="20">
        <f>IF(Tabla13[[#This Row],[Km Anterior]]=0,0,Tabla13[[#This Row],[Km Ejecut]]-Tabla13[[#This Row],[Km Anterior]])</f>
        <v>0</v>
      </c>
      <c r="AM416" s="20">
        <f>IFERROR((VLOOKUP(Tabla13[[#This Row],[ID]],[1]!Mtto_Pesv[[#Headers],[#Data],[Placa]:[Rutina]],4,FALSE)),0)</f>
        <v>0</v>
      </c>
      <c r="AN416" s="21">
        <f>IFERROR((VLOOKUP(Tabla13[[#This Row],[ID]],[1]!Mtto_Pesv[[#Headers],[#Data],[Placa]:[Rutina]],5,FALSE)),0)</f>
        <v>0</v>
      </c>
      <c r="AO416" s="21">
        <f>+Tabla13[[#This Row],[Km Fin]]-Tabla13[[#This Row],[Km Ini]]</f>
        <v>0</v>
      </c>
      <c r="AP416" s="20">
        <f>IFERROR((VLOOKUP(Tabla13[[#This Row],[ID]],[1]!Estilo_Conduccion[[#All],[Placa]:[Puntuacion]],15,FALSE)),0)</f>
        <v>63.200000000000038</v>
      </c>
      <c r="AQ416" s="15" t="s">
        <v>1320</v>
      </c>
      <c r="AR416" s="15" t="s">
        <v>1321</v>
      </c>
      <c r="AS416" s="20">
        <v>2350</v>
      </c>
      <c r="AT416" s="21">
        <v>10254</v>
      </c>
      <c r="AU416" s="21">
        <f>(Tabla13[[#This Row],[Cap Vh]]*$AX$2)*0.56</f>
        <v>0</v>
      </c>
      <c r="AV416" s="36" t="e">
        <f>(Tabla13[[#This Row],[Cap Util (kg)]]/(Tabla13[[#This Row],[Cap Inst (Kg)]]))</f>
        <v>#DIV/0!</v>
      </c>
    </row>
    <row r="417" spans="1:48" x14ac:dyDescent="0.25">
      <c r="A417" s="13" t="s">
        <v>1068</v>
      </c>
      <c r="B417" s="14" t="s">
        <v>607</v>
      </c>
      <c r="C417" s="14" t="s">
        <v>564</v>
      </c>
      <c r="D417" s="14" t="s">
        <v>565</v>
      </c>
      <c r="E417" s="14" t="s">
        <v>588</v>
      </c>
      <c r="F417" s="14" t="s">
        <v>64</v>
      </c>
      <c r="G417" s="15" t="s">
        <v>182</v>
      </c>
      <c r="H417" s="13" t="s">
        <v>183</v>
      </c>
      <c r="I417" s="14" t="s">
        <v>49</v>
      </c>
      <c r="J417" s="14">
        <v>901253015</v>
      </c>
      <c r="K417" s="14" t="s">
        <v>185</v>
      </c>
      <c r="L417" s="14" t="s">
        <v>103</v>
      </c>
      <c r="M417" s="14" t="s">
        <v>121</v>
      </c>
      <c r="N417" s="14">
        <v>2021</v>
      </c>
      <c r="O417" s="14">
        <v>1</v>
      </c>
      <c r="P417" s="14" t="s">
        <v>105</v>
      </c>
      <c r="Q417" s="14">
        <v>1</v>
      </c>
      <c r="R417" s="14">
        <v>0</v>
      </c>
      <c r="S417" s="17" t="s">
        <v>54</v>
      </c>
      <c r="T417" s="18">
        <v>0</v>
      </c>
      <c r="U417" s="37">
        <v>30</v>
      </c>
      <c r="V417" s="19">
        <v>1</v>
      </c>
      <c r="W417" s="14">
        <v>0</v>
      </c>
      <c r="X417" s="14">
        <v>14</v>
      </c>
      <c r="Y417" s="14">
        <v>14</v>
      </c>
      <c r="Z417" s="14">
        <v>0</v>
      </c>
      <c r="AA417" s="14">
        <f>Tabla13[[#This Row],[CheckList App]]+Tabla13[[#This Row],[CheckList Fisc]]</f>
        <v>14</v>
      </c>
      <c r="AB417" s="19">
        <f t="shared" si="6"/>
        <v>1</v>
      </c>
      <c r="AC417" s="14">
        <v>0</v>
      </c>
      <c r="AD417" s="14" t="s">
        <v>70</v>
      </c>
      <c r="AE417" s="15" t="str">
        <f>IFERROR((VLOOKUP(Tabla13[[#This Row],[ID]],[1]!Mtto_Pesv[[#Headers],[#Data],[Placa]:[Rutina]],2,FALSE)),"-")</f>
        <v>-</v>
      </c>
      <c r="AF417" s="14">
        <v>0</v>
      </c>
      <c r="AG417" s="20">
        <f>IFERROR((VLOOKUP(Tabla13[[#This Row],[ID]],[1]!Mtto_Pesv[[#Headers],[#Data],[Placa]:[Rutina]],3,FALSE)),0)</f>
        <v>0</v>
      </c>
      <c r="AH417" s="20">
        <f>IFERROR((VLOOKUP(Tabla13[[#This Row],[ID]],[1]!Mtto_Pesv[[#Headers],[#Data],[Placa]:[Rutina]],7,FALSE)),0)</f>
        <v>0</v>
      </c>
      <c r="AI417" s="20">
        <f>IFERROR((VLOOKUP(Tabla13[[#This Row],[ID]],[1]!Mtto_Pesv[[#Headers],[#Data],[Placa]:[Rutina]],8,FALSE)),0)</f>
        <v>0</v>
      </c>
      <c r="AJ417" s="20" t="str">
        <f>IFERROR((VLOOKUP(Tabla13[[#This Row],[ID]],[1]!Mtto_Pesv[[#Headers],[#Data],[Placa]:[Rutina]],9,FALSE)),"-")</f>
        <v>-</v>
      </c>
      <c r="AK417" s="20">
        <f>IFERROR((VLOOKUP(Tabla13[[#This Row],[ID]],[1]!Mtto_Pesv[[#Headers],[#Data],[Placa]:[Rutina]],10,FALSE)),0)</f>
        <v>0</v>
      </c>
      <c r="AL417" s="20">
        <f>IF(Tabla13[[#This Row],[Km Anterior]]=0,0,Tabla13[[#This Row],[Km Ejecut]]-Tabla13[[#This Row],[Km Anterior]])</f>
        <v>0</v>
      </c>
      <c r="AM417" s="20">
        <f>IFERROR((VLOOKUP(Tabla13[[#This Row],[ID]],[1]!Mtto_Pesv[[#Headers],[#Data],[Placa]:[Rutina]],4,FALSE)),0)</f>
        <v>0</v>
      </c>
      <c r="AN417" s="21">
        <f>IFERROR((VLOOKUP(Tabla13[[#This Row],[ID]],[1]!Mtto_Pesv[[#Headers],[#Data],[Placa]:[Rutina]],5,FALSE)),0)</f>
        <v>0</v>
      </c>
      <c r="AO417" s="21">
        <f>+Tabla13[[#This Row],[Km Fin]]-Tabla13[[#This Row],[Km Ini]]</f>
        <v>0</v>
      </c>
      <c r="AP417" s="20">
        <f>IFERROR((VLOOKUP(Tabla13[[#This Row],[ID]],[1]!Estilo_Conduccion[[#All],[Placa]:[Puntuacion]],15,FALSE)),0)</f>
        <v>232.09999999999997</v>
      </c>
      <c r="AQ417" s="15" t="s">
        <v>54</v>
      </c>
      <c r="AR417" s="15" t="s">
        <v>1322</v>
      </c>
      <c r="AS417" s="20">
        <v>2350</v>
      </c>
      <c r="AT417" s="21">
        <v>0</v>
      </c>
      <c r="AU417" s="21">
        <f>(Tabla13[[#This Row],[Cap Vh]]*$AX$2)*0.56</f>
        <v>0</v>
      </c>
      <c r="AV417" s="36" t="e">
        <f>(Tabla13[[#This Row],[Cap Util (kg)]]/(Tabla13[[#This Row],[Cap Inst (Kg)]]))</f>
        <v>#DIV/0!</v>
      </c>
    </row>
    <row r="418" spans="1:48" x14ac:dyDescent="0.25">
      <c r="A418" s="13" t="s">
        <v>1068</v>
      </c>
      <c r="B418" s="14" t="s">
        <v>608</v>
      </c>
      <c r="C418" s="14" t="s">
        <v>564</v>
      </c>
      <c r="D418" s="14" t="s">
        <v>565</v>
      </c>
      <c r="E418" s="14" t="s">
        <v>575</v>
      </c>
      <c r="F418" s="14" t="s">
        <v>64</v>
      </c>
      <c r="G418" s="15" t="s">
        <v>182</v>
      </c>
      <c r="H418" s="13" t="s">
        <v>183</v>
      </c>
      <c r="I418" s="14" t="s">
        <v>49</v>
      </c>
      <c r="J418" s="14">
        <v>901253015</v>
      </c>
      <c r="K418" s="14" t="s">
        <v>185</v>
      </c>
      <c r="L418" s="14" t="s">
        <v>103</v>
      </c>
      <c r="M418" s="14" t="s">
        <v>104</v>
      </c>
      <c r="N418" s="14">
        <v>2022</v>
      </c>
      <c r="O418" s="14">
        <v>1</v>
      </c>
      <c r="P418" s="14" t="s">
        <v>105</v>
      </c>
      <c r="Q418" s="14">
        <v>1</v>
      </c>
      <c r="R418" s="14">
        <v>1</v>
      </c>
      <c r="S418" s="17">
        <v>44832.483622685177</v>
      </c>
      <c r="T418" s="18">
        <v>80</v>
      </c>
      <c r="U418" s="37">
        <v>30</v>
      </c>
      <c r="V418" s="19">
        <v>1</v>
      </c>
      <c r="W418" s="14">
        <v>0</v>
      </c>
      <c r="X418" s="14">
        <v>25</v>
      </c>
      <c r="Y418" s="14">
        <v>25</v>
      </c>
      <c r="Z418" s="14">
        <v>0</v>
      </c>
      <c r="AA418" s="14">
        <f>Tabla13[[#This Row],[CheckList App]]+Tabla13[[#This Row],[CheckList Fisc]]</f>
        <v>25</v>
      </c>
      <c r="AB418" s="19">
        <f t="shared" si="6"/>
        <v>1</v>
      </c>
      <c r="AC418" s="14">
        <v>0</v>
      </c>
      <c r="AD418" s="14" t="s">
        <v>54</v>
      </c>
      <c r="AE418" s="15" t="str">
        <f>IFERROR((VLOOKUP(Tabla13[[#This Row],[ID]],[1]!Mtto_Pesv[[#Headers],[#Data],[Placa]:[Rutina]],2,FALSE)),"-")</f>
        <v>-</v>
      </c>
      <c r="AF418" s="14">
        <v>0</v>
      </c>
      <c r="AG418" s="20">
        <f>IFERROR((VLOOKUP(Tabla13[[#This Row],[ID]],[1]!Mtto_Pesv[[#Headers],[#Data],[Placa]:[Rutina]],3,FALSE)),0)</f>
        <v>0</v>
      </c>
      <c r="AH418" s="20">
        <f>IFERROR((VLOOKUP(Tabla13[[#This Row],[ID]],[1]!Mtto_Pesv[[#Headers],[#Data],[Placa]:[Rutina]],7,FALSE)),0)</f>
        <v>0</v>
      </c>
      <c r="AI418" s="20">
        <f>IFERROR((VLOOKUP(Tabla13[[#This Row],[ID]],[1]!Mtto_Pesv[[#Headers],[#Data],[Placa]:[Rutina]],8,FALSE)),0)</f>
        <v>0</v>
      </c>
      <c r="AJ418" s="20" t="str">
        <f>IFERROR((VLOOKUP(Tabla13[[#This Row],[ID]],[1]!Mtto_Pesv[[#Headers],[#Data],[Placa]:[Rutina]],9,FALSE)),"-")</f>
        <v>-</v>
      </c>
      <c r="AK418" s="20">
        <f>IFERROR((VLOOKUP(Tabla13[[#This Row],[ID]],[1]!Mtto_Pesv[[#Headers],[#Data],[Placa]:[Rutina]],10,FALSE)),0)</f>
        <v>0</v>
      </c>
      <c r="AL418" s="20">
        <f>IF(Tabla13[[#This Row],[Km Anterior]]=0,0,Tabla13[[#This Row],[Km Ejecut]]-Tabla13[[#This Row],[Km Anterior]])</f>
        <v>0</v>
      </c>
      <c r="AM418" s="20">
        <f>IFERROR((VLOOKUP(Tabla13[[#This Row],[ID]],[1]!Mtto_Pesv[[#Headers],[#Data],[Placa]:[Rutina]],4,FALSE)),0)</f>
        <v>0</v>
      </c>
      <c r="AN418" s="21">
        <f>IFERROR((VLOOKUP(Tabla13[[#This Row],[ID]],[1]!Mtto_Pesv[[#Headers],[#Data],[Placa]:[Rutina]],5,FALSE)),0)</f>
        <v>0</v>
      </c>
      <c r="AO418" s="21">
        <f>+Tabla13[[#This Row],[Km Fin]]-Tabla13[[#This Row],[Km Ini]]</f>
        <v>0</v>
      </c>
      <c r="AP418" s="20">
        <f>IFERROR((VLOOKUP(Tabla13[[#This Row],[ID]],[1]!Estilo_Conduccion[[#All],[Placa]:[Puntuacion]],15,FALSE)),0)</f>
        <v>9583.2000000000007</v>
      </c>
      <c r="AQ418" s="15" t="s">
        <v>54</v>
      </c>
      <c r="AR418" s="15" t="s">
        <v>1323</v>
      </c>
      <c r="AS418" s="20">
        <v>1650</v>
      </c>
      <c r="AT418" s="21">
        <v>0</v>
      </c>
      <c r="AU418" s="21">
        <f>(Tabla13[[#This Row],[Cap Vh]]*$AX$2)*0.56</f>
        <v>0</v>
      </c>
      <c r="AV418" s="36" t="e">
        <f>(Tabla13[[#This Row],[Cap Util (kg)]]/(Tabla13[[#This Row],[Cap Inst (Kg)]]))</f>
        <v>#DIV/0!</v>
      </c>
    </row>
    <row r="419" spans="1:48" x14ac:dyDescent="0.25">
      <c r="A419" s="13" t="s">
        <v>1068</v>
      </c>
      <c r="B419" s="14" t="s">
        <v>609</v>
      </c>
      <c r="C419" s="14" t="s">
        <v>564</v>
      </c>
      <c r="D419" s="14" t="s">
        <v>565</v>
      </c>
      <c r="E419" s="14" t="s">
        <v>569</v>
      </c>
      <c r="F419" s="14" t="s">
        <v>64</v>
      </c>
      <c r="G419" s="15" t="s">
        <v>182</v>
      </c>
      <c r="H419" s="13" t="s">
        <v>183</v>
      </c>
      <c r="I419" s="14" t="s">
        <v>49</v>
      </c>
      <c r="J419" s="14">
        <v>901253015</v>
      </c>
      <c r="K419" s="14" t="s">
        <v>185</v>
      </c>
      <c r="L419" s="14" t="s">
        <v>103</v>
      </c>
      <c r="M419" s="14" t="s">
        <v>104</v>
      </c>
      <c r="N419" s="14">
        <v>2022</v>
      </c>
      <c r="O419" s="14">
        <v>1</v>
      </c>
      <c r="P419" s="14" t="s">
        <v>105</v>
      </c>
      <c r="Q419" s="14">
        <v>1</v>
      </c>
      <c r="R419" s="14">
        <v>0</v>
      </c>
      <c r="S419" s="17" t="s">
        <v>54</v>
      </c>
      <c r="T419" s="18">
        <v>0</v>
      </c>
      <c r="U419" s="37">
        <v>30</v>
      </c>
      <c r="V419" s="19">
        <v>1</v>
      </c>
      <c r="W419" s="14">
        <v>0</v>
      </c>
      <c r="X419" s="14">
        <v>27</v>
      </c>
      <c r="Y419" s="14">
        <v>26</v>
      </c>
      <c r="Z419" s="14">
        <v>0</v>
      </c>
      <c r="AA419" s="14">
        <f>Tabla13[[#This Row],[CheckList App]]+Tabla13[[#This Row],[CheckList Fisc]]</f>
        <v>26</v>
      </c>
      <c r="AB419" s="19">
        <f t="shared" si="6"/>
        <v>0.96296296296296291</v>
      </c>
      <c r="AC419" s="14">
        <v>0</v>
      </c>
      <c r="AD419" s="14" t="s">
        <v>54</v>
      </c>
      <c r="AE419" s="15" t="str">
        <f>IFERROR((VLOOKUP(Tabla13[[#This Row],[ID]],[1]!Mtto_Pesv[[#Headers],[#Data],[Placa]:[Rutina]],2,FALSE)),"-")</f>
        <v>-</v>
      </c>
      <c r="AF419" s="14">
        <v>0</v>
      </c>
      <c r="AG419" s="20">
        <f>IFERROR((VLOOKUP(Tabla13[[#This Row],[ID]],[1]!Mtto_Pesv[[#Headers],[#Data],[Placa]:[Rutina]],3,FALSE)),0)</f>
        <v>0</v>
      </c>
      <c r="AH419" s="20">
        <f>IFERROR((VLOOKUP(Tabla13[[#This Row],[ID]],[1]!Mtto_Pesv[[#Headers],[#Data],[Placa]:[Rutina]],7,FALSE)),0)</f>
        <v>0</v>
      </c>
      <c r="AI419" s="20">
        <f>IFERROR((VLOOKUP(Tabla13[[#This Row],[ID]],[1]!Mtto_Pesv[[#Headers],[#Data],[Placa]:[Rutina]],8,FALSE)),0)</f>
        <v>0</v>
      </c>
      <c r="AJ419" s="20" t="str">
        <f>IFERROR((VLOOKUP(Tabla13[[#This Row],[ID]],[1]!Mtto_Pesv[[#Headers],[#Data],[Placa]:[Rutina]],9,FALSE)),"-")</f>
        <v>-</v>
      </c>
      <c r="AK419" s="20">
        <f>IFERROR((VLOOKUP(Tabla13[[#This Row],[ID]],[1]!Mtto_Pesv[[#Headers],[#Data],[Placa]:[Rutina]],10,FALSE)),0)</f>
        <v>0</v>
      </c>
      <c r="AL419" s="20">
        <f>IF(Tabla13[[#This Row],[Km Anterior]]=0,0,Tabla13[[#This Row],[Km Ejecut]]-Tabla13[[#This Row],[Km Anterior]])</f>
        <v>0</v>
      </c>
      <c r="AM419" s="20">
        <f>IFERROR((VLOOKUP(Tabla13[[#This Row],[ID]],[1]!Mtto_Pesv[[#Headers],[#Data],[Placa]:[Rutina]],4,FALSE)),0)</f>
        <v>0</v>
      </c>
      <c r="AN419" s="21">
        <f>IFERROR((VLOOKUP(Tabla13[[#This Row],[ID]],[1]!Mtto_Pesv[[#Headers],[#Data],[Placa]:[Rutina]],5,FALSE)),0)</f>
        <v>0</v>
      </c>
      <c r="AO419" s="21">
        <f>+Tabla13[[#This Row],[Km Fin]]-Tabla13[[#This Row],[Km Ini]]</f>
        <v>0</v>
      </c>
      <c r="AP419" s="20">
        <f>IFERROR((VLOOKUP(Tabla13[[#This Row],[ID]],[1]!Estilo_Conduccion[[#All],[Placa]:[Puntuacion]],15,FALSE)),0)</f>
        <v>12085.5</v>
      </c>
      <c r="AQ419" s="15" t="s">
        <v>54</v>
      </c>
      <c r="AR419" s="15" t="s">
        <v>1324</v>
      </c>
      <c r="AS419" s="20">
        <v>1650</v>
      </c>
      <c r="AT419" s="21">
        <v>0</v>
      </c>
      <c r="AU419" s="21">
        <f>(Tabla13[[#This Row],[Cap Vh]]*$AX$2)*0.56</f>
        <v>0</v>
      </c>
      <c r="AV419" s="36" t="e">
        <f>(Tabla13[[#This Row],[Cap Util (kg)]]/(Tabla13[[#This Row],[Cap Inst (Kg)]]))</f>
        <v>#DIV/0!</v>
      </c>
    </row>
    <row r="420" spans="1:48" x14ac:dyDescent="0.25">
      <c r="A420" s="13" t="s">
        <v>1068</v>
      </c>
      <c r="B420" s="14" t="s">
        <v>610</v>
      </c>
      <c r="C420" s="14" t="s">
        <v>564</v>
      </c>
      <c r="D420" s="14" t="s">
        <v>565</v>
      </c>
      <c r="E420" s="14" t="s">
        <v>566</v>
      </c>
      <c r="F420" s="14" t="s">
        <v>64</v>
      </c>
      <c r="G420" s="15" t="s">
        <v>182</v>
      </c>
      <c r="H420" s="13" t="s">
        <v>199</v>
      </c>
      <c r="I420" s="14" t="s">
        <v>49</v>
      </c>
      <c r="J420" s="14">
        <v>901253015</v>
      </c>
      <c r="K420" s="14" t="s">
        <v>185</v>
      </c>
      <c r="L420" s="14" t="s">
        <v>103</v>
      </c>
      <c r="M420" s="14" t="s">
        <v>104</v>
      </c>
      <c r="N420" s="14">
        <v>2022</v>
      </c>
      <c r="O420" s="14">
        <v>1</v>
      </c>
      <c r="P420" s="14" t="s">
        <v>105</v>
      </c>
      <c r="Q420" s="14">
        <v>1</v>
      </c>
      <c r="R420" s="14">
        <v>0</v>
      </c>
      <c r="S420" s="17" t="s">
        <v>54</v>
      </c>
      <c r="T420" s="18">
        <v>0</v>
      </c>
      <c r="U420" s="37">
        <v>21</v>
      </c>
      <c r="V420" s="19">
        <v>0.7</v>
      </c>
      <c r="W420" s="14">
        <v>0</v>
      </c>
      <c r="X420" s="14">
        <v>1</v>
      </c>
      <c r="Y420" s="14">
        <v>0</v>
      </c>
      <c r="Z420" s="14">
        <v>0</v>
      </c>
      <c r="AA420" s="14">
        <f>Tabla13[[#This Row],[CheckList App]]+Tabla13[[#This Row],[CheckList Fisc]]</f>
        <v>0</v>
      </c>
      <c r="AB420" s="19">
        <f t="shared" si="6"/>
        <v>0</v>
      </c>
      <c r="AC420" s="14">
        <v>0</v>
      </c>
      <c r="AD420" s="14" t="s">
        <v>54</v>
      </c>
      <c r="AE420" s="15" t="str">
        <f>IFERROR((VLOOKUP(Tabla13[[#This Row],[ID]],[1]!Mtto_Pesv[[#Headers],[#Data],[Placa]:[Rutina]],2,FALSE)),"-")</f>
        <v>-</v>
      </c>
      <c r="AF420" s="14">
        <v>0</v>
      </c>
      <c r="AG420" s="20">
        <f>IFERROR((VLOOKUP(Tabla13[[#This Row],[ID]],[1]!Mtto_Pesv[[#Headers],[#Data],[Placa]:[Rutina]],3,FALSE)),0)</f>
        <v>0</v>
      </c>
      <c r="AH420" s="20">
        <f>IFERROR((VLOOKUP(Tabla13[[#This Row],[ID]],[1]!Mtto_Pesv[[#Headers],[#Data],[Placa]:[Rutina]],7,FALSE)),0)</f>
        <v>0</v>
      </c>
      <c r="AI420" s="20">
        <f>IFERROR((VLOOKUP(Tabla13[[#This Row],[ID]],[1]!Mtto_Pesv[[#Headers],[#Data],[Placa]:[Rutina]],8,FALSE)),0)</f>
        <v>0</v>
      </c>
      <c r="AJ420" s="20" t="str">
        <f>IFERROR((VLOOKUP(Tabla13[[#This Row],[ID]],[1]!Mtto_Pesv[[#Headers],[#Data],[Placa]:[Rutina]],9,FALSE)),"-")</f>
        <v>-</v>
      </c>
      <c r="AK420" s="20">
        <f>IFERROR((VLOOKUP(Tabla13[[#This Row],[ID]],[1]!Mtto_Pesv[[#Headers],[#Data],[Placa]:[Rutina]],10,FALSE)),0)</f>
        <v>0</v>
      </c>
      <c r="AL420" s="20">
        <f>IF(Tabla13[[#This Row],[Km Anterior]]=0,0,Tabla13[[#This Row],[Km Ejecut]]-Tabla13[[#This Row],[Km Anterior]])</f>
        <v>0</v>
      </c>
      <c r="AM420" s="20">
        <f>IFERROR((VLOOKUP(Tabla13[[#This Row],[ID]],[1]!Mtto_Pesv[[#Headers],[#Data],[Placa]:[Rutina]],4,FALSE)),0)</f>
        <v>0</v>
      </c>
      <c r="AN420" s="21">
        <f>IFERROR((VLOOKUP(Tabla13[[#This Row],[ID]],[1]!Mtto_Pesv[[#Headers],[#Data],[Placa]:[Rutina]],5,FALSE)),0)</f>
        <v>0</v>
      </c>
      <c r="AO420" s="21">
        <f>+Tabla13[[#This Row],[Km Fin]]-Tabla13[[#This Row],[Km Ini]]</f>
        <v>0</v>
      </c>
      <c r="AP420" s="20">
        <f>IFERROR((VLOOKUP(Tabla13[[#This Row],[ID]],[1]!Estilo_Conduccion[[#All],[Placa]:[Puntuacion]],15,FALSE)),0)</f>
        <v>0</v>
      </c>
      <c r="AQ420" s="15" t="s">
        <v>1325</v>
      </c>
      <c r="AR420" s="15" t="s">
        <v>1326</v>
      </c>
      <c r="AS420" s="20">
        <v>1650</v>
      </c>
      <c r="AT420" s="21">
        <v>8856</v>
      </c>
      <c r="AU420" s="21">
        <f>(Tabla13[[#This Row],[Cap Vh]]*$AX$2)*0.56</f>
        <v>0</v>
      </c>
      <c r="AV420" s="36" t="e">
        <f>(Tabla13[[#This Row],[Cap Util (kg)]]/(Tabla13[[#This Row],[Cap Inst (Kg)]]))</f>
        <v>#DIV/0!</v>
      </c>
    </row>
    <row r="421" spans="1:48" x14ac:dyDescent="0.25">
      <c r="A421" s="13" t="s">
        <v>1068</v>
      </c>
      <c r="B421" s="14" t="s">
        <v>611</v>
      </c>
      <c r="C421" s="14" t="s">
        <v>564</v>
      </c>
      <c r="D421" s="14" t="s">
        <v>565</v>
      </c>
      <c r="E421" s="14" t="s">
        <v>580</v>
      </c>
      <c r="F421" s="14" t="s">
        <v>64</v>
      </c>
      <c r="G421" s="15" t="s">
        <v>182</v>
      </c>
      <c r="H421" s="13" t="s">
        <v>183</v>
      </c>
      <c r="I421" s="14" t="s">
        <v>49</v>
      </c>
      <c r="J421" s="14">
        <v>901253015</v>
      </c>
      <c r="K421" s="14" t="s">
        <v>185</v>
      </c>
      <c r="L421" s="14" t="s">
        <v>103</v>
      </c>
      <c r="M421" s="14" t="s">
        <v>121</v>
      </c>
      <c r="N421" s="14">
        <v>2022</v>
      </c>
      <c r="O421" s="14">
        <v>1</v>
      </c>
      <c r="P421" s="14" t="s">
        <v>105</v>
      </c>
      <c r="Q421" s="14">
        <v>1</v>
      </c>
      <c r="R421" s="14">
        <v>1</v>
      </c>
      <c r="S421" s="17">
        <v>44825.489918981482</v>
      </c>
      <c r="T421" s="18">
        <v>47.804000000000002</v>
      </c>
      <c r="U421" s="37">
        <v>30</v>
      </c>
      <c r="V421" s="19">
        <v>1</v>
      </c>
      <c r="W421" s="14">
        <v>0</v>
      </c>
      <c r="X421" s="14">
        <v>25</v>
      </c>
      <c r="Y421" s="14">
        <v>20</v>
      </c>
      <c r="Z421" s="14">
        <v>0</v>
      </c>
      <c r="AA421" s="14">
        <f>Tabla13[[#This Row],[CheckList App]]+Tabla13[[#This Row],[CheckList Fisc]]</f>
        <v>20</v>
      </c>
      <c r="AB421" s="19">
        <f t="shared" si="6"/>
        <v>0.8</v>
      </c>
      <c r="AC421" s="14">
        <v>0</v>
      </c>
      <c r="AD421" s="14" t="s">
        <v>54</v>
      </c>
      <c r="AE421" s="15" t="str">
        <f>IFERROR((VLOOKUP(Tabla13[[#This Row],[ID]],[1]!Mtto_Pesv[[#Headers],[#Data],[Placa]:[Rutina]],2,FALSE)),"-")</f>
        <v>-</v>
      </c>
      <c r="AF421" s="14">
        <v>0</v>
      </c>
      <c r="AG421" s="20">
        <f>IFERROR((VLOOKUP(Tabla13[[#This Row],[ID]],[1]!Mtto_Pesv[[#Headers],[#Data],[Placa]:[Rutina]],3,FALSE)),0)</f>
        <v>0</v>
      </c>
      <c r="AH421" s="20">
        <f>IFERROR((VLOOKUP(Tabla13[[#This Row],[ID]],[1]!Mtto_Pesv[[#Headers],[#Data],[Placa]:[Rutina]],7,FALSE)),0)</f>
        <v>0</v>
      </c>
      <c r="AI421" s="20">
        <f>IFERROR((VLOOKUP(Tabla13[[#This Row],[ID]],[1]!Mtto_Pesv[[#Headers],[#Data],[Placa]:[Rutina]],8,FALSE)),0)</f>
        <v>0</v>
      </c>
      <c r="AJ421" s="20" t="str">
        <f>IFERROR((VLOOKUP(Tabla13[[#This Row],[ID]],[1]!Mtto_Pesv[[#Headers],[#Data],[Placa]:[Rutina]],9,FALSE)),"-")</f>
        <v>-</v>
      </c>
      <c r="AK421" s="20">
        <f>IFERROR((VLOOKUP(Tabla13[[#This Row],[ID]],[1]!Mtto_Pesv[[#Headers],[#Data],[Placa]:[Rutina]],10,FALSE)),0)</f>
        <v>0</v>
      </c>
      <c r="AL421" s="20">
        <f>IF(Tabla13[[#This Row],[Km Anterior]]=0,0,Tabla13[[#This Row],[Km Ejecut]]-Tabla13[[#This Row],[Km Anterior]])</f>
        <v>0</v>
      </c>
      <c r="AM421" s="20">
        <f>IFERROR((VLOOKUP(Tabla13[[#This Row],[ID]],[1]!Mtto_Pesv[[#Headers],[#Data],[Placa]:[Rutina]],4,FALSE)),0)</f>
        <v>0</v>
      </c>
      <c r="AN421" s="21">
        <f>IFERROR((VLOOKUP(Tabla13[[#This Row],[ID]],[1]!Mtto_Pesv[[#Headers],[#Data],[Placa]:[Rutina]],5,FALSE)),0)</f>
        <v>0</v>
      </c>
      <c r="AO421" s="21">
        <f>+Tabla13[[#This Row],[Km Fin]]-Tabla13[[#This Row],[Km Ini]]</f>
        <v>0</v>
      </c>
      <c r="AP421" s="20">
        <f>IFERROR((VLOOKUP(Tabla13[[#This Row],[ID]],[1]!Estilo_Conduccion[[#All],[Placa]:[Puntuacion]],15,FALSE)),0)</f>
        <v>1877.3999999999999</v>
      </c>
      <c r="AQ421" s="15" t="s">
        <v>54</v>
      </c>
      <c r="AR421" s="15" t="s">
        <v>1318</v>
      </c>
      <c r="AS421" s="20">
        <v>2350</v>
      </c>
      <c r="AT421" s="21">
        <v>0</v>
      </c>
      <c r="AU421" s="21">
        <f>(Tabla13[[#This Row],[Cap Vh]]*$AX$2)*0.56</f>
        <v>0</v>
      </c>
      <c r="AV421" s="36" t="e">
        <f>(Tabla13[[#This Row],[Cap Util (kg)]]/(Tabla13[[#This Row],[Cap Inst (Kg)]]))</f>
        <v>#DIV/0!</v>
      </c>
    </row>
    <row r="422" spans="1:48" x14ac:dyDescent="0.25">
      <c r="A422" s="13" t="s">
        <v>1068</v>
      </c>
      <c r="B422" s="14" t="s">
        <v>612</v>
      </c>
      <c r="C422" s="14" t="s">
        <v>564</v>
      </c>
      <c r="D422" s="14" t="s">
        <v>565</v>
      </c>
      <c r="E422" s="14" t="s">
        <v>575</v>
      </c>
      <c r="F422" s="14" t="s">
        <v>64</v>
      </c>
      <c r="G422" s="15" t="s">
        <v>182</v>
      </c>
      <c r="H422" s="13" t="s">
        <v>183</v>
      </c>
      <c r="I422" s="14" t="s">
        <v>49</v>
      </c>
      <c r="J422" s="14">
        <v>901253015</v>
      </c>
      <c r="K422" s="14" t="s">
        <v>185</v>
      </c>
      <c r="L422" s="14" t="s">
        <v>103</v>
      </c>
      <c r="M422" s="14" t="s">
        <v>121</v>
      </c>
      <c r="N422" s="14">
        <v>2022</v>
      </c>
      <c r="O422" s="14">
        <v>1</v>
      </c>
      <c r="P422" s="14" t="s">
        <v>105</v>
      </c>
      <c r="Q422" s="14">
        <v>1</v>
      </c>
      <c r="R422" s="14">
        <v>0</v>
      </c>
      <c r="S422" s="17" t="s">
        <v>54</v>
      </c>
      <c r="T422" s="18">
        <v>0</v>
      </c>
      <c r="U422" s="37">
        <v>30</v>
      </c>
      <c r="V422" s="19">
        <v>1</v>
      </c>
      <c r="W422" s="14">
        <v>0</v>
      </c>
      <c r="X422" s="14">
        <v>29</v>
      </c>
      <c r="Y422" s="14">
        <v>29</v>
      </c>
      <c r="Z422" s="14">
        <v>0</v>
      </c>
      <c r="AA422" s="14">
        <f>Tabla13[[#This Row],[CheckList App]]+Tabla13[[#This Row],[CheckList Fisc]]</f>
        <v>29</v>
      </c>
      <c r="AB422" s="19">
        <f t="shared" si="6"/>
        <v>1</v>
      </c>
      <c r="AC422" s="14">
        <v>0</v>
      </c>
      <c r="AD422" s="14" t="s">
        <v>54</v>
      </c>
      <c r="AE422" s="15" t="str">
        <f>IFERROR((VLOOKUP(Tabla13[[#This Row],[ID]],[1]!Mtto_Pesv[[#Headers],[#Data],[Placa]:[Rutina]],2,FALSE)),"-")</f>
        <v>-</v>
      </c>
      <c r="AF422" s="14">
        <v>0</v>
      </c>
      <c r="AG422" s="20">
        <f>IFERROR((VLOOKUP(Tabla13[[#This Row],[ID]],[1]!Mtto_Pesv[[#Headers],[#Data],[Placa]:[Rutina]],3,FALSE)),0)</f>
        <v>0</v>
      </c>
      <c r="AH422" s="20">
        <f>IFERROR((VLOOKUP(Tabla13[[#This Row],[ID]],[1]!Mtto_Pesv[[#Headers],[#Data],[Placa]:[Rutina]],7,FALSE)),0)</f>
        <v>0</v>
      </c>
      <c r="AI422" s="20">
        <f>IFERROR((VLOOKUP(Tabla13[[#This Row],[ID]],[1]!Mtto_Pesv[[#Headers],[#Data],[Placa]:[Rutina]],8,FALSE)),0)</f>
        <v>0</v>
      </c>
      <c r="AJ422" s="20" t="str">
        <f>IFERROR((VLOOKUP(Tabla13[[#This Row],[ID]],[1]!Mtto_Pesv[[#Headers],[#Data],[Placa]:[Rutina]],9,FALSE)),"-")</f>
        <v>-</v>
      </c>
      <c r="AK422" s="20">
        <f>IFERROR((VLOOKUP(Tabla13[[#This Row],[ID]],[1]!Mtto_Pesv[[#Headers],[#Data],[Placa]:[Rutina]],10,FALSE)),0)</f>
        <v>0</v>
      </c>
      <c r="AL422" s="20">
        <f>IF(Tabla13[[#This Row],[Km Anterior]]=0,0,Tabla13[[#This Row],[Km Ejecut]]-Tabla13[[#This Row],[Km Anterior]])</f>
        <v>0</v>
      </c>
      <c r="AM422" s="20">
        <f>IFERROR((VLOOKUP(Tabla13[[#This Row],[ID]],[1]!Mtto_Pesv[[#Headers],[#Data],[Placa]:[Rutina]],4,FALSE)),0)</f>
        <v>0</v>
      </c>
      <c r="AN422" s="21">
        <f>IFERROR((VLOOKUP(Tabla13[[#This Row],[ID]],[1]!Mtto_Pesv[[#Headers],[#Data],[Placa]:[Rutina]],5,FALSE)),0)</f>
        <v>0</v>
      </c>
      <c r="AO422" s="21">
        <f>+Tabla13[[#This Row],[Km Fin]]-Tabla13[[#This Row],[Km Ini]]</f>
        <v>0</v>
      </c>
      <c r="AP422" s="20">
        <f>IFERROR((VLOOKUP(Tabla13[[#This Row],[ID]],[1]!Estilo_Conduccion[[#All],[Placa]:[Puntuacion]],15,FALSE)),0)</f>
        <v>14374</v>
      </c>
      <c r="AQ422" s="15" t="s">
        <v>54</v>
      </c>
      <c r="AR422" s="15" t="s">
        <v>1327</v>
      </c>
      <c r="AS422" s="20">
        <v>2350</v>
      </c>
      <c r="AT422" s="21">
        <v>0</v>
      </c>
      <c r="AU422" s="21">
        <f>(Tabla13[[#This Row],[Cap Vh]]*$AX$2)*0.56</f>
        <v>0</v>
      </c>
      <c r="AV422" s="36" t="e">
        <f>(Tabla13[[#This Row],[Cap Util (kg)]]/(Tabla13[[#This Row],[Cap Inst (Kg)]]))</f>
        <v>#DIV/0!</v>
      </c>
    </row>
    <row r="423" spans="1:48" x14ac:dyDescent="0.25">
      <c r="A423" s="13" t="s">
        <v>1068</v>
      </c>
      <c r="B423" s="14" t="s">
        <v>613</v>
      </c>
      <c r="C423" s="14" t="s">
        <v>564</v>
      </c>
      <c r="D423" s="14" t="s">
        <v>565</v>
      </c>
      <c r="E423" s="14" t="s">
        <v>588</v>
      </c>
      <c r="F423" s="14" t="s">
        <v>64</v>
      </c>
      <c r="G423" s="15" t="s">
        <v>182</v>
      </c>
      <c r="H423" s="13" t="s">
        <v>183</v>
      </c>
      <c r="I423" s="14" t="s">
        <v>49</v>
      </c>
      <c r="J423" s="14">
        <v>901253015</v>
      </c>
      <c r="K423" s="14" t="s">
        <v>185</v>
      </c>
      <c r="L423" s="14" t="s">
        <v>103</v>
      </c>
      <c r="M423" s="14" t="s">
        <v>121</v>
      </c>
      <c r="N423" s="14">
        <v>2022</v>
      </c>
      <c r="O423" s="14">
        <v>1</v>
      </c>
      <c r="P423" s="14" t="s">
        <v>105</v>
      </c>
      <c r="Q423" s="14">
        <v>1</v>
      </c>
      <c r="R423" s="14">
        <v>1</v>
      </c>
      <c r="S423" s="17">
        <v>44834.64398148148</v>
      </c>
      <c r="T423" s="18">
        <v>149.79500000000002</v>
      </c>
      <c r="U423" s="37">
        <v>30</v>
      </c>
      <c r="V423" s="19">
        <v>1</v>
      </c>
      <c r="W423" s="14">
        <v>0</v>
      </c>
      <c r="X423" s="14">
        <v>26</v>
      </c>
      <c r="Y423" s="14">
        <v>26</v>
      </c>
      <c r="Z423" s="14">
        <v>0</v>
      </c>
      <c r="AA423" s="14">
        <f>Tabla13[[#This Row],[CheckList App]]+Tabla13[[#This Row],[CheckList Fisc]]</f>
        <v>26</v>
      </c>
      <c r="AB423" s="19">
        <f t="shared" si="6"/>
        <v>1</v>
      </c>
      <c r="AC423" s="14">
        <v>0</v>
      </c>
      <c r="AD423" s="14" t="s">
        <v>54</v>
      </c>
      <c r="AE423" s="15" t="str">
        <f>IFERROR((VLOOKUP(Tabla13[[#This Row],[ID]],[1]!Mtto_Pesv[[#Headers],[#Data],[Placa]:[Rutina]],2,FALSE)),"-")</f>
        <v>-</v>
      </c>
      <c r="AF423" s="14">
        <v>0</v>
      </c>
      <c r="AG423" s="20">
        <f>IFERROR((VLOOKUP(Tabla13[[#This Row],[ID]],[1]!Mtto_Pesv[[#Headers],[#Data],[Placa]:[Rutina]],3,FALSE)),0)</f>
        <v>0</v>
      </c>
      <c r="AH423" s="20">
        <f>IFERROR((VLOOKUP(Tabla13[[#This Row],[ID]],[1]!Mtto_Pesv[[#Headers],[#Data],[Placa]:[Rutina]],7,FALSE)),0)</f>
        <v>0</v>
      </c>
      <c r="AI423" s="20">
        <f>IFERROR((VLOOKUP(Tabla13[[#This Row],[ID]],[1]!Mtto_Pesv[[#Headers],[#Data],[Placa]:[Rutina]],8,FALSE)),0)</f>
        <v>0</v>
      </c>
      <c r="AJ423" s="20" t="str">
        <f>IFERROR((VLOOKUP(Tabla13[[#This Row],[ID]],[1]!Mtto_Pesv[[#Headers],[#Data],[Placa]:[Rutina]],9,FALSE)),"-")</f>
        <v>-</v>
      </c>
      <c r="AK423" s="20">
        <f>IFERROR((VLOOKUP(Tabla13[[#This Row],[ID]],[1]!Mtto_Pesv[[#Headers],[#Data],[Placa]:[Rutina]],10,FALSE)),0)</f>
        <v>0</v>
      </c>
      <c r="AL423" s="20">
        <f>IF(Tabla13[[#This Row],[Km Anterior]]=0,0,Tabla13[[#This Row],[Km Ejecut]]-Tabla13[[#This Row],[Km Anterior]])</f>
        <v>0</v>
      </c>
      <c r="AM423" s="20">
        <f>IFERROR((VLOOKUP(Tabla13[[#This Row],[ID]],[1]!Mtto_Pesv[[#Headers],[#Data],[Placa]:[Rutina]],4,FALSE)),0)</f>
        <v>0</v>
      </c>
      <c r="AN423" s="21">
        <f>IFERROR((VLOOKUP(Tabla13[[#This Row],[ID]],[1]!Mtto_Pesv[[#Headers],[#Data],[Placa]:[Rutina]],5,FALSE)),0)</f>
        <v>0</v>
      </c>
      <c r="AO423" s="21">
        <f>+Tabla13[[#This Row],[Km Fin]]-Tabla13[[#This Row],[Km Ini]]</f>
        <v>0</v>
      </c>
      <c r="AP423" s="20">
        <f>IFERROR((VLOOKUP(Tabla13[[#This Row],[ID]],[1]!Estilo_Conduccion[[#All],[Placa]:[Puntuacion]],15,FALSE)),0)</f>
        <v>13089.5</v>
      </c>
      <c r="AQ423" s="15" t="s">
        <v>54</v>
      </c>
      <c r="AR423" s="15" t="s">
        <v>1328</v>
      </c>
      <c r="AS423" s="20">
        <v>2350</v>
      </c>
      <c r="AT423" s="21">
        <v>0</v>
      </c>
      <c r="AU423" s="21">
        <f>(Tabla13[[#This Row],[Cap Vh]]*$AX$2)*0.56</f>
        <v>0</v>
      </c>
      <c r="AV423" s="36" t="e">
        <f>(Tabla13[[#This Row],[Cap Util (kg)]]/(Tabla13[[#This Row],[Cap Inst (Kg)]]))</f>
        <v>#DIV/0!</v>
      </c>
    </row>
    <row r="424" spans="1:48" x14ac:dyDescent="0.25">
      <c r="A424" s="13" t="s">
        <v>1068</v>
      </c>
      <c r="B424" s="14" t="s">
        <v>614</v>
      </c>
      <c r="C424" s="14" t="s">
        <v>564</v>
      </c>
      <c r="D424" s="14" t="s">
        <v>565</v>
      </c>
      <c r="E424" s="14" t="s">
        <v>566</v>
      </c>
      <c r="F424" s="14" t="s">
        <v>64</v>
      </c>
      <c r="G424" s="15" t="s">
        <v>128</v>
      </c>
      <c r="H424" s="16" t="s">
        <v>129</v>
      </c>
      <c r="I424" s="14" t="s">
        <v>49</v>
      </c>
      <c r="J424" s="14">
        <v>900335279</v>
      </c>
      <c r="K424" s="14" t="s">
        <v>77</v>
      </c>
      <c r="L424" s="14" t="s">
        <v>103</v>
      </c>
      <c r="M424" s="14" t="s">
        <v>615</v>
      </c>
      <c r="N424" s="14">
        <v>2006</v>
      </c>
      <c r="O424" s="14">
        <v>14</v>
      </c>
      <c r="P424" s="14" t="s">
        <v>173</v>
      </c>
      <c r="Q424" s="14">
        <v>1</v>
      </c>
      <c r="R424" s="14">
        <v>0</v>
      </c>
      <c r="S424" s="17" t="s">
        <v>54</v>
      </c>
      <c r="T424" s="18">
        <v>0</v>
      </c>
      <c r="U424" s="14">
        <v>0</v>
      </c>
      <c r="V424" s="19">
        <v>0</v>
      </c>
      <c r="W424" s="14">
        <v>0</v>
      </c>
      <c r="X424" s="14">
        <v>1</v>
      </c>
      <c r="Y424" s="14">
        <v>0</v>
      </c>
      <c r="Z424" s="14">
        <v>0</v>
      </c>
      <c r="AA424" s="14">
        <f>Tabla13[[#This Row],[CheckList App]]+Tabla13[[#This Row],[CheckList Fisc]]</f>
        <v>0</v>
      </c>
      <c r="AB424" s="19" t="str">
        <f t="shared" si="6"/>
        <v/>
      </c>
      <c r="AC424" s="14">
        <v>45</v>
      </c>
      <c r="AD424" s="14" t="s">
        <v>70</v>
      </c>
      <c r="AE424" s="15" t="str">
        <f>IFERROR((VLOOKUP(Tabla13[[#This Row],[ID]],[1]!Mtto_Pesv[[#Headers],[#Data],[Placa]:[Rutina]],2,FALSE)),"-")</f>
        <v>-</v>
      </c>
      <c r="AF424" s="14">
        <v>1</v>
      </c>
      <c r="AG424" s="20">
        <f>IFERROR((VLOOKUP(Tabla13[[#This Row],[ID]],[1]!Mtto_Pesv[[#Headers],[#Data],[Placa]:[Rutina]],3,FALSE)),0)</f>
        <v>0</v>
      </c>
      <c r="AH424" s="20">
        <f>IFERROR((VLOOKUP(Tabla13[[#This Row],[ID]],[1]!Mtto_Pesv[[#Headers],[#Data],[Placa]:[Rutina]],7,FALSE)),0)</f>
        <v>0</v>
      </c>
      <c r="AI424" s="20">
        <f>IFERROR((VLOOKUP(Tabla13[[#This Row],[ID]],[1]!Mtto_Pesv[[#Headers],[#Data],[Placa]:[Rutina]],8,FALSE)),0)</f>
        <v>0</v>
      </c>
      <c r="AJ424" s="20" t="str">
        <f>IFERROR((VLOOKUP(Tabla13[[#This Row],[ID]],[1]!Mtto_Pesv[[#Headers],[#Data],[Placa]:[Rutina]],9,FALSE)),"-")</f>
        <v>-</v>
      </c>
      <c r="AK424" s="20">
        <f>IFERROR((VLOOKUP(Tabla13[[#This Row],[ID]],[1]!Mtto_Pesv[[#Headers],[#Data],[Placa]:[Rutina]],10,FALSE)),0)</f>
        <v>0</v>
      </c>
      <c r="AL424" s="20">
        <f>IF(Tabla13[[#This Row],[Km Anterior]]=0,0,Tabla13[[#This Row],[Km Ejecut]]-Tabla13[[#This Row],[Km Anterior]])</f>
        <v>0</v>
      </c>
      <c r="AM424" s="20">
        <f>IFERROR((VLOOKUP(Tabla13[[#This Row],[ID]],[1]!Mtto_Pesv[[#Headers],[#Data],[Placa]:[Rutina]],4,FALSE)),0)</f>
        <v>0</v>
      </c>
      <c r="AN424" s="21">
        <f>IFERROR((VLOOKUP(Tabla13[[#This Row],[ID]],[1]!Mtto_Pesv[[#Headers],[#Data],[Placa]:[Rutina]],5,FALSE)),0)</f>
        <v>0</v>
      </c>
      <c r="AO424" s="21">
        <f>+Tabla13[[#This Row],[Km Fin]]-Tabla13[[#This Row],[Km Ini]]</f>
        <v>0</v>
      </c>
      <c r="AP424" s="20">
        <f>IFERROR((VLOOKUP(Tabla13[[#This Row],[ID]],[1]!Estilo_Conduccion[[#All],[Placa]:[Puntuacion]],15,FALSE)),0)</f>
        <v>0</v>
      </c>
      <c r="AQ424" s="15" t="s">
        <v>54</v>
      </c>
      <c r="AR424" s="15" t="s">
        <v>54</v>
      </c>
      <c r="AS424" s="20">
        <v>11000</v>
      </c>
      <c r="AT424" s="21">
        <v>0</v>
      </c>
      <c r="AU424" s="21">
        <f>(Tabla13[[#This Row],[Cap Vh]]*$AX$2)*0.56</f>
        <v>0</v>
      </c>
      <c r="AV424" s="36" t="e">
        <f>(Tabla13[[#This Row],[Cap Util (kg)]]/(Tabla13[[#This Row],[Cap Inst (Kg)]]))</f>
        <v>#DIV/0!</v>
      </c>
    </row>
    <row r="425" spans="1:48" x14ac:dyDescent="0.25">
      <c r="A425" s="13" t="s">
        <v>1068</v>
      </c>
      <c r="B425" s="14" t="s">
        <v>616</v>
      </c>
      <c r="C425" s="14" t="s">
        <v>564</v>
      </c>
      <c r="D425" s="14" t="s">
        <v>565</v>
      </c>
      <c r="E425" s="14" t="s">
        <v>580</v>
      </c>
      <c r="F425" s="14" t="s">
        <v>76</v>
      </c>
      <c r="G425" s="15" t="s">
        <v>89</v>
      </c>
      <c r="H425" s="16" t="s">
        <v>90</v>
      </c>
      <c r="I425" s="14" t="s">
        <v>49</v>
      </c>
      <c r="J425" s="14">
        <v>900335279</v>
      </c>
      <c r="K425" s="14" t="s">
        <v>77</v>
      </c>
      <c r="L425" s="14" t="s">
        <v>103</v>
      </c>
      <c r="M425" s="14" t="s">
        <v>104</v>
      </c>
      <c r="N425" s="14">
        <v>2007</v>
      </c>
      <c r="O425" s="14">
        <v>13</v>
      </c>
      <c r="P425" s="14" t="s">
        <v>173</v>
      </c>
      <c r="Q425" s="14">
        <v>0</v>
      </c>
      <c r="R425" s="14">
        <v>0</v>
      </c>
      <c r="S425" s="17" t="s">
        <v>54</v>
      </c>
      <c r="T425" s="18">
        <v>0</v>
      </c>
      <c r="U425" s="14">
        <v>0</v>
      </c>
      <c r="V425" s="19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f>Tabla13[[#This Row],[CheckList App]]+Tabla13[[#This Row],[CheckList Fisc]]</f>
        <v>0</v>
      </c>
      <c r="AB425" s="19" t="str">
        <f t="shared" si="6"/>
        <v/>
      </c>
      <c r="AC425" s="14">
        <v>0</v>
      </c>
      <c r="AD425" s="14" t="s">
        <v>55</v>
      </c>
      <c r="AE425" s="15" t="str">
        <f>IFERROR((VLOOKUP(Tabla13[[#This Row],[ID]],[1]!Mtto_Pesv[[#Headers],[#Data],[Placa]:[Rutina]],2,FALSE)),"-")</f>
        <v>-</v>
      </c>
      <c r="AF425" s="14">
        <v>0</v>
      </c>
      <c r="AG425" s="20">
        <f>IFERROR((VLOOKUP(Tabla13[[#This Row],[ID]],[1]!Mtto_Pesv[[#Headers],[#Data],[Placa]:[Rutina]],3,FALSE)),0)</f>
        <v>0</v>
      </c>
      <c r="AH425" s="20">
        <f>IFERROR((VLOOKUP(Tabla13[[#This Row],[ID]],[1]!Mtto_Pesv[[#Headers],[#Data],[Placa]:[Rutina]],7,FALSE)),0)</f>
        <v>0</v>
      </c>
      <c r="AI425" s="20">
        <f>IFERROR((VLOOKUP(Tabla13[[#This Row],[ID]],[1]!Mtto_Pesv[[#Headers],[#Data],[Placa]:[Rutina]],8,FALSE)),0)</f>
        <v>0</v>
      </c>
      <c r="AJ425" s="20" t="str">
        <f>IFERROR((VLOOKUP(Tabla13[[#This Row],[ID]],[1]!Mtto_Pesv[[#Headers],[#Data],[Placa]:[Rutina]],9,FALSE)),"-")</f>
        <v>-</v>
      </c>
      <c r="AK425" s="20">
        <f>IFERROR((VLOOKUP(Tabla13[[#This Row],[ID]],[1]!Mtto_Pesv[[#Headers],[#Data],[Placa]:[Rutina]],10,FALSE)),0)</f>
        <v>0</v>
      </c>
      <c r="AL425" s="20">
        <f>IF(Tabla13[[#This Row],[Km Anterior]]=0,0,Tabla13[[#This Row],[Km Ejecut]]-Tabla13[[#This Row],[Km Anterior]])</f>
        <v>0</v>
      </c>
      <c r="AM425" s="20">
        <f>IFERROR((VLOOKUP(Tabla13[[#This Row],[ID]],[1]!Mtto_Pesv[[#Headers],[#Data],[Placa]:[Rutina]],4,FALSE)),0)</f>
        <v>0</v>
      </c>
      <c r="AN425" s="21">
        <f>IFERROR((VLOOKUP(Tabla13[[#This Row],[ID]],[1]!Mtto_Pesv[[#Headers],[#Data],[Placa]:[Rutina]],5,FALSE)),0)</f>
        <v>0</v>
      </c>
      <c r="AO425" s="21">
        <f>+Tabla13[[#This Row],[Km Fin]]-Tabla13[[#This Row],[Km Ini]]</f>
        <v>0</v>
      </c>
      <c r="AP425" s="20">
        <f>IFERROR((VLOOKUP(Tabla13[[#This Row],[ID]],[1]!Estilo_Conduccion[[#All],[Placa]:[Puntuacion]],15,FALSE)),0)</f>
        <v>0</v>
      </c>
      <c r="AQ425" s="15" t="s">
        <v>1329</v>
      </c>
      <c r="AR425" s="15" t="s">
        <v>1330</v>
      </c>
      <c r="AS425" s="20">
        <v>2000</v>
      </c>
      <c r="AT425" s="21">
        <v>15066</v>
      </c>
      <c r="AU425" s="21">
        <f>(Tabla13[[#This Row],[Cap Vh]]*$AX$2)*0.56</f>
        <v>0</v>
      </c>
      <c r="AV425" s="36" t="e">
        <f>(Tabla13[[#This Row],[Cap Util (kg)]]/(Tabla13[[#This Row],[Cap Inst (Kg)]]))</f>
        <v>#DIV/0!</v>
      </c>
    </row>
    <row r="426" spans="1:48" x14ac:dyDescent="0.25">
      <c r="A426" s="13" t="s">
        <v>1068</v>
      </c>
      <c r="B426" s="14" t="s">
        <v>617</v>
      </c>
      <c r="C426" s="14" t="s">
        <v>564</v>
      </c>
      <c r="D426" s="14" t="s">
        <v>565</v>
      </c>
      <c r="E426" s="14" t="s">
        <v>580</v>
      </c>
      <c r="F426" s="14" t="s">
        <v>64</v>
      </c>
      <c r="G426" s="15" t="s">
        <v>128</v>
      </c>
      <c r="H426" s="16" t="s">
        <v>143</v>
      </c>
      <c r="I426" s="14" t="s">
        <v>49</v>
      </c>
      <c r="J426" s="14">
        <v>900335279</v>
      </c>
      <c r="K426" s="14" t="s">
        <v>77</v>
      </c>
      <c r="L426" s="14" t="s">
        <v>103</v>
      </c>
      <c r="M426" s="14" t="s">
        <v>618</v>
      </c>
      <c r="N426" s="14">
        <v>2010</v>
      </c>
      <c r="O426" s="14">
        <v>10</v>
      </c>
      <c r="P426" s="14" t="s">
        <v>53</v>
      </c>
      <c r="Q426" s="14">
        <v>1</v>
      </c>
      <c r="R426" s="14">
        <v>1</v>
      </c>
      <c r="S426" s="17">
        <v>44820.324594907397</v>
      </c>
      <c r="T426" s="18">
        <v>192.67100000000002</v>
      </c>
      <c r="U426" s="14">
        <v>30</v>
      </c>
      <c r="V426" s="19">
        <v>1</v>
      </c>
      <c r="W426" s="14">
        <v>0</v>
      </c>
      <c r="X426" s="14">
        <v>10</v>
      </c>
      <c r="Y426" s="14">
        <v>0</v>
      </c>
      <c r="Z426" s="14">
        <v>10</v>
      </c>
      <c r="AA426" s="14">
        <f>Tabla13[[#This Row],[CheckList App]]+Tabla13[[#This Row],[CheckList Fisc]]</f>
        <v>10</v>
      </c>
      <c r="AB426" s="19">
        <f t="shared" si="6"/>
        <v>1</v>
      </c>
      <c r="AC426" s="14">
        <v>614</v>
      </c>
      <c r="AD426" s="14" t="s">
        <v>70</v>
      </c>
      <c r="AE426" s="15" t="str">
        <f>IFERROR((VLOOKUP(Tabla13[[#This Row],[ID]],[1]!Mtto_Pesv[[#Headers],[#Data],[Placa]:[Rutina]],2,FALSE)),"-")</f>
        <v>-</v>
      </c>
      <c r="AF426" s="14">
        <v>1</v>
      </c>
      <c r="AG426" s="20">
        <f>IFERROR((VLOOKUP(Tabla13[[#This Row],[ID]],[1]!Mtto_Pesv[[#Headers],[#Data],[Placa]:[Rutina]],3,FALSE)),0)</f>
        <v>0</v>
      </c>
      <c r="AH426" s="20">
        <f>IFERROR((VLOOKUP(Tabla13[[#This Row],[ID]],[1]!Mtto_Pesv[[#Headers],[#Data],[Placa]:[Rutina]],7,FALSE)),0)</f>
        <v>0</v>
      </c>
      <c r="AI426" s="20">
        <f>IFERROR((VLOOKUP(Tabla13[[#This Row],[ID]],[1]!Mtto_Pesv[[#Headers],[#Data],[Placa]:[Rutina]],8,FALSE)),0)</f>
        <v>0</v>
      </c>
      <c r="AJ426" s="20" t="str">
        <f>IFERROR((VLOOKUP(Tabla13[[#This Row],[ID]],[1]!Mtto_Pesv[[#Headers],[#Data],[Placa]:[Rutina]],9,FALSE)),"-")</f>
        <v>-</v>
      </c>
      <c r="AK426" s="20">
        <f>IFERROR((VLOOKUP(Tabla13[[#This Row],[ID]],[1]!Mtto_Pesv[[#Headers],[#Data],[Placa]:[Rutina]],10,FALSE)),0)</f>
        <v>0</v>
      </c>
      <c r="AL426" s="20">
        <f>IF(Tabla13[[#This Row],[Km Anterior]]=0,0,Tabla13[[#This Row],[Km Ejecut]]-Tabla13[[#This Row],[Km Anterior]])</f>
        <v>0</v>
      </c>
      <c r="AM426" s="20">
        <f>IFERROR((VLOOKUP(Tabla13[[#This Row],[ID]],[1]!Mtto_Pesv[[#Headers],[#Data],[Placa]:[Rutina]],4,FALSE)),0)</f>
        <v>0</v>
      </c>
      <c r="AN426" s="21">
        <f>IFERROR((VLOOKUP(Tabla13[[#This Row],[ID]],[1]!Mtto_Pesv[[#Headers],[#Data],[Placa]:[Rutina]],5,FALSE)),0)</f>
        <v>0</v>
      </c>
      <c r="AO426" s="21">
        <f>+Tabla13[[#This Row],[Km Fin]]-Tabla13[[#This Row],[Km Ini]]</f>
        <v>0</v>
      </c>
      <c r="AP426" s="20">
        <f>IFERROR((VLOOKUP(Tabla13[[#This Row],[ID]],[1]!Estilo_Conduccion[[#All],[Placa]:[Puntuacion]],15,FALSE)),0)</f>
        <v>516.4</v>
      </c>
      <c r="AQ426" s="15" t="s">
        <v>54</v>
      </c>
      <c r="AR426" s="15" t="s">
        <v>1331</v>
      </c>
      <c r="AS426" s="20">
        <v>4000</v>
      </c>
      <c r="AT426" s="21">
        <v>0</v>
      </c>
      <c r="AU426" s="21">
        <f>(Tabla13[[#This Row],[Cap Vh]]*$AX$2)*0.56</f>
        <v>0</v>
      </c>
      <c r="AV426" s="36" t="e">
        <f>(Tabla13[[#This Row],[Cap Util (kg)]]/(Tabla13[[#This Row],[Cap Inst (Kg)]]))</f>
        <v>#DIV/0!</v>
      </c>
    </row>
    <row r="427" spans="1:48" x14ac:dyDescent="0.25">
      <c r="A427" s="13" t="s">
        <v>1068</v>
      </c>
      <c r="B427" s="14" t="s">
        <v>619</v>
      </c>
      <c r="C427" s="14" t="s">
        <v>564</v>
      </c>
      <c r="D427" s="14" t="s">
        <v>565</v>
      </c>
      <c r="E427" s="14" t="s">
        <v>569</v>
      </c>
      <c r="F427" s="14" t="s">
        <v>64</v>
      </c>
      <c r="G427" s="14" t="s">
        <v>65</v>
      </c>
      <c r="H427" s="16" t="s">
        <v>66</v>
      </c>
      <c r="I427" s="14" t="s">
        <v>49</v>
      </c>
      <c r="J427" s="14">
        <v>900335279</v>
      </c>
      <c r="K427" s="14" t="s">
        <v>77</v>
      </c>
      <c r="L427" s="14" t="s">
        <v>103</v>
      </c>
      <c r="M427" s="14" t="s">
        <v>104</v>
      </c>
      <c r="N427" s="14">
        <v>2003</v>
      </c>
      <c r="O427" s="14">
        <v>17</v>
      </c>
      <c r="P427" s="14" t="s">
        <v>173</v>
      </c>
      <c r="Q427" s="14">
        <v>0</v>
      </c>
      <c r="R427" s="14">
        <v>0</v>
      </c>
      <c r="S427" s="17" t="s">
        <v>54</v>
      </c>
      <c r="T427" s="18">
        <v>0</v>
      </c>
      <c r="U427" s="14">
        <v>0</v>
      </c>
      <c r="V427" s="19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f>Tabla13[[#This Row],[CheckList App]]+Tabla13[[#This Row],[CheckList Fisc]]</f>
        <v>0</v>
      </c>
      <c r="AB427" s="19" t="str">
        <f t="shared" si="6"/>
        <v/>
      </c>
      <c r="AC427" s="14">
        <v>0</v>
      </c>
      <c r="AD427" s="14" t="s">
        <v>55</v>
      </c>
      <c r="AE427" s="15" t="str">
        <f>IFERROR((VLOOKUP(Tabla13[[#This Row],[ID]],[1]!Mtto_Pesv[[#Headers],[#Data],[Placa]:[Rutina]],2,FALSE)),"-")</f>
        <v>-</v>
      </c>
      <c r="AF427" s="14">
        <v>0</v>
      </c>
      <c r="AG427" s="20">
        <f>IFERROR((VLOOKUP(Tabla13[[#This Row],[ID]],[1]!Mtto_Pesv[[#Headers],[#Data],[Placa]:[Rutina]],3,FALSE)),0)</f>
        <v>0</v>
      </c>
      <c r="AH427" s="20">
        <f>IFERROR((VLOOKUP(Tabla13[[#This Row],[ID]],[1]!Mtto_Pesv[[#Headers],[#Data],[Placa]:[Rutina]],7,FALSE)),0)</f>
        <v>0</v>
      </c>
      <c r="AI427" s="20">
        <f>IFERROR((VLOOKUP(Tabla13[[#This Row],[ID]],[1]!Mtto_Pesv[[#Headers],[#Data],[Placa]:[Rutina]],8,FALSE)),0)</f>
        <v>0</v>
      </c>
      <c r="AJ427" s="20" t="str">
        <f>IFERROR((VLOOKUP(Tabla13[[#This Row],[ID]],[1]!Mtto_Pesv[[#Headers],[#Data],[Placa]:[Rutina]],9,FALSE)),"-")</f>
        <v>-</v>
      </c>
      <c r="AK427" s="20">
        <f>IFERROR((VLOOKUP(Tabla13[[#This Row],[ID]],[1]!Mtto_Pesv[[#Headers],[#Data],[Placa]:[Rutina]],10,FALSE)),0)</f>
        <v>0</v>
      </c>
      <c r="AL427" s="20">
        <f>IF(Tabla13[[#This Row],[Km Anterior]]=0,0,Tabla13[[#This Row],[Km Ejecut]]-Tabla13[[#This Row],[Km Anterior]])</f>
        <v>0</v>
      </c>
      <c r="AM427" s="20">
        <f>IFERROR((VLOOKUP(Tabla13[[#This Row],[ID]],[1]!Mtto_Pesv[[#Headers],[#Data],[Placa]:[Rutina]],4,FALSE)),0)</f>
        <v>0</v>
      </c>
      <c r="AN427" s="21">
        <f>IFERROR((VLOOKUP(Tabla13[[#This Row],[ID]],[1]!Mtto_Pesv[[#Headers],[#Data],[Placa]:[Rutina]],5,FALSE)),0)</f>
        <v>0</v>
      </c>
      <c r="AO427" s="21">
        <f>+Tabla13[[#This Row],[Km Fin]]-Tabla13[[#This Row],[Km Ini]]</f>
        <v>0</v>
      </c>
      <c r="AP427" s="20">
        <f>IFERROR((VLOOKUP(Tabla13[[#This Row],[ID]],[1]!Estilo_Conduccion[[#All],[Placa]:[Puntuacion]],15,FALSE)),0)</f>
        <v>0</v>
      </c>
      <c r="AQ427" s="15" t="s">
        <v>54</v>
      </c>
      <c r="AR427" s="15" t="s">
        <v>54</v>
      </c>
      <c r="AS427" s="20">
        <v>2500</v>
      </c>
      <c r="AT427" s="21">
        <v>0</v>
      </c>
      <c r="AU427" s="21">
        <f>(Tabla13[[#This Row],[Cap Vh]]*$AX$2)*0.56</f>
        <v>0</v>
      </c>
      <c r="AV427" s="36" t="e">
        <f>(Tabla13[[#This Row],[Cap Util (kg)]]/(Tabla13[[#This Row],[Cap Inst (Kg)]]))</f>
        <v>#DIV/0!</v>
      </c>
    </row>
    <row r="428" spans="1:48" x14ac:dyDescent="0.25">
      <c r="A428" s="13" t="s">
        <v>1068</v>
      </c>
      <c r="B428" s="14" t="s">
        <v>620</v>
      </c>
      <c r="C428" s="14" t="s">
        <v>564</v>
      </c>
      <c r="D428" s="14" t="s">
        <v>565</v>
      </c>
      <c r="E428" s="14" t="s">
        <v>621</v>
      </c>
      <c r="F428" s="14" t="s">
        <v>76</v>
      </c>
      <c r="G428" s="15" t="s">
        <v>89</v>
      </c>
      <c r="H428" s="16" t="s">
        <v>90</v>
      </c>
      <c r="I428" s="14" t="s">
        <v>49</v>
      </c>
      <c r="J428" s="14">
        <v>900335279</v>
      </c>
      <c r="K428" s="14" t="s">
        <v>77</v>
      </c>
      <c r="L428" s="14" t="s">
        <v>103</v>
      </c>
      <c r="M428" s="14" t="s">
        <v>269</v>
      </c>
      <c r="N428" s="14">
        <v>2006</v>
      </c>
      <c r="O428" s="14">
        <v>14</v>
      </c>
      <c r="P428" s="14" t="s">
        <v>173</v>
      </c>
      <c r="Q428" s="14">
        <v>0</v>
      </c>
      <c r="R428" s="14">
        <v>0</v>
      </c>
      <c r="S428" s="17" t="s">
        <v>54</v>
      </c>
      <c r="T428" s="18">
        <v>0</v>
      </c>
      <c r="U428" s="14">
        <v>0</v>
      </c>
      <c r="V428" s="19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f>Tabla13[[#This Row],[CheckList App]]+Tabla13[[#This Row],[CheckList Fisc]]</f>
        <v>0</v>
      </c>
      <c r="AB428" s="19" t="str">
        <f t="shared" si="6"/>
        <v/>
      </c>
      <c r="AC428" s="14">
        <v>0</v>
      </c>
      <c r="AD428" s="14" t="s">
        <v>55</v>
      </c>
      <c r="AE428" s="15" t="str">
        <f>IFERROR((VLOOKUP(Tabla13[[#This Row],[ID]],[1]!Mtto_Pesv[[#Headers],[#Data],[Placa]:[Rutina]],2,FALSE)),"-")</f>
        <v>-</v>
      </c>
      <c r="AF428" s="14">
        <v>0</v>
      </c>
      <c r="AG428" s="20">
        <f>IFERROR((VLOOKUP(Tabla13[[#This Row],[ID]],[1]!Mtto_Pesv[[#Headers],[#Data],[Placa]:[Rutina]],3,FALSE)),0)</f>
        <v>0</v>
      </c>
      <c r="AH428" s="20">
        <f>IFERROR((VLOOKUP(Tabla13[[#This Row],[ID]],[1]!Mtto_Pesv[[#Headers],[#Data],[Placa]:[Rutina]],7,FALSE)),0)</f>
        <v>0</v>
      </c>
      <c r="AI428" s="20">
        <f>IFERROR((VLOOKUP(Tabla13[[#This Row],[ID]],[1]!Mtto_Pesv[[#Headers],[#Data],[Placa]:[Rutina]],8,FALSE)),0)</f>
        <v>0</v>
      </c>
      <c r="AJ428" s="20" t="str">
        <f>IFERROR((VLOOKUP(Tabla13[[#This Row],[ID]],[1]!Mtto_Pesv[[#Headers],[#Data],[Placa]:[Rutina]],9,FALSE)),"-")</f>
        <v>-</v>
      </c>
      <c r="AK428" s="20">
        <f>IFERROR((VLOOKUP(Tabla13[[#This Row],[ID]],[1]!Mtto_Pesv[[#Headers],[#Data],[Placa]:[Rutina]],10,FALSE)),0)</f>
        <v>0</v>
      </c>
      <c r="AL428" s="20">
        <f>IF(Tabla13[[#This Row],[Km Anterior]]=0,0,Tabla13[[#This Row],[Km Ejecut]]-Tabla13[[#This Row],[Km Anterior]])</f>
        <v>0</v>
      </c>
      <c r="AM428" s="20">
        <f>IFERROR((VLOOKUP(Tabla13[[#This Row],[ID]],[1]!Mtto_Pesv[[#Headers],[#Data],[Placa]:[Rutina]],4,FALSE)),0)</f>
        <v>0</v>
      </c>
      <c r="AN428" s="21">
        <f>IFERROR((VLOOKUP(Tabla13[[#This Row],[ID]],[1]!Mtto_Pesv[[#Headers],[#Data],[Placa]:[Rutina]],5,FALSE)),0)</f>
        <v>0</v>
      </c>
      <c r="AO428" s="21">
        <f>+Tabla13[[#This Row],[Km Fin]]-Tabla13[[#This Row],[Km Ini]]</f>
        <v>0</v>
      </c>
      <c r="AP428" s="20">
        <f>IFERROR((VLOOKUP(Tabla13[[#This Row],[ID]],[1]!Estilo_Conduccion[[#All],[Placa]:[Puntuacion]],15,FALSE)),0)</f>
        <v>0</v>
      </c>
      <c r="AQ428" s="15" t="s">
        <v>1069</v>
      </c>
      <c r="AR428" s="15" t="s">
        <v>1332</v>
      </c>
      <c r="AS428" s="20">
        <v>1000</v>
      </c>
      <c r="AT428" s="21">
        <v>0</v>
      </c>
      <c r="AU428" s="21">
        <f>(Tabla13[[#This Row],[Cap Vh]]*$AX$2)*0.56</f>
        <v>0</v>
      </c>
      <c r="AV428" s="36" t="e">
        <f>(Tabla13[[#This Row],[Cap Util (kg)]]/(Tabla13[[#This Row],[Cap Inst (Kg)]]))</f>
        <v>#DIV/0!</v>
      </c>
    </row>
    <row r="429" spans="1:48" x14ac:dyDescent="0.25">
      <c r="A429" s="13" t="s">
        <v>1068</v>
      </c>
      <c r="B429" s="14" t="s">
        <v>622</v>
      </c>
      <c r="C429" s="14" t="s">
        <v>564</v>
      </c>
      <c r="D429" s="14" t="s">
        <v>565</v>
      </c>
      <c r="E429" s="14" t="s">
        <v>571</v>
      </c>
      <c r="F429" s="14" t="s">
        <v>76</v>
      </c>
      <c r="G429" s="15" t="s">
        <v>89</v>
      </c>
      <c r="H429" s="16" t="s">
        <v>90</v>
      </c>
      <c r="I429" s="14" t="s">
        <v>49</v>
      </c>
      <c r="J429" s="14">
        <v>900335279</v>
      </c>
      <c r="K429" s="14" t="s">
        <v>77</v>
      </c>
      <c r="L429" s="14" t="s">
        <v>103</v>
      </c>
      <c r="M429" s="14" t="s">
        <v>269</v>
      </c>
      <c r="N429" s="14">
        <v>2006</v>
      </c>
      <c r="O429" s="14">
        <v>14</v>
      </c>
      <c r="P429" s="14" t="s">
        <v>173</v>
      </c>
      <c r="Q429" s="14">
        <v>0</v>
      </c>
      <c r="R429" s="14">
        <v>0</v>
      </c>
      <c r="S429" s="17" t="s">
        <v>54</v>
      </c>
      <c r="T429" s="18">
        <v>0</v>
      </c>
      <c r="U429" s="14">
        <v>0</v>
      </c>
      <c r="V429" s="19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f>Tabla13[[#This Row],[CheckList App]]+Tabla13[[#This Row],[CheckList Fisc]]</f>
        <v>0</v>
      </c>
      <c r="AB429" s="19" t="str">
        <f t="shared" si="6"/>
        <v/>
      </c>
      <c r="AC429" s="14">
        <v>0</v>
      </c>
      <c r="AD429" s="14" t="s">
        <v>55</v>
      </c>
      <c r="AE429" s="15" t="str">
        <f>IFERROR((VLOOKUP(Tabla13[[#This Row],[ID]],[1]!Mtto_Pesv[[#Headers],[#Data],[Placa]:[Rutina]],2,FALSE)),"-")</f>
        <v>-</v>
      </c>
      <c r="AF429" s="14">
        <v>0</v>
      </c>
      <c r="AG429" s="20">
        <f>IFERROR((VLOOKUP(Tabla13[[#This Row],[ID]],[1]!Mtto_Pesv[[#Headers],[#Data],[Placa]:[Rutina]],3,FALSE)),0)</f>
        <v>0</v>
      </c>
      <c r="AH429" s="20">
        <f>IFERROR((VLOOKUP(Tabla13[[#This Row],[ID]],[1]!Mtto_Pesv[[#Headers],[#Data],[Placa]:[Rutina]],7,FALSE)),0)</f>
        <v>0</v>
      </c>
      <c r="AI429" s="20">
        <f>IFERROR((VLOOKUP(Tabla13[[#This Row],[ID]],[1]!Mtto_Pesv[[#Headers],[#Data],[Placa]:[Rutina]],8,FALSE)),0)</f>
        <v>0</v>
      </c>
      <c r="AJ429" s="20" t="str">
        <f>IFERROR((VLOOKUP(Tabla13[[#This Row],[ID]],[1]!Mtto_Pesv[[#Headers],[#Data],[Placa]:[Rutina]],9,FALSE)),"-")</f>
        <v>-</v>
      </c>
      <c r="AK429" s="20">
        <f>IFERROR((VLOOKUP(Tabla13[[#This Row],[ID]],[1]!Mtto_Pesv[[#Headers],[#Data],[Placa]:[Rutina]],10,FALSE)),0)</f>
        <v>0</v>
      </c>
      <c r="AL429" s="20">
        <f>IF(Tabla13[[#This Row],[Km Anterior]]=0,0,Tabla13[[#This Row],[Km Ejecut]]-Tabla13[[#This Row],[Km Anterior]])</f>
        <v>0</v>
      </c>
      <c r="AM429" s="20">
        <f>IFERROR((VLOOKUP(Tabla13[[#This Row],[ID]],[1]!Mtto_Pesv[[#Headers],[#Data],[Placa]:[Rutina]],4,FALSE)),0)</f>
        <v>0</v>
      </c>
      <c r="AN429" s="21">
        <f>IFERROR((VLOOKUP(Tabla13[[#This Row],[ID]],[1]!Mtto_Pesv[[#Headers],[#Data],[Placa]:[Rutina]],5,FALSE)),0)</f>
        <v>0</v>
      </c>
      <c r="AO429" s="21">
        <f>+Tabla13[[#This Row],[Km Fin]]-Tabla13[[#This Row],[Km Ini]]</f>
        <v>0</v>
      </c>
      <c r="AP429" s="20">
        <f>IFERROR((VLOOKUP(Tabla13[[#This Row],[ID]],[1]!Estilo_Conduccion[[#All],[Placa]:[Puntuacion]],15,FALSE)),0)</f>
        <v>0</v>
      </c>
      <c r="AQ429" s="15" t="s">
        <v>1069</v>
      </c>
      <c r="AR429" s="15" t="s">
        <v>1292</v>
      </c>
      <c r="AS429" s="20">
        <v>500</v>
      </c>
      <c r="AT429" s="21">
        <v>0</v>
      </c>
      <c r="AU429" s="21">
        <f>(Tabla13[[#This Row],[Cap Vh]]*$AX$2)*0.56</f>
        <v>0</v>
      </c>
      <c r="AV429" s="36" t="e">
        <f>(Tabla13[[#This Row],[Cap Util (kg)]]/(Tabla13[[#This Row],[Cap Inst (Kg)]]))</f>
        <v>#DIV/0!</v>
      </c>
    </row>
    <row r="430" spans="1:48" x14ac:dyDescent="0.25">
      <c r="A430" s="13" t="s">
        <v>1068</v>
      </c>
      <c r="B430" s="14" t="s">
        <v>623</v>
      </c>
      <c r="C430" s="14" t="s">
        <v>564</v>
      </c>
      <c r="D430" s="14" t="s">
        <v>565</v>
      </c>
      <c r="E430" s="14" t="s">
        <v>573</v>
      </c>
      <c r="F430" s="14" t="s">
        <v>76</v>
      </c>
      <c r="G430" s="15" t="s">
        <v>89</v>
      </c>
      <c r="H430" s="16" t="s">
        <v>90</v>
      </c>
      <c r="I430" s="14" t="s">
        <v>49</v>
      </c>
      <c r="J430" s="14">
        <v>900335279</v>
      </c>
      <c r="K430" s="14" t="s">
        <v>77</v>
      </c>
      <c r="L430" s="14" t="s">
        <v>103</v>
      </c>
      <c r="M430" s="14" t="s">
        <v>121</v>
      </c>
      <c r="N430" s="14">
        <v>2008</v>
      </c>
      <c r="O430" s="14">
        <v>12</v>
      </c>
      <c r="P430" s="14" t="s">
        <v>173</v>
      </c>
      <c r="Q430" s="14">
        <v>0</v>
      </c>
      <c r="R430" s="14">
        <v>0</v>
      </c>
      <c r="S430" s="17" t="s">
        <v>54</v>
      </c>
      <c r="T430" s="18">
        <v>0</v>
      </c>
      <c r="U430" s="14">
        <v>0</v>
      </c>
      <c r="V430" s="19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f>Tabla13[[#This Row],[CheckList App]]+Tabla13[[#This Row],[CheckList Fisc]]</f>
        <v>0</v>
      </c>
      <c r="AB430" s="19" t="str">
        <f t="shared" si="6"/>
        <v/>
      </c>
      <c r="AC430" s="14">
        <v>0</v>
      </c>
      <c r="AD430" s="14" t="s">
        <v>55</v>
      </c>
      <c r="AE430" s="15" t="str">
        <f>IFERROR((VLOOKUP(Tabla13[[#This Row],[ID]],[1]!Mtto_Pesv[[#Headers],[#Data],[Placa]:[Rutina]],2,FALSE)),"-")</f>
        <v>-</v>
      </c>
      <c r="AF430" s="14">
        <v>0</v>
      </c>
      <c r="AG430" s="20">
        <f>IFERROR((VLOOKUP(Tabla13[[#This Row],[ID]],[1]!Mtto_Pesv[[#Headers],[#Data],[Placa]:[Rutina]],3,FALSE)),0)</f>
        <v>0</v>
      </c>
      <c r="AH430" s="20">
        <f>IFERROR((VLOOKUP(Tabla13[[#This Row],[ID]],[1]!Mtto_Pesv[[#Headers],[#Data],[Placa]:[Rutina]],7,FALSE)),0)</f>
        <v>0</v>
      </c>
      <c r="AI430" s="20">
        <f>IFERROR((VLOOKUP(Tabla13[[#This Row],[ID]],[1]!Mtto_Pesv[[#Headers],[#Data],[Placa]:[Rutina]],8,FALSE)),0)</f>
        <v>0</v>
      </c>
      <c r="AJ430" s="20" t="str">
        <f>IFERROR((VLOOKUP(Tabla13[[#This Row],[ID]],[1]!Mtto_Pesv[[#Headers],[#Data],[Placa]:[Rutina]],9,FALSE)),"-")</f>
        <v>-</v>
      </c>
      <c r="AK430" s="20">
        <f>IFERROR((VLOOKUP(Tabla13[[#This Row],[ID]],[1]!Mtto_Pesv[[#Headers],[#Data],[Placa]:[Rutina]],10,FALSE)),0)</f>
        <v>0</v>
      </c>
      <c r="AL430" s="20">
        <f>IF(Tabla13[[#This Row],[Km Anterior]]=0,0,Tabla13[[#This Row],[Km Ejecut]]-Tabla13[[#This Row],[Km Anterior]])</f>
        <v>0</v>
      </c>
      <c r="AM430" s="20">
        <f>IFERROR((VLOOKUP(Tabla13[[#This Row],[ID]],[1]!Mtto_Pesv[[#Headers],[#Data],[Placa]:[Rutina]],4,FALSE)),0)</f>
        <v>0</v>
      </c>
      <c r="AN430" s="21">
        <f>IFERROR((VLOOKUP(Tabla13[[#This Row],[ID]],[1]!Mtto_Pesv[[#Headers],[#Data],[Placa]:[Rutina]],5,FALSE)),0)</f>
        <v>0</v>
      </c>
      <c r="AO430" s="21">
        <f>+Tabla13[[#This Row],[Km Fin]]-Tabla13[[#This Row],[Km Ini]]</f>
        <v>0</v>
      </c>
      <c r="AP430" s="20">
        <f>IFERROR((VLOOKUP(Tabla13[[#This Row],[ID]],[1]!Estilo_Conduccion[[#All],[Placa]:[Puntuacion]],15,FALSE)),0)</f>
        <v>0</v>
      </c>
      <c r="AQ430" s="15" t="s">
        <v>1293</v>
      </c>
      <c r="AR430" s="15" t="s">
        <v>1294</v>
      </c>
      <c r="AS430" s="20">
        <v>3000</v>
      </c>
      <c r="AT430" s="21">
        <v>3616</v>
      </c>
      <c r="AU430" s="21">
        <f>(Tabla13[[#This Row],[Cap Vh]]*$AX$2)*0.56</f>
        <v>0</v>
      </c>
      <c r="AV430" s="36" t="e">
        <f>(Tabla13[[#This Row],[Cap Util (kg)]]/(Tabla13[[#This Row],[Cap Inst (Kg)]]))</f>
        <v>#DIV/0!</v>
      </c>
    </row>
    <row r="431" spans="1:48" x14ac:dyDescent="0.25">
      <c r="A431" s="13" t="s">
        <v>1068</v>
      </c>
      <c r="B431" s="14" t="s">
        <v>624</v>
      </c>
      <c r="C431" s="14" t="s">
        <v>564</v>
      </c>
      <c r="D431" s="14" t="s">
        <v>565</v>
      </c>
      <c r="E431" s="14" t="s">
        <v>580</v>
      </c>
      <c r="F431" s="14" t="s">
        <v>64</v>
      </c>
      <c r="G431" s="15" t="s">
        <v>128</v>
      </c>
      <c r="H431" s="16" t="s">
        <v>143</v>
      </c>
      <c r="I431" s="14" t="s">
        <v>49</v>
      </c>
      <c r="J431" s="14">
        <v>860503370</v>
      </c>
      <c r="K431" s="14" t="s">
        <v>244</v>
      </c>
      <c r="L431" s="14" t="s">
        <v>103</v>
      </c>
      <c r="M431" s="14" t="s">
        <v>153</v>
      </c>
      <c r="N431" s="14">
        <v>2010</v>
      </c>
      <c r="O431" s="14">
        <v>10</v>
      </c>
      <c r="P431" s="14" t="s">
        <v>53</v>
      </c>
      <c r="Q431" s="14">
        <v>1</v>
      </c>
      <c r="R431" s="14">
        <v>1</v>
      </c>
      <c r="S431" s="17">
        <v>44834.357407407413</v>
      </c>
      <c r="T431" s="18">
        <v>260.27100000000002</v>
      </c>
      <c r="U431" s="14">
        <v>29</v>
      </c>
      <c r="V431" s="19">
        <v>0.96666666666666667</v>
      </c>
      <c r="W431" s="14">
        <v>0</v>
      </c>
      <c r="X431" s="14">
        <v>24</v>
      </c>
      <c r="Y431" s="14">
        <v>0</v>
      </c>
      <c r="Z431" s="14">
        <v>22</v>
      </c>
      <c r="AA431" s="14">
        <f>Tabla13[[#This Row],[CheckList App]]+Tabla13[[#This Row],[CheckList Fisc]]</f>
        <v>22</v>
      </c>
      <c r="AB431" s="19">
        <f t="shared" si="6"/>
        <v>0.91666666666666663</v>
      </c>
      <c r="AC431" s="14">
        <v>288</v>
      </c>
      <c r="AD431" s="14" t="s">
        <v>70</v>
      </c>
      <c r="AE431" s="15" t="str">
        <f>IFERROR((VLOOKUP(Tabla13[[#This Row],[ID]],[1]!Mtto_Pesv[[#Headers],[#Data],[Placa]:[Rutina]],2,FALSE)),"-")</f>
        <v>-</v>
      </c>
      <c r="AF431" s="14">
        <v>1</v>
      </c>
      <c r="AG431" s="20">
        <f>IFERROR((VLOOKUP(Tabla13[[#This Row],[ID]],[1]!Mtto_Pesv[[#Headers],[#Data],[Placa]:[Rutina]],3,FALSE)),0)</f>
        <v>0</v>
      </c>
      <c r="AH431" s="20">
        <f>IFERROR((VLOOKUP(Tabla13[[#This Row],[ID]],[1]!Mtto_Pesv[[#Headers],[#Data],[Placa]:[Rutina]],7,FALSE)),0)</f>
        <v>0</v>
      </c>
      <c r="AI431" s="20">
        <f>IFERROR((VLOOKUP(Tabla13[[#This Row],[ID]],[1]!Mtto_Pesv[[#Headers],[#Data],[Placa]:[Rutina]],8,FALSE)),0)</f>
        <v>0</v>
      </c>
      <c r="AJ431" s="20" t="str">
        <f>IFERROR((VLOOKUP(Tabla13[[#This Row],[ID]],[1]!Mtto_Pesv[[#Headers],[#Data],[Placa]:[Rutina]],9,FALSE)),"-")</f>
        <v>-</v>
      </c>
      <c r="AK431" s="20">
        <f>IFERROR((VLOOKUP(Tabla13[[#This Row],[ID]],[1]!Mtto_Pesv[[#Headers],[#Data],[Placa]:[Rutina]],10,FALSE)),0)</f>
        <v>0</v>
      </c>
      <c r="AL431" s="20">
        <f>IF(Tabla13[[#This Row],[Km Anterior]]=0,0,Tabla13[[#This Row],[Km Ejecut]]-Tabla13[[#This Row],[Km Anterior]])</f>
        <v>0</v>
      </c>
      <c r="AM431" s="20">
        <f>IFERROR((VLOOKUP(Tabla13[[#This Row],[ID]],[1]!Mtto_Pesv[[#Headers],[#Data],[Placa]:[Rutina]],4,FALSE)),0)</f>
        <v>0</v>
      </c>
      <c r="AN431" s="21">
        <f>IFERROR((VLOOKUP(Tabla13[[#This Row],[ID]],[1]!Mtto_Pesv[[#Headers],[#Data],[Placa]:[Rutina]],5,FALSE)),0)</f>
        <v>0</v>
      </c>
      <c r="AO431" s="21">
        <f>+Tabla13[[#This Row],[Km Fin]]-Tabla13[[#This Row],[Km Ini]]</f>
        <v>0</v>
      </c>
      <c r="AP431" s="20">
        <f>IFERROR((VLOOKUP(Tabla13[[#This Row],[ID]],[1]!Estilo_Conduccion[[#All],[Placa]:[Puntuacion]],15,FALSE)),0)</f>
        <v>1760.8</v>
      </c>
      <c r="AQ431" s="15" t="s">
        <v>54</v>
      </c>
      <c r="AR431" s="15" t="s">
        <v>1333</v>
      </c>
      <c r="AS431" s="20">
        <v>4500</v>
      </c>
      <c r="AT431" s="21">
        <v>0</v>
      </c>
      <c r="AU431" s="21">
        <f>(Tabla13[[#This Row],[Cap Vh]]*$AX$2)*0.56</f>
        <v>0</v>
      </c>
      <c r="AV431" s="36" t="e">
        <f>(Tabla13[[#This Row],[Cap Util (kg)]]/(Tabla13[[#This Row],[Cap Inst (Kg)]]))</f>
        <v>#DIV/0!</v>
      </c>
    </row>
    <row r="432" spans="1:48" x14ac:dyDescent="0.25">
      <c r="A432" s="13" t="s">
        <v>1068</v>
      </c>
      <c r="B432" s="14" t="s">
        <v>625</v>
      </c>
      <c r="C432" s="14" t="s">
        <v>564</v>
      </c>
      <c r="D432" s="14" t="s">
        <v>565</v>
      </c>
      <c r="E432" s="14" t="s">
        <v>573</v>
      </c>
      <c r="F432" s="14" t="s">
        <v>76</v>
      </c>
      <c r="G432" s="15" t="s">
        <v>89</v>
      </c>
      <c r="H432" s="16" t="s">
        <v>90</v>
      </c>
      <c r="I432" s="14" t="s">
        <v>49</v>
      </c>
      <c r="J432" s="14">
        <v>900335279</v>
      </c>
      <c r="K432" s="14" t="s">
        <v>77</v>
      </c>
      <c r="L432" s="14" t="s">
        <v>103</v>
      </c>
      <c r="M432" s="14" t="s">
        <v>104</v>
      </c>
      <c r="N432" s="14">
        <v>2011</v>
      </c>
      <c r="O432" s="14">
        <v>9</v>
      </c>
      <c r="P432" s="14" t="s">
        <v>53</v>
      </c>
      <c r="Q432" s="14">
        <v>0</v>
      </c>
      <c r="R432" s="14">
        <v>0</v>
      </c>
      <c r="S432" s="17" t="s">
        <v>54</v>
      </c>
      <c r="T432" s="18">
        <v>0</v>
      </c>
      <c r="U432" s="14">
        <v>0</v>
      </c>
      <c r="V432" s="19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f>Tabla13[[#This Row],[CheckList App]]+Tabla13[[#This Row],[CheckList Fisc]]</f>
        <v>0</v>
      </c>
      <c r="AB432" s="19" t="str">
        <f t="shared" si="6"/>
        <v/>
      </c>
      <c r="AC432" s="14">
        <v>0</v>
      </c>
      <c r="AD432" s="14" t="s">
        <v>55</v>
      </c>
      <c r="AE432" s="15" t="str">
        <f>IFERROR((VLOOKUP(Tabla13[[#This Row],[ID]],[1]!Mtto_Pesv[[#Headers],[#Data],[Placa]:[Rutina]],2,FALSE)),"-")</f>
        <v>-</v>
      </c>
      <c r="AF432" s="14">
        <v>0</v>
      </c>
      <c r="AG432" s="20">
        <f>IFERROR((VLOOKUP(Tabla13[[#This Row],[ID]],[1]!Mtto_Pesv[[#Headers],[#Data],[Placa]:[Rutina]],3,FALSE)),0)</f>
        <v>0</v>
      </c>
      <c r="AH432" s="20">
        <f>IFERROR((VLOOKUP(Tabla13[[#This Row],[ID]],[1]!Mtto_Pesv[[#Headers],[#Data],[Placa]:[Rutina]],7,FALSE)),0)</f>
        <v>0</v>
      </c>
      <c r="AI432" s="20">
        <f>IFERROR((VLOOKUP(Tabla13[[#This Row],[ID]],[1]!Mtto_Pesv[[#Headers],[#Data],[Placa]:[Rutina]],8,FALSE)),0)</f>
        <v>0</v>
      </c>
      <c r="AJ432" s="20" t="str">
        <f>IFERROR((VLOOKUP(Tabla13[[#This Row],[ID]],[1]!Mtto_Pesv[[#Headers],[#Data],[Placa]:[Rutina]],9,FALSE)),"-")</f>
        <v>-</v>
      </c>
      <c r="AK432" s="20">
        <f>IFERROR((VLOOKUP(Tabla13[[#This Row],[ID]],[1]!Mtto_Pesv[[#Headers],[#Data],[Placa]:[Rutina]],10,FALSE)),0)</f>
        <v>0</v>
      </c>
      <c r="AL432" s="20">
        <f>IF(Tabla13[[#This Row],[Km Anterior]]=0,0,Tabla13[[#This Row],[Km Ejecut]]-Tabla13[[#This Row],[Km Anterior]])</f>
        <v>0</v>
      </c>
      <c r="AM432" s="20">
        <f>IFERROR((VLOOKUP(Tabla13[[#This Row],[ID]],[1]!Mtto_Pesv[[#Headers],[#Data],[Placa]:[Rutina]],4,FALSE)),0)</f>
        <v>0</v>
      </c>
      <c r="AN432" s="21">
        <f>IFERROR((VLOOKUP(Tabla13[[#This Row],[ID]],[1]!Mtto_Pesv[[#Headers],[#Data],[Placa]:[Rutina]],5,FALSE)),0)</f>
        <v>0</v>
      </c>
      <c r="AO432" s="21">
        <f>+Tabla13[[#This Row],[Km Fin]]-Tabla13[[#This Row],[Km Ini]]</f>
        <v>0</v>
      </c>
      <c r="AP432" s="20">
        <f>IFERROR((VLOOKUP(Tabla13[[#This Row],[ID]],[1]!Estilo_Conduccion[[#All],[Placa]:[Puntuacion]],15,FALSE)),0)</f>
        <v>0</v>
      </c>
      <c r="AQ432" s="15" t="s">
        <v>1293</v>
      </c>
      <c r="AR432" s="15" t="s">
        <v>1294</v>
      </c>
      <c r="AS432" s="20">
        <v>3500</v>
      </c>
      <c r="AT432" s="21">
        <v>3616</v>
      </c>
      <c r="AU432" s="21">
        <f>(Tabla13[[#This Row],[Cap Vh]]*$AX$2)*0.56</f>
        <v>0</v>
      </c>
      <c r="AV432" s="36" t="e">
        <f>(Tabla13[[#This Row],[Cap Util (kg)]]/(Tabla13[[#This Row],[Cap Inst (Kg)]]))</f>
        <v>#DIV/0!</v>
      </c>
    </row>
    <row r="433" spans="1:48" x14ac:dyDescent="0.25">
      <c r="A433" s="13" t="s">
        <v>1068</v>
      </c>
      <c r="B433" s="14" t="s">
        <v>626</v>
      </c>
      <c r="C433" s="14" t="s">
        <v>564</v>
      </c>
      <c r="D433" s="14" t="s">
        <v>565</v>
      </c>
      <c r="E433" s="14" t="s">
        <v>580</v>
      </c>
      <c r="F433" s="14" t="s">
        <v>64</v>
      </c>
      <c r="G433" s="14" t="s">
        <v>65</v>
      </c>
      <c r="H433" s="16" t="s">
        <v>66</v>
      </c>
      <c r="I433" s="14" t="s">
        <v>49</v>
      </c>
      <c r="J433" s="14">
        <v>900335279</v>
      </c>
      <c r="K433" s="14" t="s">
        <v>77</v>
      </c>
      <c r="L433" s="14" t="s">
        <v>103</v>
      </c>
      <c r="M433" s="14" t="s">
        <v>121</v>
      </c>
      <c r="N433" s="14">
        <v>2011</v>
      </c>
      <c r="O433" s="14">
        <v>9</v>
      </c>
      <c r="P433" s="14" t="s">
        <v>53</v>
      </c>
      <c r="Q433" s="14">
        <v>0</v>
      </c>
      <c r="R433" s="14">
        <v>0</v>
      </c>
      <c r="S433" s="17" t="s">
        <v>54</v>
      </c>
      <c r="T433" s="18">
        <v>0</v>
      </c>
      <c r="U433" s="14">
        <v>0</v>
      </c>
      <c r="V433" s="19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f>Tabla13[[#This Row],[CheckList App]]+Tabla13[[#This Row],[CheckList Fisc]]</f>
        <v>0</v>
      </c>
      <c r="AB433" s="19" t="str">
        <f t="shared" si="6"/>
        <v/>
      </c>
      <c r="AC433" s="14">
        <v>656</v>
      </c>
      <c r="AD433" s="14" t="s">
        <v>70</v>
      </c>
      <c r="AE433" s="15" t="str">
        <f>IFERROR((VLOOKUP(Tabla13[[#This Row],[ID]],[1]!Mtto_Pesv[[#Headers],[#Data],[Placa]:[Rutina]],2,FALSE)),"-")</f>
        <v>-</v>
      </c>
      <c r="AF433" s="14">
        <v>1</v>
      </c>
      <c r="AG433" s="20">
        <f>IFERROR((VLOOKUP(Tabla13[[#This Row],[ID]],[1]!Mtto_Pesv[[#Headers],[#Data],[Placa]:[Rutina]],3,FALSE)),0)</f>
        <v>0</v>
      </c>
      <c r="AH433" s="20">
        <f>IFERROR((VLOOKUP(Tabla13[[#This Row],[ID]],[1]!Mtto_Pesv[[#Headers],[#Data],[Placa]:[Rutina]],7,FALSE)),0)</f>
        <v>0</v>
      </c>
      <c r="AI433" s="20">
        <f>IFERROR((VLOOKUP(Tabla13[[#This Row],[ID]],[1]!Mtto_Pesv[[#Headers],[#Data],[Placa]:[Rutina]],8,FALSE)),0)</f>
        <v>0</v>
      </c>
      <c r="AJ433" s="20" t="str">
        <f>IFERROR((VLOOKUP(Tabla13[[#This Row],[ID]],[1]!Mtto_Pesv[[#Headers],[#Data],[Placa]:[Rutina]],9,FALSE)),"-")</f>
        <v>-</v>
      </c>
      <c r="AK433" s="20">
        <f>IFERROR((VLOOKUP(Tabla13[[#This Row],[ID]],[1]!Mtto_Pesv[[#Headers],[#Data],[Placa]:[Rutina]],10,FALSE)),0)</f>
        <v>0</v>
      </c>
      <c r="AL433" s="20">
        <f>IF(Tabla13[[#This Row],[Km Anterior]]=0,0,Tabla13[[#This Row],[Km Ejecut]]-Tabla13[[#This Row],[Km Anterior]])</f>
        <v>0</v>
      </c>
      <c r="AM433" s="20">
        <f>IFERROR((VLOOKUP(Tabla13[[#This Row],[ID]],[1]!Mtto_Pesv[[#Headers],[#Data],[Placa]:[Rutina]],4,FALSE)),0)</f>
        <v>0</v>
      </c>
      <c r="AN433" s="21">
        <f>IFERROR((VLOOKUP(Tabla13[[#This Row],[ID]],[1]!Mtto_Pesv[[#Headers],[#Data],[Placa]:[Rutina]],5,FALSE)),0)</f>
        <v>0</v>
      </c>
      <c r="AO433" s="21">
        <f>+Tabla13[[#This Row],[Km Fin]]-Tabla13[[#This Row],[Km Ini]]</f>
        <v>0</v>
      </c>
      <c r="AP433" s="20">
        <f>IFERROR((VLOOKUP(Tabla13[[#This Row],[ID]],[1]!Estilo_Conduccion[[#All],[Placa]:[Puntuacion]],15,FALSE)),0)</f>
        <v>0</v>
      </c>
      <c r="AQ433" s="15" t="s">
        <v>54</v>
      </c>
      <c r="AR433" s="15" t="s">
        <v>54</v>
      </c>
      <c r="AS433" s="20">
        <v>2970</v>
      </c>
      <c r="AT433" s="21">
        <v>0</v>
      </c>
      <c r="AU433" s="21">
        <f>(Tabla13[[#This Row],[Cap Vh]]*$AX$2)*0.56</f>
        <v>0</v>
      </c>
      <c r="AV433" s="36" t="e">
        <f>(Tabla13[[#This Row],[Cap Util (kg)]]/(Tabla13[[#This Row],[Cap Inst (Kg)]]))</f>
        <v>#DIV/0!</v>
      </c>
    </row>
    <row r="434" spans="1:48" x14ac:dyDescent="0.25">
      <c r="A434" s="13" t="s">
        <v>1068</v>
      </c>
      <c r="B434" s="14" t="s">
        <v>627</v>
      </c>
      <c r="C434" s="14" t="s">
        <v>564</v>
      </c>
      <c r="D434" s="14" t="s">
        <v>565</v>
      </c>
      <c r="E434" s="14" t="s">
        <v>588</v>
      </c>
      <c r="F434" s="14" t="s">
        <v>64</v>
      </c>
      <c r="G434" s="14" t="s">
        <v>65</v>
      </c>
      <c r="H434" s="16" t="s">
        <v>66</v>
      </c>
      <c r="I434" s="14" t="s">
        <v>49</v>
      </c>
      <c r="J434" s="14">
        <v>900335279</v>
      </c>
      <c r="K434" s="14" t="s">
        <v>77</v>
      </c>
      <c r="L434" s="14" t="s">
        <v>103</v>
      </c>
      <c r="M434" s="14" t="s">
        <v>121</v>
      </c>
      <c r="N434" s="14">
        <v>2011</v>
      </c>
      <c r="O434" s="14">
        <v>9</v>
      </c>
      <c r="P434" s="14" t="s">
        <v>53</v>
      </c>
      <c r="Q434" s="14">
        <v>0</v>
      </c>
      <c r="R434" s="14">
        <v>0</v>
      </c>
      <c r="S434" s="17" t="s">
        <v>54</v>
      </c>
      <c r="T434" s="18">
        <v>0</v>
      </c>
      <c r="U434" s="14">
        <v>0</v>
      </c>
      <c r="V434" s="19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f>Tabla13[[#This Row],[CheckList App]]+Tabla13[[#This Row],[CheckList Fisc]]</f>
        <v>0</v>
      </c>
      <c r="AB434" s="19" t="str">
        <f t="shared" si="6"/>
        <v/>
      </c>
      <c r="AC434" s="14">
        <v>72</v>
      </c>
      <c r="AD434" s="14" t="s">
        <v>70</v>
      </c>
      <c r="AE434" s="15" t="str">
        <f>IFERROR((VLOOKUP(Tabla13[[#This Row],[ID]],[1]!Mtto_Pesv[[#Headers],[#Data],[Placa]:[Rutina]],2,FALSE)),"-")</f>
        <v>-</v>
      </c>
      <c r="AF434" s="14">
        <v>1</v>
      </c>
      <c r="AG434" s="20">
        <f>IFERROR((VLOOKUP(Tabla13[[#This Row],[ID]],[1]!Mtto_Pesv[[#Headers],[#Data],[Placa]:[Rutina]],3,FALSE)),0)</f>
        <v>0</v>
      </c>
      <c r="AH434" s="20">
        <f>IFERROR((VLOOKUP(Tabla13[[#This Row],[ID]],[1]!Mtto_Pesv[[#Headers],[#Data],[Placa]:[Rutina]],7,FALSE)),0)</f>
        <v>0</v>
      </c>
      <c r="AI434" s="20">
        <f>IFERROR((VLOOKUP(Tabla13[[#This Row],[ID]],[1]!Mtto_Pesv[[#Headers],[#Data],[Placa]:[Rutina]],8,FALSE)),0)</f>
        <v>0</v>
      </c>
      <c r="AJ434" s="20" t="str">
        <f>IFERROR((VLOOKUP(Tabla13[[#This Row],[ID]],[1]!Mtto_Pesv[[#Headers],[#Data],[Placa]:[Rutina]],9,FALSE)),"-")</f>
        <v>-</v>
      </c>
      <c r="AK434" s="20">
        <f>IFERROR((VLOOKUP(Tabla13[[#This Row],[ID]],[1]!Mtto_Pesv[[#Headers],[#Data],[Placa]:[Rutina]],10,FALSE)),0)</f>
        <v>0</v>
      </c>
      <c r="AL434" s="20">
        <f>IF(Tabla13[[#This Row],[Km Anterior]]=0,0,Tabla13[[#This Row],[Km Ejecut]]-Tabla13[[#This Row],[Km Anterior]])</f>
        <v>0</v>
      </c>
      <c r="AM434" s="20">
        <f>IFERROR((VLOOKUP(Tabla13[[#This Row],[ID]],[1]!Mtto_Pesv[[#Headers],[#Data],[Placa]:[Rutina]],4,FALSE)),0)</f>
        <v>0</v>
      </c>
      <c r="AN434" s="21">
        <f>IFERROR((VLOOKUP(Tabla13[[#This Row],[ID]],[1]!Mtto_Pesv[[#Headers],[#Data],[Placa]:[Rutina]],5,FALSE)),0)</f>
        <v>0</v>
      </c>
      <c r="AO434" s="21">
        <f>+Tabla13[[#This Row],[Km Fin]]-Tabla13[[#This Row],[Km Ini]]</f>
        <v>0</v>
      </c>
      <c r="AP434" s="20">
        <f>IFERROR((VLOOKUP(Tabla13[[#This Row],[ID]],[1]!Estilo_Conduccion[[#All],[Placa]:[Puntuacion]],15,FALSE)),0)</f>
        <v>0</v>
      </c>
      <c r="AQ434" s="15" t="s">
        <v>54</v>
      </c>
      <c r="AR434" s="15" t="s">
        <v>54</v>
      </c>
      <c r="AS434" s="20">
        <v>2970</v>
      </c>
      <c r="AT434" s="21">
        <v>0</v>
      </c>
      <c r="AU434" s="21">
        <f>(Tabla13[[#This Row],[Cap Vh]]*$AX$2)*0.56</f>
        <v>0</v>
      </c>
      <c r="AV434" s="36" t="e">
        <f>(Tabla13[[#This Row],[Cap Util (kg)]]/(Tabla13[[#This Row],[Cap Inst (Kg)]]))</f>
        <v>#DIV/0!</v>
      </c>
    </row>
    <row r="435" spans="1:48" x14ac:dyDescent="0.25">
      <c r="A435" s="13" t="s">
        <v>1068</v>
      </c>
      <c r="B435" s="14" t="s">
        <v>628</v>
      </c>
      <c r="C435" s="14" t="s">
        <v>564</v>
      </c>
      <c r="D435" s="14" t="s">
        <v>565</v>
      </c>
      <c r="E435" s="14" t="s">
        <v>575</v>
      </c>
      <c r="F435" s="14" t="s">
        <v>64</v>
      </c>
      <c r="G435" s="14" t="s">
        <v>65</v>
      </c>
      <c r="H435" s="16" t="s">
        <v>66</v>
      </c>
      <c r="I435" s="14" t="s">
        <v>49</v>
      </c>
      <c r="J435" s="14">
        <v>900335279</v>
      </c>
      <c r="K435" s="14" t="s">
        <v>77</v>
      </c>
      <c r="L435" s="14" t="s">
        <v>103</v>
      </c>
      <c r="M435" s="14" t="s">
        <v>121</v>
      </c>
      <c r="N435" s="14">
        <v>2011</v>
      </c>
      <c r="O435" s="14">
        <v>9</v>
      </c>
      <c r="P435" s="14" t="s">
        <v>53</v>
      </c>
      <c r="Q435" s="14">
        <v>0</v>
      </c>
      <c r="R435" s="14">
        <v>0</v>
      </c>
      <c r="S435" s="17" t="s">
        <v>54</v>
      </c>
      <c r="T435" s="18">
        <v>0</v>
      </c>
      <c r="U435" s="14">
        <v>0</v>
      </c>
      <c r="V435" s="19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f>Tabla13[[#This Row],[CheckList App]]+Tabla13[[#This Row],[CheckList Fisc]]</f>
        <v>0</v>
      </c>
      <c r="AB435" s="19" t="str">
        <f t="shared" si="6"/>
        <v/>
      </c>
      <c r="AC435" s="14">
        <v>0</v>
      </c>
      <c r="AD435" s="14" t="s">
        <v>70</v>
      </c>
      <c r="AE435" s="15" t="str">
        <f>IFERROR((VLOOKUP(Tabla13[[#This Row],[ID]],[1]!Mtto_Pesv[[#Headers],[#Data],[Placa]:[Rutina]],2,FALSE)),"-")</f>
        <v>-</v>
      </c>
      <c r="AF435" s="14">
        <v>1</v>
      </c>
      <c r="AG435" s="20">
        <f>IFERROR((VLOOKUP(Tabla13[[#This Row],[ID]],[1]!Mtto_Pesv[[#Headers],[#Data],[Placa]:[Rutina]],3,FALSE)),0)</f>
        <v>0</v>
      </c>
      <c r="AH435" s="20">
        <f>IFERROR((VLOOKUP(Tabla13[[#This Row],[ID]],[1]!Mtto_Pesv[[#Headers],[#Data],[Placa]:[Rutina]],7,FALSE)),0)</f>
        <v>0</v>
      </c>
      <c r="AI435" s="20">
        <f>IFERROR((VLOOKUP(Tabla13[[#This Row],[ID]],[1]!Mtto_Pesv[[#Headers],[#Data],[Placa]:[Rutina]],8,FALSE)),0)</f>
        <v>0</v>
      </c>
      <c r="AJ435" s="20" t="str">
        <f>IFERROR((VLOOKUP(Tabla13[[#This Row],[ID]],[1]!Mtto_Pesv[[#Headers],[#Data],[Placa]:[Rutina]],9,FALSE)),"-")</f>
        <v>-</v>
      </c>
      <c r="AK435" s="20">
        <f>IFERROR((VLOOKUP(Tabla13[[#This Row],[ID]],[1]!Mtto_Pesv[[#Headers],[#Data],[Placa]:[Rutina]],10,FALSE)),0)</f>
        <v>0</v>
      </c>
      <c r="AL435" s="20">
        <f>IF(Tabla13[[#This Row],[Km Anterior]]=0,0,Tabla13[[#This Row],[Km Ejecut]]-Tabla13[[#This Row],[Km Anterior]])</f>
        <v>0</v>
      </c>
      <c r="AM435" s="20">
        <f>IFERROR((VLOOKUP(Tabla13[[#This Row],[ID]],[1]!Mtto_Pesv[[#Headers],[#Data],[Placa]:[Rutina]],4,FALSE)),0)</f>
        <v>0</v>
      </c>
      <c r="AN435" s="21">
        <f>IFERROR((VLOOKUP(Tabla13[[#This Row],[ID]],[1]!Mtto_Pesv[[#Headers],[#Data],[Placa]:[Rutina]],5,FALSE)),0)</f>
        <v>0</v>
      </c>
      <c r="AO435" s="21">
        <f>+Tabla13[[#This Row],[Km Fin]]-Tabla13[[#This Row],[Km Ini]]</f>
        <v>0</v>
      </c>
      <c r="AP435" s="20">
        <f>IFERROR((VLOOKUP(Tabla13[[#This Row],[ID]],[1]!Estilo_Conduccion[[#All],[Placa]:[Puntuacion]],15,FALSE)),0)</f>
        <v>0</v>
      </c>
      <c r="AQ435" s="15" t="s">
        <v>54</v>
      </c>
      <c r="AR435" s="15" t="s">
        <v>54</v>
      </c>
      <c r="AS435" s="20">
        <v>2970</v>
      </c>
      <c r="AT435" s="21">
        <v>0</v>
      </c>
      <c r="AU435" s="21">
        <f>(Tabla13[[#This Row],[Cap Vh]]*$AX$2)*0.56</f>
        <v>0</v>
      </c>
      <c r="AV435" s="36" t="e">
        <f>(Tabla13[[#This Row],[Cap Util (kg)]]/(Tabla13[[#This Row],[Cap Inst (Kg)]]))</f>
        <v>#DIV/0!</v>
      </c>
    </row>
    <row r="436" spans="1:48" x14ac:dyDescent="0.25">
      <c r="A436" s="13" t="s">
        <v>1068</v>
      </c>
      <c r="B436" s="14" t="s">
        <v>629</v>
      </c>
      <c r="C436" s="14" t="s">
        <v>564</v>
      </c>
      <c r="D436" s="14" t="s">
        <v>577</v>
      </c>
      <c r="E436" s="14" t="s">
        <v>598</v>
      </c>
      <c r="F436" s="14" t="s">
        <v>64</v>
      </c>
      <c r="G436" s="14" t="s">
        <v>65</v>
      </c>
      <c r="H436" s="16" t="s">
        <v>143</v>
      </c>
      <c r="I436" s="14" t="s">
        <v>49</v>
      </c>
      <c r="J436" s="14">
        <v>900335279</v>
      </c>
      <c r="K436" s="14" t="s">
        <v>77</v>
      </c>
      <c r="L436" s="14" t="s">
        <v>103</v>
      </c>
      <c r="M436" s="14" t="s">
        <v>121</v>
      </c>
      <c r="N436" s="14">
        <v>2011</v>
      </c>
      <c r="O436" s="14">
        <v>9</v>
      </c>
      <c r="P436" s="14" t="s">
        <v>53</v>
      </c>
      <c r="Q436" s="14">
        <v>1</v>
      </c>
      <c r="R436" s="14">
        <v>0</v>
      </c>
      <c r="S436" s="17" t="s">
        <v>54</v>
      </c>
      <c r="T436" s="18">
        <v>0</v>
      </c>
      <c r="U436" s="14">
        <v>0</v>
      </c>
      <c r="V436" s="19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f>Tabla13[[#This Row],[CheckList App]]+Tabla13[[#This Row],[CheckList Fisc]]</f>
        <v>0</v>
      </c>
      <c r="AB436" s="19" t="str">
        <f t="shared" si="6"/>
        <v/>
      </c>
      <c r="AC436" s="14">
        <v>1</v>
      </c>
      <c r="AD436" s="14" t="s">
        <v>70</v>
      </c>
      <c r="AE436" s="15" t="str">
        <f>IFERROR((VLOOKUP(Tabla13[[#This Row],[ID]],[1]!Mtto_Pesv[[#Headers],[#Data],[Placa]:[Rutina]],2,FALSE)),"-")</f>
        <v>-</v>
      </c>
      <c r="AF436" s="14">
        <v>1</v>
      </c>
      <c r="AG436" s="20">
        <f>IFERROR((VLOOKUP(Tabla13[[#This Row],[ID]],[1]!Mtto_Pesv[[#Headers],[#Data],[Placa]:[Rutina]],3,FALSE)),0)</f>
        <v>0</v>
      </c>
      <c r="AH436" s="20">
        <f>IFERROR((VLOOKUP(Tabla13[[#This Row],[ID]],[1]!Mtto_Pesv[[#Headers],[#Data],[Placa]:[Rutina]],7,FALSE)),0)</f>
        <v>0</v>
      </c>
      <c r="AI436" s="20">
        <f>IFERROR((VLOOKUP(Tabla13[[#This Row],[ID]],[1]!Mtto_Pesv[[#Headers],[#Data],[Placa]:[Rutina]],8,FALSE)),0)</f>
        <v>0</v>
      </c>
      <c r="AJ436" s="20" t="str">
        <f>IFERROR((VLOOKUP(Tabla13[[#This Row],[ID]],[1]!Mtto_Pesv[[#Headers],[#Data],[Placa]:[Rutina]],9,FALSE)),"-")</f>
        <v>-</v>
      </c>
      <c r="AK436" s="20">
        <f>IFERROR((VLOOKUP(Tabla13[[#This Row],[ID]],[1]!Mtto_Pesv[[#Headers],[#Data],[Placa]:[Rutina]],10,FALSE)),0)</f>
        <v>0</v>
      </c>
      <c r="AL436" s="20">
        <f>IF(Tabla13[[#This Row],[Km Anterior]]=0,0,Tabla13[[#This Row],[Km Ejecut]]-Tabla13[[#This Row],[Km Anterior]])</f>
        <v>0</v>
      </c>
      <c r="AM436" s="20">
        <f>IFERROR((VLOOKUP(Tabla13[[#This Row],[ID]],[1]!Mtto_Pesv[[#Headers],[#Data],[Placa]:[Rutina]],4,FALSE)),0)</f>
        <v>0</v>
      </c>
      <c r="AN436" s="21">
        <f>IFERROR((VLOOKUP(Tabla13[[#This Row],[ID]],[1]!Mtto_Pesv[[#Headers],[#Data],[Placa]:[Rutina]],5,FALSE)),0)</f>
        <v>0</v>
      </c>
      <c r="AO436" s="21">
        <f>+Tabla13[[#This Row],[Km Fin]]-Tabla13[[#This Row],[Km Ini]]</f>
        <v>0</v>
      </c>
      <c r="AP436" s="20">
        <f>IFERROR((VLOOKUP(Tabla13[[#This Row],[ID]],[1]!Estilo_Conduccion[[#All],[Placa]:[Puntuacion]],15,FALSE)),0)</f>
        <v>0</v>
      </c>
      <c r="AQ436" s="15" t="s">
        <v>54</v>
      </c>
      <c r="AR436" s="15" t="s">
        <v>1334</v>
      </c>
      <c r="AS436" s="20">
        <v>2970</v>
      </c>
      <c r="AT436" s="21">
        <v>0</v>
      </c>
      <c r="AU436" s="21">
        <f>(Tabla13[[#This Row],[Cap Vh]]*$AX$2)*0.56</f>
        <v>0</v>
      </c>
      <c r="AV436" s="36" t="e">
        <f>(Tabla13[[#This Row],[Cap Util (kg)]]/(Tabla13[[#This Row],[Cap Inst (Kg)]]))</f>
        <v>#DIV/0!</v>
      </c>
    </row>
    <row r="437" spans="1:48" x14ac:dyDescent="0.25">
      <c r="A437" s="13" t="s">
        <v>1068</v>
      </c>
      <c r="B437" s="14" t="s">
        <v>630</v>
      </c>
      <c r="C437" s="14" t="s">
        <v>564</v>
      </c>
      <c r="D437" s="14" t="s">
        <v>565</v>
      </c>
      <c r="E437" s="14" t="s">
        <v>569</v>
      </c>
      <c r="F437" s="14" t="s">
        <v>76</v>
      </c>
      <c r="G437" s="14" t="s">
        <v>65</v>
      </c>
      <c r="H437" s="16" t="s">
        <v>66</v>
      </c>
      <c r="I437" s="14" t="s">
        <v>49</v>
      </c>
      <c r="J437" s="14">
        <v>900335279</v>
      </c>
      <c r="K437" s="14" t="s">
        <v>77</v>
      </c>
      <c r="L437" s="14" t="s">
        <v>103</v>
      </c>
      <c r="M437" s="14" t="s">
        <v>121</v>
      </c>
      <c r="N437" s="14">
        <v>2011</v>
      </c>
      <c r="O437" s="14">
        <v>9</v>
      </c>
      <c r="P437" s="14" t="s">
        <v>53</v>
      </c>
      <c r="Q437" s="14">
        <v>0</v>
      </c>
      <c r="R437" s="14">
        <v>0</v>
      </c>
      <c r="S437" s="17" t="s">
        <v>54</v>
      </c>
      <c r="T437" s="18">
        <v>0</v>
      </c>
      <c r="U437" s="14">
        <v>0</v>
      </c>
      <c r="V437" s="19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f>Tabla13[[#This Row],[CheckList App]]+Tabla13[[#This Row],[CheckList Fisc]]</f>
        <v>0</v>
      </c>
      <c r="AB437" s="19" t="str">
        <f t="shared" si="6"/>
        <v/>
      </c>
      <c r="AC437" s="14">
        <v>0</v>
      </c>
      <c r="AD437" s="14" t="s">
        <v>70</v>
      </c>
      <c r="AE437" s="15" t="str">
        <f>IFERROR((VLOOKUP(Tabla13[[#This Row],[ID]],[1]!Mtto_Pesv[[#Headers],[#Data],[Placa]:[Rutina]],2,FALSE)),"-")</f>
        <v>-</v>
      </c>
      <c r="AF437" s="14">
        <v>1</v>
      </c>
      <c r="AG437" s="20">
        <f>IFERROR((VLOOKUP(Tabla13[[#This Row],[ID]],[1]!Mtto_Pesv[[#Headers],[#Data],[Placa]:[Rutina]],3,FALSE)),0)</f>
        <v>0</v>
      </c>
      <c r="AH437" s="20">
        <f>IFERROR((VLOOKUP(Tabla13[[#This Row],[ID]],[1]!Mtto_Pesv[[#Headers],[#Data],[Placa]:[Rutina]],7,FALSE)),0)</f>
        <v>0</v>
      </c>
      <c r="AI437" s="20">
        <f>IFERROR((VLOOKUP(Tabla13[[#This Row],[ID]],[1]!Mtto_Pesv[[#Headers],[#Data],[Placa]:[Rutina]],8,FALSE)),0)</f>
        <v>0</v>
      </c>
      <c r="AJ437" s="20" t="str">
        <f>IFERROR((VLOOKUP(Tabla13[[#This Row],[ID]],[1]!Mtto_Pesv[[#Headers],[#Data],[Placa]:[Rutina]],9,FALSE)),"-")</f>
        <v>-</v>
      </c>
      <c r="AK437" s="20">
        <f>IFERROR((VLOOKUP(Tabla13[[#This Row],[ID]],[1]!Mtto_Pesv[[#Headers],[#Data],[Placa]:[Rutina]],10,FALSE)),0)</f>
        <v>0</v>
      </c>
      <c r="AL437" s="20">
        <f>IF(Tabla13[[#This Row],[Km Anterior]]=0,0,Tabla13[[#This Row],[Km Ejecut]]-Tabla13[[#This Row],[Km Anterior]])</f>
        <v>0</v>
      </c>
      <c r="AM437" s="20">
        <f>IFERROR((VLOOKUP(Tabla13[[#This Row],[ID]],[1]!Mtto_Pesv[[#Headers],[#Data],[Placa]:[Rutina]],4,FALSE)),0)</f>
        <v>0</v>
      </c>
      <c r="AN437" s="21">
        <f>IFERROR((VLOOKUP(Tabla13[[#This Row],[ID]],[1]!Mtto_Pesv[[#Headers],[#Data],[Placa]:[Rutina]],5,FALSE)),0)</f>
        <v>0</v>
      </c>
      <c r="AO437" s="21">
        <f>+Tabla13[[#This Row],[Km Fin]]-Tabla13[[#This Row],[Km Ini]]</f>
        <v>0</v>
      </c>
      <c r="AP437" s="20">
        <f>IFERROR((VLOOKUP(Tabla13[[#This Row],[ID]],[1]!Estilo_Conduccion[[#All],[Placa]:[Puntuacion]],15,FALSE)),0)</f>
        <v>0</v>
      </c>
      <c r="AQ437" s="15" t="s">
        <v>54</v>
      </c>
      <c r="AR437" s="15" t="s">
        <v>54</v>
      </c>
      <c r="AS437" s="20">
        <v>2970</v>
      </c>
      <c r="AT437" s="21">
        <v>0</v>
      </c>
      <c r="AU437" s="21">
        <f>(Tabla13[[#This Row],[Cap Vh]]*$AX$2)*0.56</f>
        <v>0</v>
      </c>
      <c r="AV437" s="36" t="e">
        <f>(Tabla13[[#This Row],[Cap Util (kg)]]/(Tabla13[[#This Row],[Cap Inst (Kg)]]))</f>
        <v>#DIV/0!</v>
      </c>
    </row>
    <row r="438" spans="1:48" x14ac:dyDescent="0.25">
      <c r="A438" s="13" t="s">
        <v>1068</v>
      </c>
      <c r="B438" s="14" t="s">
        <v>631</v>
      </c>
      <c r="C438" s="14" t="s">
        <v>564</v>
      </c>
      <c r="D438" s="14" t="s">
        <v>565</v>
      </c>
      <c r="E438" s="14" t="s">
        <v>575</v>
      </c>
      <c r="F438" s="14" t="s">
        <v>64</v>
      </c>
      <c r="G438" s="14" t="s">
        <v>65</v>
      </c>
      <c r="H438" s="16" t="s">
        <v>66</v>
      </c>
      <c r="I438" s="14" t="s">
        <v>49</v>
      </c>
      <c r="J438" s="14">
        <v>900335279</v>
      </c>
      <c r="K438" s="14" t="s">
        <v>77</v>
      </c>
      <c r="L438" s="14" t="s">
        <v>186</v>
      </c>
      <c r="M438" s="14" t="s">
        <v>290</v>
      </c>
      <c r="N438" s="14">
        <v>2011</v>
      </c>
      <c r="O438" s="14">
        <v>9</v>
      </c>
      <c r="P438" s="14" t="s">
        <v>53</v>
      </c>
      <c r="Q438" s="14">
        <v>0</v>
      </c>
      <c r="R438" s="14">
        <v>0</v>
      </c>
      <c r="S438" s="17" t="s">
        <v>54</v>
      </c>
      <c r="T438" s="18">
        <v>0</v>
      </c>
      <c r="U438" s="14">
        <v>0</v>
      </c>
      <c r="V438" s="19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f>Tabla13[[#This Row],[CheckList App]]+Tabla13[[#This Row],[CheckList Fisc]]</f>
        <v>0</v>
      </c>
      <c r="AB438" s="19" t="str">
        <f t="shared" si="6"/>
        <v/>
      </c>
      <c r="AC438" s="14">
        <v>151</v>
      </c>
      <c r="AD438" s="14" t="s">
        <v>70</v>
      </c>
      <c r="AE438" s="15" t="str">
        <f>IFERROR((VLOOKUP(Tabla13[[#This Row],[ID]],[1]!Mtto_Pesv[[#Headers],[#Data],[Placa]:[Rutina]],2,FALSE)),"-")</f>
        <v>-</v>
      </c>
      <c r="AF438" s="14">
        <v>1</v>
      </c>
      <c r="AG438" s="20">
        <f>IFERROR((VLOOKUP(Tabla13[[#This Row],[ID]],[1]!Mtto_Pesv[[#Headers],[#Data],[Placa]:[Rutina]],3,FALSE)),0)</f>
        <v>0</v>
      </c>
      <c r="AH438" s="20">
        <f>IFERROR((VLOOKUP(Tabla13[[#This Row],[ID]],[1]!Mtto_Pesv[[#Headers],[#Data],[Placa]:[Rutina]],7,FALSE)),0)</f>
        <v>0</v>
      </c>
      <c r="AI438" s="20">
        <f>IFERROR((VLOOKUP(Tabla13[[#This Row],[ID]],[1]!Mtto_Pesv[[#Headers],[#Data],[Placa]:[Rutina]],8,FALSE)),0)</f>
        <v>0</v>
      </c>
      <c r="AJ438" s="20" t="str">
        <f>IFERROR((VLOOKUP(Tabla13[[#This Row],[ID]],[1]!Mtto_Pesv[[#Headers],[#Data],[Placa]:[Rutina]],9,FALSE)),"-")</f>
        <v>-</v>
      </c>
      <c r="AK438" s="20">
        <f>IFERROR((VLOOKUP(Tabla13[[#This Row],[ID]],[1]!Mtto_Pesv[[#Headers],[#Data],[Placa]:[Rutina]],10,FALSE)),0)</f>
        <v>0</v>
      </c>
      <c r="AL438" s="20">
        <f>IF(Tabla13[[#This Row],[Km Anterior]]=0,0,Tabla13[[#This Row],[Km Ejecut]]-Tabla13[[#This Row],[Km Anterior]])</f>
        <v>0</v>
      </c>
      <c r="AM438" s="20">
        <f>IFERROR((VLOOKUP(Tabla13[[#This Row],[ID]],[1]!Mtto_Pesv[[#Headers],[#Data],[Placa]:[Rutina]],4,FALSE)),0)</f>
        <v>0</v>
      </c>
      <c r="AN438" s="21">
        <f>IFERROR((VLOOKUP(Tabla13[[#This Row],[ID]],[1]!Mtto_Pesv[[#Headers],[#Data],[Placa]:[Rutina]],5,FALSE)),0)</f>
        <v>0</v>
      </c>
      <c r="AO438" s="21">
        <f>+Tabla13[[#This Row],[Km Fin]]-Tabla13[[#This Row],[Km Ini]]</f>
        <v>0</v>
      </c>
      <c r="AP438" s="20">
        <f>IFERROR((VLOOKUP(Tabla13[[#This Row],[ID]],[1]!Estilo_Conduccion[[#All],[Placa]:[Puntuacion]],15,FALSE)),0)</f>
        <v>0</v>
      </c>
      <c r="AQ438" s="15" t="s">
        <v>54</v>
      </c>
      <c r="AR438" s="15" t="s">
        <v>54</v>
      </c>
      <c r="AS438" s="20">
        <v>1000</v>
      </c>
      <c r="AT438" s="21">
        <v>0</v>
      </c>
      <c r="AU438" s="21">
        <f>(Tabla13[[#This Row],[Cap Vh]]*$AX$2)*0.56</f>
        <v>0</v>
      </c>
      <c r="AV438" s="36" t="e">
        <f>(Tabla13[[#This Row],[Cap Util (kg)]]/(Tabla13[[#This Row],[Cap Inst (Kg)]]))</f>
        <v>#DIV/0!</v>
      </c>
    </row>
    <row r="439" spans="1:48" x14ac:dyDescent="0.25">
      <c r="A439" s="13" t="s">
        <v>1068</v>
      </c>
      <c r="B439" s="14" t="s">
        <v>632</v>
      </c>
      <c r="C439" s="14" t="s">
        <v>564</v>
      </c>
      <c r="D439" s="14" t="s">
        <v>565</v>
      </c>
      <c r="E439" s="14" t="s">
        <v>566</v>
      </c>
      <c r="F439" s="14" t="s">
        <v>64</v>
      </c>
      <c r="G439" s="14" t="s">
        <v>65</v>
      </c>
      <c r="H439" s="16" t="s">
        <v>66</v>
      </c>
      <c r="I439" s="14" t="s">
        <v>184</v>
      </c>
      <c r="J439" s="14">
        <v>900335279</v>
      </c>
      <c r="K439" s="14" t="s">
        <v>77</v>
      </c>
      <c r="L439" s="14" t="s">
        <v>186</v>
      </c>
      <c r="M439" s="14" t="s">
        <v>290</v>
      </c>
      <c r="N439" s="14">
        <v>2011</v>
      </c>
      <c r="O439" s="14">
        <v>9</v>
      </c>
      <c r="P439" s="14" t="s">
        <v>53</v>
      </c>
      <c r="Q439" s="14">
        <v>0</v>
      </c>
      <c r="R439" s="14">
        <v>0</v>
      </c>
      <c r="S439" s="17" t="s">
        <v>54</v>
      </c>
      <c r="T439" s="18">
        <v>0</v>
      </c>
      <c r="U439" s="14">
        <v>0</v>
      </c>
      <c r="V439" s="19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f>Tabla13[[#This Row],[CheckList App]]+Tabla13[[#This Row],[CheckList Fisc]]</f>
        <v>0</v>
      </c>
      <c r="AB439" s="19" t="str">
        <f t="shared" si="6"/>
        <v/>
      </c>
      <c r="AC439" s="14">
        <v>1</v>
      </c>
      <c r="AD439" s="14" t="s">
        <v>70</v>
      </c>
      <c r="AE439" s="15" t="str">
        <f>IFERROR((VLOOKUP(Tabla13[[#This Row],[ID]],[1]!Mtto_Pesv[[#Headers],[#Data],[Placa]:[Rutina]],2,FALSE)),"-")</f>
        <v>-</v>
      </c>
      <c r="AF439" s="14">
        <v>1</v>
      </c>
      <c r="AG439" s="20">
        <f>IFERROR((VLOOKUP(Tabla13[[#This Row],[ID]],[1]!Mtto_Pesv[[#Headers],[#Data],[Placa]:[Rutina]],3,FALSE)),0)</f>
        <v>0</v>
      </c>
      <c r="AH439" s="20">
        <f>IFERROR((VLOOKUP(Tabla13[[#This Row],[ID]],[1]!Mtto_Pesv[[#Headers],[#Data],[Placa]:[Rutina]],7,FALSE)),0)</f>
        <v>0</v>
      </c>
      <c r="AI439" s="20">
        <f>IFERROR((VLOOKUP(Tabla13[[#This Row],[ID]],[1]!Mtto_Pesv[[#Headers],[#Data],[Placa]:[Rutina]],8,FALSE)),0)</f>
        <v>0</v>
      </c>
      <c r="AJ439" s="20" t="str">
        <f>IFERROR((VLOOKUP(Tabla13[[#This Row],[ID]],[1]!Mtto_Pesv[[#Headers],[#Data],[Placa]:[Rutina]],9,FALSE)),"-")</f>
        <v>-</v>
      </c>
      <c r="AK439" s="20">
        <f>IFERROR((VLOOKUP(Tabla13[[#This Row],[ID]],[1]!Mtto_Pesv[[#Headers],[#Data],[Placa]:[Rutina]],10,FALSE)),0)</f>
        <v>0</v>
      </c>
      <c r="AL439" s="20">
        <f>IF(Tabla13[[#This Row],[Km Anterior]]=0,0,Tabla13[[#This Row],[Km Ejecut]]-Tabla13[[#This Row],[Km Anterior]])</f>
        <v>0</v>
      </c>
      <c r="AM439" s="20">
        <f>IFERROR((VLOOKUP(Tabla13[[#This Row],[ID]],[1]!Mtto_Pesv[[#Headers],[#Data],[Placa]:[Rutina]],4,FALSE)),0)</f>
        <v>0</v>
      </c>
      <c r="AN439" s="21">
        <f>IFERROR((VLOOKUP(Tabla13[[#This Row],[ID]],[1]!Mtto_Pesv[[#Headers],[#Data],[Placa]:[Rutina]],5,FALSE)),0)</f>
        <v>0</v>
      </c>
      <c r="AO439" s="21">
        <f>+Tabla13[[#This Row],[Km Fin]]-Tabla13[[#This Row],[Km Ini]]</f>
        <v>0</v>
      </c>
      <c r="AP439" s="20">
        <f>IFERROR((VLOOKUP(Tabla13[[#This Row],[ID]],[1]!Estilo_Conduccion[[#All],[Placa]:[Puntuacion]],15,FALSE)),0)</f>
        <v>0</v>
      </c>
      <c r="AQ439" s="15" t="s">
        <v>54</v>
      </c>
      <c r="AR439" s="15" t="s">
        <v>54</v>
      </c>
      <c r="AS439" s="20">
        <v>1000</v>
      </c>
      <c r="AT439" s="21">
        <v>0</v>
      </c>
      <c r="AU439" s="21">
        <f>(Tabla13[[#This Row],[Cap Vh]]*$AX$2)*0.56</f>
        <v>0</v>
      </c>
      <c r="AV439" s="36" t="e">
        <f>(Tabla13[[#This Row],[Cap Util (kg)]]/(Tabla13[[#This Row],[Cap Inst (Kg)]]))</f>
        <v>#DIV/0!</v>
      </c>
    </row>
    <row r="440" spans="1:48" x14ac:dyDescent="0.25">
      <c r="A440" s="13" t="s">
        <v>1068</v>
      </c>
      <c r="B440" s="14" t="s">
        <v>633</v>
      </c>
      <c r="C440" s="14" t="s">
        <v>564</v>
      </c>
      <c r="D440" s="14" t="s">
        <v>565</v>
      </c>
      <c r="E440" s="14" t="s">
        <v>573</v>
      </c>
      <c r="F440" s="14" t="s">
        <v>76</v>
      </c>
      <c r="G440" s="15" t="s">
        <v>89</v>
      </c>
      <c r="H440" s="16" t="s">
        <v>90</v>
      </c>
      <c r="I440" s="14" t="s">
        <v>49</v>
      </c>
      <c r="J440" s="14">
        <v>900335279</v>
      </c>
      <c r="K440" s="14" t="s">
        <v>77</v>
      </c>
      <c r="L440" s="14" t="s">
        <v>186</v>
      </c>
      <c r="M440" s="14" t="s">
        <v>290</v>
      </c>
      <c r="N440" s="14">
        <v>2011</v>
      </c>
      <c r="O440" s="14">
        <v>9</v>
      </c>
      <c r="P440" s="14" t="s">
        <v>53</v>
      </c>
      <c r="Q440" s="14">
        <v>0</v>
      </c>
      <c r="R440" s="14">
        <v>0</v>
      </c>
      <c r="S440" s="17" t="s">
        <v>54</v>
      </c>
      <c r="T440" s="18">
        <v>0</v>
      </c>
      <c r="U440" s="14">
        <v>0</v>
      </c>
      <c r="V440" s="19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f>Tabla13[[#This Row],[CheckList App]]+Tabla13[[#This Row],[CheckList Fisc]]</f>
        <v>0</v>
      </c>
      <c r="AB440" s="19" t="str">
        <f t="shared" si="6"/>
        <v/>
      </c>
      <c r="AC440" s="14">
        <v>0</v>
      </c>
      <c r="AD440" s="14" t="s">
        <v>55</v>
      </c>
      <c r="AE440" s="15" t="str">
        <f>IFERROR((VLOOKUP(Tabla13[[#This Row],[ID]],[1]!Mtto_Pesv[[#Headers],[#Data],[Placa]:[Rutina]],2,FALSE)),"-")</f>
        <v>-</v>
      </c>
      <c r="AF440" s="14">
        <v>0</v>
      </c>
      <c r="AG440" s="20">
        <f>IFERROR((VLOOKUP(Tabla13[[#This Row],[ID]],[1]!Mtto_Pesv[[#Headers],[#Data],[Placa]:[Rutina]],3,FALSE)),0)</f>
        <v>0</v>
      </c>
      <c r="AH440" s="20">
        <f>IFERROR((VLOOKUP(Tabla13[[#This Row],[ID]],[1]!Mtto_Pesv[[#Headers],[#Data],[Placa]:[Rutina]],7,FALSE)),0)</f>
        <v>0</v>
      </c>
      <c r="AI440" s="20">
        <f>IFERROR((VLOOKUP(Tabla13[[#This Row],[ID]],[1]!Mtto_Pesv[[#Headers],[#Data],[Placa]:[Rutina]],8,FALSE)),0)</f>
        <v>0</v>
      </c>
      <c r="AJ440" s="20" t="str">
        <f>IFERROR((VLOOKUP(Tabla13[[#This Row],[ID]],[1]!Mtto_Pesv[[#Headers],[#Data],[Placa]:[Rutina]],9,FALSE)),"-")</f>
        <v>-</v>
      </c>
      <c r="AK440" s="20">
        <f>IFERROR((VLOOKUP(Tabla13[[#This Row],[ID]],[1]!Mtto_Pesv[[#Headers],[#Data],[Placa]:[Rutina]],10,FALSE)),0)</f>
        <v>0</v>
      </c>
      <c r="AL440" s="20">
        <f>IF(Tabla13[[#This Row],[Km Anterior]]=0,0,Tabla13[[#This Row],[Km Ejecut]]-Tabla13[[#This Row],[Km Anterior]])</f>
        <v>0</v>
      </c>
      <c r="AM440" s="20">
        <f>IFERROR((VLOOKUP(Tabla13[[#This Row],[ID]],[1]!Mtto_Pesv[[#Headers],[#Data],[Placa]:[Rutina]],4,FALSE)),0)</f>
        <v>0</v>
      </c>
      <c r="AN440" s="21">
        <f>IFERROR((VLOOKUP(Tabla13[[#This Row],[ID]],[1]!Mtto_Pesv[[#Headers],[#Data],[Placa]:[Rutina]],5,FALSE)),0)</f>
        <v>0</v>
      </c>
      <c r="AO440" s="21">
        <f>+Tabla13[[#This Row],[Km Fin]]-Tabla13[[#This Row],[Km Ini]]</f>
        <v>0</v>
      </c>
      <c r="AP440" s="20">
        <f>IFERROR((VLOOKUP(Tabla13[[#This Row],[ID]],[1]!Estilo_Conduccion[[#All],[Placa]:[Puntuacion]],15,FALSE)),0)</f>
        <v>0</v>
      </c>
      <c r="AQ440" s="15" t="s">
        <v>1293</v>
      </c>
      <c r="AR440" s="15" t="s">
        <v>1294</v>
      </c>
      <c r="AS440" s="20">
        <v>1000</v>
      </c>
      <c r="AT440" s="21">
        <v>3616</v>
      </c>
      <c r="AU440" s="21">
        <f>(Tabla13[[#This Row],[Cap Vh]]*$AX$2)*0.56</f>
        <v>0</v>
      </c>
      <c r="AV440" s="36" t="e">
        <f>(Tabla13[[#This Row],[Cap Util (kg)]]/(Tabla13[[#This Row],[Cap Inst (Kg)]]))</f>
        <v>#DIV/0!</v>
      </c>
    </row>
    <row r="441" spans="1:48" x14ac:dyDescent="0.25">
      <c r="A441" s="13" t="s">
        <v>1068</v>
      </c>
      <c r="B441" s="14" t="s">
        <v>634</v>
      </c>
      <c r="C441" s="14" t="s">
        <v>564</v>
      </c>
      <c r="D441" s="14" t="s">
        <v>565</v>
      </c>
      <c r="E441" s="14" t="s">
        <v>566</v>
      </c>
      <c r="F441" s="14" t="s">
        <v>64</v>
      </c>
      <c r="G441" s="14" t="s">
        <v>65</v>
      </c>
      <c r="H441" s="16" t="s">
        <v>66</v>
      </c>
      <c r="I441" s="14" t="s">
        <v>49</v>
      </c>
      <c r="J441" s="14">
        <v>900335279</v>
      </c>
      <c r="K441" s="14" t="s">
        <v>77</v>
      </c>
      <c r="L441" s="14" t="s">
        <v>186</v>
      </c>
      <c r="M441" s="14" t="s">
        <v>290</v>
      </c>
      <c r="N441" s="14">
        <v>2011</v>
      </c>
      <c r="O441" s="14">
        <v>9</v>
      </c>
      <c r="P441" s="14" t="s">
        <v>53</v>
      </c>
      <c r="Q441" s="14">
        <v>0</v>
      </c>
      <c r="R441" s="14">
        <v>0</v>
      </c>
      <c r="S441" s="17" t="s">
        <v>54</v>
      </c>
      <c r="T441" s="18">
        <v>0</v>
      </c>
      <c r="U441" s="14">
        <v>0</v>
      </c>
      <c r="V441" s="19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f>Tabla13[[#This Row],[CheckList App]]+Tabla13[[#This Row],[CheckList Fisc]]</f>
        <v>0</v>
      </c>
      <c r="AB441" s="19" t="str">
        <f t="shared" si="6"/>
        <v/>
      </c>
      <c r="AC441" s="14">
        <v>0</v>
      </c>
      <c r="AD441" s="14" t="s">
        <v>70</v>
      </c>
      <c r="AE441" s="15" t="str">
        <f>IFERROR((VLOOKUP(Tabla13[[#This Row],[ID]],[1]!Mtto_Pesv[[#Headers],[#Data],[Placa]:[Rutina]],2,FALSE)),"-")</f>
        <v>-</v>
      </c>
      <c r="AF441" s="14">
        <v>1</v>
      </c>
      <c r="AG441" s="20">
        <f>IFERROR((VLOOKUP(Tabla13[[#This Row],[ID]],[1]!Mtto_Pesv[[#Headers],[#Data],[Placa]:[Rutina]],3,FALSE)),0)</f>
        <v>0</v>
      </c>
      <c r="AH441" s="20">
        <f>IFERROR((VLOOKUP(Tabla13[[#This Row],[ID]],[1]!Mtto_Pesv[[#Headers],[#Data],[Placa]:[Rutina]],7,FALSE)),0)</f>
        <v>0</v>
      </c>
      <c r="AI441" s="20">
        <f>IFERROR((VLOOKUP(Tabla13[[#This Row],[ID]],[1]!Mtto_Pesv[[#Headers],[#Data],[Placa]:[Rutina]],8,FALSE)),0)</f>
        <v>0</v>
      </c>
      <c r="AJ441" s="20" t="str">
        <f>IFERROR((VLOOKUP(Tabla13[[#This Row],[ID]],[1]!Mtto_Pesv[[#Headers],[#Data],[Placa]:[Rutina]],9,FALSE)),"-")</f>
        <v>-</v>
      </c>
      <c r="AK441" s="20">
        <f>IFERROR((VLOOKUP(Tabla13[[#This Row],[ID]],[1]!Mtto_Pesv[[#Headers],[#Data],[Placa]:[Rutina]],10,FALSE)),0)</f>
        <v>0</v>
      </c>
      <c r="AL441" s="20">
        <f>IF(Tabla13[[#This Row],[Km Anterior]]=0,0,Tabla13[[#This Row],[Km Ejecut]]-Tabla13[[#This Row],[Km Anterior]])</f>
        <v>0</v>
      </c>
      <c r="AM441" s="20">
        <f>IFERROR((VLOOKUP(Tabla13[[#This Row],[ID]],[1]!Mtto_Pesv[[#Headers],[#Data],[Placa]:[Rutina]],4,FALSE)),0)</f>
        <v>0</v>
      </c>
      <c r="AN441" s="21">
        <f>IFERROR((VLOOKUP(Tabla13[[#This Row],[ID]],[1]!Mtto_Pesv[[#Headers],[#Data],[Placa]:[Rutina]],5,FALSE)),0)</f>
        <v>0</v>
      </c>
      <c r="AO441" s="21">
        <f>+Tabla13[[#This Row],[Km Fin]]-Tabla13[[#This Row],[Km Ini]]</f>
        <v>0</v>
      </c>
      <c r="AP441" s="20">
        <f>IFERROR((VLOOKUP(Tabla13[[#This Row],[ID]],[1]!Estilo_Conduccion[[#All],[Placa]:[Puntuacion]],15,FALSE)),0)</f>
        <v>0</v>
      </c>
      <c r="AQ441" s="15" t="s">
        <v>54</v>
      </c>
      <c r="AR441" s="15" t="s">
        <v>54</v>
      </c>
      <c r="AS441" s="20">
        <v>1000</v>
      </c>
      <c r="AT441" s="21">
        <v>0</v>
      </c>
      <c r="AU441" s="21">
        <f>(Tabla13[[#This Row],[Cap Vh]]*$AX$2)*0.56</f>
        <v>0</v>
      </c>
      <c r="AV441" s="36" t="e">
        <f>(Tabla13[[#This Row],[Cap Util (kg)]]/(Tabla13[[#This Row],[Cap Inst (Kg)]]))</f>
        <v>#DIV/0!</v>
      </c>
    </row>
    <row r="442" spans="1:48" x14ac:dyDescent="0.25">
      <c r="A442" s="13" t="s">
        <v>1068</v>
      </c>
      <c r="B442" s="14" t="s">
        <v>635</v>
      </c>
      <c r="C442" s="14" t="s">
        <v>564</v>
      </c>
      <c r="D442" s="14" t="s">
        <v>565</v>
      </c>
      <c r="E442" s="14" t="s">
        <v>621</v>
      </c>
      <c r="F442" s="14" t="s">
        <v>76</v>
      </c>
      <c r="G442" s="15" t="s">
        <v>89</v>
      </c>
      <c r="H442" s="16" t="s">
        <v>90</v>
      </c>
      <c r="I442" s="14" t="s">
        <v>49</v>
      </c>
      <c r="J442" s="14">
        <v>900335279</v>
      </c>
      <c r="K442" s="14" t="s">
        <v>77</v>
      </c>
      <c r="L442" s="14" t="s">
        <v>405</v>
      </c>
      <c r="M442" s="14" t="s">
        <v>461</v>
      </c>
      <c r="N442" s="14">
        <v>2011</v>
      </c>
      <c r="O442" s="14">
        <v>9</v>
      </c>
      <c r="P442" s="14" t="s">
        <v>53</v>
      </c>
      <c r="Q442" s="14">
        <v>0</v>
      </c>
      <c r="R442" s="14">
        <v>0</v>
      </c>
      <c r="S442" s="17" t="s">
        <v>54</v>
      </c>
      <c r="T442" s="18">
        <v>0</v>
      </c>
      <c r="U442" s="14">
        <v>0</v>
      </c>
      <c r="V442" s="19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f>Tabla13[[#This Row],[CheckList App]]+Tabla13[[#This Row],[CheckList Fisc]]</f>
        <v>0</v>
      </c>
      <c r="AB442" s="19" t="str">
        <f t="shared" si="6"/>
        <v/>
      </c>
      <c r="AC442" s="14">
        <v>0</v>
      </c>
      <c r="AD442" s="14" t="s">
        <v>55</v>
      </c>
      <c r="AE442" s="15" t="str">
        <f>IFERROR((VLOOKUP(Tabla13[[#This Row],[ID]],[1]!Mtto_Pesv[[#Headers],[#Data],[Placa]:[Rutina]],2,FALSE)),"-")</f>
        <v>-</v>
      </c>
      <c r="AF442" s="14">
        <v>0</v>
      </c>
      <c r="AG442" s="20">
        <f>IFERROR((VLOOKUP(Tabla13[[#This Row],[ID]],[1]!Mtto_Pesv[[#Headers],[#Data],[Placa]:[Rutina]],3,FALSE)),0)</f>
        <v>0</v>
      </c>
      <c r="AH442" s="20">
        <f>IFERROR((VLOOKUP(Tabla13[[#This Row],[ID]],[1]!Mtto_Pesv[[#Headers],[#Data],[Placa]:[Rutina]],7,FALSE)),0)</f>
        <v>0</v>
      </c>
      <c r="AI442" s="20">
        <f>IFERROR((VLOOKUP(Tabla13[[#This Row],[ID]],[1]!Mtto_Pesv[[#Headers],[#Data],[Placa]:[Rutina]],8,FALSE)),0)</f>
        <v>0</v>
      </c>
      <c r="AJ442" s="20" t="str">
        <f>IFERROR((VLOOKUP(Tabla13[[#This Row],[ID]],[1]!Mtto_Pesv[[#Headers],[#Data],[Placa]:[Rutina]],9,FALSE)),"-")</f>
        <v>-</v>
      </c>
      <c r="AK442" s="20">
        <f>IFERROR((VLOOKUP(Tabla13[[#This Row],[ID]],[1]!Mtto_Pesv[[#Headers],[#Data],[Placa]:[Rutina]],10,FALSE)),0)</f>
        <v>0</v>
      </c>
      <c r="AL442" s="20">
        <f>IF(Tabla13[[#This Row],[Km Anterior]]=0,0,Tabla13[[#This Row],[Km Ejecut]]-Tabla13[[#This Row],[Km Anterior]])</f>
        <v>0</v>
      </c>
      <c r="AM442" s="20">
        <f>IFERROR((VLOOKUP(Tabla13[[#This Row],[ID]],[1]!Mtto_Pesv[[#Headers],[#Data],[Placa]:[Rutina]],4,FALSE)),0)</f>
        <v>0</v>
      </c>
      <c r="AN442" s="21">
        <f>IFERROR((VLOOKUP(Tabla13[[#This Row],[ID]],[1]!Mtto_Pesv[[#Headers],[#Data],[Placa]:[Rutina]],5,FALSE)),0)</f>
        <v>0</v>
      </c>
      <c r="AO442" s="21">
        <f>+Tabla13[[#This Row],[Km Fin]]-Tabla13[[#This Row],[Km Ini]]</f>
        <v>0</v>
      </c>
      <c r="AP442" s="20">
        <f>IFERROR((VLOOKUP(Tabla13[[#This Row],[ID]],[1]!Estilo_Conduccion[[#All],[Placa]:[Puntuacion]],15,FALSE)),0)</f>
        <v>0</v>
      </c>
      <c r="AQ442" s="15" t="s">
        <v>1069</v>
      </c>
      <c r="AR442" s="15" t="s">
        <v>1332</v>
      </c>
      <c r="AS442" s="20">
        <v>2810</v>
      </c>
      <c r="AT442" s="21">
        <v>0</v>
      </c>
      <c r="AU442" s="21">
        <f>(Tabla13[[#This Row],[Cap Vh]]*$AX$2)*0.56</f>
        <v>0</v>
      </c>
      <c r="AV442" s="36" t="e">
        <f>(Tabla13[[#This Row],[Cap Util (kg)]]/(Tabla13[[#This Row],[Cap Inst (Kg)]]))</f>
        <v>#DIV/0!</v>
      </c>
    </row>
    <row r="443" spans="1:48" x14ac:dyDescent="0.25">
      <c r="A443" s="13" t="s">
        <v>1068</v>
      </c>
      <c r="B443" s="14" t="s">
        <v>636</v>
      </c>
      <c r="C443" s="14" t="s">
        <v>564</v>
      </c>
      <c r="D443" s="14" t="s">
        <v>565</v>
      </c>
      <c r="E443" s="14" t="s">
        <v>569</v>
      </c>
      <c r="F443" s="14" t="s">
        <v>76</v>
      </c>
      <c r="G443" s="15" t="s">
        <v>89</v>
      </c>
      <c r="H443" s="16" t="s">
        <v>90</v>
      </c>
      <c r="I443" s="14" t="s">
        <v>49</v>
      </c>
      <c r="J443" s="14">
        <v>900335279</v>
      </c>
      <c r="K443" s="14" t="s">
        <v>77</v>
      </c>
      <c r="L443" s="14" t="s">
        <v>405</v>
      </c>
      <c r="M443" s="14" t="s">
        <v>461</v>
      </c>
      <c r="N443" s="14">
        <v>2011</v>
      </c>
      <c r="O443" s="14">
        <v>9</v>
      </c>
      <c r="P443" s="14" t="s">
        <v>53</v>
      </c>
      <c r="Q443" s="14">
        <v>1</v>
      </c>
      <c r="R443" s="14">
        <v>0</v>
      </c>
      <c r="S443" s="17" t="s">
        <v>54</v>
      </c>
      <c r="T443" s="18">
        <v>0</v>
      </c>
      <c r="U443" s="14">
        <v>30</v>
      </c>
      <c r="V443" s="19">
        <v>1</v>
      </c>
      <c r="W443" s="14">
        <v>0</v>
      </c>
      <c r="X443" s="14">
        <v>0</v>
      </c>
      <c r="Y443" s="14">
        <v>0</v>
      </c>
      <c r="Z443" s="14">
        <v>0</v>
      </c>
      <c r="AA443" s="14">
        <f>Tabla13[[#This Row],[CheckList App]]+Tabla13[[#This Row],[CheckList Fisc]]</f>
        <v>0</v>
      </c>
      <c r="AB443" s="19">
        <f t="shared" si="6"/>
        <v>0</v>
      </c>
      <c r="AC443" s="14">
        <v>0</v>
      </c>
      <c r="AD443" s="14" t="s">
        <v>70</v>
      </c>
      <c r="AE443" s="15" t="str">
        <f>IFERROR((VLOOKUP(Tabla13[[#This Row],[ID]],[1]!Mtto_Pesv[[#Headers],[#Data],[Placa]:[Rutina]],2,FALSE)),"-")</f>
        <v>-</v>
      </c>
      <c r="AF443" s="14">
        <v>1</v>
      </c>
      <c r="AG443" s="20">
        <f>IFERROR((VLOOKUP(Tabla13[[#This Row],[ID]],[1]!Mtto_Pesv[[#Headers],[#Data],[Placa]:[Rutina]],3,FALSE)),0)</f>
        <v>0</v>
      </c>
      <c r="AH443" s="20">
        <f>IFERROR((VLOOKUP(Tabla13[[#This Row],[ID]],[1]!Mtto_Pesv[[#Headers],[#Data],[Placa]:[Rutina]],7,FALSE)),0)</f>
        <v>0</v>
      </c>
      <c r="AI443" s="20">
        <f>IFERROR((VLOOKUP(Tabla13[[#This Row],[ID]],[1]!Mtto_Pesv[[#Headers],[#Data],[Placa]:[Rutina]],8,FALSE)),0)</f>
        <v>0</v>
      </c>
      <c r="AJ443" s="20" t="str">
        <f>IFERROR((VLOOKUP(Tabla13[[#This Row],[ID]],[1]!Mtto_Pesv[[#Headers],[#Data],[Placa]:[Rutina]],9,FALSE)),"-")</f>
        <v>-</v>
      </c>
      <c r="AK443" s="20">
        <f>IFERROR((VLOOKUP(Tabla13[[#This Row],[ID]],[1]!Mtto_Pesv[[#Headers],[#Data],[Placa]:[Rutina]],10,FALSE)),0)</f>
        <v>0</v>
      </c>
      <c r="AL443" s="20">
        <f>IF(Tabla13[[#This Row],[Km Anterior]]=0,0,Tabla13[[#This Row],[Km Ejecut]]-Tabla13[[#This Row],[Km Anterior]])</f>
        <v>0</v>
      </c>
      <c r="AM443" s="20">
        <f>IFERROR((VLOOKUP(Tabla13[[#This Row],[ID]],[1]!Mtto_Pesv[[#Headers],[#Data],[Placa]:[Rutina]],4,FALSE)),0)</f>
        <v>0</v>
      </c>
      <c r="AN443" s="21">
        <f>IFERROR((VLOOKUP(Tabla13[[#This Row],[ID]],[1]!Mtto_Pesv[[#Headers],[#Data],[Placa]:[Rutina]],5,FALSE)),0)</f>
        <v>0</v>
      </c>
      <c r="AO443" s="21">
        <f>+Tabla13[[#This Row],[Km Fin]]-Tabla13[[#This Row],[Km Ini]]</f>
        <v>0</v>
      </c>
      <c r="AP443" s="20">
        <f>IFERROR((VLOOKUP(Tabla13[[#This Row],[ID]],[1]!Estilo_Conduccion[[#All],[Placa]:[Puntuacion]],15,FALSE)),0)</f>
        <v>1496.6</v>
      </c>
      <c r="AQ443" s="15" t="s">
        <v>1335</v>
      </c>
      <c r="AR443" s="15" t="s">
        <v>1336</v>
      </c>
      <c r="AS443" s="20">
        <v>2810</v>
      </c>
      <c r="AT443" s="21">
        <v>12157.5</v>
      </c>
      <c r="AU443" s="21">
        <f>(Tabla13[[#This Row],[Cap Vh]]*$AX$2)*0.56</f>
        <v>0</v>
      </c>
      <c r="AV443" s="36" t="e">
        <f>(Tabla13[[#This Row],[Cap Util (kg)]]/(Tabla13[[#This Row],[Cap Inst (Kg)]]))</f>
        <v>#DIV/0!</v>
      </c>
    </row>
    <row r="444" spans="1:48" x14ac:dyDescent="0.25">
      <c r="A444" s="13" t="s">
        <v>1068</v>
      </c>
      <c r="B444" s="14" t="s">
        <v>637</v>
      </c>
      <c r="C444" s="14" t="s">
        <v>564</v>
      </c>
      <c r="D444" s="14" t="s">
        <v>565</v>
      </c>
      <c r="E444" s="14" t="s">
        <v>571</v>
      </c>
      <c r="F444" s="14" t="s">
        <v>76</v>
      </c>
      <c r="G444" s="15" t="s">
        <v>89</v>
      </c>
      <c r="H444" s="16" t="s">
        <v>90</v>
      </c>
      <c r="I444" s="14" t="s">
        <v>49</v>
      </c>
      <c r="J444" s="14">
        <v>890300279</v>
      </c>
      <c r="K444" s="14" t="s">
        <v>282</v>
      </c>
      <c r="L444" s="14" t="s">
        <v>103</v>
      </c>
      <c r="M444" s="14" t="s">
        <v>104</v>
      </c>
      <c r="N444" s="14">
        <v>2011</v>
      </c>
      <c r="O444" s="14">
        <v>9</v>
      </c>
      <c r="P444" s="14" t="s">
        <v>53</v>
      </c>
      <c r="Q444" s="14">
        <v>0</v>
      </c>
      <c r="R444" s="14">
        <v>0</v>
      </c>
      <c r="S444" s="17" t="s">
        <v>54</v>
      </c>
      <c r="T444" s="18">
        <v>0</v>
      </c>
      <c r="U444" s="14">
        <v>0</v>
      </c>
      <c r="V444" s="19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f>Tabla13[[#This Row],[CheckList App]]+Tabla13[[#This Row],[CheckList Fisc]]</f>
        <v>0</v>
      </c>
      <c r="AB444" s="19" t="str">
        <f t="shared" si="6"/>
        <v/>
      </c>
      <c r="AC444" s="14">
        <v>0</v>
      </c>
      <c r="AD444" s="14" t="s">
        <v>55</v>
      </c>
      <c r="AE444" s="15" t="str">
        <f>IFERROR((VLOOKUP(Tabla13[[#This Row],[ID]],[1]!Mtto_Pesv[[#Headers],[#Data],[Placa]:[Rutina]],2,FALSE)),"-")</f>
        <v>-</v>
      </c>
      <c r="AF444" s="14">
        <v>0</v>
      </c>
      <c r="AG444" s="20">
        <f>IFERROR((VLOOKUP(Tabla13[[#This Row],[ID]],[1]!Mtto_Pesv[[#Headers],[#Data],[Placa]:[Rutina]],3,FALSE)),0)</f>
        <v>0</v>
      </c>
      <c r="AH444" s="20">
        <f>IFERROR((VLOOKUP(Tabla13[[#This Row],[ID]],[1]!Mtto_Pesv[[#Headers],[#Data],[Placa]:[Rutina]],7,FALSE)),0)</f>
        <v>0</v>
      </c>
      <c r="AI444" s="20">
        <f>IFERROR((VLOOKUP(Tabla13[[#This Row],[ID]],[1]!Mtto_Pesv[[#Headers],[#Data],[Placa]:[Rutina]],8,FALSE)),0)</f>
        <v>0</v>
      </c>
      <c r="AJ444" s="20" t="str">
        <f>IFERROR((VLOOKUP(Tabla13[[#This Row],[ID]],[1]!Mtto_Pesv[[#Headers],[#Data],[Placa]:[Rutina]],9,FALSE)),"-")</f>
        <v>-</v>
      </c>
      <c r="AK444" s="20">
        <f>IFERROR((VLOOKUP(Tabla13[[#This Row],[ID]],[1]!Mtto_Pesv[[#Headers],[#Data],[Placa]:[Rutina]],10,FALSE)),0)</f>
        <v>0</v>
      </c>
      <c r="AL444" s="20">
        <f>IF(Tabla13[[#This Row],[Km Anterior]]=0,0,Tabla13[[#This Row],[Km Ejecut]]-Tabla13[[#This Row],[Km Anterior]])</f>
        <v>0</v>
      </c>
      <c r="AM444" s="20">
        <f>IFERROR((VLOOKUP(Tabla13[[#This Row],[ID]],[1]!Mtto_Pesv[[#Headers],[#Data],[Placa]:[Rutina]],4,FALSE)),0)</f>
        <v>0</v>
      </c>
      <c r="AN444" s="21">
        <f>IFERROR((VLOOKUP(Tabla13[[#This Row],[ID]],[1]!Mtto_Pesv[[#Headers],[#Data],[Placa]:[Rutina]],5,FALSE)),0)</f>
        <v>0</v>
      </c>
      <c r="AO444" s="21">
        <f>+Tabla13[[#This Row],[Km Fin]]-Tabla13[[#This Row],[Km Ini]]</f>
        <v>0</v>
      </c>
      <c r="AP444" s="20">
        <f>IFERROR((VLOOKUP(Tabla13[[#This Row],[ID]],[1]!Estilo_Conduccion[[#All],[Placa]:[Puntuacion]],15,FALSE)),0)</f>
        <v>0</v>
      </c>
      <c r="AQ444" s="15" t="s">
        <v>1337</v>
      </c>
      <c r="AR444" s="15" t="s">
        <v>1338</v>
      </c>
      <c r="AS444" s="20">
        <v>1585</v>
      </c>
      <c r="AT444" s="21">
        <v>11799</v>
      </c>
      <c r="AU444" s="21">
        <f>(Tabla13[[#This Row],[Cap Vh]]*$AX$2)*0.56</f>
        <v>0</v>
      </c>
      <c r="AV444" s="36" t="e">
        <f>(Tabla13[[#This Row],[Cap Util (kg)]]/(Tabla13[[#This Row],[Cap Inst (Kg)]]))</f>
        <v>#DIV/0!</v>
      </c>
    </row>
    <row r="445" spans="1:48" x14ac:dyDescent="0.25">
      <c r="A445" s="13" t="s">
        <v>1068</v>
      </c>
      <c r="B445" s="14" t="s">
        <v>638</v>
      </c>
      <c r="C445" s="14" t="s">
        <v>564</v>
      </c>
      <c r="D445" s="14" t="s">
        <v>565</v>
      </c>
      <c r="E445" s="14" t="s">
        <v>621</v>
      </c>
      <c r="F445" s="14" t="s">
        <v>76</v>
      </c>
      <c r="G445" s="15" t="s">
        <v>89</v>
      </c>
      <c r="H445" s="16" t="s">
        <v>90</v>
      </c>
      <c r="I445" s="14" t="s">
        <v>49</v>
      </c>
      <c r="J445" s="14">
        <v>900335279</v>
      </c>
      <c r="K445" s="14" t="s">
        <v>77</v>
      </c>
      <c r="L445" s="14" t="s">
        <v>103</v>
      </c>
      <c r="M445" s="14" t="s">
        <v>104</v>
      </c>
      <c r="N445" s="14">
        <v>2011</v>
      </c>
      <c r="O445" s="14">
        <v>9</v>
      </c>
      <c r="P445" s="14" t="s">
        <v>53</v>
      </c>
      <c r="Q445" s="14">
        <v>0</v>
      </c>
      <c r="R445" s="14">
        <v>0</v>
      </c>
      <c r="S445" s="17" t="s">
        <v>54</v>
      </c>
      <c r="T445" s="18">
        <v>0</v>
      </c>
      <c r="U445" s="14">
        <v>0</v>
      </c>
      <c r="V445" s="19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f>Tabla13[[#This Row],[CheckList App]]+Tabla13[[#This Row],[CheckList Fisc]]</f>
        <v>0</v>
      </c>
      <c r="AB445" s="19" t="str">
        <f t="shared" si="6"/>
        <v/>
      </c>
      <c r="AC445" s="14">
        <v>0</v>
      </c>
      <c r="AD445" s="14" t="s">
        <v>55</v>
      </c>
      <c r="AE445" s="15" t="str">
        <f>IFERROR((VLOOKUP(Tabla13[[#This Row],[ID]],[1]!Mtto_Pesv[[#Headers],[#Data],[Placa]:[Rutina]],2,FALSE)),"-")</f>
        <v>-</v>
      </c>
      <c r="AF445" s="14">
        <v>0</v>
      </c>
      <c r="AG445" s="20">
        <f>IFERROR((VLOOKUP(Tabla13[[#This Row],[ID]],[1]!Mtto_Pesv[[#Headers],[#Data],[Placa]:[Rutina]],3,FALSE)),0)</f>
        <v>0</v>
      </c>
      <c r="AH445" s="20">
        <f>IFERROR((VLOOKUP(Tabla13[[#This Row],[ID]],[1]!Mtto_Pesv[[#Headers],[#Data],[Placa]:[Rutina]],7,FALSE)),0)</f>
        <v>0</v>
      </c>
      <c r="AI445" s="20">
        <f>IFERROR((VLOOKUP(Tabla13[[#This Row],[ID]],[1]!Mtto_Pesv[[#Headers],[#Data],[Placa]:[Rutina]],8,FALSE)),0)</f>
        <v>0</v>
      </c>
      <c r="AJ445" s="20" t="str">
        <f>IFERROR((VLOOKUP(Tabla13[[#This Row],[ID]],[1]!Mtto_Pesv[[#Headers],[#Data],[Placa]:[Rutina]],9,FALSE)),"-")</f>
        <v>-</v>
      </c>
      <c r="AK445" s="20">
        <f>IFERROR((VLOOKUP(Tabla13[[#This Row],[ID]],[1]!Mtto_Pesv[[#Headers],[#Data],[Placa]:[Rutina]],10,FALSE)),0)</f>
        <v>0</v>
      </c>
      <c r="AL445" s="20">
        <f>IF(Tabla13[[#This Row],[Km Anterior]]=0,0,Tabla13[[#This Row],[Km Ejecut]]-Tabla13[[#This Row],[Km Anterior]])</f>
        <v>0</v>
      </c>
      <c r="AM445" s="20">
        <f>IFERROR((VLOOKUP(Tabla13[[#This Row],[ID]],[1]!Mtto_Pesv[[#Headers],[#Data],[Placa]:[Rutina]],4,FALSE)),0)</f>
        <v>0</v>
      </c>
      <c r="AN445" s="21">
        <f>IFERROR((VLOOKUP(Tabla13[[#This Row],[ID]],[1]!Mtto_Pesv[[#Headers],[#Data],[Placa]:[Rutina]],5,FALSE)),0)</f>
        <v>0</v>
      </c>
      <c r="AO445" s="21">
        <f>+Tabla13[[#This Row],[Km Fin]]-Tabla13[[#This Row],[Km Ini]]</f>
        <v>0</v>
      </c>
      <c r="AP445" s="20">
        <f>IFERROR((VLOOKUP(Tabla13[[#This Row],[ID]],[1]!Estilo_Conduccion[[#All],[Placa]:[Puntuacion]],15,FALSE)),0)</f>
        <v>0</v>
      </c>
      <c r="AQ445" s="15" t="s">
        <v>1069</v>
      </c>
      <c r="AR445" s="15" t="s">
        <v>1332</v>
      </c>
      <c r="AS445" s="20">
        <v>1585</v>
      </c>
      <c r="AT445" s="21">
        <v>0</v>
      </c>
      <c r="AU445" s="21">
        <f>(Tabla13[[#This Row],[Cap Vh]]*$AX$2)*0.56</f>
        <v>0</v>
      </c>
      <c r="AV445" s="36" t="e">
        <f>(Tabla13[[#This Row],[Cap Util (kg)]]/(Tabla13[[#This Row],[Cap Inst (Kg)]]))</f>
        <v>#DIV/0!</v>
      </c>
    </row>
    <row r="446" spans="1:48" x14ac:dyDescent="0.25">
      <c r="A446" s="13" t="s">
        <v>1068</v>
      </c>
      <c r="B446" s="14" t="s">
        <v>639</v>
      </c>
      <c r="C446" s="14" t="s">
        <v>564</v>
      </c>
      <c r="D446" s="14" t="s">
        <v>565</v>
      </c>
      <c r="E446" s="14" t="s">
        <v>588</v>
      </c>
      <c r="F446" s="14" t="s">
        <v>76</v>
      </c>
      <c r="G446" s="15" t="s">
        <v>89</v>
      </c>
      <c r="H446" s="16" t="s">
        <v>90</v>
      </c>
      <c r="I446" s="14" t="s">
        <v>49</v>
      </c>
      <c r="J446" s="14">
        <v>92520690</v>
      </c>
      <c r="K446" s="14" t="s">
        <v>640</v>
      </c>
      <c r="L446" s="14" t="s">
        <v>103</v>
      </c>
      <c r="M446" s="14" t="s">
        <v>153</v>
      </c>
      <c r="N446" s="14">
        <v>2011</v>
      </c>
      <c r="O446" s="14">
        <v>9</v>
      </c>
      <c r="P446" s="14" t="s">
        <v>53</v>
      </c>
      <c r="Q446" s="14">
        <v>0</v>
      </c>
      <c r="R446" s="14">
        <v>0</v>
      </c>
      <c r="S446" s="17" t="s">
        <v>54</v>
      </c>
      <c r="T446" s="18">
        <v>0</v>
      </c>
      <c r="U446" s="14">
        <v>0</v>
      </c>
      <c r="V446" s="19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f>Tabla13[[#This Row],[CheckList App]]+Tabla13[[#This Row],[CheckList Fisc]]</f>
        <v>0</v>
      </c>
      <c r="AB446" s="19" t="str">
        <f t="shared" si="6"/>
        <v/>
      </c>
      <c r="AC446" s="14">
        <v>0</v>
      </c>
      <c r="AD446" s="14" t="s">
        <v>55</v>
      </c>
      <c r="AE446" s="15" t="str">
        <f>IFERROR((VLOOKUP(Tabla13[[#This Row],[ID]],[1]!Mtto_Pesv[[#Headers],[#Data],[Placa]:[Rutina]],2,FALSE)),"-")</f>
        <v>-</v>
      </c>
      <c r="AF446" s="14">
        <v>0</v>
      </c>
      <c r="AG446" s="20">
        <f>IFERROR((VLOOKUP(Tabla13[[#This Row],[ID]],[1]!Mtto_Pesv[[#Headers],[#Data],[Placa]:[Rutina]],3,FALSE)),0)</f>
        <v>0</v>
      </c>
      <c r="AH446" s="20">
        <f>IFERROR((VLOOKUP(Tabla13[[#This Row],[ID]],[1]!Mtto_Pesv[[#Headers],[#Data],[Placa]:[Rutina]],7,FALSE)),0)</f>
        <v>0</v>
      </c>
      <c r="AI446" s="20">
        <f>IFERROR((VLOOKUP(Tabla13[[#This Row],[ID]],[1]!Mtto_Pesv[[#Headers],[#Data],[Placa]:[Rutina]],8,FALSE)),0)</f>
        <v>0</v>
      </c>
      <c r="AJ446" s="20" t="str">
        <f>IFERROR((VLOOKUP(Tabla13[[#This Row],[ID]],[1]!Mtto_Pesv[[#Headers],[#Data],[Placa]:[Rutina]],9,FALSE)),"-")</f>
        <v>-</v>
      </c>
      <c r="AK446" s="20">
        <f>IFERROR((VLOOKUP(Tabla13[[#This Row],[ID]],[1]!Mtto_Pesv[[#Headers],[#Data],[Placa]:[Rutina]],10,FALSE)),0)</f>
        <v>0</v>
      </c>
      <c r="AL446" s="20">
        <f>IF(Tabla13[[#This Row],[Km Anterior]]=0,0,Tabla13[[#This Row],[Km Ejecut]]-Tabla13[[#This Row],[Km Anterior]])</f>
        <v>0</v>
      </c>
      <c r="AM446" s="20">
        <f>IFERROR((VLOOKUP(Tabla13[[#This Row],[ID]],[1]!Mtto_Pesv[[#Headers],[#Data],[Placa]:[Rutina]],4,FALSE)),0)</f>
        <v>0</v>
      </c>
      <c r="AN446" s="21">
        <f>IFERROR((VLOOKUP(Tabla13[[#This Row],[ID]],[1]!Mtto_Pesv[[#Headers],[#Data],[Placa]:[Rutina]],5,FALSE)),0)</f>
        <v>0</v>
      </c>
      <c r="AO446" s="21">
        <f>+Tabla13[[#This Row],[Km Fin]]-Tabla13[[#This Row],[Km Ini]]</f>
        <v>0</v>
      </c>
      <c r="AP446" s="20">
        <f>IFERROR((VLOOKUP(Tabla13[[#This Row],[ID]],[1]!Estilo_Conduccion[[#All],[Placa]:[Puntuacion]],15,FALSE)),0)</f>
        <v>0</v>
      </c>
      <c r="AQ446" s="15" t="s">
        <v>1339</v>
      </c>
      <c r="AR446" s="15" t="s">
        <v>640</v>
      </c>
      <c r="AS446" s="20">
        <v>4500</v>
      </c>
      <c r="AT446" s="21">
        <v>22080</v>
      </c>
      <c r="AU446" s="21">
        <f>(Tabla13[[#This Row],[Cap Vh]]*$AX$2)*0.56</f>
        <v>0</v>
      </c>
      <c r="AV446" s="36" t="e">
        <f>(Tabla13[[#This Row],[Cap Util (kg)]]/(Tabla13[[#This Row],[Cap Inst (Kg)]]))</f>
        <v>#DIV/0!</v>
      </c>
    </row>
    <row r="447" spans="1:48" x14ac:dyDescent="0.25">
      <c r="A447" s="13" t="s">
        <v>1068</v>
      </c>
      <c r="B447" s="14" t="s">
        <v>641</v>
      </c>
      <c r="C447" s="14" t="s">
        <v>564</v>
      </c>
      <c r="D447" s="14" t="s">
        <v>565</v>
      </c>
      <c r="E447" s="14" t="s">
        <v>580</v>
      </c>
      <c r="F447" s="14" t="s">
        <v>337</v>
      </c>
      <c r="G447" s="15" t="s">
        <v>128</v>
      </c>
      <c r="H447" s="16" t="s">
        <v>129</v>
      </c>
      <c r="I447" s="14" t="s">
        <v>49</v>
      </c>
      <c r="J447" s="14">
        <v>890300279</v>
      </c>
      <c r="K447" s="14" t="s">
        <v>282</v>
      </c>
      <c r="L447" s="14" t="s">
        <v>360</v>
      </c>
      <c r="M447" s="14" t="s">
        <v>361</v>
      </c>
      <c r="N447" s="14">
        <v>2012</v>
      </c>
      <c r="O447" s="14">
        <v>8</v>
      </c>
      <c r="P447" s="14" t="s">
        <v>53</v>
      </c>
      <c r="Q447" s="14">
        <v>1</v>
      </c>
      <c r="R447" s="14">
        <v>0</v>
      </c>
      <c r="S447" s="17" t="s">
        <v>54</v>
      </c>
      <c r="T447" s="18">
        <v>0</v>
      </c>
      <c r="U447" s="14">
        <v>30</v>
      </c>
      <c r="V447" s="19">
        <v>1</v>
      </c>
      <c r="W447" s="14">
        <v>0</v>
      </c>
      <c r="X447" s="14">
        <v>15</v>
      </c>
      <c r="Y447" s="14">
        <v>0</v>
      </c>
      <c r="Z447" s="14">
        <v>9</v>
      </c>
      <c r="AA447" s="14">
        <f>Tabla13[[#This Row],[CheckList App]]+Tabla13[[#This Row],[CheckList Fisc]]</f>
        <v>9</v>
      </c>
      <c r="AB447" s="19">
        <f t="shared" si="6"/>
        <v>0.6</v>
      </c>
      <c r="AC447" s="14">
        <v>0</v>
      </c>
      <c r="AD447" s="14" t="s">
        <v>55</v>
      </c>
      <c r="AE447" s="15" t="str">
        <f>IFERROR((VLOOKUP(Tabla13[[#This Row],[ID]],[1]!Mtto_Pesv[[#Headers],[#Data],[Placa]:[Rutina]],2,FALSE)),"-")</f>
        <v>-</v>
      </c>
      <c r="AF447" s="14">
        <v>0</v>
      </c>
      <c r="AG447" s="20">
        <f>IFERROR((VLOOKUP(Tabla13[[#This Row],[ID]],[1]!Mtto_Pesv[[#Headers],[#Data],[Placa]:[Rutina]],3,FALSE)),0)</f>
        <v>0</v>
      </c>
      <c r="AH447" s="20">
        <f>IFERROR((VLOOKUP(Tabla13[[#This Row],[ID]],[1]!Mtto_Pesv[[#Headers],[#Data],[Placa]:[Rutina]],7,FALSE)),0)</f>
        <v>0</v>
      </c>
      <c r="AI447" s="20">
        <f>IFERROR((VLOOKUP(Tabla13[[#This Row],[ID]],[1]!Mtto_Pesv[[#Headers],[#Data],[Placa]:[Rutina]],8,FALSE)),0)</f>
        <v>0</v>
      </c>
      <c r="AJ447" s="20" t="str">
        <f>IFERROR((VLOOKUP(Tabla13[[#This Row],[ID]],[1]!Mtto_Pesv[[#Headers],[#Data],[Placa]:[Rutina]],9,FALSE)),"-")</f>
        <v>-</v>
      </c>
      <c r="AK447" s="20">
        <f>IFERROR((VLOOKUP(Tabla13[[#This Row],[ID]],[1]!Mtto_Pesv[[#Headers],[#Data],[Placa]:[Rutina]],10,FALSE)),0)</f>
        <v>0</v>
      </c>
      <c r="AL447" s="20">
        <f>IF(Tabla13[[#This Row],[Km Anterior]]=0,0,Tabla13[[#This Row],[Km Ejecut]]-Tabla13[[#This Row],[Km Anterior]])</f>
        <v>0</v>
      </c>
      <c r="AM447" s="20">
        <f>IFERROR((VLOOKUP(Tabla13[[#This Row],[ID]],[1]!Mtto_Pesv[[#Headers],[#Data],[Placa]:[Rutina]],4,FALSE)),0)</f>
        <v>0</v>
      </c>
      <c r="AN447" s="21">
        <f>IFERROR((VLOOKUP(Tabla13[[#This Row],[ID]],[1]!Mtto_Pesv[[#Headers],[#Data],[Placa]:[Rutina]],5,FALSE)),0)</f>
        <v>0</v>
      </c>
      <c r="AO447" s="21">
        <f>+Tabla13[[#This Row],[Km Fin]]-Tabla13[[#This Row],[Km Ini]]</f>
        <v>0</v>
      </c>
      <c r="AP447" s="20">
        <f>IFERROR((VLOOKUP(Tabla13[[#This Row],[ID]],[1]!Estilo_Conduccion[[#All],[Placa]:[Puntuacion]],15,FALSE)),0)</f>
        <v>0</v>
      </c>
      <c r="AQ447" s="15" t="s">
        <v>1340</v>
      </c>
      <c r="AR447" s="15" t="s">
        <v>1341</v>
      </c>
      <c r="AS447" s="20">
        <v>700</v>
      </c>
      <c r="AT447" s="21">
        <v>20175</v>
      </c>
      <c r="AU447" s="21">
        <f>(Tabla13[[#This Row],[Cap Vh]]*$AX$2)*0.56</f>
        <v>0</v>
      </c>
      <c r="AV447" s="36" t="e">
        <f>(Tabla13[[#This Row],[Cap Util (kg)]]/(Tabla13[[#This Row],[Cap Inst (Kg)]]))</f>
        <v>#DIV/0!</v>
      </c>
    </row>
    <row r="448" spans="1:48" x14ac:dyDescent="0.25">
      <c r="A448" s="13" t="s">
        <v>1068</v>
      </c>
      <c r="B448" s="14" t="s">
        <v>642</v>
      </c>
      <c r="C448" s="14" t="s">
        <v>564</v>
      </c>
      <c r="D448" s="14" t="s">
        <v>565</v>
      </c>
      <c r="E448" s="14" t="s">
        <v>569</v>
      </c>
      <c r="F448" s="14" t="s">
        <v>64</v>
      </c>
      <c r="G448" s="14" t="s">
        <v>65</v>
      </c>
      <c r="H448" s="16" t="s">
        <v>66</v>
      </c>
      <c r="I448" s="14" t="s">
        <v>49</v>
      </c>
      <c r="J448" s="14">
        <v>890300279</v>
      </c>
      <c r="K448" s="14" t="s">
        <v>282</v>
      </c>
      <c r="L448" s="14" t="s">
        <v>360</v>
      </c>
      <c r="M448" s="14" t="s">
        <v>361</v>
      </c>
      <c r="N448" s="14">
        <v>2012</v>
      </c>
      <c r="O448" s="14">
        <v>8</v>
      </c>
      <c r="P448" s="14" t="s">
        <v>53</v>
      </c>
      <c r="Q448" s="14">
        <v>0</v>
      </c>
      <c r="R448" s="14">
        <v>0</v>
      </c>
      <c r="S448" s="17" t="s">
        <v>54</v>
      </c>
      <c r="T448" s="18">
        <v>0</v>
      </c>
      <c r="U448" s="14">
        <v>0</v>
      </c>
      <c r="V448" s="19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f>Tabla13[[#This Row],[CheckList App]]+Tabla13[[#This Row],[CheckList Fisc]]</f>
        <v>0</v>
      </c>
      <c r="AB448" s="19" t="str">
        <f t="shared" si="6"/>
        <v/>
      </c>
      <c r="AC448" s="14">
        <v>0</v>
      </c>
      <c r="AD448" s="14" t="s">
        <v>70</v>
      </c>
      <c r="AE448" s="15" t="str">
        <f>IFERROR((VLOOKUP(Tabla13[[#This Row],[ID]],[1]!Mtto_Pesv[[#Headers],[#Data],[Placa]:[Rutina]],2,FALSE)),"-")</f>
        <v>-</v>
      </c>
      <c r="AF448" s="14">
        <v>1</v>
      </c>
      <c r="AG448" s="20">
        <f>IFERROR((VLOOKUP(Tabla13[[#This Row],[ID]],[1]!Mtto_Pesv[[#Headers],[#Data],[Placa]:[Rutina]],3,FALSE)),0)</f>
        <v>0</v>
      </c>
      <c r="AH448" s="20">
        <f>IFERROR((VLOOKUP(Tabla13[[#This Row],[ID]],[1]!Mtto_Pesv[[#Headers],[#Data],[Placa]:[Rutina]],7,FALSE)),0)</f>
        <v>0</v>
      </c>
      <c r="AI448" s="20">
        <f>IFERROR((VLOOKUP(Tabla13[[#This Row],[ID]],[1]!Mtto_Pesv[[#Headers],[#Data],[Placa]:[Rutina]],8,FALSE)),0)</f>
        <v>0</v>
      </c>
      <c r="AJ448" s="20" t="str">
        <f>IFERROR((VLOOKUP(Tabla13[[#This Row],[ID]],[1]!Mtto_Pesv[[#Headers],[#Data],[Placa]:[Rutina]],9,FALSE)),"-")</f>
        <v>-</v>
      </c>
      <c r="AK448" s="20">
        <f>IFERROR((VLOOKUP(Tabla13[[#This Row],[ID]],[1]!Mtto_Pesv[[#Headers],[#Data],[Placa]:[Rutina]],10,FALSE)),0)</f>
        <v>0</v>
      </c>
      <c r="AL448" s="20">
        <f>IF(Tabla13[[#This Row],[Km Anterior]]=0,0,Tabla13[[#This Row],[Km Ejecut]]-Tabla13[[#This Row],[Km Anterior]])</f>
        <v>0</v>
      </c>
      <c r="AM448" s="20">
        <f>IFERROR((VLOOKUP(Tabla13[[#This Row],[ID]],[1]!Mtto_Pesv[[#Headers],[#Data],[Placa]:[Rutina]],4,FALSE)),0)</f>
        <v>0</v>
      </c>
      <c r="AN448" s="21">
        <f>IFERROR((VLOOKUP(Tabla13[[#This Row],[ID]],[1]!Mtto_Pesv[[#Headers],[#Data],[Placa]:[Rutina]],5,FALSE)),0)</f>
        <v>0</v>
      </c>
      <c r="AO448" s="21">
        <f>+Tabla13[[#This Row],[Km Fin]]-Tabla13[[#This Row],[Km Ini]]</f>
        <v>0</v>
      </c>
      <c r="AP448" s="20">
        <f>IFERROR((VLOOKUP(Tabla13[[#This Row],[ID]],[1]!Estilo_Conduccion[[#All],[Placa]:[Puntuacion]],15,FALSE)),0)</f>
        <v>0</v>
      </c>
      <c r="AQ448" s="15" t="s">
        <v>54</v>
      </c>
      <c r="AR448" s="15" t="s">
        <v>54</v>
      </c>
      <c r="AS448" s="20">
        <v>700</v>
      </c>
      <c r="AT448" s="21">
        <v>0</v>
      </c>
      <c r="AU448" s="21">
        <f>(Tabla13[[#This Row],[Cap Vh]]*$AX$2)*0.56</f>
        <v>0</v>
      </c>
      <c r="AV448" s="36" t="e">
        <f>(Tabla13[[#This Row],[Cap Util (kg)]]/(Tabla13[[#This Row],[Cap Inst (Kg)]]))</f>
        <v>#DIV/0!</v>
      </c>
    </row>
    <row r="449" spans="1:48" x14ac:dyDescent="0.25">
      <c r="A449" s="13" t="s">
        <v>1068</v>
      </c>
      <c r="B449" s="14" t="s">
        <v>643</v>
      </c>
      <c r="C449" s="14" t="s">
        <v>564</v>
      </c>
      <c r="D449" s="14" t="s">
        <v>565</v>
      </c>
      <c r="E449" s="14" t="s">
        <v>566</v>
      </c>
      <c r="F449" s="14" t="s">
        <v>64</v>
      </c>
      <c r="G449" s="14" t="s">
        <v>65</v>
      </c>
      <c r="H449" s="16" t="s">
        <v>66</v>
      </c>
      <c r="I449" s="14" t="s">
        <v>49</v>
      </c>
      <c r="J449" s="14">
        <v>890300279</v>
      </c>
      <c r="K449" s="14" t="s">
        <v>282</v>
      </c>
      <c r="L449" s="14" t="s">
        <v>360</v>
      </c>
      <c r="M449" s="14" t="s">
        <v>361</v>
      </c>
      <c r="N449" s="14">
        <v>2010</v>
      </c>
      <c r="O449" s="14">
        <v>0</v>
      </c>
      <c r="P449" s="15" t="s">
        <v>53</v>
      </c>
      <c r="Q449" s="14">
        <v>0</v>
      </c>
      <c r="R449" s="14">
        <v>0</v>
      </c>
      <c r="S449" s="17" t="s">
        <v>54</v>
      </c>
      <c r="T449" s="18">
        <v>0</v>
      </c>
      <c r="U449" s="14">
        <v>0</v>
      </c>
      <c r="V449" s="19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f>Tabla13[[#This Row],[CheckList App]]+Tabla13[[#This Row],[CheckList Fisc]]</f>
        <v>0</v>
      </c>
      <c r="AB449" s="19" t="str">
        <f t="shared" si="6"/>
        <v/>
      </c>
      <c r="AC449" s="14">
        <v>0</v>
      </c>
      <c r="AD449" s="14" t="s">
        <v>55</v>
      </c>
      <c r="AE449" s="15" t="str">
        <f>IFERROR((VLOOKUP(Tabla13[[#This Row],[ID]],[1]!Mtto_Pesv[[#Headers],[#Data],[Placa]:[Rutina]],2,FALSE)),"-")</f>
        <v>-</v>
      </c>
      <c r="AF449" s="14">
        <v>0</v>
      </c>
      <c r="AG449" s="20">
        <f>IFERROR((VLOOKUP(Tabla13[[#This Row],[ID]],[1]!Mtto_Pesv[[#Headers],[#Data],[Placa]:[Rutina]],3,FALSE)),0)</f>
        <v>0</v>
      </c>
      <c r="AH449" s="20">
        <f>IFERROR((VLOOKUP(Tabla13[[#This Row],[ID]],[1]!Mtto_Pesv[[#Headers],[#Data],[Placa]:[Rutina]],7,FALSE)),0)</f>
        <v>0</v>
      </c>
      <c r="AI449" s="20">
        <f>IFERROR((VLOOKUP(Tabla13[[#This Row],[ID]],[1]!Mtto_Pesv[[#Headers],[#Data],[Placa]:[Rutina]],8,FALSE)),0)</f>
        <v>0</v>
      </c>
      <c r="AJ449" s="20" t="str">
        <f>IFERROR((VLOOKUP(Tabla13[[#This Row],[ID]],[1]!Mtto_Pesv[[#Headers],[#Data],[Placa]:[Rutina]],9,FALSE)),"-")</f>
        <v>-</v>
      </c>
      <c r="AK449" s="20">
        <f>IFERROR((VLOOKUP(Tabla13[[#This Row],[ID]],[1]!Mtto_Pesv[[#Headers],[#Data],[Placa]:[Rutina]],10,FALSE)),0)</f>
        <v>0</v>
      </c>
      <c r="AL449" s="20">
        <f>IF(Tabla13[[#This Row],[Km Anterior]]=0,0,Tabla13[[#This Row],[Km Ejecut]]-Tabla13[[#This Row],[Km Anterior]])</f>
        <v>0</v>
      </c>
      <c r="AM449" s="20">
        <f>IFERROR((VLOOKUP(Tabla13[[#This Row],[ID]],[1]!Mtto_Pesv[[#Headers],[#Data],[Placa]:[Rutina]],4,FALSE)),0)</f>
        <v>0</v>
      </c>
      <c r="AN449" s="21">
        <f>IFERROR((VLOOKUP(Tabla13[[#This Row],[ID]],[1]!Mtto_Pesv[[#Headers],[#Data],[Placa]:[Rutina]],5,FALSE)),0)</f>
        <v>0</v>
      </c>
      <c r="AO449" s="21">
        <f>+Tabla13[[#This Row],[Km Fin]]-Tabla13[[#This Row],[Km Ini]]</f>
        <v>0</v>
      </c>
      <c r="AP449" s="20">
        <f>IFERROR((VLOOKUP(Tabla13[[#This Row],[ID]],[1]!Estilo_Conduccion[[#All],[Placa]:[Puntuacion]],15,FALSE)),0)</f>
        <v>0</v>
      </c>
      <c r="AQ449" s="15" t="s">
        <v>54</v>
      </c>
      <c r="AR449" s="15" t="s">
        <v>54</v>
      </c>
      <c r="AS449" s="20">
        <v>700</v>
      </c>
      <c r="AT449" s="21">
        <v>0</v>
      </c>
      <c r="AU449" s="21">
        <f>(Tabla13[[#This Row],[Cap Vh]]*$AX$2)*0.56</f>
        <v>0</v>
      </c>
      <c r="AV449" s="36" t="e">
        <f>(Tabla13[[#This Row],[Cap Util (kg)]]/(Tabla13[[#This Row],[Cap Inst (Kg)]]))</f>
        <v>#DIV/0!</v>
      </c>
    </row>
    <row r="450" spans="1:48" x14ac:dyDescent="0.25">
      <c r="A450" s="13" t="s">
        <v>1068</v>
      </c>
      <c r="B450" s="14" t="s">
        <v>644</v>
      </c>
      <c r="C450" s="14" t="s">
        <v>564</v>
      </c>
      <c r="D450" s="14" t="s">
        <v>565</v>
      </c>
      <c r="E450" s="14" t="s">
        <v>573</v>
      </c>
      <c r="F450" s="14" t="s">
        <v>337</v>
      </c>
      <c r="G450" s="15" t="s">
        <v>128</v>
      </c>
      <c r="H450" s="16" t="s">
        <v>129</v>
      </c>
      <c r="I450" s="14" t="s">
        <v>49</v>
      </c>
      <c r="J450" s="14">
        <v>900335279</v>
      </c>
      <c r="K450" s="14" t="s">
        <v>77</v>
      </c>
      <c r="L450" s="14" t="s">
        <v>103</v>
      </c>
      <c r="M450" s="14" t="s">
        <v>121</v>
      </c>
      <c r="N450" s="14">
        <v>2012</v>
      </c>
      <c r="O450" s="14">
        <v>8</v>
      </c>
      <c r="P450" s="14" t="s">
        <v>53</v>
      </c>
      <c r="Q450" s="14">
        <v>0</v>
      </c>
      <c r="R450" s="14">
        <v>0</v>
      </c>
      <c r="S450" s="17" t="s">
        <v>54</v>
      </c>
      <c r="T450" s="18">
        <v>0</v>
      </c>
      <c r="U450" s="14">
        <v>30</v>
      </c>
      <c r="V450" s="19">
        <v>1</v>
      </c>
      <c r="W450" s="14">
        <v>0</v>
      </c>
      <c r="X450" s="14">
        <v>20</v>
      </c>
      <c r="Y450" s="14">
        <v>0</v>
      </c>
      <c r="Z450" s="14">
        <v>14</v>
      </c>
      <c r="AA450" s="14">
        <f>Tabla13[[#This Row],[CheckList App]]+Tabla13[[#This Row],[CheckList Fisc]]</f>
        <v>14</v>
      </c>
      <c r="AB450" s="19">
        <f t="shared" ref="AB450:AB513" si="7">IF(U450=0,"",(IFERROR((AA450/X450),0)))</f>
        <v>0.7</v>
      </c>
      <c r="AC450" s="14">
        <v>0</v>
      </c>
      <c r="AD450" s="14" t="s">
        <v>55</v>
      </c>
      <c r="AE450" s="15" t="str">
        <f>IFERROR((VLOOKUP(Tabla13[[#This Row],[ID]],[1]!Mtto_Pesv[[#Headers],[#Data],[Placa]:[Rutina]],2,FALSE)),"-")</f>
        <v>-</v>
      </c>
      <c r="AF450" s="14">
        <v>0</v>
      </c>
      <c r="AG450" s="20">
        <f>IFERROR((VLOOKUP(Tabla13[[#This Row],[ID]],[1]!Mtto_Pesv[[#Headers],[#Data],[Placa]:[Rutina]],3,FALSE)),0)</f>
        <v>0</v>
      </c>
      <c r="AH450" s="20">
        <f>IFERROR((VLOOKUP(Tabla13[[#This Row],[ID]],[1]!Mtto_Pesv[[#Headers],[#Data],[Placa]:[Rutina]],7,FALSE)),0)</f>
        <v>0</v>
      </c>
      <c r="AI450" s="20">
        <f>IFERROR((VLOOKUP(Tabla13[[#This Row],[ID]],[1]!Mtto_Pesv[[#Headers],[#Data],[Placa]:[Rutina]],8,FALSE)),0)</f>
        <v>0</v>
      </c>
      <c r="AJ450" s="20" t="str">
        <f>IFERROR((VLOOKUP(Tabla13[[#This Row],[ID]],[1]!Mtto_Pesv[[#Headers],[#Data],[Placa]:[Rutina]],9,FALSE)),"-")</f>
        <v>-</v>
      </c>
      <c r="AK450" s="20">
        <f>IFERROR((VLOOKUP(Tabla13[[#This Row],[ID]],[1]!Mtto_Pesv[[#Headers],[#Data],[Placa]:[Rutina]],10,FALSE)),0)</f>
        <v>0</v>
      </c>
      <c r="AL450" s="20">
        <f>IF(Tabla13[[#This Row],[Km Anterior]]=0,0,Tabla13[[#This Row],[Km Ejecut]]-Tabla13[[#This Row],[Km Anterior]])</f>
        <v>0</v>
      </c>
      <c r="AM450" s="20">
        <f>IFERROR((VLOOKUP(Tabla13[[#This Row],[ID]],[1]!Mtto_Pesv[[#Headers],[#Data],[Placa]:[Rutina]],4,FALSE)),0)</f>
        <v>0</v>
      </c>
      <c r="AN450" s="21">
        <f>IFERROR((VLOOKUP(Tabla13[[#This Row],[ID]],[1]!Mtto_Pesv[[#Headers],[#Data],[Placa]:[Rutina]],5,FALSE)),0)</f>
        <v>0</v>
      </c>
      <c r="AO450" s="21">
        <f>+Tabla13[[#This Row],[Km Fin]]-Tabla13[[#This Row],[Km Ini]]</f>
        <v>0</v>
      </c>
      <c r="AP450" s="20">
        <f>IFERROR((VLOOKUP(Tabla13[[#This Row],[ID]],[1]!Estilo_Conduccion[[#All],[Placa]:[Puntuacion]],15,FALSE)),0)</f>
        <v>0</v>
      </c>
      <c r="AQ450" s="15" t="s">
        <v>1342</v>
      </c>
      <c r="AR450" s="15" t="s">
        <v>1343</v>
      </c>
      <c r="AS450" s="20">
        <v>2630</v>
      </c>
      <c r="AT450" s="21">
        <v>29745</v>
      </c>
      <c r="AU450" s="21">
        <f>(Tabla13[[#This Row],[Cap Vh]]*$AX$2)*0.56</f>
        <v>0</v>
      </c>
      <c r="AV450" s="36" t="e">
        <f>(Tabla13[[#This Row],[Cap Util (kg)]]/(Tabla13[[#This Row],[Cap Inst (Kg)]]))</f>
        <v>#DIV/0!</v>
      </c>
    </row>
    <row r="451" spans="1:48" x14ac:dyDescent="0.25">
      <c r="A451" s="13" t="s">
        <v>1068</v>
      </c>
      <c r="B451" s="14" t="s">
        <v>645</v>
      </c>
      <c r="C451" s="14" t="s">
        <v>564</v>
      </c>
      <c r="D451" s="14" t="s">
        <v>577</v>
      </c>
      <c r="E451" s="14" t="s">
        <v>578</v>
      </c>
      <c r="F451" s="14" t="s">
        <v>337</v>
      </c>
      <c r="G451" s="15" t="s">
        <v>128</v>
      </c>
      <c r="H451" s="16" t="s">
        <v>143</v>
      </c>
      <c r="I451" s="14" t="s">
        <v>49</v>
      </c>
      <c r="J451" s="14">
        <v>900335279</v>
      </c>
      <c r="K451" s="14" t="s">
        <v>77</v>
      </c>
      <c r="L451" s="14" t="s">
        <v>103</v>
      </c>
      <c r="M451" s="14" t="s">
        <v>104</v>
      </c>
      <c r="N451" s="14">
        <v>2012</v>
      </c>
      <c r="O451" s="14">
        <v>8</v>
      </c>
      <c r="P451" s="14" t="s">
        <v>53</v>
      </c>
      <c r="Q451" s="14">
        <v>1</v>
      </c>
      <c r="R451" s="14">
        <v>0</v>
      </c>
      <c r="S451" s="17" t="s">
        <v>54</v>
      </c>
      <c r="T451" s="18">
        <v>0</v>
      </c>
      <c r="U451" s="14">
        <v>30</v>
      </c>
      <c r="V451" s="19">
        <v>1</v>
      </c>
      <c r="W451" s="14">
        <v>0</v>
      </c>
      <c r="X451" s="14">
        <v>4</v>
      </c>
      <c r="Y451" s="14">
        <v>0</v>
      </c>
      <c r="Z451" s="14">
        <v>0</v>
      </c>
      <c r="AA451" s="14">
        <f>Tabla13[[#This Row],[CheckList App]]+Tabla13[[#This Row],[CheckList Fisc]]</f>
        <v>0</v>
      </c>
      <c r="AB451" s="19">
        <f t="shared" si="7"/>
        <v>0</v>
      </c>
      <c r="AC451" s="14">
        <v>0</v>
      </c>
      <c r="AD451" s="14" t="s">
        <v>55</v>
      </c>
      <c r="AE451" s="15" t="str">
        <f>IFERROR((VLOOKUP(Tabla13[[#This Row],[ID]],[1]!Mtto_Pesv[[#Headers],[#Data],[Placa]:[Rutina]],2,FALSE)),"-")</f>
        <v>-</v>
      </c>
      <c r="AF451" s="14">
        <v>0</v>
      </c>
      <c r="AG451" s="20">
        <f>IFERROR((VLOOKUP(Tabla13[[#This Row],[ID]],[1]!Mtto_Pesv[[#Headers],[#Data],[Placa]:[Rutina]],3,FALSE)),0)</f>
        <v>0</v>
      </c>
      <c r="AH451" s="20">
        <f>IFERROR((VLOOKUP(Tabla13[[#This Row],[ID]],[1]!Mtto_Pesv[[#Headers],[#Data],[Placa]:[Rutina]],7,FALSE)),0)</f>
        <v>0</v>
      </c>
      <c r="AI451" s="20">
        <f>IFERROR((VLOOKUP(Tabla13[[#This Row],[ID]],[1]!Mtto_Pesv[[#Headers],[#Data],[Placa]:[Rutina]],8,FALSE)),0)</f>
        <v>0</v>
      </c>
      <c r="AJ451" s="20" t="str">
        <f>IFERROR((VLOOKUP(Tabla13[[#This Row],[ID]],[1]!Mtto_Pesv[[#Headers],[#Data],[Placa]:[Rutina]],9,FALSE)),"-")</f>
        <v>-</v>
      </c>
      <c r="AK451" s="20">
        <f>IFERROR((VLOOKUP(Tabla13[[#This Row],[ID]],[1]!Mtto_Pesv[[#Headers],[#Data],[Placa]:[Rutina]],10,FALSE)),0)</f>
        <v>0</v>
      </c>
      <c r="AL451" s="20">
        <f>IF(Tabla13[[#This Row],[Km Anterior]]=0,0,Tabla13[[#This Row],[Km Ejecut]]-Tabla13[[#This Row],[Km Anterior]])</f>
        <v>0</v>
      </c>
      <c r="AM451" s="20">
        <f>IFERROR((VLOOKUP(Tabla13[[#This Row],[ID]],[1]!Mtto_Pesv[[#Headers],[#Data],[Placa]:[Rutina]],4,FALSE)),0)</f>
        <v>0</v>
      </c>
      <c r="AN451" s="21">
        <f>IFERROR((VLOOKUP(Tabla13[[#This Row],[ID]],[1]!Mtto_Pesv[[#Headers],[#Data],[Placa]:[Rutina]],5,FALSE)),0)</f>
        <v>0</v>
      </c>
      <c r="AO451" s="21">
        <f>+Tabla13[[#This Row],[Km Fin]]-Tabla13[[#This Row],[Km Ini]]</f>
        <v>0</v>
      </c>
      <c r="AP451" s="20">
        <f>IFERROR((VLOOKUP(Tabla13[[#This Row],[ID]],[1]!Estilo_Conduccion[[#All],[Placa]:[Puntuacion]],15,FALSE)),0)</f>
        <v>6</v>
      </c>
      <c r="AQ451" s="15" t="s">
        <v>54</v>
      </c>
      <c r="AR451" s="15" t="s">
        <v>1344</v>
      </c>
      <c r="AS451" s="20">
        <v>1575</v>
      </c>
      <c r="AT451" s="21">
        <v>0</v>
      </c>
      <c r="AU451" s="21">
        <f>(Tabla13[[#This Row],[Cap Vh]]*$AX$2)*0.56</f>
        <v>0</v>
      </c>
      <c r="AV451" s="36" t="e">
        <f>(Tabla13[[#This Row],[Cap Util (kg)]]/(Tabla13[[#This Row],[Cap Inst (Kg)]]))</f>
        <v>#DIV/0!</v>
      </c>
    </row>
    <row r="452" spans="1:48" x14ac:dyDescent="0.25">
      <c r="A452" s="13" t="s">
        <v>1068</v>
      </c>
      <c r="B452" s="14" t="s">
        <v>646</v>
      </c>
      <c r="C452" s="14" t="s">
        <v>564</v>
      </c>
      <c r="D452" s="14" t="s">
        <v>565</v>
      </c>
      <c r="E452" s="14" t="s">
        <v>575</v>
      </c>
      <c r="F452" s="14" t="s">
        <v>337</v>
      </c>
      <c r="G452" s="15" t="s">
        <v>128</v>
      </c>
      <c r="H452" s="16" t="s">
        <v>129</v>
      </c>
      <c r="I452" s="14" t="s">
        <v>49</v>
      </c>
      <c r="J452" s="14">
        <v>900335279</v>
      </c>
      <c r="K452" s="14" t="s">
        <v>77</v>
      </c>
      <c r="L452" s="14" t="s">
        <v>103</v>
      </c>
      <c r="M452" s="14" t="s">
        <v>104</v>
      </c>
      <c r="N452" s="14">
        <v>2012</v>
      </c>
      <c r="O452" s="14">
        <v>8</v>
      </c>
      <c r="P452" s="14" t="s">
        <v>53</v>
      </c>
      <c r="Q452" s="14">
        <v>1</v>
      </c>
      <c r="R452" s="14">
        <v>0</v>
      </c>
      <c r="S452" s="17" t="s">
        <v>54</v>
      </c>
      <c r="T452" s="18">
        <v>0</v>
      </c>
      <c r="U452" s="14">
        <v>30</v>
      </c>
      <c r="V452" s="19">
        <v>1</v>
      </c>
      <c r="W452" s="14">
        <v>0</v>
      </c>
      <c r="X452" s="14">
        <v>0</v>
      </c>
      <c r="Y452" s="14">
        <v>0</v>
      </c>
      <c r="Z452" s="14">
        <v>0</v>
      </c>
      <c r="AA452" s="14">
        <f>Tabla13[[#This Row],[CheckList App]]+Tabla13[[#This Row],[CheckList Fisc]]</f>
        <v>0</v>
      </c>
      <c r="AB452" s="19">
        <f t="shared" si="7"/>
        <v>0</v>
      </c>
      <c r="AC452" s="14">
        <v>0</v>
      </c>
      <c r="AD452" s="14" t="s">
        <v>55</v>
      </c>
      <c r="AE452" s="15" t="str">
        <f>IFERROR((VLOOKUP(Tabla13[[#This Row],[ID]],[1]!Mtto_Pesv[[#Headers],[#Data],[Placa]:[Rutina]],2,FALSE)),"-")</f>
        <v>-</v>
      </c>
      <c r="AF452" s="14">
        <v>0</v>
      </c>
      <c r="AG452" s="20">
        <f>IFERROR((VLOOKUP(Tabla13[[#This Row],[ID]],[1]!Mtto_Pesv[[#Headers],[#Data],[Placa]:[Rutina]],3,FALSE)),0)</f>
        <v>0</v>
      </c>
      <c r="AH452" s="20">
        <f>IFERROR((VLOOKUP(Tabla13[[#This Row],[ID]],[1]!Mtto_Pesv[[#Headers],[#Data],[Placa]:[Rutina]],7,FALSE)),0)</f>
        <v>0</v>
      </c>
      <c r="AI452" s="20">
        <f>IFERROR((VLOOKUP(Tabla13[[#This Row],[ID]],[1]!Mtto_Pesv[[#Headers],[#Data],[Placa]:[Rutina]],8,FALSE)),0)</f>
        <v>0</v>
      </c>
      <c r="AJ452" s="20" t="str">
        <f>IFERROR((VLOOKUP(Tabla13[[#This Row],[ID]],[1]!Mtto_Pesv[[#Headers],[#Data],[Placa]:[Rutina]],9,FALSE)),"-")</f>
        <v>-</v>
      </c>
      <c r="AK452" s="20">
        <f>IFERROR((VLOOKUP(Tabla13[[#This Row],[ID]],[1]!Mtto_Pesv[[#Headers],[#Data],[Placa]:[Rutina]],10,FALSE)),0)</f>
        <v>0</v>
      </c>
      <c r="AL452" s="20">
        <f>IF(Tabla13[[#This Row],[Km Anterior]]=0,0,Tabla13[[#This Row],[Km Ejecut]]-Tabla13[[#This Row],[Km Anterior]])</f>
        <v>0</v>
      </c>
      <c r="AM452" s="20">
        <f>IFERROR((VLOOKUP(Tabla13[[#This Row],[ID]],[1]!Mtto_Pesv[[#Headers],[#Data],[Placa]:[Rutina]],4,FALSE)),0)</f>
        <v>0</v>
      </c>
      <c r="AN452" s="21">
        <f>IFERROR((VLOOKUP(Tabla13[[#This Row],[ID]],[1]!Mtto_Pesv[[#Headers],[#Data],[Placa]:[Rutina]],5,FALSE)),0)</f>
        <v>0</v>
      </c>
      <c r="AO452" s="21">
        <f>+Tabla13[[#This Row],[Km Fin]]-Tabla13[[#This Row],[Km Ini]]</f>
        <v>0</v>
      </c>
      <c r="AP452" s="20">
        <f>IFERROR((VLOOKUP(Tabla13[[#This Row],[ID]],[1]!Estilo_Conduccion[[#All],[Placa]:[Puntuacion]],15,FALSE)),0)</f>
        <v>0</v>
      </c>
      <c r="AQ452" s="15" t="s">
        <v>1295</v>
      </c>
      <c r="AR452" s="15" t="s">
        <v>1296</v>
      </c>
      <c r="AS452" s="20">
        <v>1325</v>
      </c>
      <c r="AT452" s="21">
        <v>11749.5</v>
      </c>
      <c r="AU452" s="21">
        <f>(Tabla13[[#This Row],[Cap Vh]]*$AX$2)*0.56</f>
        <v>0</v>
      </c>
      <c r="AV452" s="36" t="e">
        <f>(Tabla13[[#This Row],[Cap Util (kg)]]/(Tabla13[[#This Row],[Cap Inst (Kg)]]))</f>
        <v>#DIV/0!</v>
      </c>
    </row>
    <row r="453" spans="1:48" x14ac:dyDescent="0.25">
      <c r="A453" s="13" t="s">
        <v>1068</v>
      </c>
      <c r="B453" s="14" t="s">
        <v>647</v>
      </c>
      <c r="C453" s="14" t="s">
        <v>564</v>
      </c>
      <c r="D453" s="14" t="s">
        <v>565</v>
      </c>
      <c r="E453" s="14" t="s">
        <v>588</v>
      </c>
      <c r="F453" s="14" t="s">
        <v>76</v>
      </c>
      <c r="G453" s="15" t="s">
        <v>47</v>
      </c>
      <c r="H453" s="16" t="s">
        <v>48</v>
      </c>
      <c r="I453" s="14" t="s">
        <v>49</v>
      </c>
      <c r="J453" s="14">
        <v>900335279</v>
      </c>
      <c r="K453" s="14" t="s">
        <v>77</v>
      </c>
      <c r="L453" s="14" t="s">
        <v>103</v>
      </c>
      <c r="M453" s="14" t="s">
        <v>104</v>
      </c>
      <c r="N453" s="14">
        <v>2012</v>
      </c>
      <c r="O453" s="14">
        <v>8</v>
      </c>
      <c r="P453" s="14" t="s">
        <v>53</v>
      </c>
      <c r="Q453" s="14">
        <v>0</v>
      </c>
      <c r="R453" s="14">
        <v>0</v>
      </c>
      <c r="S453" s="17" t="s">
        <v>54</v>
      </c>
      <c r="T453" s="18">
        <v>0</v>
      </c>
      <c r="U453" s="14">
        <v>0</v>
      </c>
      <c r="V453" s="19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f>Tabla13[[#This Row],[CheckList App]]+Tabla13[[#This Row],[CheckList Fisc]]</f>
        <v>0</v>
      </c>
      <c r="AB453" s="19" t="str">
        <f t="shared" si="7"/>
        <v/>
      </c>
      <c r="AC453" s="14">
        <v>0</v>
      </c>
      <c r="AD453" s="14" t="s">
        <v>55</v>
      </c>
      <c r="AE453" s="15" t="str">
        <f>IFERROR((VLOOKUP(Tabla13[[#This Row],[ID]],[1]!Mtto_Pesv[[#Headers],[#Data],[Placa]:[Rutina]],2,FALSE)),"-")</f>
        <v>-</v>
      </c>
      <c r="AF453" s="14">
        <v>0</v>
      </c>
      <c r="AG453" s="20">
        <f>IFERROR((VLOOKUP(Tabla13[[#This Row],[ID]],[1]!Mtto_Pesv[[#Headers],[#Data],[Placa]:[Rutina]],3,FALSE)),0)</f>
        <v>0</v>
      </c>
      <c r="AH453" s="20">
        <f>IFERROR((VLOOKUP(Tabla13[[#This Row],[ID]],[1]!Mtto_Pesv[[#Headers],[#Data],[Placa]:[Rutina]],7,FALSE)),0)</f>
        <v>0</v>
      </c>
      <c r="AI453" s="20">
        <f>IFERROR((VLOOKUP(Tabla13[[#This Row],[ID]],[1]!Mtto_Pesv[[#Headers],[#Data],[Placa]:[Rutina]],8,FALSE)),0)</f>
        <v>0</v>
      </c>
      <c r="AJ453" s="20" t="str">
        <f>IFERROR((VLOOKUP(Tabla13[[#This Row],[ID]],[1]!Mtto_Pesv[[#Headers],[#Data],[Placa]:[Rutina]],9,FALSE)),"-")</f>
        <v>-</v>
      </c>
      <c r="AK453" s="20">
        <f>IFERROR((VLOOKUP(Tabla13[[#This Row],[ID]],[1]!Mtto_Pesv[[#Headers],[#Data],[Placa]:[Rutina]],10,FALSE)),0)</f>
        <v>0</v>
      </c>
      <c r="AL453" s="20">
        <f>IF(Tabla13[[#This Row],[Km Anterior]]=0,0,Tabla13[[#This Row],[Km Ejecut]]-Tabla13[[#This Row],[Km Anterior]])</f>
        <v>0</v>
      </c>
      <c r="AM453" s="20">
        <f>IFERROR((VLOOKUP(Tabla13[[#This Row],[ID]],[1]!Mtto_Pesv[[#Headers],[#Data],[Placa]:[Rutina]],4,FALSE)),0)</f>
        <v>0</v>
      </c>
      <c r="AN453" s="21">
        <f>IFERROR((VLOOKUP(Tabla13[[#This Row],[ID]],[1]!Mtto_Pesv[[#Headers],[#Data],[Placa]:[Rutina]],5,FALSE)),0)</f>
        <v>0</v>
      </c>
      <c r="AO453" s="21">
        <f>+Tabla13[[#This Row],[Km Fin]]-Tabla13[[#This Row],[Km Ini]]</f>
        <v>0</v>
      </c>
      <c r="AP453" s="20">
        <f>IFERROR((VLOOKUP(Tabla13[[#This Row],[ID]],[1]!Estilo_Conduccion[[#All],[Placa]:[Puntuacion]],15,FALSE)),0)</f>
        <v>0</v>
      </c>
      <c r="AQ453" s="15" t="s">
        <v>1345</v>
      </c>
      <c r="AR453" s="15" t="s">
        <v>1346</v>
      </c>
      <c r="AS453" s="20">
        <v>1325</v>
      </c>
      <c r="AT453" s="21">
        <v>14533.5</v>
      </c>
      <c r="AU453" s="21">
        <f>(Tabla13[[#This Row],[Cap Vh]]*$AX$2)*0.56</f>
        <v>0</v>
      </c>
      <c r="AV453" s="36" t="e">
        <f>(Tabla13[[#This Row],[Cap Util (kg)]]/(Tabla13[[#This Row],[Cap Inst (Kg)]]))</f>
        <v>#DIV/0!</v>
      </c>
    </row>
    <row r="454" spans="1:48" x14ac:dyDescent="0.25">
      <c r="A454" s="13" t="s">
        <v>1068</v>
      </c>
      <c r="B454" s="14" t="s">
        <v>648</v>
      </c>
      <c r="C454" s="14" t="s">
        <v>564</v>
      </c>
      <c r="D454" s="14" t="s">
        <v>565</v>
      </c>
      <c r="E454" s="14" t="s">
        <v>566</v>
      </c>
      <c r="F454" s="14" t="s">
        <v>64</v>
      </c>
      <c r="G454" s="15" t="s">
        <v>128</v>
      </c>
      <c r="H454" s="16" t="s">
        <v>143</v>
      </c>
      <c r="I454" s="14" t="s">
        <v>49</v>
      </c>
      <c r="J454" s="14">
        <v>900335279</v>
      </c>
      <c r="K454" s="14" t="s">
        <v>77</v>
      </c>
      <c r="L454" s="14" t="s">
        <v>103</v>
      </c>
      <c r="M454" s="14" t="s">
        <v>104</v>
      </c>
      <c r="N454" s="14">
        <v>2012</v>
      </c>
      <c r="O454" s="14">
        <v>8</v>
      </c>
      <c r="P454" s="14" t="s">
        <v>53</v>
      </c>
      <c r="Q454" s="14">
        <v>1</v>
      </c>
      <c r="R454" s="14">
        <v>0</v>
      </c>
      <c r="S454" s="17" t="s">
        <v>54</v>
      </c>
      <c r="T454" s="18">
        <v>0</v>
      </c>
      <c r="U454" s="14">
        <v>30</v>
      </c>
      <c r="V454" s="19">
        <v>1</v>
      </c>
      <c r="W454" s="14">
        <v>0</v>
      </c>
      <c r="X454" s="14">
        <v>19</v>
      </c>
      <c r="Y454" s="14">
        <v>0</v>
      </c>
      <c r="Z454" s="14">
        <v>17</v>
      </c>
      <c r="AA454" s="14">
        <f>Tabla13[[#This Row],[CheckList App]]+Tabla13[[#This Row],[CheckList Fisc]]</f>
        <v>17</v>
      </c>
      <c r="AB454" s="19">
        <f t="shared" si="7"/>
        <v>0.89473684210526316</v>
      </c>
      <c r="AC454" s="14">
        <v>0</v>
      </c>
      <c r="AD454" s="14" t="s">
        <v>55</v>
      </c>
      <c r="AE454" s="15" t="str">
        <f>IFERROR((VLOOKUP(Tabla13[[#This Row],[ID]],[1]!Mtto_Pesv[[#Headers],[#Data],[Placa]:[Rutina]],2,FALSE)),"-")</f>
        <v>-</v>
      </c>
      <c r="AF454" s="14">
        <v>1</v>
      </c>
      <c r="AG454" s="20">
        <f>IFERROR((VLOOKUP(Tabla13[[#This Row],[ID]],[1]!Mtto_Pesv[[#Headers],[#Data],[Placa]:[Rutina]],3,FALSE)),0)</f>
        <v>0</v>
      </c>
      <c r="AH454" s="20">
        <f>IFERROR((VLOOKUP(Tabla13[[#This Row],[ID]],[1]!Mtto_Pesv[[#Headers],[#Data],[Placa]:[Rutina]],7,FALSE)),0)</f>
        <v>0</v>
      </c>
      <c r="AI454" s="20">
        <f>IFERROR((VLOOKUP(Tabla13[[#This Row],[ID]],[1]!Mtto_Pesv[[#Headers],[#Data],[Placa]:[Rutina]],8,FALSE)),0)</f>
        <v>0</v>
      </c>
      <c r="AJ454" s="20" t="str">
        <f>IFERROR((VLOOKUP(Tabla13[[#This Row],[ID]],[1]!Mtto_Pesv[[#Headers],[#Data],[Placa]:[Rutina]],9,FALSE)),"-")</f>
        <v>-</v>
      </c>
      <c r="AK454" s="20">
        <f>IFERROR((VLOOKUP(Tabla13[[#This Row],[ID]],[1]!Mtto_Pesv[[#Headers],[#Data],[Placa]:[Rutina]],10,FALSE)),0)</f>
        <v>0</v>
      </c>
      <c r="AL454" s="20">
        <f>IF(Tabla13[[#This Row],[Km Anterior]]=0,0,Tabla13[[#This Row],[Km Ejecut]]-Tabla13[[#This Row],[Km Anterior]])</f>
        <v>0</v>
      </c>
      <c r="AM454" s="20">
        <f>IFERROR((VLOOKUP(Tabla13[[#This Row],[ID]],[1]!Mtto_Pesv[[#Headers],[#Data],[Placa]:[Rutina]],4,FALSE)),0)</f>
        <v>0</v>
      </c>
      <c r="AN454" s="21">
        <f>IFERROR((VLOOKUP(Tabla13[[#This Row],[ID]],[1]!Mtto_Pesv[[#Headers],[#Data],[Placa]:[Rutina]],5,FALSE)),0)</f>
        <v>0</v>
      </c>
      <c r="AO454" s="21">
        <f>+Tabla13[[#This Row],[Km Fin]]-Tabla13[[#This Row],[Km Ini]]</f>
        <v>0</v>
      </c>
      <c r="AP454" s="20">
        <f>IFERROR((VLOOKUP(Tabla13[[#This Row],[ID]],[1]!Estilo_Conduccion[[#All],[Placa]:[Puntuacion]],15,FALSE)),0)</f>
        <v>576.49999999999989</v>
      </c>
      <c r="AQ454" s="15" t="s">
        <v>54</v>
      </c>
      <c r="AR454" s="15" t="s">
        <v>1347</v>
      </c>
      <c r="AS454" s="20">
        <v>1575</v>
      </c>
      <c r="AT454" s="21">
        <v>0</v>
      </c>
      <c r="AU454" s="21">
        <f>(Tabla13[[#This Row],[Cap Vh]]*$AX$2)*0.56</f>
        <v>0</v>
      </c>
      <c r="AV454" s="36" t="e">
        <f>(Tabla13[[#This Row],[Cap Util (kg)]]/(Tabla13[[#This Row],[Cap Inst (Kg)]]))</f>
        <v>#DIV/0!</v>
      </c>
    </row>
    <row r="455" spans="1:48" x14ac:dyDescent="0.25">
      <c r="A455" s="13" t="s">
        <v>1068</v>
      </c>
      <c r="B455" s="14" t="s">
        <v>649</v>
      </c>
      <c r="C455" s="14" t="s">
        <v>564</v>
      </c>
      <c r="D455" s="14" t="s">
        <v>565</v>
      </c>
      <c r="E455" s="14" t="s">
        <v>588</v>
      </c>
      <c r="F455" s="14" t="s">
        <v>76</v>
      </c>
      <c r="G455" s="15" t="s">
        <v>47</v>
      </c>
      <c r="H455" s="16" t="s">
        <v>48</v>
      </c>
      <c r="I455" s="14" t="s">
        <v>49</v>
      </c>
      <c r="J455" s="14">
        <v>900335279</v>
      </c>
      <c r="K455" s="14" t="s">
        <v>77</v>
      </c>
      <c r="L455" s="14" t="s">
        <v>103</v>
      </c>
      <c r="M455" s="14" t="s">
        <v>104</v>
      </c>
      <c r="N455" s="14">
        <v>2012</v>
      </c>
      <c r="O455" s="14">
        <v>8</v>
      </c>
      <c r="P455" s="14" t="s">
        <v>53</v>
      </c>
      <c r="Q455" s="14">
        <v>0</v>
      </c>
      <c r="R455" s="14">
        <v>0</v>
      </c>
      <c r="S455" s="17" t="s">
        <v>54</v>
      </c>
      <c r="T455" s="18">
        <v>0</v>
      </c>
      <c r="U455" s="14">
        <v>0</v>
      </c>
      <c r="V455" s="19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f>Tabla13[[#This Row],[CheckList App]]+Tabla13[[#This Row],[CheckList Fisc]]</f>
        <v>0</v>
      </c>
      <c r="AB455" s="19" t="str">
        <f t="shared" si="7"/>
        <v/>
      </c>
      <c r="AC455" s="14">
        <v>0</v>
      </c>
      <c r="AD455" s="14" t="s">
        <v>55</v>
      </c>
      <c r="AE455" s="15" t="str">
        <f>IFERROR((VLOOKUP(Tabla13[[#This Row],[ID]],[1]!Mtto_Pesv[[#Headers],[#Data],[Placa]:[Rutina]],2,FALSE)),"-")</f>
        <v>-</v>
      </c>
      <c r="AF455" s="14">
        <v>0</v>
      </c>
      <c r="AG455" s="20">
        <f>IFERROR((VLOOKUP(Tabla13[[#This Row],[ID]],[1]!Mtto_Pesv[[#Headers],[#Data],[Placa]:[Rutina]],3,FALSE)),0)</f>
        <v>0</v>
      </c>
      <c r="AH455" s="20">
        <f>IFERROR((VLOOKUP(Tabla13[[#This Row],[ID]],[1]!Mtto_Pesv[[#Headers],[#Data],[Placa]:[Rutina]],7,FALSE)),0)</f>
        <v>0</v>
      </c>
      <c r="AI455" s="20">
        <f>IFERROR((VLOOKUP(Tabla13[[#This Row],[ID]],[1]!Mtto_Pesv[[#Headers],[#Data],[Placa]:[Rutina]],8,FALSE)),0)</f>
        <v>0</v>
      </c>
      <c r="AJ455" s="20" t="str">
        <f>IFERROR((VLOOKUP(Tabla13[[#This Row],[ID]],[1]!Mtto_Pesv[[#Headers],[#Data],[Placa]:[Rutina]],9,FALSE)),"-")</f>
        <v>-</v>
      </c>
      <c r="AK455" s="20">
        <f>IFERROR((VLOOKUP(Tabla13[[#This Row],[ID]],[1]!Mtto_Pesv[[#Headers],[#Data],[Placa]:[Rutina]],10,FALSE)),0)</f>
        <v>0</v>
      </c>
      <c r="AL455" s="20">
        <f>IF(Tabla13[[#This Row],[Km Anterior]]=0,0,Tabla13[[#This Row],[Km Ejecut]]-Tabla13[[#This Row],[Km Anterior]])</f>
        <v>0</v>
      </c>
      <c r="AM455" s="20">
        <f>IFERROR((VLOOKUP(Tabla13[[#This Row],[ID]],[1]!Mtto_Pesv[[#Headers],[#Data],[Placa]:[Rutina]],4,FALSE)),0)</f>
        <v>0</v>
      </c>
      <c r="AN455" s="21">
        <f>IFERROR((VLOOKUP(Tabla13[[#This Row],[ID]],[1]!Mtto_Pesv[[#Headers],[#Data],[Placa]:[Rutina]],5,FALSE)),0)</f>
        <v>0</v>
      </c>
      <c r="AO455" s="21">
        <f>+Tabla13[[#This Row],[Km Fin]]-Tabla13[[#This Row],[Km Ini]]</f>
        <v>0</v>
      </c>
      <c r="AP455" s="20">
        <f>IFERROR((VLOOKUP(Tabla13[[#This Row],[ID]],[1]!Estilo_Conduccion[[#All],[Placa]:[Puntuacion]],15,FALSE)),0)</f>
        <v>0</v>
      </c>
      <c r="AQ455" s="15" t="s">
        <v>1348</v>
      </c>
      <c r="AR455" s="15" t="s">
        <v>1349</v>
      </c>
      <c r="AS455" s="20">
        <v>1575</v>
      </c>
      <c r="AT455" s="21">
        <v>18378</v>
      </c>
      <c r="AU455" s="21">
        <f>(Tabla13[[#This Row],[Cap Vh]]*$AX$2)*0.56</f>
        <v>0</v>
      </c>
      <c r="AV455" s="36" t="e">
        <f>(Tabla13[[#This Row],[Cap Util (kg)]]/(Tabla13[[#This Row],[Cap Inst (Kg)]]))</f>
        <v>#DIV/0!</v>
      </c>
    </row>
    <row r="456" spans="1:48" x14ac:dyDescent="0.25">
      <c r="A456" s="13" t="s">
        <v>1068</v>
      </c>
      <c r="B456" s="14" t="s">
        <v>650</v>
      </c>
      <c r="C456" s="14" t="s">
        <v>564</v>
      </c>
      <c r="D456" s="14" t="s">
        <v>565</v>
      </c>
      <c r="E456" s="14" t="s">
        <v>569</v>
      </c>
      <c r="F456" s="14" t="s">
        <v>76</v>
      </c>
      <c r="G456" s="15" t="s">
        <v>89</v>
      </c>
      <c r="H456" s="16" t="s">
        <v>90</v>
      </c>
      <c r="I456" s="14" t="s">
        <v>49</v>
      </c>
      <c r="J456" s="14">
        <v>900335279</v>
      </c>
      <c r="K456" s="14" t="s">
        <v>77</v>
      </c>
      <c r="L456" s="14" t="s">
        <v>405</v>
      </c>
      <c r="M456" s="14" t="s">
        <v>651</v>
      </c>
      <c r="N456" s="14">
        <v>2011</v>
      </c>
      <c r="O456" s="14">
        <v>9</v>
      </c>
      <c r="P456" s="14" t="s">
        <v>53</v>
      </c>
      <c r="Q456" s="14">
        <v>0</v>
      </c>
      <c r="R456" s="14">
        <v>0</v>
      </c>
      <c r="S456" s="17" t="s">
        <v>54</v>
      </c>
      <c r="T456" s="18">
        <v>0</v>
      </c>
      <c r="U456" s="14">
        <v>0</v>
      </c>
      <c r="V456" s="19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f>Tabla13[[#This Row],[CheckList App]]+Tabla13[[#This Row],[CheckList Fisc]]</f>
        <v>0</v>
      </c>
      <c r="AB456" s="19" t="str">
        <f t="shared" si="7"/>
        <v/>
      </c>
      <c r="AC456" s="14">
        <v>0</v>
      </c>
      <c r="AD456" s="14" t="s">
        <v>55</v>
      </c>
      <c r="AE456" s="15" t="str">
        <f>IFERROR((VLOOKUP(Tabla13[[#This Row],[ID]],[1]!Mtto_Pesv[[#Headers],[#Data],[Placa]:[Rutina]],2,FALSE)),"-")</f>
        <v>-</v>
      </c>
      <c r="AF456" s="14">
        <v>0</v>
      </c>
      <c r="AG456" s="20">
        <f>IFERROR((VLOOKUP(Tabla13[[#This Row],[ID]],[1]!Mtto_Pesv[[#Headers],[#Data],[Placa]:[Rutina]],3,FALSE)),0)</f>
        <v>0</v>
      </c>
      <c r="AH456" s="20">
        <f>IFERROR((VLOOKUP(Tabla13[[#This Row],[ID]],[1]!Mtto_Pesv[[#Headers],[#Data],[Placa]:[Rutina]],7,FALSE)),0)</f>
        <v>0</v>
      </c>
      <c r="AI456" s="20">
        <f>IFERROR((VLOOKUP(Tabla13[[#This Row],[ID]],[1]!Mtto_Pesv[[#Headers],[#Data],[Placa]:[Rutina]],8,FALSE)),0)</f>
        <v>0</v>
      </c>
      <c r="AJ456" s="20" t="str">
        <f>IFERROR((VLOOKUP(Tabla13[[#This Row],[ID]],[1]!Mtto_Pesv[[#Headers],[#Data],[Placa]:[Rutina]],9,FALSE)),"-")</f>
        <v>-</v>
      </c>
      <c r="AK456" s="20">
        <f>IFERROR((VLOOKUP(Tabla13[[#This Row],[ID]],[1]!Mtto_Pesv[[#Headers],[#Data],[Placa]:[Rutina]],10,FALSE)),0)</f>
        <v>0</v>
      </c>
      <c r="AL456" s="20">
        <f>IF(Tabla13[[#This Row],[Km Anterior]]=0,0,Tabla13[[#This Row],[Km Ejecut]]-Tabla13[[#This Row],[Km Anterior]])</f>
        <v>0</v>
      </c>
      <c r="AM456" s="20">
        <f>IFERROR((VLOOKUP(Tabla13[[#This Row],[ID]],[1]!Mtto_Pesv[[#Headers],[#Data],[Placa]:[Rutina]],4,FALSE)),0)</f>
        <v>0</v>
      </c>
      <c r="AN456" s="21">
        <f>IFERROR((VLOOKUP(Tabla13[[#This Row],[ID]],[1]!Mtto_Pesv[[#Headers],[#Data],[Placa]:[Rutina]],5,FALSE)),0)</f>
        <v>0</v>
      </c>
      <c r="AO456" s="21">
        <f>+Tabla13[[#This Row],[Km Fin]]-Tabla13[[#This Row],[Km Ini]]</f>
        <v>0</v>
      </c>
      <c r="AP456" s="20">
        <f>IFERROR((VLOOKUP(Tabla13[[#This Row],[ID]],[1]!Estilo_Conduccion[[#All],[Placa]:[Puntuacion]],15,FALSE)),0)</f>
        <v>0</v>
      </c>
      <c r="AQ456" s="15" t="s">
        <v>1335</v>
      </c>
      <c r="AR456" s="15" t="s">
        <v>1336</v>
      </c>
      <c r="AS456" s="20">
        <v>3789</v>
      </c>
      <c r="AT456" s="21">
        <v>12157.5</v>
      </c>
      <c r="AU456" s="21">
        <f>(Tabla13[[#This Row],[Cap Vh]]*$AX$2)*0.56</f>
        <v>0</v>
      </c>
      <c r="AV456" s="36" t="e">
        <f>(Tabla13[[#This Row],[Cap Util (kg)]]/(Tabla13[[#This Row],[Cap Inst (Kg)]]))</f>
        <v>#DIV/0!</v>
      </c>
    </row>
    <row r="457" spans="1:48" x14ac:dyDescent="0.25">
      <c r="A457" s="13" t="s">
        <v>1068</v>
      </c>
      <c r="B457" s="14" t="s">
        <v>652</v>
      </c>
      <c r="C457" s="14" t="s">
        <v>564</v>
      </c>
      <c r="D457" s="14" t="s">
        <v>565</v>
      </c>
      <c r="E457" s="14" t="s">
        <v>566</v>
      </c>
      <c r="F457" s="14" t="s">
        <v>337</v>
      </c>
      <c r="G457" s="15" t="s">
        <v>128</v>
      </c>
      <c r="H457" s="16" t="s">
        <v>129</v>
      </c>
      <c r="I457" s="14" t="s">
        <v>49</v>
      </c>
      <c r="J457" s="14">
        <v>900335279</v>
      </c>
      <c r="K457" s="14" t="s">
        <v>77</v>
      </c>
      <c r="L457" s="14" t="s">
        <v>103</v>
      </c>
      <c r="M457" s="14" t="s">
        <v>104</v>
      </c>
      <c r="N457" s="14">
        <v>2012</v>
      </c>
      <c r="O457" s="14">
        <v>8</v>
      </c>
      <c r="P457" s="14" t="s">
        <v>53</v>
      </c>
      <c r="Q457" s="14">
        <v>1</v>
      </c>
      <c r="R457" s="14">
        <v>0</v>
      </c>
      <c r="S457" s="17" t="s">
        <v>54</v>
      </c>
      <c r="T457" s="18">
        <v>0</v>
      </c>
      <c r="U457" s="14">
        <v>30</v>
      </c>
      <c r="V457" s="19">
        <v>1</v>
      </c>
      <c r="W457" s="14">
        <v>0</v>
      </c>
      <c r="X457" s="14">
        <v>25</v>
      </c>
      <c r="Y457" s="14">
        <v>0</v>
      </c>
      <c r="Z457" s="14">
        <v>23</v>
      </c>
      <c r="AA457" s="14">
        <f>Tabla13[[#This Row],[CheckList App]]+Tabla13[[#This Row],[CheckList Fisc]]</f>
        <v>23</v>
      </c>
      <c r="AB457" s="19">
        <f t="shared" si="7"/>
        <v>0.92</v>
      </c>
      <c r="AC457" s="14">
        <v>0</v>
      </c>
      <c r="AD457" s="14" t="s">
        <v>70</v>
      </c>
      <c r="AE457" s="15" t="str">
        <f>IFERROR((VLOOKUP(Tabla13[[#This Row],[ID]],[1]!Mtto_Pesv[[#Headers],[#Data],[Placa]:[Rutina]],2,FALSE)),"-")</f>
        <v>-</v>
      </c>
      <c r="AF457" s="14">
        <v>1</v>
      </c>
      <c r="AG457" s="20">
        <f>IFERROR((VLOOKUP(Tabla13[[#This Row],[ID]],[1]!Mtto_Pesv[[#Headers],[#Data],[Placa]:[Rutina]],3,FALSE)),0)</f>
        <v>0</v>
      </c>
      <c r="AH457" s="20">
        <f>IFERROR((VLOOKUP(Tabla13[[#This Row],[ID]],[1]!Mtto_Pesv[[#Headers],[#Data],[Placa]:[Rutina]],7,FALSE)),0)</f>
        <v>0</v>
      </c>
      <c r="AI457" s="20">
        <f>IFERROR((VLOOKUP(Tabla13[[#This Row],[ID]],[1]!Mtto_Pesv[[#Headers],[#Data],[Placa]:[Rutina]],8,FALSE)),0)</f>
        <v>0</v>
      </c>
      <c r="AJ457" s="20" t="str">
        <f>IFERROR((VLOOKUP(Tabla13[[#This Row],[ID]],[1]!Mtto_Pesv[[#Headers],[#Data],[Placa]:[Rutina]],9,FALSE)),"-")</f>
        <v>-</v>
      </c>
      <c r="AK457" s="20">
        <f>IFERROR((VLOOKUP(Tabla13[[#This Row],[ID]],[1]!Mtto_Pesv[[#Headers],[#Data],[Placa]:[Rutina]],10,FALSE)),0)</f>
        <v>0</v>
      </c>
      <c r="AL457" s="20">
        <f>IF(Tabla13[[#This Row],[Km Anterior]]=0,0,Tabla13[[#This Row],[Km Ejecut]]-Tabla13[[#This Row],[Km Anterior]])</f>
        <v>0</v>
      </c>
      <c r="AM457" s="20">
        <f>IFERROR((VLOOKUP(Tabla13[[#This Row],[ID]],[1]!Mtto_Pesv[[#Headers],[#Data],[Placa]:[Rutina]],4,FALSE)),0)</f>
        <v>0</v>
      </c>
      <c r="AN457" s="21">
        <f>IFERROR((VLOOKUP(Tabla13[[#This Row],[ID]],[1]!Mtto_Pesv[[#Headers],[#Data],[Placa]:[Rutina]],5,FALSE)),0)</f>
        <v>0</v>
      </c>
      <c r="AO457" s="21">
        <f>+Tabla13[[#This Row],[Km Fin]]-Tabla13[[#This Row],[Km Ini]]</f>
        <v>0</v>
      </c>
      <c r="AP457" s="20">
        <f>IFERROR((VLOOKUP(Tabla13[[#This Row],[ID]],[1]!Estilo_Conduccion[[#All],[Placa]:[Puntuacion]],15,FALSE)),0)</f>
        <v>724.3</v>
      </c>
      <c r="AQ457" s="15" t="s">
        <v>1350</v>
      </c>
      <c r="AR457" s="15" t="s">
        <v>1351</v>
      </c>
      <c r="AS457" s="20">
        <v>1325</v>
      </c>
      <c r="AT457" s="21">
        <v>13398</v>
      </c>
      <c r="AU457" s="21">
        <f>(Tabla13[[#This Row],[Cap Vh]]*$AX$2)*0.56</f>
        <v>0</v>
      </c>
      <c r="AV457" s="36" t="e">
        <f>(Tabla13[[#This Row],[Cap Util (kg)]]/(Tabla13[[#This Row],[Cap Inst (Kg)]]))</f>
        <v>#DIV/0!</v>
      </c>
    </row>
    <row r="458" spans="1:48" x14ac:dyDescent="0.25">
      <c r="A458" s="13" t="s">
        <v>1068</v>
      </c>
      <c r="B458" s="14" t="s">
        <v>653</v>
      </c>
      <c r="C458" s="14" t="s">
        <v>564</v>
      </c>
      <c r="D458" s="14" t="s">
        <v>565</v>
      </c>
      <c r="E458" s="14" t="s">
        <v>569</v>
      </c>
      <c r="F458" s="14" t="s">
        <v>76</v>
      </c>
      <c r="G458" s="15" t="s">
        <v>89</v>
      </c>
      <c r="H458" s="16" t="s">
        <v>90</v>
      </c>
      <c r="I458" s="14" t="s">
        <v>49</v>
      </c>
      <c r="J458" s="14">
        <v>900335279</v>
      </c>
      <c r="K458" s="14" t="s">
        <v>77</v>
      </c>
      <c r="L458" s="14" t="s">
        <v>103</v>
      </c>
      <c r="M458" s="14" t="s">
        <v>654</v>
      </c>
      <c r="N458" s="14">
        <v>1998</v>
      </c>
      <c r="O458" s="14">
        <v>22</v>
      </c>
      <c r="P458" s="14" t="s">
        <v>173</v>
      </c>
      <c r="Q458" s="14">
        <v>0</v>
      </c>
      <c r="R458" s="14">
        <v>0</v>
      </c>
      <c r="S458" s="17" t="s">
        <v>54</v>
      </c>
      <c r="T458" s="18">
        <v>0</v>
      </c>
      <c r="U458" s="14">
        <v>0</v>
      </c>
      <c r="V458" s="19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f>Tabla13[[#This Row],[CheckList App]]+Tabla13[[#This Row],[CheckList Fisc]]</f>
        <v>0</v>
      </c>
      <c r="AB458" s="19" t="str">
        <f t="shared" si="7"/>
        <v/>
      </c>
      <c r="AC458" s="14">
        <v>0</v>
      </c>
      <c r="AD458" s="14" t="s">
        <v>55</v>
      </c>
      <c r="AE458" s="15" t="str">
        <f>IFERROR((VLOOKUP(Tabla13[[#This Row],[ID]],[1]!Mtto_Pesv[[#Headers],[#Data],[Placa]:[Rutina]],2,FALSE)),"-")</f>
        <v>-</v>
      </c>
      <c r="AF458" s="14">
        <v>0</v>
      </c>
      <c r="AG458" s="20">
        <f>IFERROR((VLOOKUP(Tabla13[[#This Row],[ID]],[1]!Mtto_Pesv[[#Headers],[#Data],[Placa]:[Rutina]],3,FALSE)),0)</f>
        <v>0</v>
      </c>
      <c r="AH458" s="20">
        <f>IFERROR((VLOOKUP(Tabla13[[#This Row],[ID]],[1]!Mtto_Pesv[[#Headers],[#Data],[Placa]:[Rutina]],7,FALSE)),0)</f>
        <v>0</v>
      </c>
      <c r="AI458" s="20">
        <f>IFERROR((VLOOKUP(Tabla13[[#This Row],[ID]],[1]!Mtto_Pesv[[#Headers],[#Data],[Placa]:[Rutina]],8,FALSE)),0)</f>
        <v>0</v>
      </c>
      <c r="AJ458" s="20" t="str">
        <f>IFERROR((VLOOKUP(Tabla13[[#This Row],[ID]],[1]!Mtto_Pesv[[#Headers],[#Data],[Placa]:[Rutina]],9,FALSE)),"-")</f>
        <v>-</v>
      </c>
      <c r="AK458" s="20">
        <f>IFERROR((VLOOKUP(Tabla13[[#This Row],[ID]],[1]!Mtto_Pesv[[#Headers],[#Data],[Placa]:[Rutina]],10,FALSE)),0)</f>
        <v>0</v>
      </c>
      <c r="AL458" s="20">
        <f>IF(Tabla13[[#This Row],[Km Anterior]]=0,0,Tabla13[[#This Row],[Km Ejecut]]-Tabla13[[#This Row],[Km Anterior]])</f>
        <v>0</v>
      </c>
      <c r="AM458" s="20">
        <f>IFERROR((VLOOKUP(Tabla13[[#This Row],[ID]],[1]!Mtto_Pesv[[#Headers],[#Data],[Placa]:[Rutina]],4,FALSE)),0)</f>
        <v>0</v>
      </c>
      <c r="AN458" s="21">
        <f>IFERROR((VLOOKUP(Tabla13[[#This Row],[ID]],[1]!Mtto_Pesv[[#Headers],[#Data],[Placa]:[Rutina]],5,FALSE)),0)</f>
        <v>0</v>
      </c>
      <c r="AO458" s="21">
        <f>+Tabla13[[#This Row],[Km Fin]]-Tabla13[[#This Row],[Km Ini]]</f>
        <v>0</v>
      </c>
      <c r="AP458" s="20">
        <f>IFERROR((VLOOKUP(Tabla13[[#This Row],[ID]],[1]!Estilo_Conduccion[[#All],[Placa]:[Puntuacion]],15,FALSE)),0)</f>
        <v>0</v>
      </c>
      <c r="AQ458" s="15" t="s">
        <v>1293</v>
      </c>
      <c r="AR458" s="15" t="s">
        <v>1294</v>
      </c>
      <c r="AS458" s="20">
        <v>10000</v>
      </c>
      <c r="AT458" s="21">
        <v>3616</v>
      </c>
      <c r="AU458" s="21">
        <f>(Tabla13[[#This Row],[Cap Vh]]*$AX$2)*0.56</f>
        <v>0</v>
      </c>
      <c r="AV458" s="36" t="e">
        <f>(Tabla13[[#This Row],[Cap Util (kg)]]/(Tabla13[[#This Row],[Cap Inst (Kg)]]))</f>
        <v>#DIV/0!</v>
      </c>
    </row>
    <row r="459" spans="1:48" x14ac:dyDescent="0.25">
      <c r="A459" s="13" t="s">
        <v>1068</v>
      </c>
      <c r="B459" s="14" t="s">
        <v>655</v>
      </c>
      <c r="C459" s="14" t="s">
        <v>564</v>
      </c>
      <c r="D459" s="14" t="s">
        <v>565</v>
      </c>
      <c r="E459" s="14" t="s">
        <v>571</v>
      </c>
      <c r="F459" s="14" t="s">
        <v>76</v>
      </c>
      <c r="G459" s="15" t="s">
        <v>89</v>
      </c>
      <c r="H459" s="16" t="s">
        <v>90</v>
      </c>
      <c r="I459" s="14" t="s">
        <v>49</v>
      </c>
      <c r="J459" s="14">
        <v>900335279</v>
      </c>
      <c r="K459" s="14" t="s">
        <v>77</v>
      </c>
      <c r="L459" s="14" t="s">
        <v>103</v>
      </c>
      <c r="M459" s="14" t="s">
        <v>121</v>
      </c>
      <c r="N459" s="14">
        <v>2003</v>
      </c>
      <c r="O459" s="14">
        <v>17</v>
      </c>
      <c r="P459" s="14" t="s">
        <v>173</v>
      </c>
      <c r="Q459" s="14">
        <v>0</v>
      </c>
      <c r="R459" s="14">
        <v>0</v>
      </c>
      <c r="S459" s="17" t="s">
        <v>54</v>
      </c>
      <c r="T459" s="18">
        <v>0</v>
      </c>
      <c r="U459" s="14">
        <v>0</v>
      </c>
      <c r="V459" s="19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f>Tabla13[[#This Row],[CheckList App]]+Tabla13[[#This Row],[CheckList Fisc]]</f>
        <v>0</v>
      </c>
      <c r="AB459" s="19" t="str">
        <f t="shared" si="7"/>
        <v/>
      </c>
      <c r="AC459" s="14">
        <v>0</v>
      </c>
      <c r="AD459" s="14" t="s">
        <v>55</v>
      </c>
      <c r="AE459" s="15" t="str">
        <f>IFERROR((VLOOKUP(Tabla13[[#This Row],[ID]],[1]!Mtto_Pesv[[#Headers],[#Data],[Placa]:[Rutina]],2,FALSE)),"-")</f>
        <v>-</v>
      </c>
      <c r="AF459" s="14">
        <v>0</v>
      </c>
      <c r="AG459" s="20">
        <f>IFERROR((VLOOKUP(Tabla13[[#This Row],[ID]],[1]!Mtto_Pesv[[#Headers],[#Data],[Placa]:[Rutina]],3,FALSE)),0)</f>
        <v>0</v>
      </c>
      <c r="AH459" s="20">
        <f>IFERROR((VLOOKUP(Tabla13[[#This Row],[ID]],[1]!Mtto_Pesv[[#Headers],[#Data],[Placa]:[Rutina]],7,FALSE)),0)</f>
        <v>0</v>
      </c>
      <c r="AI459" s="20">
        <f>IFERROR((VLOOKUP(Tabla13[[#This Row],[ID]],[1]!Mtto_Pesv[[#Headers],[#Data],[Placa]:[Rutina]],8,FALSE)),0)</f>
        <v>0</v>
      </c>
      <c r="AJ459" s="20" t="str">
        <f>IFERROR((VLOOKUP(Tabla13[[#This Row],[ID]],[1]!Mtto_Pesv[[#Headers],[#Data],[Placa]:[Rutina]],9,FALSE)),"-")</f>
        <v>-</v>
      </c>
      <c r="AK459" s="20">
        <f>IFERROR((VLOOKUP(Tabla13[[#This Row],[ID]],[1]!Mtto_Pesv[[#Headers],[#Data],[Placa]:[Rutina]],10,FALSE)),0)</f>
        <v>0</v>
      </c>
      <c r="AL459" s="20">
        <f>IF(Tabla13[[#This Row],[Km Anterior]]=0,0,Tabla13[[#This Row],[Km Ejecut]]-Tabla13[[#This Row],[Km Anterior]])</f>
        <v>0</v>
      </c>
      <c r="AM459" s="20">
        <f>IFERROR((VLOOKUP(Tabla13[[#This Row],[ID]],[1]!Mtto_Pesv[[#Headers],[#Data],[Placa]:[Rutina]],4,FALSE)),0)</f>
        <v>0</v>
      </c>
      <c r="AN459" s="21">
        <f>IFERROR((VLOOKUP(Tabla13[[#This Row],[ID]],[1]!Mtto_Pesv[[#Headers],[#Data],[Placa]:[Rutina]],5,FALSE)),0)</f>
        <v>0</v>
      </c>
      <c r="AO459" s="21">
        <f>+Tabla13[[#This Row],[Km Fin]]-Tabla13[[#This Row],[Km Ini]]</f>
        <v>0</v>
      </c>
      <c r="AP459" s="20">
        <f>IFERROR((VLOOKUP(Tabla13[[#This Row],[ID]],[1]!Estilo_Conduccion[[#All],[Placa]:[Puntuacion]],15,FALSE)),0)</f>
        <v>0</v>
      </c>
      <c r="AQ459" s="15" t="s">
        <v>1069</v>
      </c>
      <c r="AR459" s="15" t="s">
        <v>1292</v>
      </c>
      <c r="AS459" s="20">
        <v>3000</v>
      </c>
      <c r="AT459" s="21">
        <v>0</v>
      </c>
      <c r="AU459" s="21">
        <f>(Tabla13[[#This Row],[Cap Vh]]*$AX$2)*0.56</f>
        <v>0</v>
      </c>
      <c r="AV459" s="36" t="e">
        <f>(Tabla13[[#This Row],[Cap Util (kg)]]/(Tabla13[[#This Row],[Cap Inst (Kg)]]))</f>
        <v>#DIV/0!</v>
      </c>
    </row>
    <row r="460" spans="1:48" x14ac:dyDescent="0.25">
      <c r="A460" s="13" t="s">
        <v>1068</v>
      </c>
      <c r="B460" s="14" t="s">
        <v>656</v>
      </c>
      <c r="C460" s="14" t="s">
        <v>564</v>
      </c>
      <c r="D460" s="14" t="s">
        <v>565</v>
      </c>
      <c r="E460" s="14" t="s">
        <v>588</v>
      </c>
      <c r="F460" s="14" t="s">
        <v>76</v>
      </c>
      <c r="G460" s="15" t="s">
        <v>89</v>
      </c>
      <c r="H460" s="16" t="s">
        <v>90</v>
      </c>
      <c r="I460" s="14" t="s">
        <v>49</v>
      </c>
      <c r="J460" s="14">
        <v>900335279</v>
      </c>
      <c r="K460" s="14" t="s">
        <v>77</v>
      </c>
      <c r="L460" s="14" t="s">
        <v>103</v>
      </c>
      <c r="M460" s="14" t="s">
        <v>121</v>
      </c>
      <c r="N460" s="14">
        <v>2003</v>
      </c>
      <c r="O460" s="14">
        <v>17</v>
      </c>
      <c r="P460" s="14" t="s">
        <v>173</v>
      </c>
      <c r="Q460" s="14">
        <v>0</v>
      </c>
      <c r="R460" s="14">
        <v>0</v>
      </c>
      <c r="S460" s="17" t="s">
        <v>54</v>
      </c>
      <c r="T460" s="18">
        <v>0</v>
      </c>
      <c r="U460" s="14">
        <v>0</v>
      </c>
      <c r="V460" s="19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f>Tabla13[[#This Row],[CheckList App]]+Tabla13[[#This Row],[CheckList Fisc]]</f>
        <v>0</v>
      </c>
      <c r="AB460" s="19" t="str">
        <f t="shared" si="7"/>
        <v/>
      </c>
      <c r="AC460" s="14">
        <v>0</v>
      </c>
      <c r="AD460" s="14" t="s">
        <v>55</v>
      </c>
      <c r="AE460" s="15" t="str">
        <f>IFERROR((VLOOKUP(Tabla13[[#This Row],[ID]],[1]!Mtto_Pesv[[#Headers],[#Data],[Placa]:[Rutina]],2,FALSE)),"-")</f>
        <v>-</v>
      </c>
      <c r="AF460" s="14">
        <v>0</v>
      </c>
      <c r="AG460" s="20">
        <f>IFERROR((VLOOKUP(Tabla13[[#This Row],[ID]],[1]!Mtto_Pesv[[#Headers],[#Data],[Placa]:[Rutina]],3,FALSE)),0)</f>
        <v>0</v>
      </c>
      <c r="AH460" s="20">
        <f>IFERROR((VLOOKUP(Tabla13[[#This Row],[ID]],[1]!Mtto_Pesv[[#Headers],[#Data],[Placa]:[Rutina]],7,FALSE)),0)</f>
        <v>0</v>
      </c>
      <c r="AI460" s="20">
        <f>IFERROR((VLOOKUP(Tabla13[[#This Row],[ID]],[1]!Mtto_Pesv[[#Headers],[#Data],[Placa]:[Rutina]],8,FALSE)),0)</f>
        <v>0</v>
      </c>
      <c r="AJ460" s="20" t="str">
        <f>IFERROR((VLOOKUP(Tabla13[[#This Row],[ID]],[1]!Mtto_Pesv[[#Headers],[#Data],[Placa]:[Rutina]],9,FALSE)),"-")</f>
        <v>-</v>
      </c>
      <c r="AK460" s="20">
        <f>IFERROR((VLOOKUP(Tabla13[[#This Row],[ID]],[1]!Mtto_Pesv[[#Headers],[#Data],[Placa]:[Rutina]],10,FALSE)),0)</f>
        <v>0</v>
      </c>
      <c r="AL460" s="20">
        <f>IF(Tabla13[[#This Row],[Km Anterior]]=0,0,Tabla13[[#This Row],[Km Ejecut]]-Tabla13[[#This Row],[Km Anterior]])</f>
        <v>0</v>
      </c>
      <c r="AM460" s="20">
        <f>IFERROR((VLOOKUP(Tabla13[[#This Row],[ID]],[1]!Mtto_Pesv[[#Headers],[#Data],[Placa]:[Rutina]],4,FALSE)),0)</f>
        <v>0</v>
      </c>
      <c r="AN460" s="21">
        <f>IFERROR((VLOOKUP(Tabla13[[#This Row],[ID]],[1]!Mtto_Pesv[[#Headers],[#Data],[Placa]:[Rutina]],5,FALSE)),0)</f>
        <v>0</v>
      </c>
      <c r="AO460" s="21">
        <f>+Tabla13[[#This Row],[Km Fin]]-Tabla13[[#This Row],[Km Ini]]</f>
        <v>0</v>
      </c>
      <c r="AP460" s="20">
        <f>IFERROR((VLOOKUP(Tabla13[[#This Row],[ID]],[1]!Estilo_Conduccion[[#All],[Placa]:[Puntuacion]],15,FALSE)),0)</f>
        <v>0</v>
      </c>
      <c r="AQ460" s="15" t="s">
        <v>1352</v>
      </c>
      <c r="AR460" s="15" t="s">
        <v>1353</v>
      </c>
      <c r="AS460" s="20">
        <v>3000</v>
      </c>
      <c r="AT460" s="21">
        <v>9073.5</v>
      </c>
      <c r="AU460" s="21">
        <f>(Tabla13[[#This Row],[Cap Vh]]*$AX$2)*0.56</f>
        <v>0</v>
      </c>
      <c r="AV460" s="36" t="e">
        <f>(Tabla13[[#This Row],[Cap Util (kg)]]/(Tabla13[[#This Row],[Cap Inst (Kg)]]))</f>
        <v>#DIV/0!</v>
      </c>
    </row>
    <row r="461" spans="1:48" x14ac:dyDescent="0.25">
      <c r="A461" s="13" t="s">
        <v>1068</v>
      </c>
      <c r="B461" s="14" t="s">
        <v>657</v>
      </c>
      <c r="C461" s="14" t="s">
        <v>564</v>
      </c>
      <c r="D461" s="14" t="s">
        <v>565</v>
      </c>
      <c r="E461" s="14" t="s">
        <v>569</v>
      </c>
      <c r="F461" s="14" t="s">
        <v>337</v>
      </c>
      <c r="G461" s="15" t="s">
        <v>128</v>
      </c>
      <c r="H461" s="16" t="s">
        <v>129</v>
      </c>
      <c r="I461" s="14" t="s">
        <v>49</v>
      </c>
      <c r="J461" s="14">
        <v>900335279</v>
      </c>
      <c r="K461" s="14" t="s">
        <v>77</v>
      </c>
      <c r="L461" s="14" t="s">
        <v>103</v>
      </c>
      <c r="M461" s="14" t="s">
        <v>121</v>
      </c>
      <c r="N461" s="14">
        <v>2012</v>
      </c>
      <c r="O461" s="14">
        <v>8</v>
      </c>
      <c r="P461" s="14" t="s">
        <v>53</v>
      </c>
      <c r="Q461" s="14">
        <v>1</v>
      </c>
      <c r="R461" s="14">
        <v>0</v>
      </c>
      <c r="S461" s="17" t="s">
        <v>54</v>
      </c>
      <c r="T461" s="18">
        <v>0</v>
      </c>
      <c r="U461" s="14">
        <v>30</v>
      </c>
      <c r="V461" s="19">
        <v>1</v>
      </c>
      <c r="W461" s="14">
        <v>0</v>
      </c>
      <c r="X461" s="14">
        <v>2</v>
      </c>
      <c r="Y461" s="14">
        <v>0</v>
      </c>
      <c r="Z461" s="14">
        <v>0</v>
      </c>
      <c r="AA461" s="14">
        <f>Tabla13[[#This Row],[CheckList App]]+Tabla13[[#This Row],[CheckList Fisc]]</f>
        <v>0</v>
      </c>
      <c r="AB461" s="19">
        <f t="shared" si="7"/>
        <v>0</v>
      </c>
      <c r="AC461" s="14">
        <v>0</v>
      </c>
      <c r="AD461" s="14" t="s">
        <v>55</v>
      </c>
      <c r="AE461" s="15" t="str">
        <f>IFERROR((VLOOKUP(Tabla13[[#This Row],[ID]],[1]!Mtto_Pesv[[#Headers],[#Data],[Placa]:[Rutina]],2,FALSE)),"-")</f>
        <v>-</v>
      </c>
      <c r="AF461" s="14">
        <v>0</v>
      </c>
      <c r="AG461" s="20">
        <f>IFERROR((VLOOKUP(Tabla13[[#This Row],[ID]],[1]!Mtto_Pesv[[#Headers],[#Data],[Placa]:[Rutina]],3,FALSE)),0)</f>
        <v>0</v>
      </c>
      <c r="AH461" s="20">
        <f>IFERROR((VLOOKUP(Tabla13[[#This Row],[ID]],[1]!Mtto_Pesv[[#Headers],[#Data],[Placa]:[Rutina]],7,FALSE)),0)</f>
        <v>0</v>
      </c>
      <c r="AI461" s="20">
        <f>IFERROR((VLOOKUP(Tabla13[[#This Row],[ID]],[1]!Mtto_Pesv[[#Headers],[#Data],[Placa]:[Rutina]],8,FALSE)),0)</f>
        <v>0</v>
      </c>
      <c r="AJ461" s="20" t="str">
        <f>IFERROR((VLOOKUP(Tabla13[[#This Row],[ID]],[1]!Mtto_Pesv[[#Headers],[#Data],[Placa]:[Rutina]],9,FALSE)),"-")</f>
        <v>-</v>
      </c>
      <c r="AK461" s="20">
        <f>IFERROR((VLOOKUP(Tabla13[[#This Row],[ID]],[1]!Mtto_Pesv[[#Headers],[#Data],[Placa]:[Rutina]],10,FALSE)),0)</f>
        <v>0</v>
      </c>
      <c r="AL461" s="20">
        <f>IF(Tabla13[[#This Row],[Km Anterior]]=0,0,Tabla13[[#This Row],[Km Ejecut]]-Tabla13[[#This Row],[Km Anterior]])</f>
        <v>0</v>
      </c>
      <c r="AM461" s="20">
        <f>IFERROR((VLOOKUP(Tabla13[[#This Row],[ID]],[1]!Mtto_Pesv[[#Headers],[#Data],[Placa]:[Rutina]],4,FALSE)),0)</f>
        <v>0</v>
      </c>
      <c r="AN461" s="21">
        <f>IFERROR((VLOOKUP(Tabla13[[#This Row],[ID]],[1]!Mtto_Pesv[[#Headers],[#Data],[Placa]:[Rutina]],5,FALSE)),0)</f>
        <v>0</v>
      </c>
      <c r="AO461" s="21">
        <f>+Tabla13[[#This Row],[Km Fin]]-Tabla13[[#This Row],[Km Ini]]</f>
        <v>0</v>
      </c>
      <c r="AP461" s="20">
        <f>IFERROR((VLOOKUP(Tabla13[[#This Row],[ID]],[1]!Estilo_Conduccion[[#All],[Placa]:[Puntuacion]],15,FALSE)),0)</f>
        <v>609.40000000000009</v>
      </c>
      <c r="AQ461" s="15" t="s">
        <v>1354</v>
      </c>
      <c r="AR461" s="15" t="s">
        <v>1355</v>
      </c>
      <c r="AS461" s="20">
        <v>2630</v>
      </c>
      <c r="AT461" s="21">
        <v>20007</v>
      </c>
      <c r="AU461" s="21">
        <f>(Tabla13[[#This Row],[Cap Vh]]*$AX$2)*0.56</f>
        <v>0</v>
      </c>
      <c r="AV461" s="36" t="e">
        <f>(Tabla13[[#This Row],[Cap Util (kg)]]/(Tabla13[[#This Row],[Cap Inst (Kg)]]))</f>
        <v>#DIV/0!</v>
      </c>
    </row>
    <row r="462" spans="1:48" x14ac:dyDescent="0.25">
      <c r="A462" s="13" t="s">
        <v>1068</v>
      </c>
      <c r="B462" s="14" t="s">
        <v>658</v>
      </c>
      <c r="C462" s="14" t="s">
        <v>564</v>
      </c>
      <c r="D462" s="14" t="s">
        <v>565</v>
      </c>
      <c r="E462" s="14" t="s">
        <v>573</v>
      </c>
      <c r="F462" s="14" t="s">
        <v>76</v>
      </c>
      <c r="G462" s="15" t="s">
        <v>89</v>
      </c>
      <c r="H462" s="16" t="s">
        <v>90</v>
      </c>
      <c r="I462" s="14" t="s">
        <v>49</v>
      </c>
      <c r="J462" s="14">
        <v>900335279</v>
      </c>
      <c r="K462" s="14" t="s">
        <v>77</v>
      </c>
      <c r="L462" s="14" t="s">
        <v>405</v>
      </c>
      <c r="M462" s="14" t="s">
        <v>461</v>
      </c>
      <c r="N462" s="14">
        <v>2012</v>
      </c>
      <c r="O462" s="14">
        <v>8</v>
      </c>
      <c r="P462" s="14" t="s">
        <v>53</v>
      </c>
      <c r="Q462" s="14">
        <v>0</v>
      </c>
      <c r="R462" s="14">
        <v>0</v>
      </c>
      <c r="S462" s="17" t="s">
        <v>54</v>
      </c>
      <c r="T462" s="18">
        <v>0</v>
      </c>
      <c r="U462" s="14">
        <v>0</v>
      </c>
      <c r="V462" s="19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f>Tabla13[[#This Row],[CheckList App]]+Tabla13[[#This Row],[CheckList Fisc]]</f>
        <v>0</v>
      </c>
      <c r="AB462" s="19" t="str">
        <f t="shared" si="7"/>
        <v/>
      </c>
      <c r="AC462" s="14">
        <v>0</v>
      </c>
      <c r="AD462" s="14" t="s">
        <v>55</v>
      </c>
      <c r="AE462" s="15" t="str">
        <f>IFERROR((VLOOKUP(Tabla13[[#This Row],[ID]],[1]!Mtto_Pesv[[#Headers],[#Data],[Placa]:[Rutina]],2,FALSE)),"-")</f>
        <v>-</v>
      </c>
      <c r="AF462" s="14">
        <v>0</v>
      </c>
      <c r="AG462" s="20">
        <f>IFERROR((VLOOKUP(Tabla13[[#This Row],[ID]],[1]!Mtto_Pesv[[#Headers],[#Data],[Placa]:[Rutina]],3,FALSE)),0)</f>
        <v>0</v>
      </c>
      <c r="AH462" s="20">
        <f>IFERROR((VLOOKUP(Tabla13[[#This Row],[ID]],[1]!Mtto_Pesv[[#Headers],[#Data],[Placa]:[Rutina]],7,FALSE)),0)</f>
        <v>0</v>
      </c>
      <c r="AI462" s="20">
        <f>IFERROR((VLOOKUP(Tabla13[[#This Row],[ID]],[1]!Mtto_Pesv[[#Headers],[#Data],[Placa]:[Rutina]],8,FALSE)),0)</f>
        <v>0</v>
      </c>
      <c r="AJ462" s="20" t="str">
        <f>IFERROR((VLOOKUP(Tabla13[[#This Row],[ID]],[1]!Mtto_Pesv[[#Headers],[#Data],[Placa]:[Rutina]],9,FALSE)),"-")</f>
        <v>-</v>
      </c>
      <c r="AK462" s="20">
        <f>IFERROR((VLOOKUP(Tabla13[[#This Row],[ID]],[1]!Mtto_Pesv[[#Headers],[#Data],[Placa]:[Rutina]],10,FALSE)),0)</f>
        <v>0</v>
      </c>
      <c r="AL462" s="20">
        <f>IF(Tabla13[[#This Row],[Km Anterior]]=0,0,Tabla13[[#This Row],[Km Ejecut]]-Tabla13[[#This Row],[Km Anterior]])</f>
        <v>0</v>
      </c>
      <c r="AM462" s="20">
        <f>IFERROR((VLOOKUP(Tabla13[[#This Row],[ID]],[1]!Mtto_Pesv[[#Headers],[#Data],[Placa]:[Rutina]],4,FALSE)),0)</f>
        <v>0</v>
      </c>
      <c r="AN462" s="21">
        <f>IFERROR((VLOOKUP(Tabla13[[#This Row],[ID]],[1]!Mtto_Pesv[[#Headers],[#Data],[Placa]:[Rutina]],5,FALSE)),0)</f>
        <v>0</v>
      </c>
      <c r="AO462" s="21">
        <f>+Tabla13[[#This Row],[Km Fin]]-Tabla13[[#This Row],[Km Ini]]</f>
        <v>0</v>
      </c>
      <c r="AP462" s="20">
        <f>IFERROR((VLOOKUP(Tabla13[[#This Row],[ID]],[1]!Estilo_Conduccion[[#All],[Placa]:[Puntuacion]],15,FALSE)),0)</f>
        <v>0</v>
      </c>
      <c r="AQ462" s="15" t="s">
        <v>1293</v>
      </c>
      <c r="AR462" s="15" t="s">
        <v>1294</v>
      </c>
      <c r="AS462" s="20">
        <v>3526</v>
      </c>
      <c r="AT462" s="21">
        <v>3616</v>
      </c>
      <c r="AU462" s="21">
        <f>(Tabla13[[#This Row],[Cap Vh]]*$AX$2)*0.56</f>
        <v>0</v>
      </c>
      <c r="AV462" s="36" t="e">
        <f>(Tabla13[[#This Row],[Cap Util (kg)]]/(Tabla13[[#This Row],[Cap Inst (Kg)]]))</f>
        <v>#DIV/0!</v>
      </c>
    </row>
    <row r="463" spans="1:48" x14ac:dyDescent="0.25">
      <c r="A463" s="13" t="s">
        <v>1068</v>
      </c>
      <c r="B463" s="14" t="s">
        <v>659</v>
      </c>
      <c r="C463" s="14" t="s">
        <v>564</v>
      </c>
      <c r="D463" s="14" t="s">
        <v>565</v>
      </c>
      <c r="E463" s="14" t="s">
        <v>566</v>
      </c>
      <c r="F463" s="14" t="s">
        <v>64</v>
      </c>
      <c r="G463" s="14" t="s">
        <v>65</v>
      </c>
      <c r="H463" s="16" t="s">
        <v>66</v>
      </c>
      <c r="I463" s="14" t="s">
        <v>49</v>
      </c>
      <c r="J463" s="14">
        <v>900335279</v>
      </c>
      <c r="K463" s="14" t="s">
        <v>77</v>
      </c>
      <c r="L463" s="14" t="s">
        <v>103</v>
      </c>
      <c r="M463" s="14" t="s">
        <v>153</v>
      </c>
      <c r="N463" s="14">
        <v>2012</v>
      </c>
      <c r="O463" s="14">
        <v>8</v>
      </c>
      <c r="P463" s="14" t="s">
        <v>53</v>
      </c>
      <c r="Q463" s="14">
        <v>0</v>
      </c>
      <c r="R463" s="14">
        <v>0</v>
      </c>
      <c r="S463" s="17" t="s">
        <v>54</v>
      </c>
      <c r="T463" s="18">
        <v>0</v>
      </c>
      <c r="U463" s="14">
        <v>0</v>
      </c>
      <c r="V463" s="19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f>Tabla13[[#This Row],[CheckList App]]+Tabla13[[#This Row],[CheckList Fisc]]</f>
        <v>0</v>
      </c>
      <c r="AB463" s="19" t="str">
        <f t="shared" si="7"/>
        <v/>
      </c>
      <c r="AC463" s="14">
        <v>0</v>
      </c>
      <c r="AD463" s="14" t="s">
        <v>70</v>
      </c>
      <c r="AE463" s="15" t="str">
        <f>IFERROR((VLOOKUP(Tabla13[[#This Row],[ID]],[1]!Mtto_Pesv[[#Headers],[#Data],[Placa]:[Rutina]],2,FALSE)),"-")</f>
        <v>-</v>
      </c>
      <c r="AF463" s="14">
        <v>1</v>
      </c>
      <c r="AG463" s="20">
        <f>IFERROR((VLOOKUP(Tabla13[[#This Row],[ID]],[1]!Mtto_Pesv[[#Headers],[#Data],[Placa]:[Rutina]],3,FALSE)),0)</f>
        <v>0</v>
      </c>
      <c r="AH463" s="20">
        <f>IFERROR((VLOOKUP(Tabla13[[#This Row],[ID]],[1]!Mtto_Pesv[[#Headers],[#Data],[Placa]:[Rutina]],7,FALSE)),0)</f>
        <v>0</v>
      </c>
      <c r="AI463" s="20">
        <f>IFERROR((VLOOKUP(Tabla13[[#This Row],[ID]],[1]!Mtto_Pesv[[#Headers],[#Data],[Placa]:[Rutina]],8,FALSE)),0)</f>
        <v>0</v>
      </c>
      <c r="AJ463" s="20" t="str">
        <f>IFERROR((VLOOKUP(Tabla13[[#This Row],[ID]],[1]!Mtto_Pesv[[#Headers],[#Data],[Placa]:[Rutina]],9,FALSE)),"-")</f>
        <v>-</v>
      </c>
      <c r="AK463" s="20">
        <f>IFERROR((VLOOKUP(Tabla13[[#This Row],[ID]],[1]!Mtto_Pesv[[#Headers],[#Data],[Placa]:[Rutina]],10,FALSE)),0)</f>
        <v>0</v>
      </c>
      <c r="AL463" s="20">
        <f>IF(Tabla13[[#This Row],[Km Anterior]]=0,0,Tabla13[[#This Row],[Km Ejecut]]-Tabla13[[#This Row],[Km Anterior]])</f>
        <v>0</v>
      </c>
      <c r="AM463" s="20">
        <f>IFERROR((VLOOKUP(Tabla13[[#This Row],[ID]],[1]!Mtto_Pesv[[#Headers],[#Data],[Placa]:[Rutina]],4,FALSE)),0)</f>
        <v>0</v>
      </c>
      <c r="AN463" s="21">
        <f>IFERROR((VLOOKUP(Tabla13[[#This Row],[ID]],[1]!Mtto_Pesv[[#Headers],[#Data],[Placa]:[Rutina]],5,FALSE)),0)</f>
        <v>0</v>
      </c>
      <c r="AO463" s="21">
        <f>+Tabla13[[#This Row],[Km Fin]]-Tabla13[[#This Row],[Km Ini]]</f>
        <v>0</v>
      </c>
      <c r="AP463" s="20">
        <f>IFERROR((VLOOKUP(Tabla13[[#This Row],[ID]],[1]!Estilo_Conduccion[[#All],[Placa]:[Puntuacion]],15,FALSE)),0)</f>
        <v>0</v>
      </c>
      <c r="AQ463" s="15" t="s">
        <v>54</v>
      </c>
      <c r="AR463" s="15" t="s">
        <v>54</v>
      </c>
      <c r="AS463" s="20">
        <v>4195</v>
      </c>
      <c r="AT463" s="21">
        <v>0</v>
      </c>
      <c r="AU463" s="21">
        <f>(Tabla13[[#This Row],[Cap Vh]]*$AX$2)*0.56</f>
        <v>0</v>
      </c>
      <c r="AV463" s="36" t="e">
        <f>(Tabla13[[#This Row],[Cap Util (kg)]]/(Tabla13[[#This Row],[Cap Inst (Kg)]]))</f>
        <v>#DIV/0!</v>
      </c>
    </row>
    <row r="464" spans="1:48" x14ac:dyDescent="0.25">
      <c r="A464" s="13" t="s">
        <v>1068</v>
      </c>
      <c r="B464" s="14" t="s">
        <v>660</v>
      </c>
      <c r="C464" s="14" t="s">
        <v>564</v>
      </c>
      <c r="D464" s="14" t="s">
        <v>565</v>
      </c>
      <c r="E464" s="14" t="s">
        <v>571</v>
      </c>
      <c r="F464" s="14" t="s">
        <v>76</v>
      </c>
      <c r="G464" s="15" t="s">
        <v>89</v>
      </c>
      <c r="H464" s="16" t="s">
        <v>90</v>
      </c>
      <c r="I464" s="14" t="s">
        <v>49</v>
      </c>
      <c r="J464" s="14">
        <v>900335279</v>
      </c>
      <c r="K464" s="14" t="s">
        <v>77</v>
      </c>
      <c r="L464" s="14" t="s">
        <v>103</v>
      </c>
      <c r="M464" s="14" t="s">
        <v>121</v>
      </c>
      <c r="N464" s="14">
        <v>2012</v>
      </c>
      <c r="O464" s="14">
        <v>8</v>
      </c>
      <c r="P464" s="14" t="s">
        <v>53</v>
      </c>
      <c r="Q464" s="14">
        <v>0</v>
      </c>
      <c r="R464" s="14">
        <v>0</v>
      </c>
      <c r="S464" s="17" t="s">
        <v>54</v>
      </c>
      <c r="T464" s="18">
        <v>0</v>
      </c>
      <c r="U464" s="14">
        <v>0</v>
      </c>
      <c r="V464" s="19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f>Tabla13[[#This Row],[CheckList App]]+Tabla13[[#This Row],[CheckList Fisc]]</f>
        <v>0</v>
      </c>
      <c r="AB464" s="19" t="str">
        <f t="shared" si="7"/>
        <v/>
      </c>
      <c r="AC464" s="14">
        <v>0</v>
      </c>
      <c r="AD464" s="14" t="s">
        <v>55</v>
      </c>
      <c r="AE464" s="15" t="str">
        <f>IFERROR((VLOOKUP(Tabla13[[#This Row],[ID]],[1]!Mtto_Pesv[[#Headers],[#Data],[Placa]:[Rutina]],2,FALSE)),"-")</f>
        <v>-</v>
      </c>
      <c r="AF464" s="14">
        <v>0</v>
      </c>
      <c r="AG464" s="20">
        <f>IFERROR((VLOOKUP(Tabla13[[#This Row],[ID]],[1]!Mtto_Pesv[[#Headers],[#Data],[Placa]:[Rutina]],3,FALSE)),0)</f>
        <v>0</v>
      </c>
      <c r="AH464" s="20">
        <f>IFERROR((VLOOKUP(Tabla13[[#This Row],[ID]],[1]!Mtto_Pesv[[#Headers],[#Data],[Placa]:[Rutina]],7,FALSE)),0)</f>
        <v>0</v>
      </c>
      <c r="AI464" s="20">
        <f>IFERROR((VLOOKUP(Tabla13[[#This Row],[ID]],[1]!Mtto_Pesv[[#Headers],[#Data],[Placa]:[Rutina]],8,FALSE)),0)</f>
        <v>0</v>
      </c>
      <c r="AJ464" s="20" t="str">
        <f>IFERROR((VLOOKUP(Tabla13[[#This Row],[ID]],[1]!Mtto_Pesv[[#Headers],[#Data],[Placa]:[Rutina]],9,FALSE)),"-")</f>
        <v>-</v>
      </c>
      <c r="AK464" s="20">
        <f>IFERROR((VLOOKUP(Tabla13[[#This Row],[ID]],[1]!Mtto_Pesv[[#Headers],[#Data],[Placa]:[Rutina]],10,FALSE)),0)</f>
        <v>0</v>
      </c>
      <c r="AL464" s="20">
        <f>IF(Tabla13[[#This Row],[Km Anterior]]=0,0,Tabla13[[#This Row],[Km Ejecut]]-Tabla13[[#This Row],[Km Anterior]])</f>
        <v>0</v>
      </c>
      <c r="AM464" s="20">
        <f>IFERROR((VLOOKUP(Tabla13[[#This Row],[ID]],[1]!Mtto_Pesv[[#Headers],[#Data],[Placa]:[Rutina]],4,FALSE)),0)</f>
        <v>0</v>
      </c>
      <c r="AN464" s="21">
        <f>IFERROR((VLOOKUP(Tabla13[[#This Row],[ID]],[1]!Mtto_Pesv[[#Headers],[#Data],[Placa]:[Rutina]],5,FALSE)),0)</f>
        <v>0</v>
      </c>
      <c r="AO464" s="21">
        <f>+Tabla13[[#This Row],[Km Fin]]-Tabla13[[#This Row],[Km Ini]]</f>
        <v>0</v>
      </c>
      <c r="AP464" s="20">
        <f>IFERROR((VLOOKUP(Tabla13[[#This Row],[ID]],[1]!Estilo_Conduccion[[#All],[Placa]:[Puntuacion]],15,FALSE)),0)</f>
        <v>0</v>
      </c>
      <c r="AQ464" s="15" t="s">
        <v>1069</v>
      </c>
      <c r="AR464" s="15" t="s">
        <v>1292</v>
      </c>
      <c r="AS464" s="20">
        <v>2630</v>
      </c>
      <c r="AT464" s="21">
        <v>0</v>
      </c>
      <c r="AU464" s="21">
        <f>(Tabla13[[#This Row],[Cap Vh]]*$AX$2)*0.56</f>
        <v>0</v>
      </c>
      <c r="AV464" s="36" t="e">
        <f>(Tabla13[[#This Row],[Cap Util (kg)]]/(Tabla13[[#This Row],[Cap Inst (Kg)]]))</f>
        <v>#DIV/0!</v>
      </c>
    </row>
    <row r="465" spans="1:48" x14ac:dyDescent="0.25">
      <c r="A465" s="13" t="s">
        <v>1068</v>
      </c>
      <c r="B465" s="14" t="s">
        <v>661</v>
      </c>
      <c r="C465" s="14" t="s">
        <v>564</v>
      </c>
      <c r="D465" s="14" t="s">
        <v>565</v>
      </c>
      <c r="E465" s="14" t="s">
        <v>580</v>
      </c>
      <c r="F465" s="14" t="s">
        <v>337</v>
      </c>
      <c r="G465" s="15" t="s">
        <v>128</v>
      </c>
      <c r="H465" s="16" t="s">
        <v>129</v>
      </c>
      <c r="I465" s="14" t="s">
        <v>49</v>
      </c>
      <c r="J465" s="14">
        <v>900335279</v>
      </c>
      <c r="K465" s="14" t="s">
        <v>77</v>
      </c>
      <c r="L465" s="14" t="s">
        <v>103</v>
      </c>
      <c r="M465" s="14" t="s">
        <v>121</v>
      </c>
      <c r="N465" s="14">
        <v>2012</v>
      </c>
      <c r="O465" s="14">
        <v>8</v>
      </c>
      <c r="P465" s="14" t="s">
        <v>53</v>
      </c>
      <c r="Q465" s="14">
        <v>1</v>
      </c>
      <c r="R465" s="14">
        <v>0</v>
      </c>
      <c r="S465" s="17" t="s">
        <v>54</v>
      </c>
      <c r="T465" s="18">
        <v>0</v>
      </c>
      <c r="U465" s="14">
        <v>30</v>
      </c>
      <c r="V465" s="19">
        <v>1</v>
      </c>
      <c r="W465" s="14">
        <v>0</v>
      </c>
      <c r="X465" s="14">
        <v>23</v>
      </c>
      <c r="Y465" s="14">
        <v>0</v>
      </c>
      <c r="Z465" s="14">
        <v>23</v>
      </c>
      <c r="AA465" s="14">
        <f>Tabla13[[#This Row],[CheckList App]]+Tabla13[[#This Row],[CheckList Fisc]]</f>
        <v>23</v>
      </c>
      <c r="AB465" s="19">
        <f t="shared" si="7"/>
        <v>1</v>
      </c>
      <c r="AC465" s="14">
        <v>399</v>
      </c>
      <c r="AD465" s="14" t="s">
        <v>70</v>
      </c>
      <c r="AE465" s="15" t="str">
        <f>IFERROR((VLOOKUP(Tabla13[[#This Row],[ID]],[1]!Mtto_Pesv[[#Headers],[#Data],[Placa]:[Rutina]],2,FALSE)),"-")</f>
        <v>-</v>
      </c>
      <c r="AF465" s="14">
        <v>1</v>
      </c>
      <c r="AG465" s="20">
        <f>IFERROR((VLOOKUP(Tabla13[[#This Row],[ID]],[1]!Mtto_Pesv[[#Headers],[#Data],[Placa]:[Rutina]],3,FALSE)),0)</f>
        <v>0</v>
      </c>
      <c r="AH465" s="20">
        <f>IFERROR((VLOOKUP(Tabla13[[#This Row],[ID]],[1]!Mtto_Pesv[[#Headers],[#Data],[Placa]:[Rutina]],7,FALSE)),0)</f>
        <v>0</v>
      </c>
      <c r="AI465" s="20">
        <f>IFERROR((VLOOKUP(Tabla13[[#This Row],[ID]],[1]!Mtto_Pesv[[#Headers],[#Data],[Placa]:[Rutina]],8,FALSE)),0)</f>
        <v>0</v>
      </c>
      <c r="AJ465" s="20" t="str">
        <f>IFERROR((VLOOKUP(Tabla13[[#This Row],[ID]],[1]!Mtto_Pesv[[#Headers],[#Data],[Placa]:[Rutina]],9,FALSE)),"-")</f>
        <v>-</v>
      </c>
      <c r="AK465" s="20">
        <f>IFERROR((VLOOKUP(Tabla13[[#This Row],[ID]],[1]!Mtto_Pesv[[#Headers],[#Data],[Placa]:[Rutina]],10,FALSE)),0)</f>
        <v>0</v>
      </c>
      <c r="AL465" s="20">
        <f>IF(Tabla13[[#This Row],[Km Anterior]]=0,0,Tabla13[[#This Row],[Km Ejecut]]-Tabla13[[#This Row],[Km Anterior]])</f>
        <v>0</v>
      </c>
      <c r="AM465" s="20">
        <f>IFERROR((VLOOKUP(Tabla13[[#This Row],[ID]],[1]!Mtto_Pesv[[#Headers],[#Data],[Placa]:[Rutina]],4,FALSE)),0)</f>
        <v>0</v>
      </c>
      <c r="AN465" s="21">
        <f>IFERROR((VLOOKUP(Tabla13[[#This Row],[ID]],[1]!Mtto_Pesv[[#Headers],[#Data],[Placa]:[Rutina]],5,FALSE)),0)</f>
        <v>0</v>
      </c>
      <c r="AO465" s="21">
        <f>+Tabla13[[#This Row],[Km Fin]]-Tabla13[[#This Row],[Km Ini]]</f>
        <v>0</v>
      </c>
      <c r="AP465" s="20">
        <f>IFERROR((VLOOKUP(Tabla13[[#This Row],[ID]],[1]!Estilo_Conduccion[[#All],[Placa]:[Puntuacion]],15,FALSE)),0)</f>
        <v>3124.8</v>
      </c>
      <c r="AQ465" s="15" t="s">
        <v>1340</v>
      </c>
      <c r="AR465" s="15" t="s">
        <v>1341</v>
      </c>
      <c r="AS465" s="20">
        <v>2630</v>
      </c>
      <c r="AT465" s="21">
        <v>20175</v>
      </c>
      <c r="AU465" s="21">
        <f>(Tabla13[[#This Row],[Cap Vh]]*$AX$2)*0.56</f>
        <v>0</v>
      </c>
      <c r="AV465" s="36" t="e">
        <f>(Tabla13[[#This Row],[Cap Util (kg)]]/(Tabla13[[#This Row],[Cap Inst (Kg)]]))</f>
        <v>#DIV/0!</v>
      </c>
    </row>
    <row r="466" spans="1:48" x14ac:dyDescent="0.25">
      <c r="A466" s="13" t="s">
        <v>1068</v>
      </c>
      <c r="B466" s="14" t="s">
        <v>662</v>
      </c>
      <c r="C466" s="14" t="s">
        <v>564</v>
      </c>
      <c r="D466" s="14" t="s">
        <v>565</v>
      </c>
      <c r="E466" s="14" t="s">
        <v>571</v>
      </c>
      <c r="F466" s="14" t="s">
        <v>76</v>
      </c>
      <c r="G466" s="15" t="s">
        <v>47</v>
      </c>
      <c r="H466" s="16" t="s">
        <v>48</v>
      </c>
      <c r="I466" s="14" t="s">
        <v>49</v>
      </c>
      <c r="J466" s="14">
        <v>900335279</v>
      </c>
      <c r="K466" s="14" t="s">
        <v>77</v>
      </c>
      <c r="L466" s="14" t="s">
        <v>103</v>
      </c>
      <c r="M466" s="14" t="s">
        <v>121</v>
      </c>
      <c r="N466" s="14">
        <v>2012</v>
      </c>
      <c r="O466" s="14">
        <v>8</v>
      </c>
      <c r="P466" s="14" t="s">
        <v>53</v>
      </c>
      <c r="Q466" s="14">
        <v>0</v>
      </c>
      <c r="R466" s="14">
        <v>0</v>
      </c>
      <c r="S466" s="17" t="s">
        <v>54</v>
      </c>
      <c r="T466" s="18">
        <v>0</v>
      </c>
      <c r="U466" s="14">
        <v>0</v>
      </c>
      <c r="V466" s="19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f>Tabla13[[#This Row],[CheckList App]]+Tabla13[[#This Row],[CheckList Fisc]]</f>
        <v>0</v>
      </c>
      <c r="AB466" s="19" t="str">
        <f t="shared" si="7"/>
        <v/>
      </c>
      <c r="AC466" s="14">
        <v>0</v>
      </c>
      <c r="AD466" s="14" t="s">
        <v>70</v>
      </c>
      <c r="AE466" s="15" t="str">
        <f>IFERROR((VLOOKUP(Tabla13[[#This Row],[ID]],[1]!Mtto_Pesv[[#Headers],[#Data],[Placa]:[Rutina]],2,FALSE)),"-")</f>
        <v>-</v>
      </c>
      <c r="AF466" s="14">
        <v>1</v>
      </c>
      <c r="AG466" s="20">
        <f>IFERROR((VLOOKUP(Tabla13[[#This Row],[ID]],[1]!Mtto_Pesv[[#Headers],[#Data],[Placa]:[Rutina]],3,FALSE)),0)</f>
        <v>0</v>
      </c>
      <c r="AH466" s="20">
        <f>IFERROR((VLOOKUP(Tabla13[[#This Row],[ID]],[1]!Mtto_Pesv[[#Headers],[#Data],[Placa]:[Rutina]],7,FALSE)),0)</f>
        <v>0</v>
      </c>
      <c r="AI466" s="20">
        <f>IFERROR((VLOOKUP(Tabla13[[#This Row],[ID]],[1]!Mtto_Pesv[[#Headers],[#Data],[Placa]:[Rutina]],8,FALSE)),0)</f>
        <v>0</v>
      </c>
      <c r="AJ466" s="20" t="str">
        <f>IFERROR((VLOOKUP(Tabla13[[#This Row],[ID]],[1]!Mtto_Pesv[[#Headers],[#Data],[Placa]:[Rutina]],9,FALSE)),"-")</f>
        <v>-</v>
      </c>
      <c r="AK466" s="20">
        <f>IFERROR((VLOOKUP(Tabla13[[#This Row],[ID]],[1]!Mtto_Pesv[[#Headers],[#Data],[Placa]:[Rutina]],10,FALSE)),0)</f>
        <v>0</v>
      </c>
      <c r="AL466" s="20">
        <f>IF(Tabla13[[#This Row],[Km Anterior]]=0,0,Tabla13[[#This Row],[Km Ejecut]]-Tabla13[[#This Row],[Km Anterior]])</f>
        <v>0</v>
      </c>
      <c r="AM466" s="20">
        <f>IFERROR((VLOOKUP(Tabla13[[#This Row],[ID]],[1]!Mtto_Pesv[[#Headers],[#Data],[Placa]:[Rutina]],4,FALSE)),0)</f>
        <v>0</v>
      </c>
      <c r="AN466" s="21">
        <f>IFERROR((VLOOKUP(Tabla13[[#This Row],[ID]],[1]!Mtto_Pesv[[#Headers],[#Data],[Placa]:[Rutina]],5,FALSE)),0)</f>
        <v>0</v>
      </c>
      <c r="AO466" s="21">
        <f>+Tabla13[[#This Row],[Km Fin]]-Tabla13[[#This Row],[Km Ini]]</f>
        <v>0</v>
      </c>
      <c r="AP466" s="20">
        <f>IFERROR((VLOOKUP(Tabla13[[#This Row],[ID]],[1]!Estilo_Conduccion[[#All],[Placa]:[Puntuacion]],15,FALSE)),0)</f>
        <v>0</v>
      </c>
      <c r="AQ466" s="15" t="s">
        <v>1069</v>
      </c>
      <c r="AR466" s="15" t="s">
        <v>1292</v>
      </c>
      <c r="AS466" s="20">
        <v>2630</v>
      </c>
      <c r="AT466" s="21">
        <v>0</v>
      </c>
      <c r="AU466" s="21">
        <f>(Tabla13[[#This Row],[Cap Vh]]*$AX$2)*0.56</f>
        <v>0</v>
      </c>
      <c r="AV466" s="36" t="e">
        <f>(Tabla13[[#This Row],[Cap Util (kg)]]/(Tabla13[[#This Row],[Cap Inst (Kg)]]))</f>
        <v>#DIV/0!</v>
      </c>
    </row>
    <row r="467" spans="1:48" x14ac:dyDescent="0.25">
      <c r="A467" s="13" t="s">
        <v>1068</v>
      </c>
      <c r="B467" s="14" t="s">
        <v>663</v>
      </c>
      <c r="C467" s="14" t="s">
        <v>564</v>
      </c>
      <c r="D467" s="14" t="s">
        <v>565</v>
      </c>
      <c r="E467" s="14" t="s">
        <v>571</v>
      </c>
      <c r="F467" s="14" t="s">
        <v>76</v>
      </c>
      <c r="G467" s="15" t="s">
        <v>47</v>
      </c>
      <c r="H467" s="16" t="s">
        <v>48</v>
      </c>
      <c r="I467" s="14" t="s">
        <v>49</v>
      </c>
      <c r="J467" s="14">
        <v>860007660</v>
      </c>
      <c r="K467" s="14" t="s">
        <v>369</v>
      </c>
      <c r="L467" s="14" t="s">
        <v>103</v>
      </c>
      <c r="M467" s="14" t="s">
        <v>121</v>
      </c>
      <c r="N467" s="14">
        <v>2012</v>
      </c>
      <c r="O467" s="14">
        <v>8</v>
      </c>
      <c r="P467" s="14" t="s">
        <v>53</v>
      </c>
      <c r="Q467" s="14">
        <v>1</v>
      </c>
      <c r="R467" s="14">
        <v>0</v>
      </c>
      <c r="S467" s="17" t="s">
        <v>54</v>
      </c>
      <c r="T467" s="18">
        <v>0</v>
      </c>
      <c r="U467" s="14">
        <v>0</v>
      </c>
      <c r="V467" s="19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f>Tabla13[[#This Row],[CheckList App]]+Tabla13[[#This Row],[CheckList Fisc]]</f>
        <v>0</v>
      </c>
      <c r="AB467" s="19" t="str">
        <f t="shared" si="7"/>
        <v/>
      </c>
      <c r="AC467" s="14">
        <v>0</v>
      </c>
      <c r="AD467" s="14" t="s">
        <v>55</v>
      </c>
      <c r="AE467" s="15" t="str">
        <f>IFERROR((VLOOKUP(Tabla13[[#This Row],[ID]],[1]!Mtto_Pesv[[#Headers],[#Data],[Placa]:[Rutina]],2,FALSE)),"-")</f>
        <v>-</v>
      </c>
      <c r="AF467" s="14">
        <v>0</v>
      </c>
      <c r="AG467" s="20">
        <f>IFERROR((VLOOKUP(Tabla13[[#This Row],[ID]],[1]!Mtto_Pesv[[#Headers],[#Data],[Placa]:[Rutina]],3,FALSE)),0)</f>
        <v>0</v>
      </c>
      <c r="AH467" s="20">
        <f>IFERROR((VLOOKUP(Tabla13[[#This Row],[ID]],[1]!Mtto_Pesv[[#Headers],[#Data],[Placa]:[Rutina]],7,FALSE)),0)</f>
        <v>0</v>
      </c>
      <c r="AI467" s="20">
        <f>IFERROR((VLOOKUP(Tabla13[[#This Row],[ID]],[1]!Mtto_Pesv[[#Headers],[#Data],[Placa]:[Rutina]],8,FALSE)),0)</f>
        <v>0</v>
      </c>
      <c r="AJ467" s="20" t="str">
        <f>IFERROR((VLOOKUP(Tabla13[[#This Row],[ID]],[1]!Mtto_Pesv[[#Headers],[#Data],[Placa]:[Rutina]],9,FALSE)),"-")</f>
        <v>-</v>
      </c>
      <c r="AK467" s="20">
        <f>IFERROR((VLOOKUP(Tabla13[[#This Row],[ID]],[1]!Mtto_Pesv[[#Headers],[#Data],[Placa]:[Rutina]],10,FALSE)),0)</f>
        <v>0</v>
      </c>
      <c r="AL467" s="20">
        <f>IF(Tabla13[[#This Row],[Km Anterior]]=0,0,Tabla13[[#This Row],[Km Ejecut]]-Tabla13[[#This Row],[Km Anterior]])</f>
        <v>0</v>
      </c>
      <c r="AM467" s="20">
        <f>IFERROR((VLOOKUP(Tabla13[[#This Row],[ID]],[1]!Mtto_Pesv[[#Headers],[#Data],[Placa]:[Rutina]],4,FALSE)),0)</f>
        <v>0</v>
      </c>
      <c r="AN467" s="21">
        <f>IFERROR((VLOOKUP(Tabla13[[#This Row],[ID]],[1]!Mtto_Pesv[[#Headers],[#Data],[Placa]:[Rutina]],5,FALSE)),0)</f>
        <v>0</v>
      </c>
      <c r="AO467" s="21">
        <f>+Tabla13[[#This Row],[Km Fin]]-Tabla13[[#This Row],[Km Ini]]</f>
        <v>0</v>
      </c>
      <c r="AP467" s="20">
        <f>IFERROR((VLOOKUP(Tabla13[[#This Row],[ID]],[1]!Estilo_Conduccion[[#All],[Placa]:[Puntuacion]],15,FALSE)),0)</f>
        <v>0</v>
      </c>
      <c r="AQ467" s="15" t="s">
        <v>1337</v>
      </c>
      <c r="AR467" s="15" t="s">
        <v>1338</v>
      </c>
      <c r="AS467" s="20">
        <v>2630</v>
      </c>
      <c r="AT467" s="21">
        <v>11799</v>
      </c>
      <c r="AU467" s="21">
        <f>(Tabla13[[#This Row],[Cap Vh]]*$AX$2)*0.56</f>
        <v>0</v>
      </c>
      <c r="AV467" s="36" t="e">
        <f>(Tabla13[[#This Row],[Cap Util (kg)]]/(Tabla13[[#This Row],[Cap Inst (Kg)]]))</f>
        <v>#DIV/0!</v>
      </c>
    </row>
    <row r="468" spans="1:48" x14ac:dyDescent="0.25">
      <c r="A468" s="13" t="s">
        <v>1068</v>
      </c>
      <c r="B468" s="14" t="s">
        <v>664</v>
      </c>
      <c r="C468" s="14" t="s">
        <v>564</v>
      </c>
      <c r="D468" s="14" t="s">
        <v>565</v>
      </c>
      <c r="E468" s="14" t="s">
        <v>665</v>
      </c>
      <c r="F468" s="14" t="s">
        <v>64</v>
      </c>
      <c r="G468" s="15" t="s">
        <v>128</v>
      </c>
      <c r="H468" s="16" t="s">
        <v>143</v>
      </c>
      <c r="I468" s="14" t="s">
        <v>49</v>
      </c>
      <c r="J468" s="14">
        <v>900335279</v>
      </c>
      <c r="K468" s="14" t="s">
        <v>77</v>
      </c>
      <c r="L468" s="14" t="s">
        <v>103</v>
      </c>
      <c r="M468" s="14" t="s">
        <v>153</v>
      </c>
      <c r="N468" s="14">
        <v>2012</v>
      </c>
      <c r="O468" s="14">
        <v>8</v>
      </c>
      <c r="P468" s="14" t="s">
        <v>53</v>
      </c>
      <c r="Q468" s="14">
        <v>1</v>
      </c>
      <c r="R468" s="14">
        <v>1</v>
      </c>
      <c r="S468" s="17">
        <v>44833.246527777781</v>
      </c>
      <c r="T468" s="18">
        <v>349.99999999999994</v>
      </c>
      <c r="U468" s="14">
        <v>27</v>
      </c>
      <c r="V468" s="19">
        <v>0.9</v>
      </c>
      <c r="W468" s="14">
        <v>0</v>
      </c>
      <c r="X468" s="14">
        <v>23</v>
      </c>
      <c r="Y468" s="14">
        <v>0</v>
      </c>
      <c r="Z468" s="14">
        <v>22</v>
      </c>
      <c r="AA468" s="14">
        <f>Tabla13[[#This Row],[CheckList App]]+Tabla13[[#This Row],[CheckList Fisc]]</f>
        <v>22</v>
      </c>
      <c r="AB468" s="19">
        <f t="shared" si="7"/>
        <v>0.95652173913043481</v>
      </c>
      <c r="AC468" s="14">
        <v>0</v>
      </c>
      <c r="AD468" s="14" t="s">
        <v>70</v>
      </c>
      <c r="AE468" s="15" t="str">
        <f>IFERROR((VLOOKUP(Tabla13[[#This Row],[ID]],[1]!Mtto_Pesv[[#Headers],[#Data],[Placa]:[Rutina]],2,FALSE)),"-")</f>
        <v>-</v>
      </c>
      <c r="AF468" s="14">
        <v>1</v>
      </c>
      <c r="AG468" s="20">
        <f>IFERROR((VLOOKUP(Tabla13[[#This Row],[ID]],[1]!Mtto_Pesv[[#Headers],[#Data],[Placa]:[Rutina]],3,FALSE)),0)</f>
        <v>0</v>
      </c>
      <c r="AH468" s="20">
        <f>IFERROR((VLOOKUP(Tabla13[[#This Row],[ID]],[1]!Mtto_Pesv[[#Headers],[#Data],[Placa]:[Rutina]],7,FALSE)),0)</f>
        <v>0</v>
      </c>
      <c r="AI468" s="20">
        <f>IFERROR((VLOOKUP(Tabla13[[#This Row],[ID]],[1]!Mtto_Pesv[[#Headers],[#Data],[Placa]:[Rutina]],8,FALSE)),0)</f>
        <v>0</v>
      </c>
      <c r="AJ468" s="20" t="str">
        <f>IFERROR((VLOOKUP(Tabla13[[#This Row],[ID]],[1]!Mtto_Pesv[[#Headers],[#Data],[Placa]:[Rutina]],9,FALSE)),"-")</f>
        <v>-</v>
      </c>
      <c r="AK468" s="20">
        <f>IFERROR((VLOOKUP(Tabla13[[#This Row],[ID]],[1]!Mtto_Pesv[[#Headers],[#Data],[Placa]:[Rutina]],10,FALSE)),0)</f>
        <v>0</v>
      </c>
      <c r="AL468" s="20">
        <f>IF(Tabla13[[#This Row],[Km Anterior]]=0,0,Tabla13[[#This Row],[Km Ejecut]]-Tabla13[[#This Row],[Km Anterior]])</f>
        <v>0</v>
      </c>
      <c r="AM468" s="20">
        <f>IFERROR((VLOOKUP(Tabla13[[#This Row],[ID]],[1]!Mtto_Pesv[[#Headers],[#Data],[Placa]:[Rutina]],4,FALSE)),0)</f>
        <v>0</v>
      </c>
      <c r="AN468" s="21">
        <f>IFERROR((VLOOKUP(Tabla13[[#This Row],[ID]],[1]!Mtto_Pesv[[#Headers],[#Data],[Placa]:[Rutina]],5,FALSE)),0)</f>
        <v>0</v>
      </c>
      <c r="AO468" s="21">
        <f>+Tabla13[[#This Row],[Km Fin]]-Tabla13[[#This Row],[Km Ini]]</f>
        <v>0</v>
      </c>
      <c r="AP468" s="20">
        <f>IFERROR((VLOOKUP(Tabla13[[#This Row],[ID]],[1]!Estilo_Conduccion[[#All],[Placa]:[Puntuacion]],15,FALSE)),0)</f>
        <v>6.6</v>
      </c>
      <c r="AQ468" s="15" t="s">
        <v>54</v>
      </c>
      <c r="AR468" s="15" t="s">
        <v>1356</v>
      </c>
      <c r="AS468" s="20">
        <v>4195</v>
      </c>
      <c r="AT468" s="21">
        <v>0</v>
      </c>
      <c r="AU468" s="21">
        <f>(Tabla13[[#This Row],[Cap Vh]]*$AX$2)*0.56</f>
        <v>0</v>
      </c>
      <c r="AV468" s="36" t="e">
        <f>(Tabla13[[#This Row],[Cap Util (kg)]]/(Tabla13[[#This Row],[Cap Inst (Kg)]]))</f>
        <v>#DIV/0!</v>
      </c>
    </row>
    <row r="469" spans="1:48" x14ac:dyDescent="0.25">
      <c r="A469" s="13" t="s">
        <v>1068</v>
      </c>
      <c r="B469" s="14" t="s">
        <v>666</v>
      </c>
      <c r="C469" s="14" t="s">
        <v>564</v>
      </c>
      <c r="D469" s="14" t="s">
        <v>565</v>
      </c>
      <c r="E469" s="14" t="s">
        <v>569</v>
      </c>
      <c r="F469" s="14" t="s">
        <v>337</v>
      </c>
      <c r="G469" s="15" t="s">
        <v>128</v>
      </c>
      <c r="H469" s="16" t="s">
        <v>143</v>
      </c>
      <c r="I469" s="14" t="s">
        <v>49</v>
      </c>
      <c r="J469" s="14">
        <v>900335279</v>
      </c>
      <c r="K469" s="14" t="s">
        <v>77</v>
      </c>
      <c r="L469" s="14" t="s">
        <v>103</v>
      </c>
      <c r="M469" s="14" t="s">
        <v>121</v>
      </c>
      <c r="N469" s="14">
        <v>2014</v>
      </c>
      <c r="O469" s="14">
        <v>6</v>
      </c>
      <c r="P469" s="14" t="s">
        <v>53</v>
      </c>
      <c r="Q469" s="14">
        <v>1</v>
      </c>
      <c r="R469" s="14">
        <v>0</v>
      </c>
      <c r="S469" s="17" t="s">
        <v>54</v>
      </c>
      <c r="T469" s="18">
        <v>0</v>
      </c>
      <c r="U469" s="14">
        <v>30</v>
      </c>
      <c r="V469" s="19">
        <v>1</v>
      </c>
      <c r="W469" s="14">
        <v>0</v>
      </c>
      <c r="X469" s="14">
        <v>17</v>
      </c>
      <c r="Y469" s="14">
        <v>0</v>
      </c>
      <c r="Z469" s="14">
        <v>15</v>
      </c>
      <c r="AA469" s="14">
        <f>Tabla13[[#This Row],[CheckList App]]+Tabla13[[#This Row],[CheckList Fisc]]</f>
        <v>15</v>
      </c>
      <c r="AB469" s="19">
        <f t="shared" si="7"/>
        <v>0.88235294117647056</v>
      </c>
      <c r="AC469" s="14">
        <v>12</v>
      </c>
      <c r="AD469" s="14" t="s">
        <v>70</v>
      </c>
      <c r="AE469" s="15" t="str">
        <f>IFERROR((VLOOKUP(Tabla13[[#This Row],[ID]],[1]!Mtto_Pesv[[#Headers],[#Data],[Placa]:[Rutina]],2,FALSE)),"-")</f>
        <v>-</v>
      </c>
      <c r="AF469" s="14">
        <v>1</v>
      </c>
      <c r="AG469" s="20">
        <f>IFERROR((VLOOKUP(Tabla13[[#This Row],[ID]],[1]!Mtto_Pesv[[#Headers],[#Data],[Placa]:[Rutina]],3,FALSE)),0)</f>
        <v>0</v>
      </c>
      <c r="AH469" s="20">
        <f>IFERROR((VLOOKUP(Tabla13[[#This Row],[ID]],[1]!Mtto_Pesv[[#Headers],[#Data],[Placa]:[Rutina]],7,FALSE)),0)</f>
        <v>0</v>
      </c>
      <c r="AI469" s="20">
        <f>IFERROR((VLOOKUP(Tabla13[[#This Row],[ID]],[1]!Mtto_Pesv[[#Headers],[#Data],[Placa]:[Rutina]],8,FALSE)),0)</f>
        <v>0</v>
      </c>
      <c r="AJ469" s="20" t="str">
        <f>IFERROR((VLOOKUP(Tabla13[[#This Row],[ID]],[1]!Mtto_Pesv[[#Headers],[#Data],[Placa]:[Rutina]],9,FALSE)),"-")</f>
        <v>-</v>
      </c>
      <c r="AK469" s="20">
        <f>IFERROR((VLOOKUP(Tabla13[[#This Row],[ID]],[1]!Mtto_Pesv[[#Headers],[#Data],[Placa]:[Rutina]],10,FALSE)),0)</f>
        <v>0</v>
      </c>
      <c r="AL469" s="20">
        <f>IF(Tabla13[[#This Row],[Km Anterior]]=0,0,Tabla13[[#This Row],[Km Ejecut]]-Tabla13[[#This Row],[Km Anterior]])</f>
        <v>0</v>
      </c>
      <c r="AM469" s="20">
        <f>IFERROR((VLOOKUP(Tabla13[[#This Row],[ID]],[1]!Mtto_Pesv[[#Headers],[#Data],[Placa]:[Rutina]],4,FALSE)),0)</f>
        <v>0</v>
      </c>
      <c r="AN469" s="21">
        <f>IFERROR((VLOOKUP(Tabla13[[#This Row],[ID]],[1]!Mtto_Pesv[[#Headers],[#Data],[Placa]:[Rutina]],5,FALSE)),0)</f>
        <v>0</v>
      </c>
      <c r="AO469" s="21">
        <f>+Tabla13[[#This Row],[Km Fin]]-Tabla13[[#This Row],[Km Ini]]</f>
        <v>0</v>
      </c>
      <c r="AP469" s="20">
        <f>IFERROR((VLOOKUP(Tabla13[[#This Row],[ID]],[1]!Estilo_Conduccion[[#All],[Placa]:[Puntuacion]],15,FALSE)),0)</f>
        <v>1.7999999999999998</v>
      </c>
      <c r="AQ469" s="15" t="s">
        <v>54</v>
      </c>
      <c r="AR469" s="15" t="s">
        <v>1357</v>
      </c>
      <c r="AS469" s="20">
        <v>2601</v>
      </c>
      <c r="AT469" s="21">
        <v>0</v>
      </c>
      <c r="AU469" s="21">
        <f>(Tabla13[[#This Row],[Cap Vh]]*$AX$2)*0.56</f>
        <v>0</v>
      </c>
      <c r="AV469" s="36" t="e">
        <f>(Tabla13[[#This Row],[Cap Util (kg)]]/(Tabla13[[#This Row],[Cap Inst (Kg)]]))</f>
        <v>#DIV/0!</v>
      </c>
    </row>
    <row r="470" spans="1:48" x14ac:dyDescent="0.25">
      <c r="A470" s="13" t="s">
        <v>1068</v>
      </c>
      <c r="B470" s="14" t="s">
        <v>667</v>
      </c>
      <c r="C470" s="14" t="s">
        <v>564</v>
      </c>
      <c r="D470" s="14" t="s">
        <v>565</v>
      </c>
      <c r="E470" s="14" t="s">
        <v>588</v>
      </c>
      <c r="F470" s="14" t="s">
        <v>64</v>
      </c>
      <c r="G470" s="14" t="s">
        <v>65</v>
      </c>
      <c r="H470" s="16" t="s">
        <v>66</v>
      </c>
      <c r="I470" s="14" t="s">
        <v>49</v>
      </c>
      <c r="J470" s="14">
        <v>890300279</v>
      </c>
      <c r="K470" s="14" t="s">
        <v>282</v>
      </c>
      <c r="L470" s="14" t="s">
        <v>103</v>
      </c>
      <c r="M470" s="14" t="s">
        <v>104</v>
      </c>
      <c r="N470" s="14">
        <v>2015</v>
      </c>
      <c r="O470" s="14">
        <v>5</v>
      </c>
      <c r="P470" s="14" t="s">
        <v>53</v>
      </c>
      <c r="Q470" s="14">
        <v>0</v>
      </c>
      <c r="R470" s="14">
        <v>0</v>
      </c>
      <c r="S470" s="17" t="s">
        <v>54</v>
      </c>
      <c r="T470" s="18">
        <v>0</v>
      </c>
      <c r="U470" s="14">
        <v>0</v>
      </c>
      <c r="V470" s="19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f>Tabla13[[#This Row],[CheckList App]]+Tabla13[[#This Row],[CheckList Fisc]]</f>
        <v>0</v>
      </c>
      <c r="AB470" s="19" t="str">
        <f t="shared" si="7"/>
        <v/>
      </c>
      <c r="AC470" s="14">
        <v>0</v>
      </c>
      <c r="AD470" s="14" t="s">
        <v>55</v>
      </c>
      <c r="AE470" s="15" t="str">
        <f>IFERROR((VLOOKUP(Tabla13[[#This Row],[ID]],[1]!Mtto_Pesv[[#Headers],[#Data],[Placa]:[Rutina]],2,FALSE)),"-")</f>
        <v>-</v>
      </c>
      <c r="AF470" s="14">
        <v>0</v>
      </c>
      <c r="AG470" s="20">
        <f>IFERROR((VLOOKUP(Tabla13[[#This Row],[ID]],[1]!Mtto_Pesv[[#Headers],[#Data],[Placa]:[Rutina]],3,FALSE)),0)</f>
        <v>0</v>
      </c>
      <c r="AH470" s="20">
        <f>IFERROR((VLOOKUP(Tabla13[[#This Row],[ID]],[1]!Mtto_Pesv[[#Headers],[#Data],[Placa]:[Rutina]],7,FALSE)),0)</f>
        <v>0</v>
      </c>
      <c r="AI470" s="20">
        <f>IFERROR((VLOOKUP(Tabla13[[#This Row],[ID]],[1]!Mtto_Pesv[[#Headers],[#Data],[Placa]:[Rutina]],8,FALSE)),0)</f>
        <v>0</v>
      </c>
      <c r="AJ470" s="20" t="str">
        <f>IFERROR((VLOOKUP(Tabla13[[#This Row],[ID]],[1]!Mtto_Pesv[[#Headers],[#Data],[Placa]:[Rutina]],9,FALSE)),"-")</f>
        <v>-</v>
      </c>
      <c r="AK470" s="20">
        <f>IFERROR((VLOOKUP(Tabla13[[#This Row],[ID]],[1]!Mtto_Pesv[[#Headers],[#Data],[Placa]:[Rutina]],10,FALSE)),0)</f>
        <v>0</v>
      </c>
      <c r="AL470" s="20">
        <f>IF(Tabla13[[#This Row],[Km Anterior]]=0,0,Tabla13[[#This Row],[Km Ejecut]]-Tabla13[[#This Row],[Km Anterior]])</f>
        <v>0</v>
      </c>
      <c r="AM470" s="20">
        <f>IFERROR((VLOOKUP(Tabla13[[#This Row],[ID]],[1]!Mtto_Pesv[[#Headers],[#Data],[Placa]:[Rutina]],4,FALSE)),0)</f>
        <v>0</v>
      </c>
      <c r="AN470" s="21">
        <f>IFERROR((VLOOKUP(Tabla13[[#This Row],[ID]],[1]!Mtto_Pesv[[#Headers],[#Data],[Placa]:[Rutina]],5,FALSE)),0)</f>
        <v>0</v>
      </c>
      <c r="AO470" s="21">
        <f>+Tabla13[[#This Row],[Km Fin]]-Tabla13[[#This Row],[Km Ini]]</f>
        <v>0</v>
      </c>
      <c r="AP470" s="20">
        <f>IFERROR((VLOOKUP(Tabla13[[#This Row],[ID]],[1]!Estilo_Conduccion[[#All],[Placa]:[Puntuacion]],15,FALSE)),0)</f>
        <v>0</v>
      </c>
      <c r="AQ470" s="15" t="s">
        <v>54</v>
      </c>
      <c r="AR470" s="15" t="s">
        <v>54</v>
      </c>
      <c r="AS470" s="20">
        <v>1300</v>
      </c>
      <c r="AT470" s="21">
        <v>0</v>
      </c>
      <c r="AU470" s="21">
        <f>(Tabla13[[#This Row],[Cap Vh]]*$AX$2)*0.56</f>
        <v>0</v>
      </c>
      <c r="AV470" s="36" t="e">
        <f>(Tabla13[[#This Row],[Cap Util (kg)]]/(Tabla13[[#This Row],[Cap Inst (Kg)]]))</f>
        <v>#DIV/0!</v>
      </c>
    </row>
    <row r="471" spans="1:48" x14ac:dyDescent="0.25">
      <c r="A471" s="13" t="s">
        <v>1068</v>
      </c>
      <c r="B471" s="14" t="s">
        <v>668</v>
      </c>
      <c r="C471" s="14" t="s">
        <v>564</v>
      </c>
      <c r="D471" s="14" t="s">
        <v>565</v>
      </c>
      <c r="E471" s="14" t="s">
        <v>588</v>
      </c>
      <c r="F471" s="14" t="s">
        <v>76</v>
      </c>
      <c r="G471" s="14" t="s">
        <v>47</v>
      </c>
      <c r="H471" s="16" t="s">
        <v>48</v>
      </c>
      <c r="I471" s="14" t="s">
        <v>49</v>
      </c>
      <c r="J471" s="14">
        <v>890300279</v>
      </c>
      <c r="K471" s="14" t="s">
        <v>282</v>
      </c>
      <c r="L471" s="14" t="s">
        <v>103</v>
      </c>
      <c r="M471" s="14" t="s">
        <v>104</v>
      </c>
      <c r="N471" s="14">
        <v>2015</v>
      </c>
      <c r="O471" s="14">
        <v>5</v>
      </c>
      <c r="P471" s="14" t="s">
        <v>53</v>
      </c>
      <c r="Q471" s="14">
        <v>0</v>
      </c>
      <c r="R471" s="14">
        <v>0</v>
      </c>
      <c r="S471" s="17" t="s">
        <v>54</v>
      </c>
      <c r="T471" s="18">
        <v>0</v>
      </c>
      <c r="U471" s="14">
        <v>0</v>
      </c>
      <c r="V471" s="19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f>Tabla13[[#This Row],[CheckList App]]+Tabla13[[#This Row],[CheckList Fisc]]</f>
        <v>0</v>
      </c>
      <c r="AB471" s="19" t="str">
        <f t="shared" si="7"/>
        <v/>
      </c>
      <c r="AC471" s="14">
        <v>0</v>
      </c>
      <c r="AD471" s="14" t="s">
        <v>55</v>
      </c>
      <c r="AE471" s="15" t="str">
        <f>IFERROR((VLOOKUP(Tabla13[[#This Row],[ID]],[1]!Mtto_Pesv[[#Headers],[#Data],[Placa]:[Rutina]],2,FALSE)),"-")</f>
        <v>-</v>
      </c>
      <c r="AF471" s="14">
        <v>0</v>
      </c>
      <c r="AG471" s="20">
        <f>IFERROR((VLOOKUP(Tabla13[[#This Row],[ID]],[1]!Mtto_Pesv[[#Headers],[#Data],[Placa]:[Rutina]],3,FALSE)),0)</f>
        <v>0</v>
      </c>
      <c r="AH471" s="20">
        <f>IFERROR((VLOOKUP(Tabla13[[#This Row],[ID]],[1]!Mtto_Pesv[[#Headers],[#Data],[Placa]:[Rutina]],7,FALSE)),0)</f>
        <v>0</v>
      </c>
      <c r="AI471" s="20">
        <f>IFERROR((VLOOKUP(Tabla13[[#This Row],[ID]],[1]!Mtto_Pesv[[#Headers],[#Data],[Placa]:[Rutina]],8,FALSE)),0)</f>
        <v>0</v>
      </c>
      <c r="AJ471" s="20" t="str">
        <f>IFERROR((VLOOKUP(Tabla13[[#This Row],[ID]],[1]!Mtto_Pesv[[#Headers],[#Data],[Placa]:[Rutina]],9,FALSE)),"-")</f>
        <v>-</v>
      </c>
      <c r="AK471" s="20">
        <f>IFERROR((VLOOKUP(Tabla13[[#This Row],[ID]],[1]!Mtto_Pesv[[#Headers],[#Data],[Placa]:[Rutina]],10,FALSE)),0)</f>
        <v>0</v>
      </c>
      <c r="AL471" s="20">
        <f>IF(Tabla13[[#This Row],[Km Anterior]]=0,0,Tabla13[[#This Row],[Km Ejecut]]-Tabla13[[#This Row],[Km Anterior]])</f>
        <v>0</v>
      </c>
      <c r="AM471" s="20">
        <f>IFERROR((VLOOKUP(Tabla13[[#This Row],[ID]],[1]!Mtto_Pesv[[#Headers],[#Data],[Placa]:[Rutina]],4,FALSE)),0)</f>
        <v>0</v>
      </c>
      <c r="AN471" s="21">
        <f>IFERROR((VLOOKUP(Tabla13[[#This Row],[ID]],[1]!Mtto_Pesv[[#Headers],[#Data],[Placa]:[Rutina]],5,FALSE)),0)</f>
        <v>0</v>
      </c>
      <c r="AO471" s="21">
        <f>+Tabla13[[#This Row],[Km Fin]]-Tabla13[[#This Row],[Km Ini]]</f>
        <v>0</v>
      </c>
      <c r="AP471" s="20">
        <f>IFERROR((VLOOKUP(Tabla13[[#This Row],[ID]],[1]!Estilo_Conduccion[[#All],[Placa]:[Puntuacion]],15,FALSE)),0)</f>
        <v>0</v>
      </c>
      <c r="AQ471" s="15" t="s">
        <v>1069</v>
      </c>
      <c r="AR471" s="15" t="s">
        <v>1292</v>
      </c>
      <c r="AS471" s="20">
        <v>1300</v>
      </c>
      <c r="AT471" s="21">
        <v>0</v>
      </c>
      <c r="AU471" s="21">
        <f>(Tabla13[[#This Row],[Cap Vh]]*$AX$2)*0.56</f>
        <v>0</v>
      </c>
      <c r="AV471" s="36" t="e">
        <f>(Tabla13[[#This Row],[Cap Util (kg)]]/(Tabla13[[#This Row],[Cap Inst (Kg)]]))</f>
        <v>#DIV/0!</v>
      </c>
    </row>
    <row r="472" spans="1:48" x14ac:dyDescent="0.25">
      <c r="A472" s="13" t="s">
        <v>1068</v>
      </c>
      <c r="B472" s="14" t="s">
        <v>669</v>
      </c>
      <c r="C472" s="14" t="s">
        <v>564</v>
      </c>
      <c r="D472" s="14" t="s">
        <v>565</v>
      </c>
      <c r="E472" s="14" t="s">
        <v>580</v>
      </c>
      <c r="F472" s="14" t="s">
        <v>64</v>
      </c>
      <c r="G472" s="14" t="s">
        <v>65</v>
      </c>
      <c r="H472" s="16" t="s">
        <v>66</v>
      </c>
      <c r="I472" s="14" t="s">
        <v>49</v>
      </c>
      <c r="J472" s="14">
        <v>900335279</v>
      </c>
      <c r="K472" s="14" t="s">
        <v>77</v>
      </c>
      <c r="L472" s="14" t="s">
        <v>360</v>
      </c>
      <c r="M472" s="14" t="s">
        <v>361</v>
      </c>
      <c r="N472" s="14">
        <v>2008</v>
      </c>
      <c r="O472" s="14">
        <v>12</v>
      </c>
      <c r="P472" s="14" t="s">
        <v>173</v>
      </c>
      <c r="Q472" s="14">
        <v>0</v>
      </c>
      <c r="R472" s="14">
        <v>0</v>
      </c>
      <c r="S472" s="17" t="s">
        <v>54</v>
      </c>
      <c r="T472" s="18">
        <v>0</v>
      </c>
      <c r="U472" s="14">
        <v>0</v>
      </c>
      <c r="V472" s="19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f>Tabla13[[#This Row],[CheckList App]]+Tabla13[[#This Row],[CheckList Fisc]]</f>
        <v>0</v>
      </c>
      <c r="AB472" s="19" t="str">
        <f t="shared" si="7"/>
        <v/>
      </c>
      <c r="AC472" s="14">
        <v>0</v>
      </c>
      <c r="AD472" s="14" t="s">
        <v>55</v>
      </c>
      <c r="AE472" s="15" t="str">
        <f>IFERROR((VLOOKUP(Tabla13[[#This Row],[ID]],[1]!Mtto_Pesv[[#Headers],[#Data],[Placa]:[Rutina]],2,FALSE)),"-")</f>
        <v>-</v>
      </c>
      <c r="AF472" s="14">
        <v>0</v>
      </c>
      <c r="AG472" s="20">
        <f>IFERROR((VLOOKUP(Tabla13[[#This Row],[ID]],[1]!Mtto_Pesv[[#Headers],[#Data],[Placa]:[Rutina]],3,FALSE)),0)</f>
        <v>0</v>
      </c>
      <c r="AH472" s="20">
        <f>IFERROR((VLOOKUP(Tabla13[[#This Row],[ID]],[1]!Mtto_Pesv[[#Headers],[#Data],[Placa]:[Rutina]],7,FALSE)),0)</f>
        <v>0</v>
      </c>
      <c r="AI472" s="20">
        <f>IFERROR((VLOOKUP(Tabla13[[#This Row],[ID]],[1]!Mtto_Pesv[[#Headers],[#Data],[Placa]:[Rutina]],8,FALSE)),0)</f>
        <v>0</v>
      </c>
      <c r="AJ472" s="20" t="str">
        <f>IFERROR((VLOOKUP(Tabla13[[#This Row],[ID]],[1]!Mtto_Pesv[[#Headers],[#Data],[Placa]:[Rutina]],9,FALSE)),"-")</f>
        <v>-</v>
      </c>
      <c r="AK472" s="20">
        <f>IFERROR((VLOOKUP(Tabla13[[#This Row],[ID]],[1]!Mtto_Pesv[[#Headers],[#Data],[Placa]:[Rutina]],10,FALSE)),0)</f>
        <v>0</v>
      </c>
      <c r="AL472" s="20">
        <f>IF(Tabla13[[#This Row],[Km Anterior]]=0,0,Tabla13[[#This Row],[Km Ejecut]]-Tabla13[[#This Row],[Km Anterior]])</f>
        <v>0</v>
      </c>
      <c r="AM472" s="20">
        <f>IFERROR((VLOOKUP(Tabla13[[#This Row],[ID]],[1]!Mtto_Pesv[[#Headers],[#Data],[Placa]:[Rutina]],4,FALSE)),0)</f>
        <v>0</v>
      </c>
      <c r="AN472" s="21">
        <f>IFERROR((VLOOKUP(Tabla13[[#This Row],[ID]],[1]!Mtto_Pesv[[#Headers],[#Data],[Placa]:[Rutina]],5,FALSE)),0)</f>
        <v>0</v>
      </c>
      <c r="AO472" s="21">
        <f>+Tabla13[[#This Row],[Km Fin]]-Tabla13[[#This Row],[Km Ini]]</f>
        <v>0</v>
      </c>
      <c r="AP472" s="20">
        <f>IFERROR((VLOOKUP(Tabla13[[#This Row],[ID]],[1]!Estilo_Conduccion[[#All],[Placa]:[Puntuacion]],15,FALSE)),0)</f>
        <v>0</v>
      </c>
      <c r="AQ472" s="15" t="s">
        <v>54</v>
      </c>
      <c r="AR472" s="15" t="s">
        <v>54</v>
      </c>
      <c r="AS472" s="20">
        <v>1000</v>
      </c>
      <c r="AT472" s="21">
        <v>0</v>
      </c>
      <c r="AU472" s="21">
        <f>(Tabla13[[#This Row],[Cap Vh]]*$AX$2)*0.56</f>
        <v>0</v>
      </c>
      <c r="AV472" s="36" t="e">
        <f>(Tabla13[[#This Row],[Cap Util (kg)]]/(Tabla13[[#This Row],[Cap Inst (Kg)]]))</f>
        <v>#DIV/0!</v>
      </c>
    </row>
    <row r="473" spans="1:48" x14ac:dyDescent="0.25">
      <c r="A473" s="13" t="s">
        <v>1068</v>
      </c>
      <c r="B473" s="14" t="s">
        <v>670</v>
      </c>
      <c r="C473" s="14" t="s">
        <v>564</v>
      </c>
      <c r="D473" s="14" t="s">
        <v>565</v>
      </c>
      <c r="E473" s="14" t="s">
        <v>569</v>
      </c>
      <c r="F473" s="14" t="s">
        <v>64</v>
      </c>
      <c r="G473" s="15" t="s">
        <v>182</v>
      </c>
      <c r="H473" s="13" t="s">
        <v>199</v>
      </c>
      <c r="I473" s="14" t="s">
        <v>49</v>
      </c>
      <c r="J473" s="14">
        <v>901253015</v>
      </c>
      <c r="K473" s="14" t="s">
        <v>185</v>
      </c>
      <c r="L473" s="14" t="s">
        <v>103</v>
      </c>
      <c r="M473" s="14" t="s">
        <v>104</v>
      </c>
      <c r="N473" s="14">
        <v>2022</v>
      </c>
      <c r="O473" s="14">
        <v>1</v>
      </c>
      <c r="P473" s="14" t="s">
        <v>105</v>
      </c>
      <c r="Q473" s="14">
        <v>1</v>
      </c>
      <c r="R473" s="14">
        <v>0</v>
      </c>
      <c r="S473" s="17" t="s">
        <v>54</v>
      </c>
      <c r="T473" s="18">
        <v>0</v>
      </c>
      <c r="U473" s="37">
        <v>30</v>
      </c>
      <c r="V473" s="19">
        <v>1</v>
      </c>
      <c r="W473" s="14">
        <v>0</v>
      </c>
      <c r="X473" s="14">
        <v>22</v>
      </c>
      <c r="Y473" s="14">
        <v>22</v>
      </c>
      <c r="Z473" s="14">
        <v>0</v>
      </c>
      <c r="AA473" s="14">
        <f>Tabla13[[#This Row],[CheckList App]]+Tabla13[[#This Row],[CheckList Fisc]]</f>
        <v>22</v>
      </c>
      <c r="AB473" s="19">
        <f t="shared" si="7"/>
        <v>1</v>
      </c>
      <c r="AC473" s="14">
        <v>0</v>
      </c>
      <c r="AD473" s="14" t="s">
        <v>70</v>
      </c>
      <c r="AE473" s="15" t="str">
        <f>IFERROR((VLOOKUP(Tabla13[[#This Row],[ID]],[1]!Mtto_Pesv[[#Headers],[#Data],[Placa]:[Rutina]],2,FALSE)),"-")</f>
        <v>-</v>
      </c>
      <c r="AF473" s="14">
        <v>1</v>
      </c>
      <c r="AG473" s="20">
        <f>IFERROR((VLOOKUP(Tabla13[[#This Row],[ID]],[1]!Mtto_Pesv[[#Headers],[#Data],[Placa]:[Rutina]],3,FALSE)),0)</f>
        <v>0</v>
      </c>
      <c r="AH473" s="20">
        <f>IFERROR((VLOOKUP(Tabla13[[#This Row],[ID]],[1]!Mtto_Pesv[[#Headers],[#Data],[Placa]:[Rutina]],7,FALSE)),0)</f>
        <v>0</v>
      </c>
      <c r="AI473" s="20">
        <f>IFERROR((VLOOKUP(Tabla13[[#This Row],[ID]],[1]!Mtto_Pesv[[#Headers],[#Data],[Placa]:[Rutina]],8,FALSE)),0)</f>
        <v>0</v>
      </c>
      <c r="AJ473" s="20" t="str">
        <f>IFERROR((VLOOKUP(Tabla13[[#This Row],[ID]],[1]!Mtto_Pesv[[#Headers],[#Data],[Placa]:[Rutina]],9,FALSE)),"-")</f>
        <v>-</v>
      </c>
      <c r="AK473" s="20">
        <f>IFERROR((VLOOKUP(Tabla13[[#This Row],[ID]],[1]!Mtto_Pesv[[#Headers],[#Data],[Placa]:[Rutina]],10,FALSE)),0)</f>
        <v>0</v>
      </c>
      <c r="AL473" s="20">
        <f>IF(Tabla13[[#This Row],[Km Anterior]]=0,0,Tabla13[[#This Row],[Km Ejecut]]-Tabla13[[#This Row],[Km Anterior]])</f>
        <v>0</v>
      </c>
      <c r="AM473" s="20">
        <f>IFERROR((VLOOKUP(Tabla13[[#This Row],[ID]],[1]!Mtto_Pesv[[#Headers],[#Data],[Placa]:[Rutina]],4,FALSE)),0)</f>
        <v>0</v>
      </c>
      <c r="AN473" s="21">
        <f>IFERROR((VLOOKUP(Tabla13[[#This Row],[ID]],[1]!Mtto_Pesv[[#Headers],[#Data],[Placa]:[Rutina]],5,FALSE)),0)</f>
        <v>0</v>
      </c>
      <c r="AO473" s="21">
        <f>+Tabla13[[#This Row],[Km Fin]]-Tabla13[[#This Row],[Km Ini]]</f>
        <v>0</v>
      </c>
      <c r="AP473" s="20">
        <f>IFERROR((VLOOKUP(Tabla13[[#This Row],[ID]],[1]!Estilo_Conduccion[[#All],[Placa]:[Puntuacion]],15,FALSE)),0)</f>
        <v>333.6</v>
      </c>
      <c r="AQ473" s="15" t="s">
        <v>1358</v>
      </c>
      <c r="AR473" s="15" t="s">
        <v>1359</v>
      </c>
      <c r="AS473" s="20">
        <v>1650</v>
      </c>
      <c r="AT473" s="21">
        <v>19908</v>
      </c>
      <c r="AU473" s="21">
        <f>(Tabla13[[#This Row],[Cap Vh]]*$AX$2)*0.56</f>
        <v>0</v>
      </c>
      <c r="AV473" s="36" t="e">
        <f>(Tabla13[[#This Row],[Cap Util (kg)]]/(Tabla13[[#This Row],[Cap Inst (Kg)]]))</f>
        <v>#DIV/0!</v>
      </c>
    </row>
    <row r="474" spans="1:48" x14ac:dyDescent="0.25">
      <c r="A474" s="13" t="s">
        <v>1068</v>
      </c>
      <c r="B474" s="14" t="s">
        <v>671</v>
      </c>
      <c r="C474" s="14" t="s">
        <v>564</v>
      </c>
      <c r="D474" s="14" t="s">
        <v>565</v>
      </c>
      <c r="E474" s="14" t="s">
        <v>566</v>
      </c>
      <c r="F474" s="14" t="s">
        <v>64</v>
      </c>
      <c r="G474" s="15" t="s">
        <v>182</v>
      </c>
      <c r="H474" s="13" t="s">
        <v>199</v>
      </c>
      <c r="I474" s="14" t="s">
        <v>49</v>
      </c>
      <c r="J474" s="14">
        <v>901253015</v>
      </c>
      <c r="K474" s="14" t="s">
        <v>185</v>
      </c>
      <c r="L474" s="14" t="s">
        <v>103</v>
      </c>
      <c r="M474" s="14" t="s">
        <v>104</v>
      </c>
      <c r="N474" s="14">
        <v>2022</v>
      </c>
      <c r="O474" s="14">
        <v>1</v>
      </c>
      <c r="P474" s="14" t="s">
        <v>105</v>
      </c>
      <c r="Q474" s="14">
        <v>1</v>
      </c>
      <c r="R474" s="14">
        <v>0</v>
      </c>
      <c r="S474" s="17" t="s">
        <v>54</v>
      </c>
      <c r="T474" s="18">
        <v>0</v>
      </c>
      <c r="U474" s="37">
        <v>30</v>
      </c>
      <c r="V474" s="19">
        <v>1</v>
      </c>
      <c r="W474" s="14">
        <v>0</v>
      </c>
      <c r="X474" s="14">
        <v>29</v>
      </c>
      <c r="Y474" s="14">
        <v>25</v>
      </c>
      <c r="Z474" s="14">
        <v>0</v>
      </c>
      <c r="AA474" s="14">
        <f>Tabla13[[#This Row],[CheckList App]]+Tabla13[[#This Row],[CheckList Fisc]]</f>
        <v>25</v>
      </c>
      <c r="AB474" s="19">
        <f t="shared" si="7"/>
        <v>0.86206896551724133</v>
      </c>
      <c r="AC474" s="14">
        <v>0</v>
      </c>
      <c r="AD474" s="14" t="s">
        <v>70</v>
      </c>
      <c r="AE474" s="15" t="str">
        <f>IFERROR((VLOOKUP(Tabla13[[#This Row],[ID]],[1]!Mtto_Pesv[[#Headers],[#Data],[Placa]:[Rutina]],2,FALSE)),"-")</f>
        <v>-</v>
      </c>
      <c r="AF474" s="14">
        <v>1</v>
      </c>
      <c r="AG474" s="20">
        <f>IFERROR((VLOOKUP(Tabla13[[#This Row],[ID]],[1]!Mtto_Pesv[[#Headers],[#Data],[Placa]:[Rutina]],3,FALSE)),0)</f>
        <v>0</v>
      </c>
      <c r="AH474" s="20">
        <f>IFERROR((VLOOKUP(Tabla13[[#This Row],[ID]],[1]!Mtto_Pesv[[#Headers],[#Data],[Placa]:[Rutina]],7,FALSE)),0)</f>
        <v>0</v>
      </c>
      <c r="AI474" s="20">
        <f>IFERROR((VLOOKUP(Tabla13[[#This Row],[ID]],[1]!Mtto_Pesv[[#Headers],[#Data],[Placa]:[Rutina]],8,FALSE)),0)</f>
        <v>0</v>
      </c>
      <c r="AJ474" s="20" t="str">
        <f>IFERROR((VLOOKUP(Tabla13[[#This Row],[ID]],[1]!Mtto_Pesv[[#Headers],[#Data],[Placa]:[Rutina]],9,FALSE)),"-")</f>
        <v>-</v>
      </c>
      <c r="AK474" s="20">
        <f>IFERROR((VLOOKUP(Tabla13[[#This Row],[ID]],[1]!Mtto_Pesv[[#Headers],[#Data],[Placa]:[Rutina]],10,FALSE)),0)</f>
        <v>0</v>
      </c>
      <c r="AL474" s="20">
        <f>IF(Tabla13[[#This Row],[Km Anterior]]=0,0,Tabla13[[#This Row],[Km Ejecut]]-Tabla13[[#This Row],[Km Anterior]])</f>
        <v>0</v>
      </c>
      <c r="AM474" s="20">
        <f>IFERROR((VLOOKUP(Tabla13[[#This Row],[ID]],[1]!Mtto_Pesv[[#Headers],[#Data],[Placa]:[Rutina]],4,FALSE)),0)</f>
        <v>0</v>
      </c>
      <c r="AN474" s="21">
        <f>IFERROR((VLOOKUP(Tabla13[[#This Row],[ID]],[1]!Mtto_Pesv[[#Headers],[#Data],[Placa]:[Rutina]],5,FALSE)),0)</f>
        <v>0</v>
      </c>
      <c r="AO474" s="21">
        <f>+Tabla13[[#This Row],[Km Fin]]-Tabla13[[#This Row],[Km Ini]]</f>
        <v>0</v>
      </c>
      <c r="AP474" s="20">
        <f>IFERROR((VLOOKUP(Tabla13[[#This Row],[ID]],[1]!Estilo_Conduccion[[#All],[Placa]:[Puntuacion]],15,FALSE)),0)</f>
        <v>635.39999999999986</v>
      </c>
      <c r="AQ474" s="15" t="s">
        <v>1069</v>
      </c>
      <c r="AR474" s="15" t="s">
        <v>1360</v>
      </c>
      <c r="AS474" s="20">
        <v>1650</v>
      </c>
      <c r="AT474" s="21">
        <v>0</v>
      </c>
      <c r="AU474" s="21">
        <f>(Tabla13[[#This Row],[Cap Vh]]*$AX$2)*0.56</f>
        <v>0</v>
      </c>
      <c r="AV474" s="36" t="e">
        <f>(Tabla13[[#This Row],[Cap Util (kg)]]/(Tabla13[[#This Row],[Cap Inst (Kg)]]))</f>
        <v>#DIV/0!</v>
      </c>
    </row>
    <row r="475" spans="1:48" x14ac:dyDescent="0.25">
      <c r="A475" s="13" t="s">
        <v>1068</v>
      </c>
      <c r="B475" s="14" t="s">
        <v>672</v>
      </c>
      <c r="C475" s="14" t="s">
        <v>564</v>
      </c>
      <c r="D475" s="14" t="s">
        <v>577</v>
      </c>
      <c r="E475" s="14" t="s">
        <v>598</v>
      </c>
      <c r="F475" s="14" t="s">
        <v>64</v>
      </c>
      <c r="G475" s="14" t="s">
        <v>65</v>
      </c>
      <c r="H475" s="16" t="s">
        <v>66</v>
      </c>
      <c r="I475" s="14" t="s">
        <v>49</v>
      </c>
      <c r="J475" s="14">
        <v>900335279</v>
      </c>
      <c r="K475" s="14" t="s">
        <v>77</v>
      </c>
      <c r="L475" s="14" t="s">
        <v>186</v>
      </c>
      <c r="M475" s="14" t="s">
        <v>290</v>
      </c>
      <c r="N475" s="14">
        <v>2011</v>
      </c>
      <c r="O475" s="14">
        <v>9</v>
      </c>
      <c r="P475" s="14" t="s">
        <v>53</v>
      </c>
      <c r="Q475" s="14">
        <v>0</v>
      </c>
      <c r="R475" s="14">
        <v>0</v>
      </c>
      <c r="S475" s="17" t="s">
        <v>54</v>
      </c>
      <c r="T475" s="18">
        <v>0</v>
      </c>
      <c r="U475" s="14">
        <v>0</v>
      </c>
      <c r="V475" s="19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f>Tabla13[[#This Row],[CheckList App]]+Tabla13[[#This Row],[CheckList Fisc]]</f>
        <v>0</v>
      </c>
      <c r="AB475" s="19" t="str">
        <f t="shared" si="7"/>
        <v/>
      </c>
      <c r="AC475" s="14">
        <v>0</v>
      </c>
      <c r="AD475" s="14" t="s">
        <v>55</v>
      </c>
      <c r="AE475" s="15" t="str">
        <f>IFERROR((VLOOKUP(Tabla13[[#This Row],[ID]],[1]!Mtto_Pesv[[#Headers],[#Data],[Placa]:[Rutina]],2,FALSE)),"-")</f>
        <v>-</v>
      </c>
      <c r="AF475" s="14">
        <v>0</v>
      </c>
      <c r="AG475" s="20">
        <f>IFERROR((VLOOKUP(Tabla13[[#This Row],[ID]],[1]!Mtto_Pesv[[#Headers],[#Data],[Placa]:[Rutina]],3,FALSE)),0)</f>
        <v>0</v>
      </c>
      <c r="AH475" s="20">
        <f>IFERROR((VLOOKUP(Tabla13[[#This Row],[ID]],[1]!Mtto_Pesv[[#Headers],[#Data],[Placa]:[Rutina]],7,FALSE)),0)</f>
        <v>0</v>
      </c>
      <c r="AI475" s="20">
        <f>IFERROR((VLOOKUP(Tabla13[[#This Row],[ID]],[1]!Mtto_Pesv[[#Headers],[#Data],[Placa]:[Rutina]],8,FALSE)),0)</f>
        <v>0</v>
      </c>
      <c r="AJ475" s="20" t="str">
        <f>IFERROR((VLOOKUP(Tabla13[[#This Row],[ID]],[1]!Mtto_Pesv[[#Headers],[#Data],[Placa]:[Rutina]],9,FALSE)),"-")</f>
        <v>-</v>
      </c>
      <c r="AK475" s="20">
        <f>IFERROR((VLOOKUP(Tabla13[[#This Row],[ID]],[1]!Mtto_Pesv[[#Headers],[#Data],[Placa]:[Rutina]],10,FALSE)),0)</f>
        <v>0</v>
      </c>
      <c r="AL475" s="20">
        <f>IF(Tabla13[[#This Row],[Km Anterior]]=0,0,Tabla13[[#This Row],[Km Ejecut]]-Tabla13[[#This Row],[Km Anterior]])</f>
        <v>0</v>
      </c>
      <c r="AM475" s="20">
        <f>IFERROR((VLOOKUP(Tabla13[[#This Row],[ID]],[1]!Mtto_Pesv[[#Headers],[#Data],[Placa]:[Rutina]],4,FALSE)),0)</f>
        <v>0</v>
      </c>
      <c r="AN475" s="21">
        <f>IFERROR((VLOOKUP(Tabla13[[#This Row],[ID]],[1]!Mtto_Pesv[[#Headers],[#Data],[Placa]:[Rutina]],5,FALSE)),0)</f>
        <v>0</v>
      </c>
      <c r="AO475" s="21">
        <f>+Tabla13[[#This Row],[Km Fin]]-Tabla13[[#This Row],[Km Ini]]</f>
        <v>0</v>
      </c>
      <c r="AP475" s="20">
        <f>IFERROR((VLOOKUP(Tabla13[[#This Row],[ID]],[1]!Estilo_Conduccion[[#All],[Placa]:[Puntuacion]],15,FALSE)),0)</f>
        <v>0</v>
      </c>
      <c r="AQ475" s="15" t="s">
        <v>54</v>
      </c>
      <c r="AR475" s="15" t="s">
        <v>54</v>
      </c>
      <c r="AS475" s="20">
        <v>1000</v>
      </c>
      <c r="AT475" s="21">
        <v>0</v>
      </c>
      <c r="AU475" s="21">
        <f>(Tabla13[[#This Row],[Cap Vh]]*$AX$2)*0.56</f>
        <v>0</v>
      </c>
      <c r="AV475" s="36" t="e">
        <f>(Tabla13[[#This Row],[Cap Util (kg)]]/(Tabla13[[#This Row],[Cap Inst (Kg)]]))</f>
        <v>#DIV/0!</v>
      </c>
    </row>
    <row r="476" spans="1:48" x14ac:dyDescent="0.25">
      <c r="A476" s="13" t="s">
        <v>1068</v>
      </c>
      <c r="B476" s="14" t="s">
        <v>673</v>
      </c>
      <c r="C476" s="14" t="s">
        <v>564</v>
      </c>
      <c r="D476" s="14" t="s">
        <v>577</v>
      </c>
      <c r="E476" s="14" t="s">
        <v>598</v>
      </c>
      <c r="F476" s="14" t="s">
        <v>64</v>
      </c>
      <c r="G476" s="14" t="s">
        <v>65</v>
      </c>
      <c r="H476" s="16" t="s">
        <v>66</v>
      </c>
      <c r="I476" s="14" t="s">
        <v>49</v>
      </c>
      <c r="J476" s="14">
        <v>900335279</v>
      </c>
      <c r="K476" s="14" t="s">
        <v>77</v>
      </c>
      <c r="L476" s="14" t="s">
        <v>103</v>
      </c>
      <c r="M476" s="14" t="s">
        <v>104</v>
      </c>
      <c r="N476" s="14">
        <v>2012</v>
      </c>
      <c r="O476" s="14">
        <v>8</v>
      </c>
      <c r="P476" s="14" t="s">
        <v>53</v>
      </c>
      <c r="Q476" s="14">
        <v>0</v>
      </c>
      <c r="R476" s="14">
        <v>0</v>
      </c>
      <c r="S476" s="17" t="s">
        <v>54</v>
      </c>
      <c r="T476" s="18">
        <v>0</v>
      </c>
      <c r="U476" s="14">
        <v>0</v>
      </c>
      <c r="V476" s="19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f>Tabla13[[#This Row],[CheckList App]]+Tabla13[[#This Row],[CheckList Fisc]]</f>
        <v>0</v>
      </c>
      <c r="AB476" s="19" t="str">
        <f t="shared" si="7"/>
        <v/>
      </c>
      <c r="AC476" s="14">
        <v>0</v>
      </c>
      <c r="AD476" s="14" t="s">
        <v>55</v>
      </c>
      <c r="AE476" s="15" t="str">
        <f>IFERROR((VLOOKUP(Tabla13[[#This Row],[ID]],[1]!Mtto_Pesv[[#Headers],[#Data],[Placa]:[Rutina]],2,FALSE)),"-")</f>
        <v>-</v>
      </c>
      <c r="AF476" s="14">
        <v>0</v>
      </c>
      <c r="AG476" s="20">
        <f>IFERROR((VLOOKUP(Tabla13[[#This Row],[ID]],[1]!Mtto_Pesv[[#Headers],[#Data],[Placa]:[Rutina]],3,FALSE)),0)</f>
        <v>0</v>
      </c>
      <c r="AH476" s="20">
        <f>IFERROR((VLOOKUP(Tabla13[[#This Row],[ID]],[1]!Mtto_Pesv[[#Headers],[#Data],[Placa]:[Rutina]],7,FALSE)),0)</f>
        <v>0</v>
      </c>
      <c r="AI476" s="20">
        <f>IFERROR((VLOOKUP(Tabla13[[#This Row],[ID]],[1]!Mtto_Pesv[[#Headers],[#Data],[Placa]:[Rutina]],8,FALSE)),0)</f>
        <v>0</v>
      </c>
      <c r="AJ476" s="20" t="str">
        <f>IFERROR((VLOOKUP(Tabla13[[#This Row],[ID]],[1]!Mtto_Pesv[[#Headers],[#Data],[Placa]:[Rutina]],9,FALSE)),"-")</f>
        <v>-</v>
      </c>
      <c r="AK476" s="20">
        <f>IFERROR((VLOOKUP(Tabla13[[#This Row],[ID]],[1]!Mtto_Pesv[[#Headers],[#Data],[Placa]:[Rutina]],10,FALSE)),0)</f>
        <v>0</v>
      </c>
      <c r="AL476" s="20">
        <f>IF(Tabla13[[#This Row],[Km Anterior]]=0,0,Tabla13[[#This Row],[Km Ejecut]]-Tabla13[[#This Row],[Km Anterior]])</f>
        <v>0</v>
      </c>
      <c r="AM476" s="20">
        <f>IFERROR((VLOOKUP(Tabla13[[#This Row],[ID]],[1]!Mtto_Pesv[[#Headers],[#Data],[Placa]:[Rutina]],4,FALSE)),0)</f>
        <v>0</v>
      </c>
      <c r="AN476" s="21">
        <f>IFERROR((VLOOKUP(Tabla13[[#This Row],[ID]],[1]!Mtto_Pesv[[#Headers],[#Data],[Placa]:[Rutina]],5,FALSE)),0)</f>
        <v>0</v>
      </c>
      <c r="AO476" s="21">
        <f>+Tabla13[[#This Row],[Km Fin]]-Tabla13[[#This Row],[Km Ini]]</f>
        <v>0</v>
      </c>
      <c r="AP476" s="20">
        <f>IFERROR((VLOOKUP(Tabla13[[#This Row],[ID]],[1]!Estilo_Conduccion[[#All],[Placa]:[Puntuacion]],15,FALSE)),0)</f>
        <v>0</v>
      </c>
      <c r="AQ476" s="15" t="s">
        <v>54</v>
      </c>
      <c r="AR476" s="15" t="s">
        <v>54</v>
      </c>
      <c r="AS476" s="20">
        <v>1325</v>
      </c>
      <c r="AT476" s="21">
        <v>0</v>
      </c>
      <c r="AU476" s="21">
        <f>(Tabla13[[#This Row],[Cap Vh]]*$AX$2)*0.56</f>
        <v>0</v>
      </c>
      <c r="AV476" s="36" t="e">
        <f>(Tabla13[[#This Row],[Cap Util (kg)]]/(Tabla13[[#This Row],[Cap Inst (Kg)]]))</f>
        <v>#DIV/0!</v>
      </c>
    </row>
    <row r="477" spans="1:48" x14ac:dyDescent="0.25">
      <c r="A477" s="13" t="s">
        <v>1068</v>
      </c>
      <c r="B477" s="14" t="s">
        <v>674</v>
      </c>
      <c r="C477" s="14" t="s">
        <v>564</v>
      </c>
      <c r="D477" s="14" t="s">
        <v>577</v>
      </c>
      <c r="E477" s="14" t="s">
        <v>598</v>
      </c>
      <c r="F477" s="14" t="s">
        <v>76</v>
      </c>
      <c r="G477" s="15" t="s">
        <v>89</v>
      </c>
      <c r="H477" s="16" t="s">
        <v>90</v>
      </c>
      <c r="I477" s="14" t="s">
        <v>49</v>
      </c>
      <c r="J477" s="14">
        <v>900335279</v>
      </c>
      <c r="K477" s="14" t="s">
        <v>77</v>
      </c>
      <c r="L477" s="14" t="s">
        <v>51</v>
      </c>
      <c r="M477" s="14" t="s">
        <v>78</v>
      </c>
      <c r="N477" s="14">
        <v>2015</v>
      </c>
      <c r="O477" s="14">
        <v>5</v>
      </c>
      <c r="P477" s="14" t="s">
        <v>53</v>
      </c>
      <c r="Q477" s="14">
        <v>0</v>
      </c>
      <c r="R477" s="14">
        <v>0</v>
      </c>
      <c r="S477" s="17" t="s">
        <v>54</v>
      </c>
      <c r="T477" s="18">
        <v>0</v>
      </c>
      <c r="U477" s="14">
        <v>0</v>
      </c>
      <c r="V477" s="19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f>Tabla13[[#This Row],[CheckList App]]+Tabla13[[#This Row],[CheckList Fisc]]</f>
        <v>0</v>
      </c>
      <c r="AB477" s="19" t="str">
        <f t="shared" si="7"/>
        <v/>
      </c>
      <c r="AC477" s="14">
        <v>0</v>
      </c>
      <c r="AD477" s="14" t="s">
        <v>55</v>
      </c>
      <c r="AE477" s="15" t="str">
        <f>IFERROR((VLOOKUP(Tabla13[[#This Row],[ID]],[1]!Mtto_Pesv[[#Headers],[#Data],[Placa]:[Rutina]],2,FALSE)),"-")</f>
        <v>-</v>
      </c>
      <c r="AF477" s="14">
        <v>0</v>
      </c>
      <c r="AG477" s="20">
        <f>IFERROR((VLOOKUP(Tabla13[[#This Row],[ID]],[1]!Mtto_Pesv[[#Headers],[#Data],[Placa]:[Rutina]],3,FALSE)),0)</f>
        <v>0</v>
      </c>
      <c r="AH477" s="20">
        <f>IFERROR((VLOOKUP(Tabla13[[#This Row],[ID]],[1]!Mtto_Pesv[[#Headers],[#Data],[Placa]:[Rutina]],7,FALSE)),0)</f>
        <v>0</v>
      </c>
      <c r="AI477" s="20">
        <f>IFERROR((VLOOKUP(Tabla13[[#This Row],[ID]],[1]!Mtto_Pesv[[#Headers],[#Data],[Placa]:[Rutina]],8,FALSE)),0)</f>
        <v>0</v>
      </c>
      <c r="AJ477" s="20" t="str">
        <f>IFERROR((VLOOKUP(Tabla13[[#This Row],[ID]],[1]!Mtto_Pesv[[#Headers],[#Data],[Placa]:[Rutina]],9,FALSE)),"-")</f>
        <v>-</v>
      </c>
      <c r="AK477" s="20">
        <f>IFERROR((VLOOKUP(Tabla13[[#This Row],[ID]],[1]!Mtto_Pesv[[#Headers],[#Data],[Placa]:[Rutina]],10,FALSE)),0)</f>
        <v>0</v>
      </c>
      <c r="AL477" s="20">
        <f>IF(Tabla13[[#This Row],[Km Anterior]]=0,0,Tabla13[[#This Row],[Km Ejecut]]-Tabla13[[#This Row],[Km Anterior]])</f>
        <v>0</v>
      </c>
      <c r="AM477" s="20">
        <f>IFERROR((VLOOKUP(Tabla13[[#This Row],[ID]],[1]!Mtto_Pesv[[#Headers],[#Data],[Placa]:[Rutina]],4,FALSE)),0)</f>
        <v>0</v>
      </c>
      <c r="AN477" s="21">
        <f>IFERROR((VLOOKUP(Tabla13[[#This Row],[ID]],[1]!Mtto_Pesv[[#Headers],[#Data],[Placa]:[Rutina]],5,FALSE)),0)</f>
        <v>0</v>
      </c>
      <c r="AO477" s="21">
        <f>+Tabla13[[#This Row],[Km Fin]]-Tabla13[[#This Row],[Km Ini]]</f>
        <v>0</v>
      </c>
      <c r="AP477" s="20">
        <f>IFERROR((VLOOKUP(Tabla13[[#This Row],[ID]],[1]!Estilo_Conduccion[[#All],[Placa]:[Puntuacion]],15,FALSE)),0)</f>
        <v>0</v>
      </c>
      <c r="AQ477" s="15" t="s">
        <v>1361</v>
      </c>
      <c r="AR477" s="15" t="s">
        <v>1362</v>
      </c>
      <c r="AS477" s="20">
        <v>404</v>
      </c>
      <c r="AT477" s="21">
        <v>7627.5</v>
      </c>
      <c r="AU477" s="21">
        <f>(Tabla13[[#This Row],[Cap Vh]]*$AX$2)*0.56</f>
        <v>0</v>
      </c>
      <c r="AV477" s="36" t="e">
        <f>(Tabla13[[#This Row],[Cap Util (kg)]]/(Tabla13[[#This Row],[Cap Inst (Kg)]]))</f>
        <v>#DIV/0!</v>
      </c>
    </row>
    <row r="478" spans="1:48" x14ac:dyDescent="0.25">
      <c r="A478" s="13" t="s">
        <v>1068</v>
      </c>
      <c r="B478" s="16" t="s">
        <v>675</v>
      </c>
      <c r="C478" s="14" t="s">
        <v>564</v>
      </c>
      <c r="D478" s="14" t="s">
        <v>577</v>
      </c>
      <c r="E478" s="14" t="s">
        <v>598</v>
      </c>
      <c r="F478" s="14" t="s">
        <v>76</v>
      </c>
      <c r="G478" s="15" t="s">
        <v>89</v>
      </c>
      <c r="H478" s="16" t="s">
        <v>90</v>
      </c>
      <c r="I478" s="14" t="s">
        <v>49</v>
      </c>
      <c r="J478" s="14">
        <v>900335279</v>
      </c>
      <c r="K478" s="14" t="s">
        <v>77</v>
      </c>
      <c r="L478" s="14" t="s">
        <v>103</v>
      </c>
      <c r="M478" s="14" t="s">
        <v>104</v>
      </c>
      <c r="N478" s="14">
        <v>2018</v>
      </c>
      <c r="O478" s="14">
        <v>2</v>
      </c>
      <c r="P478" s="14" t="s">
        <v>105</v>
      </c>
      <c r="Q478" s="14">
        <v>0</v>
      </c>
      <c r="R478" s="14">
        <v>0</v>
      </c>
      <c r="S478" s="17" t="s">
        <v>54</v>
      </c>
      <c r="T478" s="18">
        <v>0</v>
      </c>
      <c r="U478" s="14">
        <v>0</v>
      </c>
      <c r="V478" s="19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f>Tabla13[[#This Row],[CheckList App]]+Tabla13[[#This Row],[CheckList Fisc]]</f>
        <v>0</v>
      </c>
      <c r="AB478" s="19" t="str">
        <f t="shared" si="7"/>
        <v/>
      </c>
      <c r="AC478" s="14">
        <v>0</v>
      </c>
      <c r="AD478" s="14" t="s">
        <v>55</v>
      </c>
      <c r="AE478" s="15" t="str">
        <f>IFERROR((VLOOKUP(Tabla13[[#This Row],[ID]],[1]!Mtto_Pesv[[#Headers],[#Data],[Placa]:[Rutina]],2,FALSE)),"-")</f>
        <v>-</v>
      </c>
      <c r="AF478" s="14">
        <v>0</v>
      </c>
      <c r="AG478" s="20">
        <f>IFERROR((VLOOKUP(Tabla13[[#This Row],[ID]],[1]!Mtto_Pesv[[#Headers],[#Data],[Placa]:[Rutina]],3,FALSE)),0)</f>
        <v>0</v>
      </c>
      <c r="AH478" s="20">
        <f>IFERROR((VLOOKUP(Tabla13[[#This Row],[ID]],[1]!Mtto_Pesv[[#Headers],[#Data],[Placa]:[Rutina]],7,FALSE)),0)</f>
        <v>0</v>
      </c>
      <c r="AI478" s="20">
        <f>IFERROR((VLOOKUP(Tabla13[[#This Row],[ID]],[1]!Mtto_Pesv[[#Headers],[#Data],[Placa]:[Rutina]],8,FALSE)),0)</f>
        <v>0</v>
      </c>
      <c r="AJ478" s="20" t="str">
        <f>IFERROR((VLOOKUP(Tabla13[[#This Row],[ID]],[1]!Mtto_Pesv[[#Headers],[#Data],[Placa]:[Rutina]],9,FALSE)),"-")</f>
        <v>-</v>
      </c>
      <c r="AK478" s="20">
        <f>IFERROR((VLOOKUP(Tabla13[[#This Row],[ID]],[1]!Mtto_Pesv[[#Headers],[#Data],[Placa]:[Rutina]],10,FALSE)),0)</f>
        <v>0</v>
      </c>
      <c r="AL478" s="20">
        <f>IF(Tabla13[[#This Row],[Km Anterior]]=0,0,Tabla13[[#This Row],[Km Ejecut]]-Tabla13[[#This Row],[Km Anterior]])</f>
        <v>0</v>
      </c>
      <c r="AM478" s="20">
        <f>IFERROR((VLOOKUP(Tabla13[[#This Row],[ID]],[1]!Mtto_Pesv[[#Headers],[#Data],[Placa]:[Rutina]],4,FALSE)),0)</f>
        <v>0</v>
      </c>
      <c r="AN478" s="21">
        <f>IFERROR((VLOOKUP(Tabla13[[#This Row],[ID]],[1]!Mtto_Pesv[[#Headers],[#Data],[Placa]:[Rutina]],5,FALSE)),0)</f>
        <v>0</v>
      </c>
      <c r="AO478" s="21">
        <f>+Tabla13[[#This Row],[Km Fin]]-Tabla13[[#This Row],[Km Ini]]</f>
        <v>0</v>
      </c>
      <c r="AP478" s="20">
        <f>IFERROR((VLOOKUP(Tabla13[[#This Row],[ID]],[1]!Estilo_Conduccion[[#All],[Placa]:[Puntuacion]],15,FALSE)),0)</f>
        <v>0</v>
      </c>
      <c r="AQ478" s="15" t="s">
        <v>1363</v>
      </c>
      <c r="AR478" s="15" t="s">
        <v>1364</v>
      </c>
      <c r="AS478" s="20">
        <v>1650</v>
      </c>
      <c r="AT478" s="21">
        <v>8175</v>
      </c>
      <c r="AU478" s="21">
        <f>(Tabla13[[#This Row],[Cap Vh]]*$AX$2)*0.56</f>
        <v>0</v>
      </c>
      <c r="AV478" s="36" t="e">
        <f>(Tabla13[[#This Row],[Cap Util (kg)]]/(Tabla13[[#This Row],[Cap Inst (Kg)]]))</f>
        <v>#DIV/0!</v>
      </c>
    </row>
    <row r="479" spans="1:48" x14ac:dyDescent="0.25">
      <c r="A479" s="13" t="s">
        <v>1068</v>
      </c>
      <c r="B479" s="14" t="s">
        <v>676</v>
      </c>
      <c r="C479" s="14" t="s">
        <v>564</v>
      </c>
      <c r="D479" s="14" t="s">
        <v>577</v>
      </c>
      <c r="E479" s="14" t="s">
        <v>598</v>
      </c>
      <c r="F479" s="14" t="s">
        <v>76</v>
      </c>
      <c r="G479" s="15" t="s">
        <v>89</v>
      </c>
      <c r="H479" s="16" t="s">
        <v>90</v>
      </c>
      <c r="I479" s="14" t="s">
        <v>49</v>
      </c>
      <c r="J479" s="14">
        <v>900335279</v>
      </c>
      <c r="K479" s="14" t="s">
        <v>77</v>
      </c>
      <c r="L479" s="14" t="s">
        <v>103</v>
      </c>
      <c r="M479" s="15" t="s">
        <v>104</v>
      </c>
      <c r="N479" s="14">
        <v>2018</v>
      </c>
      <c r="O479" s="14">
        <v>2</v>
      </c>
      <c r="P479" s="14" t="s">
        <v>105</v>
      </c>
      <c r="Q479" s="14">
        <v>0</v>
      </c>
      <c r="R479" s="14">
        <v>0</v>
      </c>
      <c r="S479" s="17" t="s">
        <v>54</v>
      </c>
      <c r="T479" s="18">
        <v>0</v>
      </c>
      <c r="U479" s="14">
        <v>0</v>
      </c>
      <c r="V479" s="19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f>Tabla13[[#This Row],[CheckList App]]+Tabla13[[#This Row],[CheckList Fisc]]</f>
        <v>0</v>
      </c>
      <c r="AB479" s="19" t="str">
        <f t="shared" si="7"/>
        <v/>
      </c>
      <c r="AC479" s="14">
        <v>0</v>
      </c>
      <c r="AD479" s="14" t="s">
        <v>55</v>
      </c>
      <c r="AE479" s="15" t="str">
        <f>IFERROR((VLOOKUP(Tabla13[[#This Row],[ID]],[1]!Mtto_Pesv[[#Headers],[#Data],[Placa]:[Rutina]],2,FALSE)),"-")</f>
        <v>-</v>
      </c>
      <c r="AF479" s="14">
        <v>0</v>
      </c>
      <c r="AG479" s="20">
        <f>IFERROR((VLOOKUP(Tabla13[[#This Row],[ID]],[1]!Mtto_Pesv[[#Headers],[#Data],[Placa]:[Rutina]],3,FALSE)),0)</f>
        <v>0</v>
      </c>
      <c r="AH479" s="20">
        <f>IFERROR((VLOOKUP(Tabla13[[#This Row],[ID]],[1]!Mtto_Pesv[[#Headers],[#Data],[Placa]:[Rutina]],7,FALSE)),0)</f>
        <v>0</v>
      </c>
      <c r="AI479" s="20">
        <f>IFERROR((VLOOKUP(Tabla13[[#This Row],[ID]],[1]!Mtto_Pesv[[#Headers],[#Data],[Placa]:[Rutina]],8,FALSE)),0)</f>
        <v>0</v>
      </c>
      <c r="AJ479" s="20" t="str">
        <f>IFERROR((VLOOKUP(Tabla13[[#This Row],[ID]],[1]!Mtto_Pesv[[#Headers],[#Data],[Placa]:[Rutina]],9,FALSE)),"-")</f>
        <v>-</v>
      </c>
      <c r="AK479" s="20">
        <f>IFERROR((VLOOKUP(Tabla13[[#This Row],[ID]],[1]!Mtto_Pesv[[#Headers],[#Data],[Placa]:[Rutina]],10,FALSE)),0)</f>
        <v>0</v>
      </c>
      <c r="AL479" s="20">
        <f>IF(Tabla13[[#This Row],[Km Anterior]]=0,0,Tabla13[[#This Row],[Km Ejecut]]-Tabla13[[#This Row],[Km Anterior]])</f>
        <v>0</v>
      </c>
      <c r="AM479" s="20">
        <f>IFERROR((VLOOKUP(Tabla13[[#This Row],[ID]],[1]!Mtto_Pesv[[#Headers],[#Data],[Placa]:[Rutina]],4,FALSE)),0)</f>
        <v>0</v>
      </c>
      <c r="AN479" s="21">
        <f>IFERROR((VLOOKUP(Tabla13[[#This Row],[ID]],[1]!Mtto_Pesv[[#Headers],[#Data],[Placa]:[Rutina]],5,FALSE)),0)</f>
        <v>0</v>
      </c>
      <c r="AO479" s="21">
        <f>+Tabla13[[#This Row],[Km Fin]]-Tabla13[[#This Row],[Km Ini]]</f>
        <v>0</v>
      </c>
      <c r="AP479" s="20">
        <f>IFERROR((VLOOKUP(Tabla13[[#This Row],[ID]],[1]!Estilo_Conduccion[[#All],[Placa]:[Puntuacion]],15,FALSE)),0)</f>
        <v>0</v>
      </c>
      <c r="AQ479" s="15" t="s">
        <v>1365</v>
      </c>
      <c r="AR479" s="15" t="s">
        <v>1366</v>
      </c>
      <c r="AS479" s="20">
        <v>1650</v>
      </c>
      <c r="AT479" s="21">
        <v>10152</v>
      </c>
      <c r="AU479" s="21">
        <f>(Tabla13[[#This Row],[Cap Vh]]*$AX$2)*0.56</f>
        <v>0</v>
      </c>
      <c r="AV479" s="36" t="e">
        <f>(Tabla13[[#This Row],[Cap Util (kg)]]/(Tabla13[[#This Row],[Cap Inst (Kg)]]))</f>
        <v>#DIV/0!</v>
      </c>
    </row>
    <row r="480" spans="1:48" x14ac:dyDescent="0.25">
      <c r="A480" s="13" t="s">
        <v>1068</v>
      </c>
      <c r="B480" s="14" t="s">
        <v>677</v>
      </c>
      <c r="C480" s="14" t="s">
        <v>564</v>
      </c>
      <c r="D480" s="14" t="s">
        <v>577</v>
      </c>
      <c r="E480" s="14" t="s">
        <v>598</v>
      </c>
      <c r="F480" s="14" t="s">
        <v>76</v>
      </c>
      <c r="G480" s="15" t="s">
        <v>89</v>
      </c>
      <c r="H480" s="16" t="s">
        <v>90</v>
      </c>
      <c r="I480" s="14" t="s">
        <v>49</v>
      </c>
      <c r="J480" s="14">
        <v>900335279</v>
      </c>
      <c r="K480" s="14" t="s">
        <v>77</v>
      </c>
      <c r="L480" s="14" t="s">
        <v>103</v>
      </c>
      <c r="M480" s="15" t="s">
        <v>104</v>
      </c>
      <c r="N480" s="14">
        <v>2018</v>
      </c>
      <c r="O480" s="14">
        <v>2</v>
      </c>
      <c r="P480" s="14" t="s">
        <v>105</v>
      </c>
      <c r="Q480" s="14">
        <v>0</v>
      </c>
      <c r="R480" s="14">
        <v>0</v>
      </c>
      <c r="S480" s="17" t="s">
        <v>54</v>
      </c>
      <c r="T480" s="18">
        <v>0</v>
      </c>
      <c r="U480" s="14">
        <v>0</v>
      </c>
      <c r="V480" s="19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f>Tabla13[[#This Row],[CheckList App]]+Tabla13[[#This Row],[CheckList Fisc]]</f>
        <v>0</v>
      </c>
      <c r="AB480" s="19" t="str">
        <f t="shared" si="7"/>
        <v/>
      </c>
      <c r="AC480" s="14">
        <v>0</v>
      </c>
      <c r="AD480" s="14" t="s">
        <v>55</v>
      </c>
      <c r="AE480" s="15" t="str">
        <f>IFERROR((VLOOKUP(Tabla13[[#This Row],[ID]],[1]!Mtto_Pesv[[#Headers],[#Data],[Placa]:[Rutina]],2,FALSE)),"-")</f>
        <v>-</v>
      </c>
      <c r="AF480" s="14">
        <v>0</v>
      </c>
      <c r="AG480" s="20">
        <f>IFERROR((VLOOKUP(Tabla13[[#This Row],[ID]],[1]!Mtto_Pesv[[#Headers],[#Data],[Placa]:[Rutina]],3,FALSE)),0)</f>
        <v>0</v>
      </c>
      <c r="AH480" s="20">
        <f>IFERROR((VLOOKUP(Tabla13[[#This Row],[ID]],[1]!Mtto_Pesv[[#Headers],[#Data],[Placa]:[Rutina]],7,FALSE)),0)</f>
        <v>0</v>
      </c>
      <c r="AI480" s="20">
        <f>IFERROR((VLOOKUP(Tabla13[[#This Row],[ID]],[1]!Mtto_Pesv[[#Headers],[#Data],[Placa]:[Rutina]],8,FALSE)),0)</f>
        <v>0</v>
      </c>
      <c r="AJ480" s="20" t="str">
        <f>IFERROR((VLOOKUP(Tabla13[[#This Row],[ID]],[1]!Mtto_Pesv[[#Headers],[#Data],[Placa]:[Rutina]],9,FALSE)),"-")</f>
        <v>-</v>
      </c>
      <c r="AK480" s="20">
        <f>IFERROR((VLOOKUP(Tabla13[[#This Row],[ID]],[1]!Mtto_Pesv[[#Headers],[#Data],[Placa]:[Rutina]],10,FALSE)),0)</f>
        <v>0</v>
      </c>
      <c r="AL480" s="20">
        <f>IF(Tabla13[[#This Row],[Km Anterior]]=0,0,Tabla13[[#This Row],[Km Ejecut]]-Tabla13[[#This Row],[Km Anterior]])</f>
        <v>0</v>
      </c>
      <c r="AM480" s="20">
        <f>IFERROR((VLOOKUP(Tabla13[[#This Row],[ID]],[1]!Mtto_Pesv[[#Headers],[#Data],[Placa]:[Rutina]],4,FALSE)),0)</f>
        <v>0</v>
      </c>
      <c r="AN480" s="21">
        <f>IFERROR((VLOOKUP(Tabla13[[#This Row],[ID]],[1]!Mtto_Pesv[[#Headers],[#Data],[Placa]:[Rutina]],5,FALSE)),0)</f>
        <v>0</v>
      </c>
      <c r="AO480" s="21">
        <f>+Tabla13[[#This Row],[Km Fin]]-Tabla13[[#This Row],[Km Ini]]</f>
        <v>0</v>
      </c>
      <c r="AP480" s="20">
        <f>IFERROR((VLOOKUP(Tabla13[[#This Row],[ID]],[1]!Estilo_Conduccion[[#All],[Placa]:[Puntuacion]],15,FALSE)),0)</f>
        <v>0</v>
      </c>
      <c r="AQ480" s="15" t="s">
        <v>1367</v>
      </c>
      <c r="AR480" s="15" t="s">
        <v>1368</v>
      </c>
      <c r="AS480" s="20">
        <v>1650</v>
      </c>
      <c r="AT480" s="21">
        <v>7802.4</v>
      </c>
      <c r="AU480" s="21">
        <f>(Tabla13[[#This Row],[Cap Vh]]*$AX$2)*0.56</f>
        <v>0</v>
      </c>
      <c r="AV480" s="36" t="e">
        <f>(Tabla13[[#This Row],[Cap Util (kg)]]/(Tabla13[[#This Row],[Cap Inst (Kg)]]))</f>
        <v>#DIV/0!</v>
      </c>
    </row>
    <row r="481" spans="1:48" x14ac:dyDescent="0.25">
      <c r="A481" s="13" t="s">
        <v>1068</v>
      </c>
      <c r="B481" s="14" t="s">
        <v>678</v>
      </c>
      <c r="C481" s="14" t="s">
        <v>564</v>
      </c>
      <c r="D481" s="14" t="s">
        <v>577</v>
      </c>
      <c r="E481" s="14" t="s">
        <v>578</v>
      </c>
      <c r="F481" s="14" t="s">
        <v>76</v>
      </c>
      <c r="G481" s="15" t="s">
        <v>128</v>
      </c>
      <c r="H481" s="16" t="s">
        <v>143</v>
      </c>
      <c r="I481" s="14" t="s">
        <v>49</v>
      </c>
      <c r="J481" s="14">
        <v>890903937</v>
      </c>
      <c r="K481" s="14" t="s">
        <v>138</v>
      </c>
      <c r="L481" s="14" t="s">
        <v>103</v>
      </c>
      <c r="M481" s="14" t="s">
        <v>121</v>
      </c>
      <c r="N481" s="14">
        <v>2019</v>
      </c>
      <c r="O481" s="14">
        <v>1</v>
      </c>
      <c r="P481" s="14" t="s">
        <v>105</v>
      </c>
      <c r="Q481" s="14">
        <v>1</v>
      </c>
      <c r="R481" s="14">
        <v>0</v>
      </c>
      <c r="S481" s="17" t="s">
        <v>54</v>
      </c>
      <c r="T481" s="18">
        <v>0</v>
      </c>
      <c r="U481" s="14">
        <v>30</v>
      </c>
      <c r="V481" s="19">
        <v>1</v>
      </c>
      <c r="W481" s="14">
        <v>0</v>
      </c>
      <c r="X481" s="14">
        <v>24</v>
      </c>
      <c r="Y481" s="14">
        <v>0</v>
      </c>
      <c r="Z481" s="14">
        <v>21</v>
      </c>
      <c r="AA481" s="14">
        <f>Tabla13[[#This Row],[CheckList App]]+Tabla13[[#This Row],[CheckList Fisc]]</f>
        <v>21</v>
      </c>
      <c r="AB481" s="19">
        <f t="shared" si="7"/>
        <v>0.875</v>
      </c>
      <c r="AC481" s="14">
        <v>0</v>
      </c>
      <c r="AD481" s="14" t="s">
        <v>70</v>
      </c>
      <c r="AE481" s="15" t="str">
        <f>IFERROR((VLOOKUP(Tabla13[[#This Row],[ID]],[1]!Mtto_Pesv[[#Headers],[#Data],[Placa]:[Rutina]],2,FALSE)),"-")</f>
        <v>-</v>
      </c>
      <c r="AF481" s="14">
        <v>1</v>
      </c>
      <c r="AG481" s="20">
        <f>IFERROR((VLOOKUP(Tabla13[[#This Row],[ID]],[1]!Mtto_Pesv[[#Headers],[#Data],[Placa]:[Rutina]],3,FALSE)),0)</f>
        <v>0</v>
      </c>
      <c r="AH481" s="20">
        <f>IFERROR((VLOOKUP(Tabla13[[#This Row],[ID]],[1]!Mtto_Pesv[[#Headers],[#Data],[Placa]:[Rutina]],7,FALSE)),0)</f>
        <v>0</v>
      </c>
      <c r="AI481" s="20">
        <f>IFERROR((VLOOKUP(Tabla13[[#This Row],[ID]],[1]!Mtto_Pesv[[#Headers],[#Data],[Placa]:[Rutina]],8,FALSE)),0)</f>
        <v>0</v>
      </c>
      <c r="AJ481" s="20" t="str">
        <f>IFERROR((VLOOKUP(Tabla13[[#This Row],[ID]],[1]!Mtto_Pesv[[#Headers],[#Data],[Placa]:[Rutina]],9,FALSE)),"-")</f>
        <v>-</v>
      </c>
      <c r="AK481" s="20">
        <f>IFERROR((VLOOKUP(Tabla13[[#This Row],[ID]],[1]!Mtto_Pesv[[#Headers],[#Data],[Placa]:[Rutina]],10,FALSE)),0)</f>
        <v>0</v>
      </c>
      <c r="AL481" s="20">
        <f>IF(Tabla13[[#This Row],[Km Anterior]]=0,0,Tabla13[[#This Row],[Km Ejecut]]-Tabla13[[#This Row],[Km Anterior]])</f>
        <v>0</v>
      </c>
      <c r="AM481" s="20">
        <f>IFERROR((VLOOKUP(Tabla13[[#This Row],[ID]],[1]!Mtto_Pesv[[#Headers],[#Data],[Placa]:[Rutina]],4,FALSE)),0)</f>
        <v>0</v>
      </c>
      <c r="AN481" s="21">
        <f>IFERROR((VLOOKUP(Tabla13[[#This Row],[ID]],[1]!Mtto_Pesv[[#Headers],[#Data],[Placa]:[Rutina]],5,FALSE)),0)</f>
        <v>0</v>
      </c>
      <c r="AO481" s="21">
        <f>+Tabla13[[#This Row],[Km Fin]]-Tabla13[[#This Row],[Km Ini]]</f>
        <v>0</v>
      </c>
      <c r="AP481" s="20">
        <f>IFERROR((VLOOKUP(Tabla13[[#This Row],[ID]],[1]!Estilo_Conduccion[[#All],[Placa]:[Puntuacion]],15,FALSE)),0)</f>
        <v>636.90000000000009</v>
      </c>
      <c r="AQ481" s="15" t="s">
        <v>54</v>
      </c>
      <c r="AR481" s="15" t="s">
        <v>1297</v>
      </c>
      <c r="AS481" s="20">
        <v>2350</v>
      </c>
      <c r="AT481" s="21">
        <v>0</v>
      </c>
      <c r="AU481" s="21">
        <f>(Tabla13[[#This Row],[Cap Vh]]*$AX$2)*0.56</f>
        <v>0</v>
      </c>
      <c r="AV481" s="36" t="e">
        <f>(Tabla13[[#This Row],[Cap Util (kg)]]/(Tabla13[[#This Row],[Cap Inst (Kg)]]))</f>
        <v>#DIV/0!</v>
      </c>
    </row>
    <row r="482" spans="1:48" x14ac:dyDescent="0.25">
      <c r="A482" s="13" t="s">
        <v>1068</v>
      </c>
      <c r="B482" s="14" t="s">
        <v>679</v>
      </c>
      <c r="C482" s="14" t="s">
        <v>564</v>
      </c>
      <c r="D482" s="14" t="s">
        <v>577</v>
      </c>
      <c r="E482" s="14" t="s">
        <v>598</v>
      </c>
      <c r="F482" s="14" t="s">
        <v>76</v>
      </c>
      <c r="G482" s="15" t="s">
        <v>128</v>
      </c>
      <c r="H482" s="16" t="s">
        <v>129</v>
      </c>
      <c r="I482" s="14" t="s">
        <v>49</v>
      </c>
      <c r="J482" s="14">
        <v>890903937</v>
      </c>
      <c r="K482" s="14" t="s">
        <v>138</v>
      </c>
      <c r="L482" s="14" t="s">
        <v>103</v>
      </c>
      <c r="M482" s="14" t="s">
        <v>104</v>
      </c>
      <c r="N482" s="14">
        <v>2019</v>
      </c>
      <c r="O482" s="14">
        <v>1</v>
      </c>
      <c r="P482" s="14" t="s">
        <v>105</v>
      </c>
      <c r="Q482" s="14">
        <v>1</v>
      </c>
      <c r="R482" s="14">
        <v>0</v>
      </c>
      <c r="S482" s="17" t="s">
        <v>54</v>
      </c>
      <c r="T482" s="18">
        <v>0</v>
      </c>
      <c r="U482" s="14">
        <v>30</v>
      </c>
      <c r="V482" s="19">
        <v>1</v>
      </c>
      <c r="W482" s="14">
        <v>0</v>
      </c>
      <c r="X482" s="14">
        <v>28</v>
      </c>
      <c r="Y482" s="14">
        <v>0</v>
      </c>
      <c r="Z482" s="14">
        <v>28</v>
      </c>
      <c r="AA482" s="14">
        <f>Tabla13[[#This Row],[CheckList App]]+Tabla13[[#This Row],[CheckList Fisc]]</f>
        <v>28</v>
      </c>
      <c r="AB482" s="19">
        <f t="shared" si="7"/>
        <v>1</v>
      </c>
      <c r="AC482" s="14">
        <v>0</v>
      </c>
      <c r="AD482" s="14" t="s">
        <v>70</v>
      </c>
      <c r="AE482" s="15" t="str">
        <f>IFERROR((VLOOKUP(Tabla13[[#This Row],[ID]],[1]!Mtto_Pesv[[#Headers],[#Data],[Placa]:[Rutina]],2,FALSE)),"-")</f>
        <v>-</v>
      </c>
      <c r="AF482" s="14">
        <v>1</v>
      </c>
      <c r="AG482" s="20">
        <f>IFERROR((VLOOKUP(Tabla13[[#This Row],[ID]],[1]!Mtto_Pesv[[#Headers],[#Data],[Placa]:[Rutina]],3,FALSE)),0)</f>
        <v>0</v>
      </c>
      <c r="AH482" s="20">
        <f>IFERROR((VLOOKUP(Tabla13[[#This Row],[ID]],[1]!Mtto_Pesv[[#Headers],[#Data],[Placa]:[Rutina]],7,FALSE)),0)</f>
        <v>0</v>
      </c>
      <c r="AI482" s="20">
        <f>IFERROR((VLOOKUP(Tabla13[[#This Row],[ID]],[1]!Mtto_Pesv[[#Headers],[#Data],[Placa]:[Rutina]],8,FALSE)),0)</f>
        <v>0</v>
      </c>
      <c r="AJ482" s="20" t="str">
        <f>IFERROR((VLOOKUP(Tabla13[[#This Row],[ID]],[1]!Mtto_Pesv[[#Headers],[#Data],[Placa]:[Rutina]],9,FALSE)),"-")</f>
        <v>-</v>
      </c>
      <c r="AK482" s="20">
        <f>IFERROR((VLOOKUP(Tabla13[[#This Row],[ID]],[1]!Mtto_Pesv[[#Headers],[#Data],[Placa]:[Rutina]],10,FALSE)),0)</f>
        <v>0</v>
      </c>
      <c r="AL482" s="20">
        <f>IF(Tabla13[[#This Row],[Km Anterior]]=0,0,Tabla13[[#This Row],[Km Ejecut]]-Tabla13[[#This Row],[Km Anterior]])</f>
        <v>0</v>
      </c>
      <c r="AM482" s="20">
        <f>IFERROR((VLOOKUP(Tabla13[[#This Row],[ID]],[1]!Mtto_Pesv[[#Headers],[#Data],[Placa]:[Rutina]],4,FALSE)),0)</f>
        <v>0</v>
      </c>
      <c r="AN482" s="21">
        <f>IFERROR((VLOOKUP(Tabla13[[#This Row],[ID]],[1]!Mtto_Pesv[[#Headers],[#Data],[Placa]:[Rutina]],5,FALSE)),0)</f>
        <v>0</v>
      </c>
      <c r="AO482" s="21">
        <f>+Tabla13[[#This Row],[Km Fin]]-Tabla13[[#This Row],[Km Ini]]</f>
        <v>0</v>
      </c>
      <c r="AP482" s="20">
        <f>IFERROR((VLOOKUP(Tabla13[[#This Row],[ID]],[1]!Estilo_Conduccion[[#All],[Placa]:[Puntuacion]],15,FALSE)),0)</f>
        <v>714.8</v>
      </c>
      <c r="AQ482" s="15" t="s">
        <v>1369</v>
      </c>
      <c r="AR482" s="15" t="s">
        <v>1370</v>
      </c>
      <c r="AS482" s="20">
        <v>1650</v>
      </c>
      <c r="AT482" s="21">
        <v>4834.125</v>
      </c>
      <c r="AU482" s="21">
        <f>(Tabla13[[#This Row],[Cap Vh]]*$AX$2)*0.56</f>
        <v>0</v>
      </c>
      <c r="AV482" s="36" t="e">
        <f>(Tabla13[[#This Row],[Cap Util (kg)]]/(Tabla13[[#This Row],[Cap Inst (Kg)]]))</f>
        <v>#DIV/0!</v>
      </c>
    </row>
    <row r="483" spans="1:48" x14ac:dyDescent="0.25">
      <c r="A483" s="13" t="s">
        <v>1068</v>
      </c>
      <c r="B483" s="14" t="s">
        <v>680</v>
      </c>
      <c r="C483" s="14" t="s">
        <v>564</v>
      </c>
      <c r="D483" s="14" t="s">
        <v>577</v>
      </c>
      <c r="E483" s="14" t="s">
        <v>681</v>
      </c>
      <c r="F483" s="14" t="s">
        <v>76</v>
      </c>
      <c r="G483" s="15" t="s">
        <v>128</v>
      </c>
      <c r="H483" s="16" t="s">
        <v>141</v>
      </c>
      <c r="I483" s="14" t="s">
        <v>49</v>
      </c>
      <c r="J483" s="14">
        <v>890903937</v>
      </c>
      <c r="K483" s="14" t="s">
        <v>138</v>
      </c>
      <c r="L483" s="14" t="s">
        <v>103</v>
      </c>
      <c r="M483" s="14" t="s">
        <v>104</v>
      </c>
      <c r="N483" s="14">
        <v>2019</v>
      </c>
      <c r="O483" s="14">
        <v>1</v>
      </c>
      <c r="P483" s="14" t="s">
        <v>105</v>
      </c>
      <c r="Q483" s="14">
        <v>1</v>
      </c>
      <c r="R483" s="14">
        <v>0</v>
      </c>
      <c r="S483" s="17" t="s">
        <v>54</v>
      </c>
      <c r="T483" s="18">
        <v>0</v>
      </c>
      <c r="U483" s="14">
        <v>30</v>
      </c>
      <c r="V483" s="19">
        <v>1</v>
      </c>
      <c r="W483" s="14">
        <v>0</v>
      </c>
      <c r="X483" s="14">
        <v>26</v>
      </c>
      <c r="Y483" s="14">
        <v>0</v>
      </c>
      <c r="Z483" s="14">
        <v>26</v>
      </c>
      <c r="AA483" s="14">
        <f>Tabla13[[#This Row],[CheckList App]]+Tabla13[[#This Row],[CheckList Fisc]]</f>
        <v>26</v>
      </c>
      <c r="AB483" s="19">
        <f t="shared" si="7"/>
        <v>1</v>
      </c>
      <c r="AC483" s="14">
        <v>0</v>
      </c>
      <c r="AD483" s="14" t="s">
        <v>70</v>
      </c>
      <c r="AE483" s="15" t="str">
        <f>IFERROR((VLOOKUP(Tabla13[[#This Row],[ID]],[1]!Mtto_Pesv[[#Headers],[#Data],[Placa]:[Rutina]],2,FALSE)),"-")</f>
        <v>-</v>
      </c>
      <c r="AF483" s="14">
        <v>1</v>
      </c>
      <c r="AG483" s="20">
        <f>IFERROR((VLOOKUP(Tabla13[[#This Row],[ID]],[1]!Mtto_Pesv[[#Headers],[#Data],[Placa]:[Rutina]],3,FALSE)),0)</f>
        <v>0</v>
      </c>
      <c r="AH483" s="20">
        <f>IFERROR((VLOOKUP(Tabla13[[#This Row],[ID]],[1]!Mtto_Pesv[[#Headers],[#Data],[Placa]:[Rutina]],7,FALSE)),0)</f>
        <v>0</v>
      </c>
      <c r="AI483" s="20">
        <f>IFERROR((VLOOKUP(Tabla13[[#This Row],[ID]],[1]!Mtto_Pesv[[#Headers],[#Data],[Placa]:[Rutina]],8,FALSE)),0)</f>
        <v>0</v>
      </c>
      <c r="AJ483" s="20" t="str">
        <f>IFERROR((VLOOKUP(Tabla13[[#This Row],[ID]],[1]!Mtto_Pesv[[#Headers],[#Data],[Placa]:[Rutina]],9,FALSE)),"-")</f>
        <v>-</v>
      </c>
      <c r="AK483" s="20">
        <f>IFERROR((VLOOKUP(Tabla13[[#This Row],[ID]],[1]!Mtto_Pesv[[#Headers],[#Data],[Placa]:[Rutina]],10,FALSE)),0)</f>
        <v>0</v>
      </c>
      <c r="AL483" s="20">
        <f>IF(Tabla13[[#This Row],[Km Anterior]]=0,0,Tabla13[[#This Row],[Km Ejecut]]-Tabla13[[#This Row],[Km Anterior]])</f>
        <v>0</v>
      </c>
      <c r="AM483" s="20">
        <f>IFERROR((VLOOKUP(Tabla13[[#This Row],[ID]],[1]!Mtto_Pesv[[#Headers],[#Data],[Placa]:[Rutina]],4,FALSE)),0)</f>
        <v>0</v>
      </c>
      <c r="AN483" s="21">
        <f>IFERROR((VLOOKUP(Tabla13[[#This Row],[ID]],[1]!Mtto_Pesv[[#Headers],[#Data],[Placa]:[Rutina]],5,FALSE)),0)</f>
        <v>0</v>
      </c>
      <c r="AO483" s="21">
        <f>+Tabla13[[#This Row],[Km Fin]]-Tabla13[[#This Row],[Km Ini]]</f>
        <v>0</v>
      </c>
      <c r="AP483" s="20">
        <f>IFERROR((VLOOKUP(Tabla13[[#This Row],[ID]],[1]!Estilo_Conduccion[[#All],[Placa]:[Puntuacion]],15,FALSE)),0)</f>
        <v>518.4</v>
      </c>
      <c r="AQ483" s="15" t="s">
        <v>1371</v>
      </c>
      <c r="AR483" s="15" t="s">
        <v>1372</v>
      </c>
      <c r="AS483" s="20">
        <v>1650</v>
      </c>
      <c r="AT483" s="21">
        <v>9135</v>
      </c>
      <c r="AU483" s="21">
        <f>(Tabla13[[#This Row],[Cap Vh]]*$AX$2)*0.56</f>
        <v>0</v>
      </c>
      <c r="AV483" s="36" t="e">
        <f>(Tabla13[[#This Row],[Cap Util (kg)]]/(Tabla13[[#This Row],[Cap Inst (Kg)]]))</f>
        <v>#DIV/0!</v>
      </c>
    </row>
    <row r="484" spans="1:48" x14ac:dyDescent="0.25">
      <c r="A484" s="13" t="s">
        <v>1068</v>
      </c>
      <c r="B484" s="14" t="s">
        <v>682</v>
      </c>
      <c r="C484" s="14" t="s">
        <v>564</v>
      </c>
      <c r="D484" s="14" t="s">
        <v>577</v>
      </c>
      <c r="E484" s="14" t="s">
        <v>578</v>
      </c>
      <c r="F484" s="14" t="s">
        <v>76</v>
      </c>
      <c r="G484" s="15" t="s">
        <v>128</v>
      </c>
      <c r="H484" s="16" t="s">
        <v>129</v>
      </c>
      <c r="I484" s="14" t="s">
        <v>49</v>
      </c>
      <c r="J484" s="14">
        <v>890903937</v>
      </c>
      <c r="K484" s="14" t="s">
        <v>138</v>
      </c>
      <c r="L484" s="14" t="s">
        <v>103</v>
      </c>
      <c r="M484" s="14" t="s">
        <v>104</v>
      </c>
      <c r="N484" s="14">
        <v>2019</v>
      </c>
      <c r="O484" s="14">
        <v>1</v>
      </c>
      <c r="P484" s="14" t="s">
        <v>105</v>
      </c>
      <c r="Q484" s="14">
        <v>1</v>
      </c>
      <c r="R484" s="14">
        <v>0</v>
      </c>
      <c r="S484" s="17" t="s">
        <v>54</v>
      </c>
      <c r="T484" s="18">
        <v>0</v>
      </c>
      <c r="U484" s="14">
        <v>30</v>
      </c>
      <c r="V484" s="19">
        <v>1</v>
      </c>
      <c r="W484" s="14">
        <v>0</v>
      </c>
      <c r="X484" s="14">
        <v>25</v>
      </c>
      <c r="Y484" s="14">
        <v>0</v>
      </c>
      <c r="Z484" s="14">
        <v>17</v>
      </c>
      <c r="AA484" s="14">
        <f>Tabla13[[#This Row],[CheckList App]]+Tabla13[[#This Row],[CheckList Fisc]]</f>
        <v>17</v>
      </c>
      <c r="AB484" s="19">
        <f t="shared" si="7"/>
        <v>0.68</v>
      </c>
      <c r="AC484" s="14">
        <v>0</v>
      </c>
      <c r="AD484" s="14" t="s">
        <v>70</v>
      </c>
      <c r="AE484" s="15" t="str">
        <f>IFERROR((VLOOKUP(Tabla13[[#This Row],[ID]],[1]!Mtto_Pesv[[#Headers],[#Data],[Placa]:[Rutina]],2,FALSE)),"-")</f>
        <v>-</v>
      </c>
      <c r="AF484" s="14">
        <v>1</v>
      </c>
      <c r="AG484" s="20">
        <f>IFERROR((VLOOKUP(Tabla13[[#This Row],[ID]],[1]!Mtto_Pesv[[#Headers],[#Data],[Placa]:[Rutina]],3,FALSE)),0)</f>
        <v>0</v>
      </c>
      <c r="AH484" s="20">
        <f>IFERROR((VLOOKUP(Tabla13[[#This Row],[ID]],[1]!Mtto_Pesv[[#Headers],[#Data],[Placa]:[Rutina]],7,FALSE)),0)</f>
        <v>0</v>
      </c>
      <c r="AI484" s="20">
        <f>IFERROR((VLOOKUP(Tabla13[[#This Row],[ID]],[1]!Mtto_Pesv[[#Headers],[#Data],[Placa]:[Rutina]],8,FALSE)),0)</f>
        <v>0</v>
      </c>
      <c r="AJ484" s="20" t="str">
        <f>IFERROR((VLOOKUP(Tabla13[[#This Row],[ID]],[1]!Mtto_Pesv[[#Headers],[#Data],[Placa]:[Rutina]],9,FALSE)),"-")</f>
        <v>-</v>
      </c>
      <c r="AK484" s="20">
        <f>IFERROR((VLOOKUP(Tabla13[[#This Row],[ID]],[1]!Mtto_Pesv[[#Headers],[#Data],[Placa]:[Rutina]],10,FALSE)),0)</f>
        <v>0</v>
      </c>
      <c r="AL484" s="20">
        <f>IF(Tabla13[[#This Row],[Km Anterior]]=0,0,Tabla13[[#This Row],[Km Ejecut]]-Tabla13[[#This Row],[Km Anterior]])</f>
        <v>0</v>
      </c>
      <c r="AM484" s="20">
        <f>IFERROR((VLOOKUP(Tabla13[[#This Row],[ID]],[1]!Mtto_Pesv[[#Headers],[#Data],[Placa]:[Rutina]],4,FALSE)),0)</f>
        <v>0</v>
      </c>
      <c r="AN484" s="21">
        <f>IFERROR((VLOOKUP(Tabla13[[#This Row],[ID]],[1]!Mtto_Pesv[[#Headers],[#Data],[Placa]:[Rutina]],5,FALSE)),0)</f>
        <v>0</v>
      </c>
      <c r="AO484" s="21">
        <f>+Tabla13[[#This Row],[Km Fin]]-Tabla13[[#This Row],[Km Ini]]</f>
        <v>0</v>
      </c>
      <c r="AP484" s="20">
        <f>IFERROR((VLOOKUP(Tabla13[[#This Row],[ID]],[1]!Estilo_Conduccion[[#All],[Placa]:[Puntuacion]],15,FALSE)),0)</f>
        <v>4</v>
      </c>
      <c r="AQ484" s="15" t="s">
        <v>1373</v>
      </c>
      <c r="AR484" s="15" t="s">
        <v>1374</v>
      </c>
      <c r="AS484" s="20">
        <v>1650</v>
      </c>
      <c r="AT484" s="21">
        <v>12622.5</v>
      </c>
      <c r="AU484" s="21">
        <f>(Tabla13[[#This Row],[Cap Vh]]*$AX$2)*0.56</f>
        <v>0</v>
      </c>
      <c r="AV484" s="36" t="e">
        <f>(Tabla13[[#This Row],[Cap Util (kg)]]/(Tabla13[[#This Row],[Cap Inst (Kg)]]))</f>
        <v>#DIV/0!</v>
      </c>
    </row>
    <row r="485" spans="1:48" x14ac:dyDescent="0.25">
      <c r="A485" s="13" t="s">
        <v>1068</v>
      </c>
      <c r="B485" s="14" t="s">
        <v>683</v>
      </c>
      <c r="C485" s="14" t="s">
        <v>564</v>
      </c>
      <c r="D485" s="14" t="s">
        <v>577</v>
      </c>
      <c r="E485" s="14" t="s">
        <v>598</v>
      </c>
      <c r="F485" s="14" t="s">
        <v>64</v>
      </c>
      <c r="G485" s="15" t="s">
        <v>128</v>
      </c>
      <c r="H485" s="16" t="s">
        <v>143</v>
      </c>
      <c r="I485" s="14" t="s">
        <v>49</v>
      </c>
      <c r="J485" s="14">
        <v>890903937</v>
      </c>
      <c r="K485" s="14" t="s">
        <v>138</v>
      </c>
      <c r="L485" s="14" t="s">
        <v>103</v>
      </c>
      <c r="M485" s="14" t="s">
        <v>153</v>
      </c>
      <c r="N485" s="14">
        <v>2019</v>
      </c>
      <c r="O485" s="14">
        <v>1</v>
      </c>
      <c r="P485" s="14" t="s">
        <v>105</v>
      </c>
      <c r="Q485" s="14">
        <v>1</v>
      </c>
      <c r="R485" s="14">
        <v>1</v>
      </c>
      <c r="S485" s="17">
        <v>44833.299803240741</v>
      </c>
      <c r="T485" s="18">
        <v>195.005</v>
      </c>
      <c r="U485" s="14">
        <v>27</v>
      </c>
      <c r="V485" s="19">
        <v>0.9</v>
      </c>
      <c r="W485" s="14">
        <v>0</v>
      </c>
      <c r="X485" s="14">
        <v>25</v>
      </c>
      <c r="Y485" s="14">
        <v>0</v>
      </c>
      <c r="Z485" s="14">
        <v>25</v>
      </c>
      <c r="AA485" s="14">
        <f>Tabla13[[#This Row],[CheckList App]]+Tabla13[[#This Row],[CheckList Fisc]]</f>
        <v>25</v>
      </c>
      <c r="AB485" s="19">
        <f t="shared" si="7"/>
        <v>1</v>
      </c>
      <c r="AC485" s="14">
        <v>0</v>
      </c>
      <c r="AD485" s="14" t="s">
        <v>70</v>
      </c>
      <c r="AE485" s="15" t="str">
        <f>IFERROR((VLOOKUP(Tabla13[[#This Row],[ID]],[1]!Mtto_Pesv[[#Headers],[#Data],[Placa]:[Rutina]],2,FALSE)),"-")</f>
        <v>-</v>
      </c>
      <c r="AF485" s="14">
        <v>1</v>
      </c>
      <c r="AG485" s="20">
        <f>IFERROR((VLOOKUP(Tabla13[[#This Row],[ID]],[1]!Mtto_Pesv[[#Headers],[#Data],[Placa]:[Rutina]],3,FALSE)),0)</f>
        <v>0</v>
      </c>
      <c r="AH485" s="20">
        <f>IFERROR((VLOOKUP(Tabla13[[#This Row],[ID]],[1]!Mtto_Pesv[[#Headers],[#Data],[Placa]:[Rutina]],7,FALSE)),0)</f>
        <v>0</v>
      </c>
      <c r="AI485" s="20">
        <f>IFERROR((VLOOKUP(Tabla13[[#This Row],[ID]],[1]!Mtto_Pesv[[#Headers],[#Data],[Placa]:[Rutina]],8,FALSE)),0)</f>
        <v>0</v>
      </c>
      <c r="AJ485" s="20" t="str">
        <f>IFERROR((VLOOKUP(Tabla13[[#This Row],[ID]],[1]!Mtto_Pesv[[#Headers],[#Data],[Placa]:[Rutina]],9,FALSE)),"-")</f>
        <v>-</v>
      </c>
      <c r="AK485" s="20">
        <f>IFERROR((VLOOKUP(Tabla13[[#This Row],[ID]],[1]!Mtto_Pesv[[#Headers],[#Data],[Placa]:[Rutina]],10,FALSE)),0)</f>
        <v>0</v>
      </c>
      <c r="AL485" s="20">
        <f>IF(Tabla13[[#This Row],[Km Anterior]]=0,0,Tabla13[[#This Row],[Km Ejecut]]-Tabla13[[#This Row],[Km Anterior]])</f>
        <v>0</v>
      </c>
      <c r="AM485" s="20">
        <f>IFERROR((VLOOKUP(Tabla13[[#This Row],[ID]],[1]!Mtto_Pesv[[#Headers],[#Data],[Placa]:[Rutina]],4,FALSE)),0)</f>
        <v>0</v>
      </c>
      <c r="AN485" s="21">
        <f>IFERROR((VLOOKUP(Tabla13[[#This Row],[ID]],[1]!Mtto_Pesv[[#Headers],[#Data],[Placa]:[Rutina]],5,FALSE)),0)</f>
        <v>0</v>
      </c>
      <c r="AO485" s="21">
        <f>+Tabla13[[#This Row],[Km Fin]]-Tabla13[[#This Row],[Km Ini]]</f>
        <v>0</v>
      </c>
      <c r="AP485" s="20">
        <f>IFERROR((VLOOKUP(Tabla13[[#This Row],[ID]],[1]!Estilo_Conduccion[[#All],[Placa]:[Puntuacion]],15,FALSE)),0)</f>
        <v>642.5</v>
      </c>
      <c r="AQ485" s="15" t="s">
        <v>54</v>
      </c>
      <c r="AR485" s="15" t="s">
        <v>1375</v>
      </c>
      <c r="AS485" s="20">
        <v>3900</v>
      </c>
      <c r="AT485" s="21">
        <v>0</v>
      </c>
      <c r="AU485" s="21">
        <f>(Tabla13[[#This Row],[Cap Vh]]*$AX$2)*0.56</f>
        <v>0</v>
      </c>
      <c r="AV485" s="36" t="e">
        <f>(Tabla13[[#This Row],[Cap Util (kg)]]/(Tabla13[[#This Row],[Cap Inst (Kg)]]))</f>
        <v>#DIV/0!</v>
      </c>
    </row>
    <row r="486" spans="1:48" x14ac:dyDescent="0.25">
      <c r="A486" s="13" t="s">
        <v>1068</v>
      </c>
      <c r="B486" s="14" t="s">
        <v>684</v>
      </c>
      <c r="C486" s="14" t="s">
        <v>564</v>
      </c>
      <c r="D486" s="14" t="s">
        <v>577</v>
      </c>
      <c r="E486" s="14" t="s">
        <v>598</v>
      </c>
      <c r="F486" s="14" t="s">
        <v>64</v>
      </c>
      <c r="G486" s="15" t="s">
        <v>182</v>
      </c>
      <c r="H486" s="13" t="s">
        <v>183</v>
      </c>
      <c r="I486" s="14" t="s">
        <v>49</v>
      </c>
      <c r="J486" s="14">
        <v>901253015</v>
      </c>
      <c r="K486" s="14" t="s">
        <v>185</v>
      </c>
      <c r="L486" s="14" t="s">
        <v>186</v>
      </c>
      <c r="M486" s="14" t="s">
        <v>187</v>
      </c>
      <c r="N486" s="14">
        <v>2021</v>
      </c>
      <c r="O486" s="14">
        <v>0</v>
      </c>
      <c r="P486" s="14" t="s">
        <v>105</v>
      </c>
      <c r="Q486" s="14">
        <v>1</v>
      </c>
      <c r="R486" s="14">
        <v>1</v>
      </c>
      <c r="S486" s="17">
        <v>44834.422465277778</v>
      </c>
      <c r="T486" s="18">
        <v>126.19499999999998</v>
      </c>
      <c r="U486" s="37">
        <v>30</v>
      </c>
      <c r="V486" s="19">
        <v>1</v>
      </c>
      <c r="W486" s="14">
        <v>0</v>
      </c>
      <c r="X486" s="14">
        <v>23</v>
      </c>
      <c r="Y486" s="14">
        <v>23</v>
      </c>
      <c r="Z486" s="14">
        <v>0</v>
      </c>
      <c r="AA486" s="14">
        <f>Tabla13[[#This Row],[CheckList App]]+Tabla13[[#This Row],[CheckList Fisc]]</f>
        <v>23</v>
      </c>
      <c r="AB486" s="19">
        <f t="shared" si="7"/>
        <v>1</v>
      </c>
      <c r="AC486" s="14">
        <v>3</v>
      </c>
      <c r="AD486" s="14" t="s">
        <v>70</v>
      </c>
      <c r="AE486" s="15" t="str">
        <f>IFERROR((VLOOKUP(Tabla13[[#This Row],[ID]],[1]!Mtto_Pesv[[#Headers],[#Data],[Placa]:[Rutina]],2,FALSE)),"-")</f>
        <v>-</v>
      </c>
      <c r="AF486" s="14">
        <v>0</v>
      </c>
      <c r="AG486" s="20">
        <f>IFERROR((VLOOKUP(Tabla13[[#This Row],[ID]],[1]!Mtto_Pesv[[#Headers],[#Data],[Placa]:[Rutina]],3,FALSE)),0)</f>
        <v>0</v>
      </c>
      <c r="AH486" s="20">
        <f>IFERROR((VLOOKUP(Tabla13[[#This Row],[ID]],[1]!Mtto_Pesv[[#Headers],[#Data],[Placa]:[Rutina]],7,FALSE)),0)</f>
        <v>0</v>
      </c>
      <c r="AI486" s="20">
        <f>IFERROR((VLOOKUP(Tabla13[[#This Row],[ID]],[1]!Mtto_Pesv[[#Headers],[#Data],[Placa]:[Rutina]],8,FALSE)),0)</f>
        <v>0</v>
      </c>
      <c r="AJ486" s="20" t="str">
        <f>IFERROR((VLOOKUP(Tabla13[[#This Row],[ID]],[1]!Mtto_Pesv[[#Headers],[#Data],[Placa]:[Rutina]],9,FALSE)),"-")</f>
        <v>-</v>
      </c>
      <c r="AK486" s="20">
        <f>IFERROR((VLOOKUP(Tabla13[[#This Row],[ID]],[1]!Mtto_Pesv[[#Headers],[#Data],[Placa]:[Rutina]],10,FALSE)),0)</f>
        <v>0</v>
      </c>
      <c r="AL486" s="20">
        <f>IF(Tabla13[[#This Row],[Km Anterior]]=0,0,Tabla13[[#This Row],[Km Ejecut]]-Tabla13[[#This Row],[Km Anterior]])</f>
        <v>0</v>
      </c>
      <c r="AM486" s="20">
        <f>IFERROR((VLOOKUP(Tabla13[[#This Row],[ID]],[1]!Mtto_Pesv[[#Headers],[#Data],[Placa]:[Rutina]],4,FALSE)),0)</f>
        <v>0</v>
      </c>
      <c r="AN486" s="21">
        <f>IFERROR((VLOOKUP(Tabla13[[#This Row],[ID]],[1]!Mtto_Pesv[[#Headers],[#Data],[Placa]:[Rutina]],5,FALSE)),0)</f>
        <v>0</v>
      </c>
      <c r="AO486" s="21">
        <f>+Tabla13[[#This Row],[Km Fin]]-Tabla13[[#This Row],[Km Ini]]</f>
        <v>0</v>
      </c>
      <c r="AP486" s="20">
        <f>IFERROR((VLOOKUP(Tabla13[[#This Row],[ID]],[1]!Estilo_Conduccion[[#All],[Placa]:[Puntuacion]],15,FALSE)),0)</f>
        <v>352.09999999999997</v>
      </c>
      <c r="AQ486" s="15" t="s">
        <v>54</v>
      </c>
      <c r="AR486" s="15" t="s">
        <v>1376</v>
      </c>
      <c r="AS486" s="20">
        <v>1000</v>
      </c>
      <c r="AT486" s="21">
        <v>0</v>
      </c>
      <c r="AU486" s="21">
        <f>(Tabla13[[#This Row],[Cap Vh]]*$AX$2)*0.56</f>
        <v>0</v>
      </c>
      <c r="AV486" s="36" t="e">
        <f>(Tabla13[[#This Row],[Cap Util (kg)]]/(Tabla13[[#This Row],[Cap Inst (Kg)]]))</f>
        <v>#DIV/0!</v>
      </c>
    </row>
    <row r="487" spans="1:48" x14ac:dyDescent="0.25">
      <c r="A487" s="13" t="s">
        <v>1068</v>
      </c>
      <c r="B487" s="14" t="s">
        <v>685</v>
      </c>
      <c r="C487" s="14" t="s">
        <v>564</v>
      </c>
      <c r="D487" s="14" t="s">
        <v>577</v>
      </c>
      <c r="E487" s="14" t="s">
        <v>598</v>
      </c>
      <c r="F487" s="14" t="s">
        <v>64</v>
      </c>
      <c r="G487" s="15" t="s">
        <v>182</v>
      </c>
      <c r="H487" s="13" t="s">
        <v>199</v>
      </c>
      <c r="I487" s="14" t="s">
        <v>49</v>
      </c>
      <c r="J487" s="14">
        <v>901253015</v>
      </c>
      <c r="K487" s="14" t="s">
        <v>185</v>
      </c>
      <c r="L487" s="14" t="s">
        <v>103</v>
      </c>
      <c r="M487" s="14" t="s">
        <v>104</v>
      </c>
      <c r="N487" s="14">
        <v>2021</v>
      </c>
      <c r="O487" s="14">
        <v>0</v>
      </c>
      <c r="P487" s="14" t="s">
        <v>105</v>
      </c>
      <c r="Q487" s="14">
        <v>1</v>
      </c>
      <c r="R487" s="14">
        <v>0</v>
      </c>
      <c r="S487" s="17" t="s">
        <v>54</v>
      </c>
      <c r="T487" s="18">
        <v>0</v>
      </c>
      <c r="U487" s="37">
        <v>30</v>
      </c>
      <c r="V487" s="19">
        <v>1</v>
      </c>
      <c r="W487" s="14">
        <v>0</v>
      </c>
      <c r="X487" s="14">
        <v>26</v>
      </c>
      <c r="Y487" s="14">
        <v>26</v>
      </c>
      <c r="Z487" s="14">
        <v>0</v>
      </c>
      <c r="AA487" s="14">
        <f>Tabla13[[#This Row],[CheckList App]]+Tabla13[[#This Row],[CheckList Fisc]]</f>
        <v>26</v>
      </c>
      <c r="AB487" s="19">
        <f t="shared" si="7"/>
        <v>1</v>
      </c>
      <c r="AC487" s="14">
        <v>0</v>
      </c>
      <c r="AD487" s="14" t="s">
        <v>70</v>
      </c>
      <c r="AE487" s="15" t="str">
        <f>IFERROR((VLOOKUP(Tabla13[[#This Row],[ID]],[1]!Mtto_Pesv[[#Headers],[#Data],[Placa]:[Rutina]],2,FALSE)),"-")</f>
        <v>-</v>
      </c>
      <c r="AF487" s="14">
        <v>0</v>
      </c>
      <c r="AG487" s="20">
        <f>IFERROR((VLOOKUP(Tabla13[[#This Row],[ID]],[1]!Mtto_Pesv[[#Headers],[#Data],[Placa]:[Rutina]],3,FALSE)),0)</f>
        <v>0</v>
      </c>
      <c r="AH487" s="20">
        <f>IFERROR((VLOOKUP(Tabla13[[#This Row],[ID]],[1]!Mtto_Pesv[[#Headers],[#Data],[Placa]:[Rutina]],7,FALSE)),0)</f>
        <v>0</v>
      </c>
      <c r="AI487" s="20">
        <f>IFERROR((VLOOKUP(Tabla13[[#This Row],[ID]],[1]!Mtto_Pesv[[#Headers],[#Data],[Placa]:[Rutina]],8,FALSE)),0)</f>
        <v>0</v>
      </c>
      <c r="AJ487" s="20" t="str">
        <f>IFERROR((VLOOKUP(Tabla13[[#This Row],[ID]],[1]!Mtto_Pesv[[#Headers],[#Data],[Placa]:[Rutina]],9,FALSE)),"-")</f>
        <v>-</v>
      </c>
      <c r="AK487" s="20">
        <f>IFERROR((VLOOKUP(Tabla13[[#This Row],[ID]],[1]!Mtto_Pesv[[#Headers],[#Data],[Placa]:[Rutina]],10,FALSE)),0)</f>
        <v>0</v>
      </c>
      <c r="AL487" s="20">
        <f>IF(Tabla13[[#This Row],[Km Anterior]]=0,0,Tabla13[[#This Row],[Km Ejecut]]-Tabla13[[#This Row],[Km Anterior]])</f>
        <v>0</v>
      </c>
      <c r="AM487" s="20">
        <f>IFERROR((VLOOKUP(Tabla13[[#This Row],[ID]],[1]!Mtto_Pesv[[#Headers],[#Data],[Placa]:[Rutina]],4,FALSE)),0)</f>
        <v>0</v>
      </c>
      <c r="AN487" s="21">
        <f>IFERROR((VLOOKUP(Tabla13[[#This Row],[ID]],[1]!Mtto_Pesv[[#Headers],[#Data],[Placa]:[Rutina]],5,FALSE)),0)</f>
        <v>0</v>
      </c>
      <c r="AO487" s="21">
        <f>+Tabla13[[#This Row],[Km Fin]]-Tabla13[[#This Row],[Km Ini]]</f>
        <v>0</v>
      </c>
      <c r="AP487" s="20">
        <f>IFERROR((VLOOKUP(Tabla13[[#This Row],[ID]],[1]!Estilo_Conduccion[[#All],[Placa]:[Puntuacion]],15,FALSE)),0)</f>
        <v>343.7</v>
      </c>
      <c r="AQ487" s="15" t="s">
        <v>1377</v>
      </c>
      <c r="AR487" s="15" t="s">
        <v>1378</v>
      </c>
      <c r="AS487" s="20">
        <v>1650</v>
      </c>
      <c r="AT487" s="21">
        <v>27021</v>
      </c>
      <c r="AU487" s="21">
        <f>(Tabla13[[#This Row],[Cap Vh]]*$AX$2)*0.56</f>
        <v>0</v>
      </c>
      <c r="AV487" s="36" t="e">
        <f>(Tabla13[[#This Row],[Cap Util (kg)]]/(Tabla13[[#This Row],[Cap Inst (Kg)]]))</f>
        <v>#DIV/0!</v>
      </c>
    </row>
    <row r="488" spans="1:48" x14ac:dyDescent="0.25">
      <c r="A488" s="13" t="s">
        <v>1068</v>
      </c>
      <c r="B488" s="14" t="s">
        <v>686</v>
      </c>
      <c r="C488" s="14" t="s">
        <v>564</v>
      </c>
      <c r="D488" s="14" t="s">
        <v>577</v>
      </c>
      <c r="E488" s="14" t="s">
        <v>578</v>
      </c>
      <c r="F488" s="14" t="s">
        <v>64</v>
      </c>
      <c r="G488" s="15" t="s">
        <v>182</v>
      </c>
      <c r="H488" s="13" t="s">
        <v>199</v>
      </c>
      <c r="I488" s="14" t="s">
        <v>49</v>
      </c>
      <c r="J488" s="14">
        <v>901253015</v>
      </c>
      <c r="K488" s="14" t="s">
        <v>185</v>
      </c>
      <c r="L488" s="14" t="s">
        <v>103</v>
      </c>
      <c r="M488" s="14" t="s">
        <v>104</v>
      </c>
      <c r="N488" s="14">
        <v>2021</v>
      </c>
      <c r="O488" s="14">
        <v>0</v>
      </c>
      <c r="P488" s="14" t="s">
        <v>105</v>
      </c>
      <c r="Q488" s="14">
        <v>1</v>
      </c>
      <c r="R488" s="14">
        <v>0</v>
      </c>
      <c r="S488" s="17" t="s">
        <v>54</v>
      </c>
      <c r="T488" s="18">
        <v>0</v>
      </c>
      <c r="U488" s="37">
        <v>30</v>
      </c>
      <c r="V488" s="19">
        <v>1</v>
      </c>
      <c r="W488" s="14">
        <v>0</v>
      </c>
      <c r="X488" s="14">
        <v>26</v>
      </c>
      <c r="Y488" s="14">
        <v>26</v>
      </c>
      <c r="Z488" s="14">
        <v>0</v>
      </c>
      <c r="AA488" s="14">
        <f>Tabla13[[#This Row],[CheckList App]]+Tabla13[[#This Row],[CheckList Fisc]]</f>
        <v>26</v>
      </c>
      <c r="AB488" s="19">
        <f t="shared" si="7"/>
        <v>1</v>
      </c>
      <c r="AC488" s="14">
        <v>0</v>
      </c>
      <c r="AD488" s="14" t="s">
        <v>70</v>
      </c>
      <c r="AE488" s="15" t="str">
        <f>IFERROR((VLOOKUP(Tabla13[[#This Row],[ID]],[1]!Mtto_Pesv[[#Headers],[#Data],[Placa]:[Rutina]],2,FALSE)),"-")</f>
        <v>-</v>
      </c>
      <c r="AF488" s="14">
        <v>0</v>
      </c>
      <c r="AG488" s="20">
        <f>IFERROR((VLOOKUP(Tabla13[[#This Row],[ID]],[1]!Mtto_Pesv[[#Headers],[#Data],[Placa]:[Rutina]],3,FALSE)),0)</f>
        <v>0</v>
      </c>
      <c r="AH488" s="20">
        <f>IFERROR((VLOOKUP(Tabla13[[#This Row],[ID]],[1]!Mtto_Pesv[[#Headers],[#Data],[Placa]:[Rutina]],7,FALSE)),0)</f>
        <v>0</v>
      </c>
      <c r="AI488" s="20">
        <f>IFERROR((VLOOKUP(Tabla13[[#This Row],[ID]],[1]!Mtto_Pesv[[#Headers],[#Data],[Placa]:[Rutina]],8,FALSE)),0)</f>
        <v>0</v>
      </c>
      <c r="AJ488" s="20" t="str">
        <f>IFERROR((VLOOKUP(Tabla13[[#This Row],[ID]],[1]!Mtto_Pesv[[#Headers],[#Data],[Placa]:[Rutina]],9,FALSE)),"-")</f>
        <v>-</v>
      </c>
      <c r="AK488" s="20">
        <f>IFERROR((VLOOKUP(Tabla13[[#This Row],[ID]],[1]!Mtto_Pesv[[#Headers],[#Data],[Placa]:[Rutina]],10,FALSE)),0)</f>
        <v>0</v>
      </c>
      <c r="AL488" s="20">
        <f>IF(Tabla13[[#This Row],[Km Anterior]]=0,0,Tabla13[[#This Row],[Km Ejecut]]-Tabla13[[#This Row],[Km Anterior]])</f>
        <v>0</v>
      </c>
      <c r="AM488" s="20">
        <f>IFERROR((VLOOKUP(Tabla13[[#This Row],[ID]],[1]!Mtto_Pesv[[#Headers],[#Data],[Placa]:[Rutina]],4,FALSE)),0)</f>
        <v>0</v>
      </c>
      <c r="AN488" s="21">
        <f>IFERROR((VLOOKUP(Tabla13[[#This Row],[ID]],[1]!Mtto_Pesv[[#Headers],[#Data],[Placa]:[Rutina]],5,FALSE)),0)</f>
        <v>0</v>
      </c>
      <c r="AO488" s="21">
        <f>+Tabla13[[#This Row],[Km Fin]]-Tabla13[[#This Row],[Km Ini]]</f>
        <v>0</v>
      </c>
      <c r="AP488" s="20">
        <f>IFERROR((VLOOKUP(Tabla13[[#This Row],[ID]],[1]!Estilo_Conduccion[[#All],[Placa]:[Puntuacion]],15,FALSE)),0)</f>
        <v>319.40000000000003</v>
      </c>
      <c r="AQ488" s="15" t="s">
        <v>1379</v>
      </c>
      <c r="AR488" s="15" t="s">
        <v>1380</v>
      </c>
      <c r="AS488" s="20">
        <v>1650</v>
      </c>
      <c r="AT488" s="21">
        <v>10044</v>
      </c>
      <c r="AU488" s="21">
        <f>(Tabla13[[#This Row],[Cap Vh]]*$AX$2)*0.56</f>
        <v>0</v>
      </c>
      <c r="AV488" s="36" t="e">
        <f>(Tabla13[[#This Row],[Cap Util (kg)]]/(Tabla13[[#This Row],[Cap Inst (Kg)]]))</f>
        <v>#DIV/0!</v>
      </c>
    </row>
    <row r="489" spans="1:48" x14ac:dyDescent="0.25">
      <c r="A489" s="13" t="s">
        <v>1068</v>
      </c>
      <c r="B489" s="14" t="s">
        <v>687</v>
      </c>
      <c r="C489" s="14" t="s">
        <v>564</v>
      </c>
      <c r="D489" s="14" t="s">
        <v>577</v>
      </c>
      <c r="E489" s="14" t="s">
        <v>598</v>
      </c>
      <c r="F489" s="14" t="s">
        <v>64</v>
      </c>
      <c r="G489" s="15" t="s">
        <v>182</v>
      </c>
      <c r="H489" s="13" t="s">
        <v>183</v>
      </c>
      <c r="I489" s="14" t="s">
        <v>49</v>
      </c>
      <c r="J489" s="14">
        <v>901253015</v>
      </c>
      <c r="K489" s="14" t="s">
        <v>185</v>
      </c>
      <c r="L489" s="14" t="s">
        <v>103</v>
      </c>
      <c r="M489" s="14" t="s">
        <v>121</v>
      </c>
      <c r="N489" s="14">
        <v>2021</v>
      </c>
      <c r="O489" s="14">
        <v>1</v>
      </c>
      <c r="P489" s="14" t="s">
        <v>105</v>
      </c>
      <c r="Q489" s="14">
        <v>1</v>
      </c>
      <c r="R489" s="14">
        <v>0</v>
      </c>
      <c r="S489" s="17" t="s">
        <v>54</v>
      </c>
      <c r="T489" s="18">
        <v>0</v>
      </c>
      <c r="U489" s="37">
        <v>30</v>
      </c>
      <c r="V489" s="19">
        <v>1</v>
      </c>
      <c r="W489" s="14">
        <v>0</v>
      </c>
      <c r="X489" s="14">
        <v>29</v>
      </c>
      <c r="Y489" s="14">
        <v>29</v>
      </c>
      <c r="Z489" s="14">
        <v>0</v>
      </c>
      <c r="AA489" s="14">
        <f>Tabla13[[#This Row],[CheckList App]]+Tabla13[[#This Row],[CheckList Fisc]]</f>
        <v>29</v>
      </c>
      <c r="AB489" s="19">
        <f t="shared" si="7"/>
        <v>1</v>
      </c>
      <c r="AC489" s="14">
        <v>0</v>
      </c>
      <c r="AD489" s="14" t="s">
        <v>70</v>
      </c>
      <c r="AE489" s="15" t="str">
        <f>IFERROR((VLOOKUP(Tabla13[[#This Row],[ID]],[1]!Mtto_Pesv[[#Headers],[#Data],[Placa]:[Rutina]],2,FALSE)),"-")</f>
        <v>-</v>
      </c>
      <c r="AF489" s="14">
        <v>0</v>
      </c>
      <c r="AG489" s="20">
        <f>IFERROR((VLOOKUP(Tabla13[[#This Row],[ID]],[1]!Mtto_Pesv[[#Headers],[#Data],[Placa]:[Rutina]],3,FALSE)),0)</f>
        <v>0</v>
      </c>
      <c r="AH489" s="20">
        <f>IFERROR((VLOOKUP(Tabla13[[#This Row],[ID]],[1]!Mtto_Pesv[[#Headers],[#Data],[Placa]:[Rutina]],7,FALSE)),0)</f>
        <v>0</v>
      </c>
      <c r="AI489" s="20">
        <f>IFERROR((VLOOKUP(Tabla13[[#This Row],[ID]],[1]!Mtto_Pesv[[#Headers],[#Data],[Placa]:[Rutina]],8,FALSE)),0)</f>
        <v>0</v>
      </c>
      <c r="AJ489" s="20" t="str">
        <f>IFERROR((VLOOKUP(Tabla13[[#This Row],[ID]],[1]!Mtto_Pesv[[#Headers],[#Data],[Placa]:[Rutina]],9,FALSE)),"-")</f>
        <v>-</v>
      </c>
      <c r="AK489" s="20">
        <f>IFERROR((VLOOKUP(Tabla13[[#This Row],[ID]],[1]!Mtto_Pesv[[#Headers],[#Data],[Placa]:[Rutina]],10,FALSE)),0)</f>
        <v>0</v>
      </c>
      <c r="AL489" s="20">
        <f>IF(Tabla13[[#This Row],[Km Anterior]]=0,0,Tabla13[[#This Row],[Km Ejecut]]-Tabla13[[#This Row],[Km Anterior]])</f>
        <v>0</v>
      </c>
      <c r="AM489" s="20">
        <f>IFERROR((VLOOKUP(Tabla13[[#This Row],[ID]],[1]!Mtto_Pesv[[#Headers],[#Data],[Placa]:[Rutina]],4,FALSE)),0)</f>
        <v>0</v>
      </c>
      <c r="AN489" s="21">
        <f>IFERROR((VLOOKUP(Tabla13[[#This Row],[ID]],[1]!Mtto_Pesv[[#Headers],[#Data],[Placa]:[Rutina]],5,FALSE)),0)</f>
        <v>0</v>
      </c>
      <c r="AO489" s="21">
        <f>+Tabla13[[#This Row],[Km Fin]]-Tabla13[[#This Row],[Km Ini]]</f>
        <v>0</v>
      </c>
      <c r="AP489" s="20">
        <f>IFERROR((VLOOKUP(Tabla13[[#This Row],[ID]],[1]!Estilo_Conduccion[[#All],[Placa]:[Puntuacion]],15,FALSE)),0)</f>
        <v>303.5</v>
      </c>
      <c r="AQ489" s="15" t="s">
        <v>54</v>
      </c>
      <c r="AR489" s="15" t="s">
        <v>1381</v>
      </c>
      <c r="AS489" s="20">
        <v>2350</v>
      </c>
      <c r="AT489" s="21">
        <v>0</v>
      </c>
      <c r="AU489" s="21">
        <f>(Tabla13[[#This Row],[Cap Vh]]*$AX$2)*0.56</f>
        <v>0</v>
      </c>
      <c r="AV489" s="36" t="e">
        <f>(Tabla13[[#This Row],[Cap Util (kg)]]/(Tabla13[[#This Row],[Cap Inst (Kg)]]))</f>
        <v>#DIV/0!</v>
      </c>
    </row>
    <row r="490" spans="1:48" x14ac:dyDescent="0.25">
      <c r="A490" s="13" t="s">
        <v>1068</v>
      </c>
      <c r="B490" s="14" t="s">
        <v>688</v>
      </c>
      <c r="C490" s="15" t="s">
        <v>564</v>
      </c>
      <c r="D490" s="14" t="s">
        <v>577</v>
      </c>
      <c r="E490" s="15" t="s">
        <v>578</v>
      </c>
      <c r="F490" s="14" t="s">
        <v>64</v>
      </c>
      <c r="G490" s="15" t="s">
        <v>182</v>
      </c>
      <c r="H490" s="13" t="s">
        <v>183</v>
      </c>
      <c r="I490" s="14" t="s">
        <v>49</v>
      </c>
      <c r="J490" s="14">
        <v>901253015</v>
      </c>
      <c r="K490" s="14" t="s">
        <v>185</v>
      </c>
      <c r="L490" s="14" t="s">
        <v>103</v>
      </c>
      <c r="M490" s="15" t="s">
        <v>121</v>
      </c>
      <c r="N490" s="14">
        <v>2021</v>
      </c>
      <c r="O490" s="14">
        <v>1</v>
      </c>
      <c r="P490" s="14" t="s">
        <v>105</v>
      </c>
      <c r="Q490" s="14">
        <v>1</v>
      </c>
      <c r="R490" s="14">
        <v>0</v>
      </c>
      <c r="S490" s="17" t="s">
        <v>54</v>
      </c>
      <c r="T490" s="18">
        <v>0</v>
      </c>
      <c r="U490" s="37">
        <v>30</v>
      </c>
      <c r="V490" s="19">
        <v>1</v>
      </c>
      <c r="W490" s="14">
        <v>0</v>
      </c>
      <c r="X490" s="14">
        <v>26</v>
      </c>
      <c r="Y490" s="14">
        <v>23</v>
      </c>
      <c r="Z490" s="14">
        <v>0</v>
      </c>
      <c r="AA490" s="14">
        <f>Tabla13[[#This Row],[CheckList App]]+Tabla13[[#This Row],[CheckList Fisc]]</f>
        <v>23</v>
      </c>
      <c r="AB490" s="19">
        <f t="shared" si="7"/>
        <v>0.88461538461538458</v>
      </c>
      <c r="AC490" s="14">
        <v>0</v>
      </c>
      <c r="AD490" s="14" t="s">
        <v>70</v>
      </c>
      <c r="AE490" s="15" t="str">
        <f>IFERROR((VLOOKUP(Tabla13[[#This Row],[ID]],[1]!Mtto_Pesv[[#Headers],[#Data],[Placa]:[Rutina]],2,FALSE)),"-")</f>
        <v>-</v>
      </c>
      <c r="AF490" s="14">
        <v>0</v>
      </c>
      <c r="AG490" s="20">
        <f>IFERROR((VLOOKUP(Tabla13[[#This Row],[ID]],[1]!Mtto_Pesv[[#Headers],[#Data],[Placa]:[Rutina]],3,FALSE)),0)</f>
        <v>0</v>
      </c>
      <c r="AH490" s="20">
        <f>IFERROR((VLOOKUP(Tabla13[[#This Row],[ID]],[1]!Mtto_Pesv[[#Headers],[#Data],[Placa]:[Rutina]],7,FALSE)),0)</f>
        <v>0</v>
      </c>
      <c r="AI490" s="20">
        <f>IFERROR((VLOOKUP(Tabla13[[#This Row],[ID]],[1]!Mtto_Pesv[[#Headers],[#Data],[Placa]:[Rutina]],8,FALSE)),0)</f>
        <v>0</v>
      </c>
      <c r="AJ490" s="20" t="str">
        <f>IFERROR((VLOOKUP(Tabla13[[#This Row],[ID]],[1]!Mtto_Pesv[[#Headers],[#Data],[Placa]:[Rutina]],9,FALSE)),"-")</f>
        <v>-</v>
      </c>
      <c r="AK490" s="20">
        <f>IFERROR((VLOOKUP(Tabla13[[#This Row],[ID]],[1]!Mtto_Pesv[[#Headers],[#Data],[Placa]:[Rutina]],10,FALSE)),0)</f>
        <v>0</v>
      </c>
      <c r="AL490" s="20">
        <f>IF(Tabla13[[#This Row],[Km Anterior]]=0,0,Tabla13[[#This Row],[Km Ejecut]]-Tabla13[[#This Row],[Km Anterior]])</f>
        <v>0</v>
      </c>
      <c r="AM490" s="20">
        <f>IFERROR((VLOOKUP(Tabla13[[#This Row],[ID]],[1]!Mtto_Pesv[[#Headers],[#Data],[Placa]:[Rutina]],4,FALSE)),0)</f>
        <v>0</v>
      </c>
      <c r="AN490" s="21">
        <f>IFERROR((VLOOKUP(Tabla13[[#This Row],[ID]],[1]!Mtto_Pesv[[#Headers],[#Data],[Placa]:[Rutina]],5,FALSE)),0)</f>
        <v>0</v>
      </c>
      <c r="AO490" s="21">
        <f>+Tabla13[[#This Row],[Km Fin]]-Tabla13[[#This Row],[Km Ini]]</f>
        <v>0</v>
      </c>
      <c r="AP490" s="20">
        <f>IFERROR((VLOOKUP(Tabla13[[#This Row],[ID]],[1]!Estilo_Conduccion[[#All],[Placa]:[Puntuacion]],15,FALSE)),0)</f>
        <v>0</v>
      </c>
      <c r="AQ490" s="15" t="s">
        <v>54</v>
      </c>
      <c r="AR490" s="15" t="s">
        <v>1382</v>
      </c>
      <c r="AS490" s="20">
        <v>2350</v>
      </c>
      <c r="AT490" s="21">
        <v>0</v>
      </c>
      <c r="AU490" s="21">
        <f>(Tabla13[[#This Row],[Cap Vh]]*$AX$2)*0.56</f>
        <v>0</v>
      </c>
      <c r="AV490" s="36" t="e">
        <f>(Tabla13[[#This Row],[Cap Util (kg)]]/(Tabla13[[#This Row],[Cap Inst (Kg)]]))</f>
        <v>#DIV/0!</v>
      </c>
    </row>
    <row r="491" spans="1:48" x14ac:dyDescent="0.25">
      <c r="A491" s="13" t="s">
        <v>1068</v>
      </c>
      <c r="B491" s="14" t="s">
        <v>689</v>
      </c>
      <c r="C491" s="14" t="s">
        <v>564</v>
      </c>
      <c r="D491" s="14" t="s">
        <v>577</v>
      </c>
      <c r="E491" s="14" t="s">
        <v>598</v>
      </c>
      <c r="F491" s="14" t="s">
        <v>64</v>
      </c>
      <c r="G491" s="15" t="s">
        <v>182</v>
      </c>
      <c r="H491" s="13" t="s">
        <v>183</v>
      </c>
      <c r="I491" s="14" t="s">
        <v>49</v>
      </c>
      <c r="J491" s="14">
        <v>901253015</v>
      </c>
      <c r="K491" s="14" t="s">
        <v>185</v>
      </c>
      <c r="L491" s="14" t="s">
        <v>103</v>
      </c>
      <c r="M491" s="14" t="s">
        <v>121</v>
      </c>
      <c r="N491" s="14">
        <v>2021</v>
      </c>
      <c r="O491" s="14">
        <v>1</v>
      </c>
      <c r="P491" s="14" t="s">
        <v>105</v>
      </c>
      <c r="Q491" s="14">
        <v>1</v>
      </c>
      <c r="R491" s="14">
        <v>0</v>
      </c>
      <c r="S491" s="17" t="s">
        <v>54</v>
      </c>
      <c r="T491" s="18">
        <v>0</v>
      </c>
      <c r="U491" s="37">
        <v>30</v>
      </c>
      <c r="V491" s="19">
        <v>1</v>
      </c>
      <c r="W491" s="14">
        <v>0</v>
      </c>
      <c r="X491" s="14">
        <v>27</v>
      </c>
      <c r="Y491" s="14">
        <v>25</v>
      </c>
      <c r="Z491" s="14">
        <v>0</v>
      </c>
      <c r="AA491" s="14">
        <f>Tabla13[[#This Row],[CheckList App]]+Tabla13[[#This Row],[CheckList Fisc]]</f>
        <v>25</v>
      </c>
      <c r="AB491" s="19">
        <f t="shared" si="7"/>
        <v>0.92592592592592593</v>
      </c>
      <c r="AC491" s="14">
        <v>2</v>
      </c>
      <c r="AD491" s="14" t="s">
        <v>70</v>
      </c>
      <c r="AE491" s="15" t="str">
        <f>IFERROR((VLOOKUP(Tabla13[[#This Row],[ID]],[1]!Mtto_Pesv[[#Headers],[#Data],[Placa]:[Rutina]],2,FALSE)),"-")</f>
        <v>-</v>
      </c>
      <c r="AF491" s="14">
        <v>0</v>
      </c>
      <c r="AG491" s="20">
        <f>IFERROR((VLOOKUP(Tabla13[[#This Row],[ID]],[1]!Mtto_Pesv[[#Headers],[#Data],[Placa]:[Rutina]],3,FALSE)),0)</f>
        <v>0</v>
      </c>
      <c r="AH491" s="20">
        <f>IFERROR((VLOOKUP(Tabla13[[#This Row],[ID]],[1]!Mtto_Pesv[[#Headers],[#Data],[Placa]:[Rutina]],7,FALSE)),0)</f>
        <v>0</v>
      </c>
      <c r="AI491" s="20">
        <f>IFERROR((VLOOKUP(Tabla13[[#This Row],[ID]],[1]!Mtto_Pesv[[#Headers],[#Data],[Placa]:[Rutina]],8,FALSE)),0)</f>
        <v>0</v>
      </c>
      <c r="AJ491" s="20" t="str">
        <f>IFERROR((VLOOKUP(Tabla13[[#This Row],[ID]],[1]!Mtto_Pesv[[#Headers],[#Data],[Placa]:[Rutina]],9,FALSE)),"-")</f>
        <v>-</v>
      </c>
      <c r="AK491" s="20">
        <f>IFERROR((VLOOKUP(Tabla13[[#This Row],[ID]],[1]!Mtto_Pesv[[#Headers],[#Data],[Placa]:[Rutina]],10,FALSE)),0)</f>
        <v>0</v>
      </c>
      <c r="AL491" s="20">
        <f>IF(Tabla13[[#This Row],[Km Anterior]]=0,0,Tabla13[[#This Row],[Km Ejecut]]-Tabla13[[#This Row],[Km Anterior]])</f>
        <v>0</v>
      </c>
      <c r="AM491" s="20">
        <f>IFERROR((VLOOKUP(Tabla13[[#This Row],[ID]],[1]!Mtto_Pesv[[#Headers],[#Data],[Placa]:[Rutina]],4,FALSE)),0)</f>
        <v>0</v>
      </c>
      <c r="AN491" s="21">
        <f>IFERROR((VLOOKUP(Tabla13[[#This Row],[ID]],[1]!Mtto_Pesv[[#Headers],[#Data],[Placa]:[Rutina]],5,FALSE)),0)</f>
        <v>0</v>
      </c>
      <c r="AO491" s="21">
        <f>+Tabla13[[#This Row],[Km Fin]]-Tabla13[[#This Row],[Km Ini]]</f>
        <v>0</v>
      </c>
      <c r="AP491" s="20">
        <f>IFERROR((VLOOKUP(Tabla13[[#This Row],[ID]],[1]!Estilo_Conduccion[[#All],[Placa]:[Puntuacion]],15,FALSE)),0)</f>
        <v>6424.3</v>
      </c>
      <c r="AQ491" s="15" t="s">
        <v>54</v>
      </c>
      <c r="AR491" s="15" t="s">
        <v>1383</v>
      </c>
      <c r="AS491" s="20">
        <v>2350</v>
      </c>
      <c r="AT491" s="21">
        <v>0</v>
      </c>
      <c r="AU491" s="21">
        <f>(Tabla13[[#This Row],[Cap Vh]]*$AX$2)*0.56</f>
        <v>0</v>
      </c>
      <c r="AV491" s="36" t="e">
        <f>(Tabla13[[#This Row],[Cap Util (kg)]]/(Tabla13[[#This Row],[Cap Inst (Kg)]]))</f>
        <v>#DIV/0!</v>
      </c>
    </row>
    <row r="492" spans="1:48" x14ac:dyDescent="0.25">
      <c r="A492" s="13" t="s">
        <v>1068</v>
      </c>
      <c r="B492" s="14" t="s">
        <v>690</v>
      </c>
      <c r="C492" s="14" t="s">
        <v>564</v>
      </c>
      <c r="D492" s="14" t="s">
        <v>577</v>
      </c>
      <c r="E492" s="14" t="s">
        <v>681</v>
      </c>
      <c r="F492" s="14" t="s">
        <v>64</v>
      </c>
      <c r="G492" s="15" t="s">
        <v>182</v>
      </c>
      <c r="H492" s="13" t="s">
        <v>183</v>
      </c>
      <c r="I492" s="14" t="s">
        <v>49</v>
      </c>
      <c r="J492" s="14">
        <v>901253015</v>
      </c>
      <c r="K492" s="14" t="s">
        <v>185</v>
      </c>
      <c r="L492" s="14" t="s">
        <v>103</v>
      </c>
      <c r="M492" s="14" t="s">
        <v>104</v>
      </c>
      <c r="N492" s="14">
        <v>2022</v>
      </c>
      <c r="O492" s="14">
        <v>1</v>
      </c>
      <c r="P492" s="14" t="s">
        <v>105</v>
      </c>
      <c r="Q492" s="14">
        <v>1</v>
      </c>
      <c r="R492" s="14">
        <v>0</v>
      </c>
      <c r="S492" s="17" t="s">
        <v>54</v>
      </c>
      <c r="T492" s="18">
        <v>0</v>
      </c>
      <c r="U492" s="37">
        <v>30</v>
      </c>
      <c r="V492" s="19">
        <v>1</v>
      </c>
      <c r="W492" s="14">
        <v>0</v>
      </c>
      <c r="X492" s="14">
        <v>30</v>
      </c>
      <c r="Y492" s="14">
        <v>30</v>
      </c>
      <c r="Z492" s="14">
        <v>0</v>
      </c>
      <c r="AA492" s="14">
        <f>Tabla13[[#This Row],[CheckList App]]+Tabla13[[#This Row],[CheckList Fisc]]</f>
        <v>30</v>
      </c>
      <c r="AB492" s="19">
        <f t="shared" si="7"/>
        <v>1</v>
      </c>
      <c r="AC492" s="14">
        <v>0</v>
      </c>
      <c r="AD492" s="14" t="s">
        <v>54</v>
      </c>
      <c r="AE492" s="15" t="str">
        <f>IFERROR((VLOOKUP(Tabla13[[#This Row],[ID]],[1]!Mtto_Pesv[[#Headers],[#Data],[Placa]:[Rutina]],2,FALSE)),"-")</f>
        <v>-</v>
      </c>
      <c r="AF492" s="14">
        <v>0</v>
      </c>
      <c r="AG492" s="20">
        <f>IFERROR((VLOOKUP(Tabla13[[#This Row],[ID]],[1]!Mtto_Pesv[[#Headers],[#Data],[Placa]:[Rutina]],3,FALSE)),0)</f>
        <v>0</v>
      </c>
      <c r="AH492" s="20">
        <f>IFERROR((VLOOKUP(Tabla13[[#This Row],[ID]],[1]!Mtto_Pesv[[#Headers],[#Data],[Placa]:[Rutina]],7,FALSE)),0)</f>
        <v>0</v>
      </c>
      <c r="AI492" s="20">
        <f>IFERROR((VLOOKUP(Tabla13[[#This Row],[ID]],[1]!Mtto_Pesv[[#Headers],[#Data],[Placa]:[Rutina]],8,FALSE)),0)</f>
        <v>0</v>
      </c>
      <c r="AJ492" s="20" t="str">
        <f>IFERROR((VLOOKUP(Tabla13[[#This Row],[ID]],[1]!Mtto_Pesv[[#Headers],[#Data],[Placa]:[Rutina]],9,FALSE)),"-")</f>
        <v>-</v>
      </c>
      <c r="AK492" s="20">
        <f>IFERROR((VLOOKUP(Tabla13[[#This Row],[ID]],[1]!Mtto_Pesv[[#Headers],[#Data],[Placa]:[Rutina]],10,FALSE)),0)</f>
        <v>0</v>
      </c>
      <c r="AL492" s="20">
        <f>IF(Tabla13[[#This Row],[Km Anterior]]=0,0,Tabla13[[#This Row],[Km Ejecut]]-Tabla13[[#This Row],[Km Anterior]])</f>
        <v>0</v>
      </c>
      <c r="AM492" s="20">
        <f>IFERROR((VLOOKUP(Tabla13[[#This Row],[ID]],[1]!Mtto_Pesv[[#Headers],[#Data],[Placa]:[Rutina]],4,FALSE)),0)</f>
        <v>0</v>
      </c>
      <c r="AN492" s="21">
        <f>IFERROR((VLOOKUP(Tabla13[[#This Row],[ID]],[1]!Mtto_Pesv[[#Headers],[#Data],[Placa]:[Rutina]],5,FALSE)),0)</f>
        <v>0</v>
      </c>
      <c r="AO492" s="21">
        <f>+Tabla13[[#This Row],[Km Fin]]-Tabla13[[#This Row],[Km Ini]]</f>
        <v>0</v>
      </c>
      <c r="AP492" s="20">
        <f>IFERROR((VLOOKUP(Tabla13[[#This Row],[ID]],[1]!Estilo_Conduccion[[#All],[Placa]:[Puntuacion]],15,FALSE)),0)</f>
        <v>12957.900000000001</v>
      </c>
      <c r="AQ492" s="15" t="s">
        <v>54</v>
      </c>
      <c r="AR492" s="15" t="s">
        <v>1384</v>
      </c>
      <c r="AS492" s="20">
        <v>1650</v>
      </c>
      <c r="AT492" s="21">
        <v>0</v>
      </c>
      <c r="AU492" s="21">
        <f>(Tabla13[[#This Row],[Cap Vh]]*$AX$2)*0.56</f>
        <v>0</v>
      </c>
      <c r="AV492" s="36" t="e">
        <f>(Tabla13[[#This Row],[Cap Util (kg)]]/(Tabla13[[#This Row],[Cap Inst (Kg)]]))</f>
        <v>#DIV/0!</v>
      </c>
    </row>
    <row r="493" spans="1:48" x14ac:dyDescent="0.25">
      <c r="A493" s="13" t="s">
        <v>1068</v>
      </c>
      <c r="B493" s="14" t="s">
        <v>691</v>
      </c>
      <c r="C493" s="14" t="s">
        <v>564</v>
      </c>
      <c r="D493" s="14" t="s">
        <v>577</v>
      </c>
      <c r="E493" s="14" t="s">
        <v>578</v>
      </c>
      <c r="F493" s="14" t="s">
        <v>64</v>
      </c>
      <c r="G493" s="15" t="s">
        <v>182</v>
      </c>
      <c r="H493" s="13" t="s">
        <v>183</v>
      </c>
      <c r="I493" s="14" t="s">
        <v>49</v>
      </c>
      <c r="J493" s="14">
        <v>901253015</v>
      </c>
      <c r="K493" s="14" t="s">
        <v>185</v>
      </c>
      <c r="L493" s="14" t="s">
        <v>103</v>
      </c>
      <c r="M493" s="14" t="s">
        <v>104</v>
      </c>
      <c r="N493" s="14">
        <v>2022</v>
      </c>
      <c r="O493" s="14">
        <v>1</v>
      </c>
      <c r="P493" s="14" t="s">
        <v>105</v>
      </c>
      <c r="Q493" s="14">
        <v>1</v>
      </c>
      <c r="R493" s="14">
        <v>1</v>
      </c>
      <c r="S493" s="17">
        <v>44833.316921296297</v>
      </c>
      <c r="T493" s="18">
        <v>33.001999999999995</v>
      </c>
      <c r="U493" s="37">
        <v>30</v>
      </c>
      <c r="V493" s="19">
        <v>1</v>
      </c>
      <c r="W493" s="14">
        <v>0</v>
      </c>
      <c r="X493" s="14">
        <v>16</v>
      </c>
      <c r="Y493" s="14">
        <v>14</v>
      </c>
      <c r="Z493" s="14">
        <v>0</v>
      </c>
      <c r="AA493" s="14">
        <f>Tabla13[[#This Row],[CheckList App]]+Tabla13[[#This Row],[CheckList Fisc]]</f>
        <v>14</v>
      </c>
      <c r="AB493" s="19">
        <f t="shared" si="7"/>
        <v>0.875</v>
      </c>
      <c r="AC493" s="14">
        <v>0</v>
      </c>
      <c r="AD493" s="14" t="s">
        <v>54</v>
      </c>
      <c r="AE493" s="15" t="str">
        <f>IFERROR((VLOOKUP(Tabla13[[#This Row],[ID]],[1]!Mtto_Pesv[[#Headers],[#Data],[Placa]:[Rutina]],2,FALSE)),"-")</f>
        <v>-</v>
      </c>
      <c r="AF493" s="14">
        <v>0</v>
      </c>
      <c r="AG493" s="20">
        <f>IFERROR((VLOOKUP(Tabla13[[#This Row],[ID]],[1]!Mtto_Pesv[[#Headers],[#Data],[Placa]:[Rutina]],3,FALSE)),0)</f>
        <v>0</v>
      </c>
      <c r="AH493" s="20">
        <f>IFERROR((VLOOKUP(Tabla13[[#This Row],[ID]],[1]!Mtto_Pesv[[#Headers],[#Data],[Placa]:[Rutina]],7,FALSE)),0)</f>
        <v>0</v>
      </c>
      <c r="AI493" s="20">
        <f>IFERROR((VLOOKUP(Tabla13[[#This Row],[ID]],[1]!Mtto_Pesv[[#Headers],[#Data],[Placa]:[Rutina]],8,FALSE)),0)</f>
        <v>0</v>
      </c>
      <c r="AJ493" s="20" t="str">
        <f>IFERROR((VLOOKUP(Tabla13[[#This Row],[ID]],[1]!Mtto_Pesv[[#Headers],[#Data],[Placa]:[Rutina]],9,FALSE)),"-")</f>
        <v>-</v>
      </c>
      <c r="AK493" s="20">
        <f>IFERROR((VLOOKUP(Tabla13[[#This Row],[ID]],[1]!Mtto_Pesv[[#Headers],[#Data],[Placa]:[Rutina]],10,FALSE)),0)</f>
        <v>0</v>
      </c>
      <c r="AL493" s="20">
        <f>IF(Tabla13[[#This Row],[Km Anterior]]=0,0,Tabla13[[#This Row],[Km Ejecut]]-Tabla13[[#This Row],[Km Anterior]])</f>
        <v>0</v>
      </c>
      <c r="AM493" s="20">
        <f>IFERROR((VLOOKUP(Tabla13[[#This Row],[ID]],[1]!Mtto_Pesv[[#Headers],[#Data],[Placa]:[Rutina]],4,FALSE)),0)</f>
        <v>0</v>
      </c>
      <c r="AN493" s="21">
        <f>IFERROR((VLOOKUP(Tabla13[[#This Row],[ID]],[1]!Mtto_Pesv[[#Headers],[#Data],[Placa]:[Rutina]],5,FALSE)),0)</f>
        <v>0</v>
      </c>
      <c r="AO493" s="21">
        <f>+Tabla13[[#This Row],[Km Fin]]-Tabla13[[#This Row],[Km Ini]]</f>
        <v>0</v>
      </c>
      <c r="AP493" s="20">
        <f>IFERROR((VLOOKUP(Tabla13[[#This Row],[ID]],[1]!Estilo_Conduccion[[#All],[Placa]:[Puntuacion]],15,FALSE)),0)</f>
        <v>529.59999999999991</v>
      </c>
      <c r="AQ493" s="15" t="s">
        <v>54</v>
      </c>
      <c r="AR493" s="15" t="s">
        <v>1385</v>
      </c>
      <c r="AS493" s="20">
        <v>1650</v>
      </c>
      <c r="AT493" s="21">
        <v>0</v>
      </c>
      <c r="AU493" s="21">
        <f>(Tabla13[[#This Row],[Cap Vh]]*$AX$2)*0.56</f>
        <v>0</v>
      </c>
      <c r="AV493" s="36" t="e">
        <f>(Tabla13[[#This Row],[Cap Util (kg)]]/(Tabla13[[#This Row],[Cap Inst (Kg)]]))</f>
        <v>#DIV/0!</v>
      </c>
    </row>
    <row r="494" spans="1:48" x14ac:dyDescent="0.25">
      <c r="A494" s="13" t="s">
        <v>1068</v>
      </c>
      <c r="B494" s="14" t="s">
        <v>692</v>
      </c>
      <c r="C494" s="15" t="s">
        <v>564</v>
      </c>
      <c r="D494" s="14" t="s">
        <v>577</v>
      </c>
      <c r="E494" s="15" t="s">
        <v>578</v>
      </c>
      <c r="F494" s="14" t="s">
        <v>64</v>
      </c>
      <c r="G494" s="15" t="s">
        <v>182</v>
      </c>
      <c r="H494" s="13" t="s">
        <v>183</v>
      </c>
      <c r="I494" s="14" t="s">
        <v>49</v>
      </c>
      <c r="J494" s="14">
        <v>901253015</v>
      </c>
      <c r="K494" s="14" t="s">
        <v>185</v>
      </c>
      <c r="L494" s="14" t="s">
        <v>103</v>
      </c>
      <c r="M494" s="15" t="s">
        <v>104</v>
      </c>
      <c r="N494" s="14">
        <v>2022</v>
      </c>
      <c r="O494" s="14">
        <v>1</v>
      </c>
      <c r="P494" s="14" t="s">
        <v>105</v>
      </c>
      <c r="Q494" s="14">
        <v>1</v>
      </c>
      <c r="R494" s="14">
        <v>0</v>
      </c>
      <c r="S494" s="17" t="s">
        <v>54</v>
      </c>
      <c r="T494" s="18">
        <v>0</v>
      </c>
      <c r="U494" s="37">
        <v>30</v>
      </c>
      <c r="V494" s="19">
        <v>1</v>
      </c>
      <c r="W494" s="14">
        <v>0</v>
      </c>
      <c r="X494" s="14">
        <v>29</v>
      </c>
      <c r="Y494" s="14">
        <v>29</v>
      </c>
      <c r="Z494" s="14">
        <v>0</v>
      </c>
      <c r="AA494" s="14">
        <f>Tabla13[[#This Row],[CheckList App]]+Tabla13[[#This Row],[CheckList Fisc]]</f>
        <v>29</v>
      </c>
      <c r="AB494" s="19">
        <f t="shared" si="7"/>
        <v>1</v>
      </c>
      <c r="AC494" s="14">
        <v>0</v>
      </c>
      <c r="AD494" s="14" t="s">
        <v>54</v>
      </c>
      <c r="AE494" s="15" t="str">
        <f>IFERROR((VLOOKUP(Tabla13[[#This Row],[ID]],[1]!Mtto_Pesv[[#Headers],[#Data],[Placa]:[Rutina]],2,FALSE)),"-")</f>
        <v>-</v>
      </c>
      <c r="AF494" s="14">
        <v>0</v>
      </c>
      <c r="AG494" s="20">
        <f>IFERROR((VLOOKUP(Tabla13[[#This Row],[ID]],[1]!Mtto_Pesv[[#Headers],[#Data],[Placa]:[Rutina]],3,FALSE)),0)</f>
        <v>0</v>
      </c>
      <c r="AH494" s="20">
        <f>IFERROR((VLOOKUP(Tabla13[[#This Row],[ID]],[1]!Mtto_Pesv[[#Headers],[#Data],[Placa]:[Rutina]],7,FALSE)),0)</f>
        <v>0</v>
      </c>
      <c r="AI494" s="20">
        <f>IFERROR((VLOOKUP(Tabla13[[#This Row],[ID]],[1]!Mtto_Pesv[[#Headers],[#Data],[Placa]:[Rutina]],8,FALSE)),0)</f>
        <v>0</v>
      </c>
      <c r="AJ494" s="20" t="str">
        <f>IFERROR((VLOOKUP(Tabla13[[#This Row],[ID]],[1]!Mtto_Pesv[[#Headers],[#Data],[Placa]:[Rutina]],9,FALSE)),"-")</f>
        <v>-</v>
      </c>
      <c r="AK494" s="20">
        <f>IFERROR((VLOOKUP(Tabla13[[#This Row],[ID]],[1]!Mtto_Pesv[[#Headers],[#Data],[Placa]:[Rutina]],10,FALSE)),0)</f>
        <v>0</v>
      </c>
      <c r="AL494" s="20">
        <f>IF(Tabla13[[#This Row],[Km Anterior]]=0,0,Tabla13[[#This Row],[Km Ejecut]]-Tabla13[[#This Row],[Km Anterior]])</f>
        <v>0</v>
      </c>
      <c r="AM494" s="20">
        <f>IFERROR((VLOOKUP(Tabla13[[#This Row],[ID]],[1]!Mtto_Pesv[[#Headers],[#Data],[Placa]:[Rutina]],4,FALSE)),0)</f>
        <v>0</v>
      </c>
      <c r="AN494" s="21">
        <f>IFERROR((VLOOKUP(Tabla13[[#This Row],[ID]],[1]!Mtto_Pesv[[#Headers],[#Data],[Placa]:[Rutina]],5,FALSE)),0)</f>
        <v>0</v>
      </c>
      <c r="AO494" s="21">
        <f>+Tabla13[[#This Row],[Km Fin]]-Tabla13[[#This Row],[Km Ini]]</f>
        <v>0</v>
      </c>
      <c r="AP494" s="20">
        <f>IFERROR((VLOOKUP(Tabla13[[#This Row],[ID]],[1]!Estilo_Conduccion[[#All],[Placa]:[Puntuacion]],15,FALSE)),0)</f>
        <v>1026.6000000000001</v>
      </c>
      <c r="AQ494" s="15" t="s">
        <v>54</v>
      </c>
      <c r="AR494" s="15" t="s">
        <v>1386</v>
      </c>
      <c r="AS494" s="20">
        <v>1650</v>
      </c>
      <c r="AT494" s="21">
        <v>0</v>
      </c>
      <c r="AU494" s="21">
        <f>(Tabla13[[#This Row],[Cap Vh]]*$AX$2)*0.56</f>
        <v>0</v>
      </c>
      <c r="AV494" s="36" t="e">
        <f>(Tabla13[[#This Row],[Cap Util (kg)]]/(Tabla13[[#This Row],[Cap Inst (Kg)]]))</f>
        <v>#DIV/0!</v>
      </c>
    </row>
    <row r="495" spans="1:48" x14ac:dyDescent="0.25">
      <c r="A495" s="13" t="s">
        <v>1068</v>
      </c>
      <c r="B495" s="14" t="s">
        <v>693</v>
      </c>
      <c r="C495" s="14" t="s">
        <v>564</v>
      </c>
      <c r="D495" s="14" t="s">
        <v>577</v>
      </c>
      <c r="E495" s="14" t="s">
        <v>598</v>
      </c>
      <c r="F495" s="14" t="s">
        <v>64</v>
      </c>
      <c r="G495" s="15" t="s">
        <v>182</v>
      </c>
      <c r="H495" s="13" t="s">
        <v>183</v>
      </c>
      <c r="I495" s="14" t="s">
        <v>49</v>
      </c>
      <c r="J495" s="14">
        <v>901253015</v>
      </c>
      <c r="K495" s="14" t="s">
        <v>185</v>
      </c>
      <c r="L495" s="14" t="s">
        <v>103</v>
      </c>
      <c r="M495" s="14" t="s">
        <v>121</v>
      </c>
      <c r="N495" s="14">
        <v>2022</v>
      </c>
      <c r="O495" s="14">
        <v>1</v>
      </c>
      <c r="P495" s="14" t="s">
        <v>105</v>
      </c>
      <c r="Q495" s="14">
        <v>1</v>
      </c>
      <c r="R495" s="14">
        <v>0</v>
      </c>
      <c r="S495" s="17" t="s">
        <v>54</v>
      </c>
      <c r="T495" s="18">
        <v>0</v>
      </c>
      <c r="U495" s="37">
        <v>30</v>
      </c>
      <c r="V495" s="19">
        <v>1</v>
      </c>
      <c r="W495" s="14">
        <v>0</v>
      </c>
      <c r="X495" s="14">
        <v>30</v>
      </c>
      <c r="Y495" s="14">
        <v>28</v>
      </c>
      <c r="Z495" s="14">
        <v>0</v>
      </c>
      <c r="AA495" s="14">
        <f>Tabla13[[#This Row],[CheckList App]]+Tabla13[[#This Row],[CheckList Fisc]]</f>
        <v>28</v>
      </c>
      <c r="AB495" s="19">
        <f t="shared" si="7"/>
        <v>0.93333333333333335</v>
      </c>
      <c r="AC495" s="14">
        <v>0</v>
      </c>
      <c r="AD495" s="14" t="s">
        <v>54</v>
      </c>
      <c r="AE495" s="15" t="str">
        <f>IFERROR((VLOOKUP(Tabla13[[#This Row],[ID]],[1]!Mtto_Pesv[[#Headers],[#Data],[Placa]:[Rutina]],2,FALSE)),"-")</f>
        <v>-</v>
      </c>
      <c r="AF495" s="14">
        <v>0</v>
      </c>
      <c r="AG495" s="20">
        <f>IFERROR((VLOOKUP(Tabla13[[#This Row],[ID]],[1]!Mtto_Pesv[[#Headers],[#Data],[Placa]:[Rutina]],3,FALSE)),0)</f>
        <v>0</v>
      </c>
      <c r="AH495" s="20">
        <f>IFERROR((VLOOKUP(Tabla13[[#This Row],[ID]],[1]!Mtto_Pesv[[#Headers],[#Data],[Placa]:[Rutina]],7,FALSE)),0)</f>
        <v>0</v>
      </c>
      <c r="AI495" s="20">
        <f>IFERROR((VLOOKUP(Tabla13[[#This Row],[ID]],[1]!Mtto_Pesv[[#Headers],[#Data],[Placa]:[Rutina]],8,FALSE)),0)</f>
        <v>0</v>
      </c>
      <c r="AJ495" s="20" t="str">
        <f>IFERROR((VLOOKUP(Tabla13[[#This Row],[ID]],[1]!Mtto_Pesv[[#Headers],[#Data],[Placa]:[Rutina]],9,FALSE)),"-")</f>
        <v>-</v>
      </c>
      <c r="AK495" s="20">
        <f>IFERROR((VLOOKUP(Tabla13[[#This Row],[ID]],[1]!Mtto_Pesv[[#Headers],[#Data],[Placa]:[Rutina]],10,FALSE)),0)</f>
        <v>0</v>
      </c>
      <c r="AL495" s="20">
        <f>IF(Tabla13[[#This Row],[Km Anterior]]=0,0,Tabla13[[#This Row],[Km Ejecut]]-Tabla13[[#This Row],[Km Anterior]])</f>
        <v>0</v>
      </c>
      <c r="AM495" s="20">
        <f>IFERROR((VLOOKUP(Tabla13[[#This Row],[ID]],[1]!Mtto_Pesv[[#Headers],[#Data],[Placa]:[Rutina]],4,FALSE)),0)</f>
        <v>0</v>
      </c>
      <c r="AN495" s="21">
        <f>IFERROR((VLOOKUP(Tabla13[[#This Row],[ID]],[1]!Mtto_Pesv[[#Headers],[#Data],[Placa]:[Rutina]],5,FALSE)),0)</f>
        <v>0</v>
      </c>
      <c r="AO495" s="21">
        <f>+Tabla13[[#This Row],[Km Fin]]-Tabla13[[#This Row],[Km Ini]]</f>
        <v>0</v>
      </c>
      <c r="AP495" s="20">
        <f>IFERROR((VLOOKUP(Tabla13[[#This Row],[ID]],[1]!Estilo_Conduccion[[#All],[Placa]:[Puntuacion]],15,FALSE)),0)</f>
        <v>246.2</v>
      </c>
      <c r="AQ495" s="15" t="s">
        <v>54</v>
      </c>
      <c r="AR495" s="15" t="s">
        <v>1387</v>
      </c>
      <c r="AS495" s="20">
        <v>2350</v>
      </c>
      <c r="AT495" s="21">
        <v>0</v>
      </c>
      <c r="AU495" s="21">
        <f>(Tabla13[[#This Row],[Cap Vh]]*$AX$2)*0.56</f>
        <v>0</v>
      </c>
      <c r="AV495" s="36" t="e">
        <f>(Tabla13[[#This Row],[Cap Util (kg)]]/(Tabla13[[#This Row],[Cap Inst (Kg)]]))</f>
        <v>#DIV/0!</v>
      </c>
    </row>
    <row r="496" spans="1:48" x14ac:dyDescent="0.25">
      <c r="A496" s="13" t="s">
        <v>1068</v>
      </c>
      <c r="B496" s="14" t="s">
        <v>694</v>
      </c>
      <c r="C496" s="14" t="s">
        <v>564</v>
      </c>
      <c r="D496" s="14" t="s">
        <v>577</v>
      </c>
      <c r="E496" s="14" t="s">
        <v>598</v>
      </c>
      <c r="F496" s="14" t="s">
        <v>64</v>
      </c>
      <c r="G496" s="15" t="s">
        <v>182</v>
      </c>
      <c r="H496" s="13" t="s">
        <v>183</v>
      </c>
      <c r="I496" s="14" t="s">
        <v>49</v>
      </c>
      <c r="J496" s="14">
        <v>901253015</v>
      </c>
      <c r="K496" s="14" t="s">
        <v>185</v>
      </c>
      <c r="L496" s="14" t="s">
        <v>103</v>
      </c>
      <c r="M496" s="14" t="s">
        <v>104</v>
      </c>
      <c r="N496" s="14">
        <v>2022</v>
      </c>
      <c r="O496" s="14">
        <v>1</v>
      </c>
      <c r="P496" s="14" t="s">
        <v>105</v>
      </c>
      <c r="Q496" s="14">
        <v>1</v>
      </c>
      <c r="R496" s="14">
        <v>0</v>
      </c>
      <c r="S496" s="17" t="s">
        <v>54</v>
      </c>
      <c r="T496" s="18">
        <v>0</v>
      </c>
      <c r="U496" s="37">
        <v>30</v>
      </c>
      <c r="V496" s="19">
        <v>1</v>
      </c>
      <c r="W496" s="14">
        <v>0</v>
      </c>
      <c r="X496" s="14">
        <v>10</v>
      </c>
      <c r="Y496" s="14">
        <v>7</v>
      </c>
      <c r="Z496" s="14">
        <v>0</v>
      </c>
      <c r="AA496" s="14">
        <f>Tabla13[[#This Row],[CheckList App]]+Tabla13[[#This Row],[CheckList Fisc]]</f>
        <v>7</v>
      </c>
      <c r="AB496" s="19">
        <f t="shared" si="7"/>
        <v>0.7</v>
      </c>
      <c r="AC496" s="14">
        <v>0</v>
      </c>
      <c r="AD496" s="14" t="s">
        <v>54</v>
      </c>
      <c r="AE496" s="15" t="str">
        <f>IFERROR((VLOOKUP(Tabla13[[#This Row],[ID]],[1]!Mtto_Pesv[[#Headers],[#Data],[Placa]:[Rutina]],2,FALSE)),"-")</f>
        <v>-</v>
      </c>
      <c r="AF496" s="14">
        <v>0</v>
      </c>
      <c r="AG496" s="20">
        <f>IFERROR((VLOOKUP(Tabla13[[#This Row],[ID]],[1]!Mtto_Pesv[[#Headers],[#Data],[Placa]:[Rutina]],3,FALSE)),0)</f>
        <v>0</v>
      </c>
      <c r="AH496" s="20">
        <f>IFERROR((VLOOKUP(Tabla13[[#This Row],[ID]],[1]!Mtto_Pesv[[#Headers],[#Data],[Placa]:[Rutina]],7,FALSE)),0)</f>
        <v>0</v>
      </c>
      <c r="AI496" s="20">
        <f>IFERROR((VLOOKUP(Tabla13[[#This Row],[ID]],[1]!Mtto_Pesv[[#Headers],[#Data],[Placa]:[Rutina]],8,FALSE)),0)</f>
        <v>0</v>
      </c>
      <c r="AJ496" s="20" t="str">
        <f>IFERROR((VLOOKUP(Tabla13[[#This Row],[ID]],[1]!Mtto_Pesv[[#Headers],[#Data],[Placa]:[Rutina]],9,FALSE)),"-")</f>
        <v>-</v>
      </c>
      <c r="AK496" s="20">
        <f>IFERROR((VLOOKUP(Tabla13[[#This Row],[ID]],[1]!Mtto_Pesv[[#Headers],[#Data],[Placa]:[Rutina]],10,FALSE)),0)</f>
        <v>0</v>
      </c>
      <c r="AL496" s="20">
        <f>IF(Tabla13[[#This Row],[Km Anterior]]=0,0,Tabla13[[#This Row],[Km Ejecut]]-Tabla13[[#This Row],[Km Anterior]])</f>
        <v>0</v>
      </c>
      <c r="AM496" s="20">
        <f>IFERROR((VLOOKUP(Tabla13[[#This Row],[ID]],[1]!Mtto_Pesv[[#Headers],[#Data],[Placa]:[Rutina]],4,FALSE)),0)</f>
        <v>0</v>
      </c>
      <c r="AN496" s="21">
        <f>IFERROR((VLOOKUP(Tabla13[[#This Row],[ID]],[1]!Mtto_Pesv[[#Headers],[#Data],[Placa]:[Rutina]],5,FALSE)),0)</f>
        <v>0</v>
      </c>
      <c r="AO496" s="21">
        <f>+Tabla13[[#This Row],[Km Fin]]-Tabla13[[#This Row],[Km Ini]]</f>
        <v>0</v>
      </c>
      <c r="AP496" s="20">
        <f>IFERROR((VLOOKUP(Tabla13[[#This Row],[ID]],[1]!Estilo_Conduccion[[#All],[Placa]:[Puntuacion]],15,FALSE)),0)</f>
        <v>228.7</v>
      </c>
      <c r="AQ496" s="15" t="s">
        <v>54</v>
      </c>
      <c r="AR496" s="15" t="s">
        <v>1388</v>
      </c>
      <c r="AS496" s="20">
        <v>1650</v>
      </c>
      <c r="AT496" s="21">
        <v>0</v>
      </c>
      <c r="AU496" s="21">
        <f>(Tabla13[[#This Row],[Cap Vh]]*$AX$2)*0.56</f>
        <v>0</v>
      </c>
      <c r="AV496" s="36" t="e">
        <f>(Tabla13[[#This Row],[Cap Util (kg)]]/(Tabla13[[#This Row],[Cap Inst (Kg)]]))</f>
        <v>#DIV/0!</v>
      </c>
    </row>
    <row r="497" spans="1:48" x14ac:dyDescent="0.25">
      <c r="A497" s="13" t="s">
        <v>1068</v>
      </c>
      <c r="B497" s="14" t="s">
        <v>695</v>
      </c>
      <c r="C497" s="14" t="s">
        <v>564</v>
      </c>
      <c r="D497" s="14" t="s">
        <v>577</v>
      </c>
      <c r="E497" s="14" t="s">
        <v>681</v>
      </c>
      <c r="F497" s="14" t="s">
        <v>337</v>
      </c>
      <c r="G497" s="15" t="s">
        <v>128</v>
      </c>
      <c r="H497" s="16" t="s">
        <v>129</v>
      </c>
      <c r="I497" s="14" t="s">
        <v>49</v>
      </c>
      <c r="J497" s="14">
        <v>900335279</v>
      </c>
      <c r="K497" s="14" t="s">
        <v>77</v>
      </c>
      <c r="L497" s="14" t="s">
        <v>103</v>
      </c>
      <c r="M497" s="14" t="s">
        <v>696</v>
      </c>
      <c r="N497" s="14">
        <v>2007</v>
      </c>
      <c r="O497" s="14">
        <v>13</v>
      </c>
      <c r="P497" s="14" t="s">
        <v>173</v>
      </c>
      <c r="Q497" s="14">
        <v>1</v>
      </c>
      <c r="R497" s="14">
        <v>0</v>
      </c>
      <c r="S497" s="17" t="s">
        <v>54</v>
      </c>
      <c r="T497" s="18">
        <v>0</v>
      </c>
      <c r="U497" s="14">
        <v>30</v>
      </c>
      <c r="V497" s="19">
        <v>1</v>
      </c>
      <c r="W497" s="14">
        <v>0</v>
      </c>
      <c r="X497" s="14">
        <v>17</v>
      </c>
      <c r="Y497" s="14">
        <v>0</v>
      </c>
      <c r="Z497" s="14">
        <v>8</v>
      </c>
      <c r="AA497" s="14">
        <f>Tabla13[[#This Row],[CheckList App]]+Tabla13[[#This Row],[CheckList Fisc]]</f>
        <v>8</v>
      </c>
      <c r="AB497" s="19">
        <f t="shared" si="7"/>
        <v>0.47058823529411764</v>
      </c>
      <c r="AC497" s="14">
        <v>0</v>
      </c>
      <c r="AD497" s="14" t="s">
        <v>55</v>
      </c>
      <c r="AE497" s="15" t="str">
        <f>IFERROR((VLOOKUP(Tabla13[[#This Row],[ID]],[1]!Mtto_Pesv[[#Headers],[#Data],[Placa]:[Rutina]],2,FALSE)),"-")</f>
        <v>-</v>
      </c>
      <c r="AF497" s="14">
        <v>0</v>
      </c>
      <c r="AG497" s="20">
        <f>IFERROR((VLOOKUP(Tabla13[[#This Row],[ID]],[1]!Mtto_Pesv[[#Headers],[#Data],[Placa]:[Rutina]],3,FALSE)),0)</f>
        <v>0</v>
      </c>
      <c r="AH497" s="20">
        <f>IFERROR((VLOOKUP(Tabla13[[#This Row],[ID]],[1]!Mtto_Pesv[[#Headers],[#Data],[Placa]:[Rutina]],7,FALSE)),0)</f>
        <v>0</v>
      </c>
      <c r="AI497" s="20">
        <f>IFERROR((VLOOKUP(Tabla13[[#This Row],[ID]],[1]!Mtto_Pesv[[#Headers],[#Data],[Placa]:[Rutina]],8,FALSE)),0)</f>
        <v>0</v>
      </c>
      <c r="AJ497" s="20" t="str">
        <f>IFERROR((VLOOKUP(Tabla13[[#This Row],[ID]],[1]!Mtto_Pesv[[#Headers],[#Data],[Placa]:[Rutina]],9,FALSE)),"-")</f>
        <v>-</v>
      </c>
      <c r="AK497" s="20">
        <f>IFERROR((VLOOKUP(Tabla13[[#This Row],[ID]],[1]!Mtto_Pesv[[#Headers],[#Data],[Placa]:[Rutina]],10,FALSE)),0)</f>
        <v>0</v>
      </c>
      <c r="AL497" s="20">
        <f>IF(Tabla13[[#This Row],[Km Anterior]]=0,0,Tabla13[[#This Row],[Km Ejecut]]-Tabla13[[#This Row],[Km Anterior]])</f>
        <v>0</v>
      </c>
      <c r="AM497" s="20">
        <f>IFERROR((VLOOKUP(Tabla13[[#This Row],[ID]],[1]!Mtto_Pesv[[#Headers],[#Data],[Placa]:[Rutina]],4,FALSE)),0)</f>
        <v>0</v>
      </c>
      <c r="AN497" s="21">
        <f>IFERROR((VLOOKUP(Tabla13[[#This Row],[ID]],[1]!Mtto_Pesv[[#Headers],[#Data],[Placa]:[Rutina]],5,FALSE)),0)</f>
        <v>0</v>
      </c>
      <c r="AO497" s="21">
        <f>+Tabla13[[#This Row],[Km Fin]]-Tabla13[[#This Row],[Km Ini]]</f>
        <v>0</v>
      </c>
      <c r="AP497" s="20">
        <f>IFERROR((VLOOKUP(Tabla13[[#This Row],[ID]],[1]!Estilo_Conduccion[[#All],[Placa]:[Puntuacion]],15,FALSE)),0)</f>
        <v>306.8</v>
      </c>
      <c r="AQ497" s="15" t="s">
        <v>1069</v>
      </c>
      <c r="AR497" s="15" t="s">
        <v>697</v>
      </c>
      <c r="AS497" s="20">
        <v>1545</v>
      </c>
      <c r="AT497" s="21">
        <v>0</v>
      </c>
      <c r="AU497" s="21">
        <f>(Tabla13[[#This Row],[Cap Vh]]*$AX$2)*0.56</f>
        <v>0</v>
      </c>
      <c r="AV497" s="36" t="e">
        <f>(Tabla13[[#This Row],[Cap Util (kg)]]/(Tabla13[[#This Row],[Cap Inst (Kg)]]))</f>
        <v>#DIV/0!</v>
      </c>
    </row>
    <row r="498" spans="1:48" x14ac:dyDescent="0.25">
      <c r="A498" s="13" t="s">
        <v>1068</v>
      </c>
      <c r="B498" s="14" t="s">
        <v>698</v>
      </c>
      <c r="C498" s="14" t="s">
        <v>44</v>
      </c>
      <c r="D498" s="14" t="s">
        <v>44</v>
      </c>
      <c r="E498" s="14" t="s">
        <v>85</v>
      </c>
      <c r="F498" s="14" t="s">
        <v>337</v>
      </c>
      <c r="G498" s="15" t="s">
        <v>47</v>
      </c>
      <c r="H498" s="16" t="s">
        <v>48</v>
      </c>
      <c r="I498" s="14" t="s">
        <v>49</v>
      </c>
      <c r="J498" s="14">
        <v>900335279</v>
      </c>
      <c r="K498" s="14" t="s">
        <v>77</v>
      </c>
      <c r="L498" s="14" t="s">
        <v>103</v>
      </c>
      <c r="M498" s="14" t="s">
        <v>696</v>
      </c>
      <c r="N498" s="14">
        <v>2007</v>
      </c>
      <c r="O498" s="14">
        <v>13</v>
      </c>
      <c r="P498" s="14" t="s">
        <v>173</v>
      </c>
      <c r="Q498" s="14">
        <v>0</v>
      </c>
      <c r="R498" s="14">
        <v>0</v>
      </c>
      <c r="S498" s="17" t="s">
        <v>54</v>
      </c>
      <c r="T498" s="18">
        <v>0</v>
      </c>
      <c r="U498" s="14">
        <v>30</v>
      </c>
      <c r="V498" s="19">
        <v>1</v>
      </c>
      <c r="W498" s="14">
        <v>0</v>
      </c>
      <c r="X498" s="14">
        <v>0</v>
      </c>
      <c r="Y498" s="14">
        <v>0</v>
      </c>
      <c r="Z498" s="14">
        <v>0</v>
      </c>
      <c r="AA498" s="14">
        <f>Tabla13[[#This Row],[CheckList App]]+Tabla13[[#This Row],[CheckList Fisc]]</f>
        <v>0</v>
      </c>
      <c r="AB498" s="19">
        <f t="shared" si="7"/>
        <v>0</v>
      </c>
      <c r="AC498" s="14">
        <v>0</v>
      </c>
      <c r="AD498" s="14" t="s">
        <v>55</v>
      </c>
      <c r="AE498" s="15" t="str">
        <f>IFERROR((VLOOKUP(Tabla13[[#This Row],[ID]],[1]!Mtto_Pesv[[#Headers],[#Data],[Placa]:[Rutina]],2,FALSE)),"-")</f>
        <v>-</v>
      </c>
      <c r="AF498" s="14">
        <v>0</v>
      </c>
      <c r="AG498" s="20">
        <f>IFERROR((VLOOKUP(Tabla13[[#This Row],[ID]],[1]!Mtto_Pesv[[#Headers],[#Data],[Placa]:[Rutina]],3,FALSE)),0)</f>
        <v>0</v>
      </c>
      <c r="AH498" s="20">
        <f>IFERROR((VLOOKUP(Tabla13[[#This Row],[ID]],[1]!Mtto_Pesv[[#Headers],[#Data],[Placa]:[Rutina]],7,FALSE)),0)</f>
        <v>0</v>
      </c>
      <c r="AI498" s="20">
        <f>IFERROR((VLOOKUP(Tabla13[[#This Row],[ID]],[1]!Mtto_Pesv[[#Headers],[#Data],[Placa]:[Rutina]],8,FALSE)),0)</f>
        <v>0</v>
      </c>
      <c r="AJ498" s="20" t="str">
        <f>IFERROR((VLOOKUP(Tabla13[[#This Row],[ID]],[1]!Mtto_Pesv[[#Headers],[#Data],[Placa]:[Rutina]],9,FALSE)),"-")</f>
        <v>-</v>
      </c>
      <c r="AK498" s="20">
        <f>IFERROR((VLOOKUP(Tabla13[[#This Row],[ID]],[1]!Mtto_Pesv[[#Headers],[#Data],[Placa]:[Rutina]],10,FALSE)),0)</f>
        <v>0</v>
      </c>
      <c r="AL498" s="20">
        <f>IF(Tabla13[[#This Row],[Km Anterior]]=0,0,Tabla13[[#This Row],[Km Ejecut]]-Tabla13[[#This Row],[Km Anterior]])</f>
        <v>0</v>
      </c>
      <c r="AM498" s="20">
        <f>IFERROR((VLOOKUP(Tabla13[[#This Row],[ID]],[1]!Mtto_Pesv[[#Headers],[#Data],[Placa]:[Rutina]],4,FALSE)),0)</f>
        <v>0</v>
      </c>
      <c r="AN498" s="21">
        <f>IFERROR((VLOOKUP(Tabla13[[#This Row],[ID]],[1]!Mtto_Pesv[[#Headers],[#Data],[Placa]:[Rutina]],5,FALSE)),0)</f>
        <v>0</v>
      </c>
      <c r="AO498" s="21">
        <f>+Tabla13[[#This Row],[Km Fin]]-Tabla13[[#This Row],[Km Ini]]</f>
        <v>0</v>
      </c>
      <c r="AP498" s="20">
        <f>IFERROR((VLOOKUP(Tabla13[[#This Row],[ID]],[1]!Estilo_Conduccion[[#All],[Placa]:[Puntuacion]],15,FALSE)),0)</f>
        <v>0</v>
      </c>
      <c r="AQ498" s="15" t="s">
        <v>1389</v>
      </c>
      <c r="AR498" s="15" t="s">
        <v>1390</v>
      </c>
      <c r="AS498" s="20">
        <v>1545</v>
      </c>
      <c r="AT498" s="21">
        <v>5880</v>
      </c>
      <c r="AU498" s="21">
        <f>(Tabla13[[#This Row],[Cap Vh]]*$AX$2)*0.56</f>
        <v>0</v>
      </c>
      <c r="AV498" s="36" t="e">
        <f>(Tabla13[[#This Row],[Cap Util (kg)]]/(Tabla13[[#This Row],[Cap Inst (Kg)]]))</f>
        <v>#DIV/0!</v>
      </c>
    </row>
    <row r="499" spans="1:48" x14ac:dyDescent="0.25">
      <c r="A499" s="13" t="s">
        <v>1068</v>
      </c>
      <c r="B499" s="14" t="s">
        <v>700</v>
      </c>
      <c r="C499" s="14" t="s">
        <v>564</v>
      </c>
      <c r="D499" s="14" t="s">
        <v>577</v>
      </c>
      <c r="E499" s="14" t="s">
        <v>578</v>
      </c>
      <c r="F499" s="14" t="s">
        <v>76</v>
      </c>
      <c r="G499" s="15" t="s">
        <v>89</v>
      </c>
      <c r="H499" s="16" t="s">
        <v>90</v>
      </c>
      <c r="I499" s="14" t="s">
        <v>49</v>
      </c>
      <c r="J499" s="14">
        <v>900335279</v>
      </c>
      <c r="K499" s="14" t="s">
        <v>77</v>
      </c>
      <c r="L499" s="14" t="s">
        <v>103</v>
      </c>
      <c r="M499" s="14" t="s">
        <v>696</v>
      </c>
      <c r="N499" s="14">
        <v>2007</v>
      </c>
      <c r="O499" s="14">
        <v>13</v>
      </c>
      <c r="P499" s="14" t="s">
        <v>173</v>
      </c>
      <c r="Q499" s="14">
        <v>0</v>
      </c>
      <c r="R499" s="14">
        <v>0</v>
      </c>
      <c r="S499" s="17" t="s">
        <v>54</v>
      </c>
      <c r="T499" s="18">
        <v>0</v>
      </c>
      <c r="U499" s="14">
        <v>0</v>
      </c>
      <c r="V499" s="19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f>Tabla13[[#This Row],[CheckList App]]+Tabla13[[#This Row],[CheckList Fisc]]</f>
        <v>0</v>
      </c>
      <c r="AB499" s="19" t="str">
        <f t="shared" si="7"/>
        <v/>
      </c>
      <c r="AC499" s="14">
        <v>0</v>
      </c>
      <c r="AD499" s="14" t="s">
        <v>55</v>
      </c>
      <c r="AE499" s="15" t="str">
        <f>IFERROR((VLOOKUP(Tabla13[[#This Row],[ID]],[1]!Mtto_Pesv[[#Headers],[#Data],[Placa]:[Rutina]],2,FALSE)),"-")</f>
        <v>-</v>
      </c>
      <c r="AF499" s="14">
        <v>0</v>
      </c>
      <c r="AG499" s="20">
        <f>IFERROR((VLOOKUP(Tabla13[[#This Row],[ID]],[1]!Mtto_Pesv[[#Headers],[#Data],[Placa]:[Rutina]],3,FALSE)),0)</f>
        <v>0</v>
      </c>
      <c r="AH499" s="20">
        <f>IFERROR((VLOOKUP(Tabla13[[#This Row],[ID]],[1]!Mtto_Pesv[[#Headers],[#Data],[Placa]:[Rutina]],7,FALSE)),0)</f>
        <v>0</v>
      </c>
      <c r="AI499" s="20">
        <f>IFERROR((VLOOKUP(Tabla13[[#This Row],[ID]],[1]!Mtto_Pesv[[#Headers],[#Data],[Placa]:[Rutina]],8,FALSE)),0)</f>
        <v>0</v>
      </c>
      <c r="AJ499" s="20" t="str">
        <f>IFERROR((VLOOKUP(Tabla13[[#This Row],[ID]],[1]!Mtto_Pesv[[#Headers],[#Data],[Placa]:[Rutina]],9,FALSE)),"-")</f>
        <v>-</v>
      </c>
      <c r="AK499" s="20">
        <f>IFERROR((VLOOKUP(Tabla13[[#This Row],[ID]],[1]!Mtto_Pesv[[#Headers],[#Data],[Placa]:[Rutina]],10,FALSE)),0)</f>
        <v>0</v>
      </c>
      <c r="AL499" s="20">
        <f>IF(Tabla13[[#This Row],[Km Anterior]]=0,0,Tabla13[[#This Row],[Km Ejecut]]-Tabla13[[#This Row],[Km Anterior]])</f>
        <v>0</v>
      </c>
      <c r="AM499" s="20">
        <f>IFERROR((VLOOKUP(Tabla13[[#This Row],[ID]],[1]!Mtto_Pesv[[#Headers],[#Data],[Placa]:[Rutina]],4,FALSE)),0)</f>
        <v>0</v>
      </c>
      <c r="AN499" s="21">
        <f>IFERROR((VLOOKUP(Tabla13[[#This Row],[ID]],[1]!Mtto_Pesv[[#Headers],[#Data],[Placa]:[Rutina]],5,FALSE)),0)</f>
        <v>0</v>
      </c>
      <c r="AO499" s="21">
        <f>+Tabla13[[#This Row],[Km Fin]]-Tabla13[[#This Row],[Km Ini]]</f>
        <v>0</v>
      </c>
      <c r="AP499" s="20">
        <f>IFERROR((VLOOKUP(Tabla13[[#This Row],[ID]],[1]!Estilo_Conduccion[[#All],[Placa]:[Puntuacion]],15,FALSE)),0)</f>
        <v>0</v>
      </c>
      <c r="AQ499" s="15" t="s">
        <v>1391</v>
      </c>
      <c r="AR499" s="15" t="s">
        <v>1392</v>
      </c>
      <c r="AS499" s="20">
        <v>1545</v>
      </c>
      <c r="AT499" s="21">
        <v>6624</v>
      </c>
      <c r="AU499" s="21">
        <f>(Tabla13[[#This Row],[Cap Vh]]*$AX$2)*0.56</f>
        <v>0</v>
      </c>
      <c r="AV499" s="36" t="e">
        <f>(Tabla13[[#This Row],[Cap Util (kg)]]/(Tabla13[[#This Row],[Cap Inst (Kg)]]))</f>
        <v>#DIV/0!</v>
      </c>
    </row>
    <row r="500" spans="1:48" x14ac:dyDescent="0.25">
      <c r="A500" s="13" t="s">
        <v>1068</v>
      </c>
      <c r="B500" s="14" t="s">
        <v>701</v>
      </c>
      <c r="C500" s="14" t="s">
        <v>564</v>
      </c>
      <c r="D500" s="14" t="s">
        <v>577</v>
      </c>
      <c r="E500" s="14" t="s">
        <v>598</v>
      </c>
      <c r="F500" s="14" t="s">
        <v>76</v>
      </c>
      <c r="G500" s="15" t="s">
        <v>89</v>
      </c>
      <c r="H500" s="16" t="s">
        <v>90</v>
      </c>
      <c r="I500" s="14" t="s">
        <v>49</v>
      </c>
      <c r="J500" s="14">
        <v>900335279</v>
      </c>
      <c r="K500" s="14" t="s">
        <v>77</v>
      </c>
      <c r="L500" s="14" t="s">
        <v>103</v>
      </c>
      <c r="M500" s="15" t="s">
        <v>339</v>
      </c>
      <c r="N500" s="14">
        <v>1997</v>
      </c>
      <c r="O500" s="14">
        <v>23</v>
      </c>
      <c r="P500" s="14" t="s">
        <v>173</v>
      </c>
      <c r="Q500" s="14">
        <v>0</v>
      </c>
      <c r="R500" s="14">
        <v>0</v>
      </c>
      <c r="S500" s="17" t="s">
        <v>54</v>
      </c>
      <c r="T500" s="18">
        <v>0</v>
      </c>
      <c r="U500" s="14">
        <v>0</v>
      </c>
      <c r="V500" s="19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f>Tabla13[[#This Row],[CheckList App]]+Tabla13[[#This Row],[CheckList Fisc]]</f>
        <v>0</v>
      </c>
      <c r="AB500" s="19" t="str">
        <f t="shared" si="7"/>
        <v/>
      </c>
      <c r="AC500" s="14">
        <v>0</v>
      </c>
      <c r="AD500" s="14" t="s">
        <v>55</v>
      </c>
      <c r="AE500" s="15" t="str">
        <f>IFERROR((VLOOKUP(Tabla13[[#This Row],[ID]],[1]!Mtto_Pesv[[#Headers],[#Data],[Placa]:[Rutina]],2,FALSE)),"-")</f>
        <v>-</v>
      </c>
      <c r="AF500" s="14">
        <v>0</v>
      </c>
      <c r="AG500" s="20">
        <f>IFERROR((VLOOKUP(Tabla13[[#This Row],[ID]],[1]!Mtto_Pesv[[#Headers],[#Data],[Placa]:[Rutina]],3,FALSE)),0)</f>
        <v>0</v>
      </c>
      <c r="AH500" s="20">
        <f>IFERROR((VLOOKUP(Tabla13[[#This Row],[ID]],[1]!Mtto_Pesv[[#Headers],[#Data],[Placa]:[Rutina]],7,FALSE)),0)</f>
        <v>0</v>
      </c>
      <c r="AI500" s="20">
        <f>IFERROR((VLOOKUP(Tabla13[[#This Row],[ID]],[1]!Mtto_Pesv[[#Headers],[#Data],[Placa]:[Rutina]],8,FALSE)),0)</f>
        <v>0</v>
      </c>
      <c r="AJ500" s="20" t="str">
        <f>IFERROR((VLOOKUP(Tabla13[[#This Row],[ID]],[1]!Mtto_Pesv[[#Headers],[#Data],[Placa]:[Rutina]],9,FALSE)),"-")</f>
        <v>-</v>
      </c>
      <c r="AK500" s="20">
        <f>IFERROR((VLOOKUP(Tabla13[[#This Row],[ID]],[1]!Mtto_Pesv[[#Headers],[#Data],[Placa]:[Rutina]],10,FALSE)),0)</f>
        <v>0</v>
      </c>
      <c r="AL500" s="20">
        <f>IF(Tabla13[[#This Row],[Km Anterior]]=0,0,Tabla13[[#This Row],[Km Ejecut]]-Tabla13[[#This Row],[Km Anterior]])</f>
        <v>0</v>
      </c>
      <c r="AM500" s="20">
        <f>IFERROR((VLOOKUP(Tabla13[[#This Row],[ID]],[1]!Mtto_Pesv[[#Headers],[#Data],[Placa]:[Rutina]],4,FALSE)),0)</f>
        <v>0</v>
      </c>
      <c r="AN500" s="21">
        <f>IFERROR((VLOOKUP(Tabla13[[#This Row],[ID]],[1]!Mtto_Pesv[[#Headers],[#Data],[Placa]:[Rutina]],5,FALSE)),0)</f>
        <v>0</v>
      </c>
      <c r="AO500" s="21">
        <f>+Tabla13[[#This Row],[Km Fin]]-Tabla13[[#This Row],[Km Ini]]</f>
        <v>0</v>
      </c>
      <c r="AP500" s="20">
        <f>IFERROR((VLOOKUP(Tabla13[[#This Row],[ID]],[1]!Estilo_Conduccion[[#All],[Placa]:[Puntuacion]],15,FALSE)),0)</f>
        <v>0</v>
      </c>
      <c r="AQ500" s="15" t="s">
        <v>1393</v>
      </c>
      <c r="AR500" s="15" t="s">
        <v>1394</v>
      </c>
      <c r="AS500" s="20">
        <v>12000</v>
      </c>
      <c r="AT500" s="21">
        <v>25668</v>
      </c>
      <c r="AU500" s="21">
        <f>(Tabla13[[#This Row],[Cap Vh]]*$AX$2)*0.56</f>
        <v>0</v>
      </c>
      <c r="AV500" s="36" t="e">
        <f>(Tabla13[[#This Row],[Cap Util (kg)]]/(Tabla13[[#This Row],[Cap Inst (Kg)]]))</f>
        <v>#DIV/0!</v>
      </c>
    </row>
    <row r="501" spans="1:48" x14ac:dyDescent="0.25">
      <c r="A501" s="13" t="s">
        <v>1068</v>
      </c>
      <c r="B501" s="14" t="s">
        <v>702</v>
      </c>
      <c r="C501" s="14" t="s">
        <v>564</v>
      </c>
      <c r="D501" s="14" t="s">
        <v>577</v>
      </c>
      <c r="E501" s="14" t="s">
        <v>598</v>
      </c>
      <c r="F501" s="14" t="s">
        <v>76</v>
      </c>
      <c r="G501" s="15" t="s">
        <v>47</v>
      </c>
      <c r="H501" s="16" t="s">
        <v>48</v>
      </c>
      <c r="I501" s="14" t="s">
        <v>49</v>
      </c>
      <c r="J501" s="14">
        <v>900335279</v>
      </c>
      <c r="K501" s="14" t="s">
        <v>77</v>
      </c>
      <c r="L501" s="14" t="s">
        <v>103</v>
      </c>
      <c r="M501" s="15" t="s">
        <v>121</v>
      </c>
      <c r="N501" s="14">
        <v>1998</v>
      </c>
      <c r="O501" s="14">
        <v>22</v>
      </c>
      <c r="P501" s="14" t="s">
        <v>173</v>
      </c>
      <c r="Q501" s="14">
        <v>0</v>
      </c>
      <c r="R501" s="14">
        <v>0</v>
      </c>
      <c r="S501" s="17" t="s">
        <v>54</v>
      </c>
      <c r="T501" s="18">
        <v>0</v>
      </c>
      <c r="U501" s="14">
        <v>0</v>
      </c>
      <c r="V501" s="19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f>Tabla13[[#This Row],[CheckList App]]+Tabla13[[#This Row],[CheckList Fisc]]</f>
        <v>0</v>
      </c>
      <c r="AB501" s="19" t="str">
        <f t="shared" si="7"/>
        <v/>
      </c>
      <c r="AC501" s="14">
        <v>0</v>
      </c>
      <c r="AD501" s="14" t="s">
        <v>55</v>
      </c>
      <c r="AE501" s="15" t="str">
        <f>IFERROR((VLOOKUP(Tabla13[[#This Row],[ID]],[1]!Mtto_Pesv[[#Headers],[#Data],[Placa]:[Rutina]],2,FALSE)),"-")</f>
        <v>-</v>
      </c>
      <c r="AF501" s="14">
        <v>0</v>
      </c>
      <c r="AG501" s="20">
        <f>IFERROR((VLOOKUP(Tabla13[[#This Row],[ID]],[1]!Mtto_Pesv[[#Headers],[#Data],[Placa]:[Rutina]],3,FALSE)),0)</f>
        <v>0</v>
      </c>
      <c r="AH501" s="20">
        <f>IFERROR((VLOOKUP(Tabla13[[#This Row],[ID]],[1]!Mtto_Pesv[[#Headers],[#Data],[Placa]:[Rutina]],7,FALSE)),0)</f>
        <v>0</v>
      </c>
      <c r="AI501" s="20">
        <f>IFERROR((VLOOKUP(Tabla13[[#This Row],[ID]],[1]!Mtto_Pesv[[#Headers],[#Data],[Placa]:[Rutina]],8,FALSE)),0)</f>
        <v>0</v>
      </c>
      <c r="AJ501" s="20" t="str">
        <f>IFERROR((VLOOKUP(Tabla13[[#This Row],[ID]],[1]!Mtto_Pesv[[#Headers],[#Data],[Placa]:[Rutina]],9,FALSE)),"-")</f>
        <v>-</v>
      </c>
      <c r="AK501" s="20">
        <f>IFERROR((VLOOKUP(Tabla13[[#This Row],[ID]],[1]!Mtto_Pesv[[#Headers],[#Data],[Placa]:[Rutina]],10,FALSE)),0)</f>
        <v>0</v>
      </c>
      <c r="AL501" s="20">
        <f>IF(Tabla13[[#This Row],[Km Anterior]]=0,0,Tabla13[[#This Row],[Km Ejecut]]-Tabla13[[#This Row],[Km Anterior]])</f>
        <v>0</v>
      </c>
      <c r="AM501" s="20">
        <f>IFERROR((VLOOKUP(Tabla13[[#This Row],[ID]],[1]!Mtto_Pesv[[#Headers],[#Data],[Placa]:[Rutina]],4,FALSE)),0)</f>
        <v>0</v>
      </c>
      <c r="AN501" s="21">
        <f>IFERROR((VLOOKUP(Tabla13[[#This Row],[ID]],[1]!Mtto_Pesv[[#Headers],[#Data],[Placa]:[Rutina]],5,FALSE)),0)</f>
        <v>0</v>
      </c>
      <c r="AO501" s="21">
        <f>+Tabla13[[#This Row],[Km Fin]]-Tabla13[[#This Row],[Km Ini]]</f>
        <v>0</v>
      </c>
      <c r="AP501" s="20">
        <f>IFERROR((VLOOKUP(Tabla13[[#This Row],[ID]],[1]!Estilo_Conduccion[[#All],[Placa]:[Puntuacion]],15,FALSE)),0)</f>
        <v>0</v>
      </c>
      <c r="AQ501" s="15" t="s">
        <v>1069</v>
      </c>
      <c r="AR501" s="15" t="s">
        <v>703</v>
      </c>
      <c r="AS501" s="20">
        <v>3000</v>
      </c>
      <c r="AT501" s="21">
        <v>0</v>
      </c>
      <c r="AU501" s="21">
        <f>(Tabla13[[#This Row],[Cap Vh]]*$AX$2)*0.56</f>
        <v>0</v>
      </c>
      <c r="AV501" s="36" t="e">
        <f>(Tabla13[[#This Row],[Cap Util (kg)]]/(Tabla13[[#This Row],[Cap Inst (Kg)]]))</f>
        <v>#DIV/0!</v>
      </c>
    </row>
    <row r="502" spans="1:48" x14ac:dyDescent="0.25">
      <c r="A502" s="13" t="s">
        <v>1068</v>
      </c>
      <c r="B502" s="14" t="s">
        <v>704</v>
      </c>
      <c r="C502" s="14" t="s">
        <v>564</v>
      </c>
      <c r="D502" s="14" t="s">
        <v>577</v>
      </c>
      <c r="E502" s="14" t="s">
        <v>598</v>
      </c>
      <c r="F502" s="14" t="s">
        <v>64</v>
      </c>
      <c r="G502" s="14" t="s">
        <v>65</v>
      </c>
      <c r="H502" s="16" t="s">
        <v>66</v>
      </c>
      <c r="I502" s="14" t="s">
        <v>49</v>
      </c>
      <c r="J502" s="14">
        <v>900335279</v>
      </c>
      <c r="K502" s="14" t="s">
        <v>77</v>
      </c>
      <c r="L502" s="14" t="s">
        <v>103</v>
      </c>
      <c r="M502" s="14" t="s">
        <v>104</v>
      </c>
      <c r="N502" s="14">
        <v>2002</v>
      </c>
      <c r="O502" s="14">
        <v>18</v>
      </c>
      <c r="P502" s="14" t="s">
        <v>173</v>
      </c>
      <c r="Q502" s="14">
        <v>0</v>
      </c>
      <c r="R502" s="14">
        <v>0</v>
      </c>
      <c r="S502" s="17" t="s">
        <v>54</v>
      </c>
      <c r="T502" s="18">
        <v>0</v>
      </c>
      <c r="U502" s="14">
        <v>0</v>
      </c>
      <c r="V502" s="19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f>Tabla13[[#This Row],[CheckList App]]+Tabla13[[#This Row],[CheckList Fisc]]</f>
        <v>0</v>
      </c>
      <c r="AB502" s="19" t="str">
        <f t="shared" si="7"/>
        <v/>
      </c>
      <c r="AC502" s="14">
        <v>0</v>
      </c>
      <c r="AD502" s="14" t="s">
        <v>55</v>
      </c>
      <c r="AE502" s="15" t="str">
        <f>IFERROR((VLOOKUP(Tabla13[[#This Row],[ID]],[1]!Mtto_Pesv[[#Headers],[#Data],[Placa]:[Rutina]],2,FALSE)),"-")</f>
        <v>-</v>
      </c>
      <c r="AF502" s="14">
        <v>0</v>
      </c>
      <c r="AG502" s="20">
        <f>IFERROR((VLOOKUP(Tabla13[[#This Row],[ID]],[1]!Mtto_Pesv[[#Headers],[#Data],[Placa]:[Rutina]],3,FALSE)),0)</f>
        <v>0</v>
      </c>
      <c r="AH502" s="20">
        <f>IFERROR((VLOOKUP(Tabla13[[#This Row],[ID]],[1]!Mtto_Pesv[[#Headers],[#Data],[Placa]:[Rutina]],7,FALSE)),0)</f>
        <v>0</v>
      </c>
      <c r="AI502" s="20">
        <f>IFERROR((VLOOKUP(Tabla13[[#This Row],[ID]],[1]!Mtto_Pesv[[#Headers],[#Data],[Placa]:[Rutina]],8,FALSE)),0)</f>
        <v>0</v>
      </c>
      <c r="AJ502" s="20" t="str">
        <f>IFERROR((VLOOKUP(Tabla13[[#This Row],[ID]],[1]!Mtto_Pesv[[#Headers],[#Data],[Placa]:[Rutina]],9,FALSE)),"-")</f>
        <v>-</v>
      </c>
      <c r="AK502" s="20">
        <f>IFERROR((VLOOKUP(Tabla13[[#This Row],[ID]],[1]!Mtto_Pesv[[#Headers],[#Data],[Placa]:[Rutina]],10,FALSE)),0)</f>
        <v>0</v>
      </c>
      <c r="AL502" s="20">
        <f>IF(Tabla13[[#This Row],[Km Anterior]]=0,0,Tabla13[[#This Row],[Km Ejecut]]-Tabla13[[#This Row],[Km Anterior]])</f>
        <v>0</v>
      </c>
      <c r="AM502" s="20">
        <f>IFERROR((VLOOKUP(Tabla13[[#This Row],[ID]],[1]!Mtto_Pesv[[#Headers],[#Data],[Placa]:[Rutina]],4,FALSE)),0)</f>
        <v>0</v>
      </c>
      <c r="AN502" s="21">
        <f>IFERROR((VLOOKUP(Tabla13[[#This Row],[ID]],[1]!Mtto_Pesv[[#Headers],[#Data],[Placa]:[Rutina]],5,FALSE)),0)</f>
        <v>0</v>
      </c>
      <c r="AO502" s="21">
        <f>+Tabla13[[#This Row],[Km Fin]]-Tabla13[[#This Row],[Km Ini]]</f>
        <v>0</v>
      </c>
      <c r="AP502" s="20">
        <f>IFERROR((VLOOKUP(Tabla13[[#This Row],[ID]],[1]!Estilo_Conduccion[[#All],[Placa]:[Puntuacion]],15,FALSE)),0)</f>
        <v>0</v>
      </c>
      <c r="AQ502" s="15" t="s">
        <v>54</v>
      </c>
      <c r="AR502" s="15" t="s">
        <v>699</v>
      </c>
      <c r="AS502" s="20">
        <v>2000</v>
      </c>
      <c r="AT502" s="21">
        <v>0</v>
      </c>
      <c r="AU502" s="21">
        <f>(Tabla13[[#This Row],[Cap Vh]]*$AX$2)*0.56</f>
        <v>0</v>
      </c>
      <c r="AV502" s="36" t="e">
        <f>(Tabla13[[#This Row],[Cap Util (kg)]]/(Tabla13[[#This Row],[Cap Inst (Kg)]]))</f>
        <v>#DIV/0!</v>
      </c>
    </row>
    <row r="503" spans="1:48" x14ac:dyDescent="0.25">
      <c r="A503" s="13" t="s">
        <v>1068</v>
      </c>
      <c r="B503" s="14" t="s">
        <v>705</v>
      </c>
      <c r="C503" s="14" t="s">
        <v>44</v>
      </c>
      <c r="D503" s="14" t="s">
        <v>44</v>
      </c>
      <c r="E503" s="14" t="s">
        <v>85</v>
      </c>
      <c r="F503" s="14" t="s">
        <v>337</v>
      </c>
      <c r="G503" s="15" t="s">
        <v>47</v>
      </c>
      <c r="H503" s="16" t="s">
        <v>48</v>
      </c>
      <c r="I503" s="14" t="s">
        <v>49</v>
      </c>
      <c r="J503" s="14">
        <v>900335279</v>
      </c>
      <c r="K503" s="14" t="s">
        <v>77</v>
      </c>
      <c r="L503" s="14" t="s">
        <v>103</v>
      </c>
      <c r="M503" s="14" t="s">
        <v>104</v>
      </c>
      <c r="N503" s="14">
        <v>2004</v>
      </c>
      <c r="O503" s="14">
        <v>16</v>
      </c>
      <c r="P503" s="14" t="s">
        <v>173</v>
      </c>
      <c r="Q503" s="14">
        <v>0</v>
      </c>
      <c r="R503" s="14">
        <v>0</v>
      </c>
      <c r="S503" s="17" t="s">
        <v>54</v>
      </c>
      <c r="T503" s="18">
        <v>0</v>
      </c>
      <c r="U503" s="14">
        <v>30</v>
      </c>
      <c r="V503" s="19">
        <v>1</v>
      </c>
      <c r="W503" s="14">
        <v>0</v>
      </c>
      <c r="X503" s="14">
        <v>0</v>
      </c>
      <c r="Y503" s="14">
        <v>0</v>
      </c>
      <c r="Z503" s="14">
        <v>0</v>
      </c>
      <c r="AA503" s="14">
        <f>Tabla13[[#This Row],[CheckList App]]+Tabla13[[#This Row],[CheckList Fisc]]</f>
        <v>0</v>
      </c>
      <c r="AB503" s="19">
        <f t="shared" si="7"/>
        <v>0</v>
      </c>
      <c r="AC503" s="14">
        <v>0</v>
      </c>
      <c r="AD503" s="14" t="s">
        <v>55</v>
      </c>
      <c r="AE503" s="15" t="str">
        <f>IFERROR((VLOOKUP(Tabla13[[#This Row],[ID]],[1]!Mtto_Pesv[[#Headers],[#Data],[Placa]:[Rutina]],2,FALSE)),"-")</f>
        <v>-</v>
      </c>
      <c r="AF503" s="14">
        <v>0</v>
      </c>
      <c r="AG503" s="20">
        <f>IFERROR((VLOOKUP(Tabla13[[#This Row],[ID]],[1]!Mtto_Pesv[[#Headers],[#Data],[Placa]:[Rutina]],3,FALSE)),0)</f>
        <v>0</v>
      </c>
      <c r="AH503" s="20">
        <f>IFERROR((VLOOKUP(Tabla13[[#This Row],[ID]],[1]!Mtto_Pesv[[#Headers],[#Data],[Placa]:[Rutina]],7,FALSE)),0)</f>
        <v>0</v>
      </c>
      <c r="AI503" s="20">
        <f>IFERROR((VLOOKUP(Tabla13[[#This Row],[ID]],[1]!Mtto_Pesv[[#Headers],[#Data],[Placa]:[Rutina]],8,FALSE)),0)</f>
        <v>0</v>
      </c>
      <c r="AJ503" s="20" t="str">
        <f>IFERROR((VLOOKUP(Tabla13[[#This Row],[ID]],[1]!Mtto_Pesv[[#Headers],[#Data],[Placa]:[Rutina]],9,FALSE)),"-")</f>
        <v>-</v>
      </c>
      <c r="AK503" s="20">
        <f>IFERROR((VLOOKUP(Tabla13[[#This Row],[ID]],[1]!Mtto_Pesv[[#Headers],[#Data],[Placa]:[Rutina]],10,FALSE)),0)</f>
        <v>0</v>
      </c>
      <c r="AL503" s="20">
        <f>IF(Tabla13[[#This Row],[Km Anterior]]=0,0,Tabla13[[#This Row],[Km Ejecut]]-Tabla13[[#This Row],[Km Anterior]])</f>
        <v>0</v>
      </c>
      <c r="AM503" s="20">
        <f>IFERROR((VLOOKUP(Tabla13[[#This Row],[ID]],[1]!Mtto_Pesv[[#Headers],[#Data],[Placa]:[Rutina]],4,FALSE)),0)</f>
        <v>0</v>
      </c>
      <c r="AN503" s="21">
        <f>IFERROR((VLOOKUP(Tabla13[[#This Row],[ID]],[1]!Mtto_Pesv[[#Headers],[#Data],[Placa]:[Rutina]],5,FALSE)),0)</f>
        <v>0</v>
      </c>
      <c r="AO503" s="21">
        <f>+Tabla13[[#This Row],[Km Fin]]-Tabla13[[#This Row],[Km Ini]]</f>
        <v>0</v>
      </c>
      <c r="AP503" s="20">
        <f>IFERROR((VLOOKUP(Tabla13[[#This Row],[ID]],[1]!Estilo_Conduccion[[#All],[Placa]:[Puntuacion]],15,FALSE)),0)</f>
        <v>0</v>
      </c>
      <c r="AQ503" s="15" t="s">
        <v>1389</v>
      </c>
      <c r="AR503" s="15" t="s">
        <v>1390</v>
      </c>
      <c r="AS503" s="20">
        <v>1655</v>
      </c>
      <c r="AT503" s="21">
        <v>5880</v>
      </c>
      <c r="AU503" s="21">
        <f>(Tabla13[[#This Row],[Cap Vh]]*$AX$2)*0.56</f>
        <v>0</v>
      </c>
      <c r="AV503" s="36" t="e">
        <f>(Tabla13[[#This Row],[Cap Util (kg)]]/(Tabla13[[#This Row],[Cap Inst (Kg)]]))</f>
        <v>#DIV/0!</v>
      </c>
    </row>
    <row r="504" spans="1:48" x14ac:dyDescent="0.25">
      <c r="A504" s="13" t="s">
        <v>1068</v>
      </c>
      <c r="B504" s="14" t="s">
        <v>706</v>
      </c>
      <c r="C504" s="14" t="s">
        <v>564</v>
      </c>
      <c r="D504" s="14" t="s">
        <v>577</v>
      </c>
      <c r="E504" s="14" t="s">
        <v>681</v>
      </c>
      <c r="F504" s="14" t="s">
        <v>76</v>
      </c>
      <c r="G504" s="15" t="s">
        <v>89</v>
      </c>
      <c r="H504" s="16" t="s">
        <v>90</v>
      </c>
      <c r="I504" s="14" t="s">
        <v>49</v>
      </c>
      <c r="J504" s="14">
        <v>900335279</v>
      </c>
      <c r="K504" s="14" t="s">
        <v>77</v>
      </c>
      <c r="L504" s="14" t="s">
        <v>103</v>
      </c>
      <c r="M504" s="14" t="s">
        <v>104</v>
      </c>
      <c r="N504" s="14">
        <v>2004</v>
      </c>
      <c r="O504" s="14">
        <v>16</v>
      </c>
      <c r="P504" s="14" t="s">
        <v>173</v>
      </c>
      <c r="Q504" s="14">
        <v>0</v>
      </c>
      <c r="R504" s="14">
        <v>0</v>
      </c>
      <c r="S504" s="17" t="s">
        <v>54</v>
      </c>
      <c r="T504" s="18">
        <v>0</v>
      </c>
      <c r="U504" s="14">
        <v>0</v>
      </c>
      <c r="V504" s="19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f>Tabla13[[#This Row],[CheckList App]]+Tabla13[[#This Row],[CheckList Fisc]]</f>
        <v>0</v>
      </c>
      <c r="AB504" s="19" t="str">
        <f t="shared" si="7"/>
        <v/>
      </c>
      <c r="AC504" s="14">
        <v>0</v>
      </c>
      <c r="AD504" s="14" t="s">
        <v>55</v>
      </c>
      <c r="AE504" s="15" t="str">
        <f>IFERROR((VLOOKUP(Tabla13[[#This Row],[ID]],[1]!Mtto_Pesv[[#Headers],[#Data],[Placa]:[Rutina]],2,FALSE)),"-")</f>
        <v>-</v>
      </c>
      <c r="AF504" s="14">
        <v>0</v>
      </c>
      <c r="AG504" s="20">
        <f>IFERROR((VLOOKUP(Tabla13[[#This Row],[ID]],[1]!Mtto_Pesv[[#Headers],[#Data],[Placa]:[Rutina]],3,FALSE)),0)</f>
        <v>0</v>
      </c>
      <c r="AH504" s="20">
        <f>IFERROR((VLOOKUP(Tabla13[[#This Row],[ID]],[1]!Mtto_Pesv[[#Headers],[#Data],[Placa]:[Rutina]],7,FALSE)),0)</f>
        <v>0</v>
      </c>
      <c r="AI504" s="20">
        <f>IFERROR((VLOOKUP(Tabla13[[#This Row],[ID]],[1]!Mtto_Pesv[[#Headers],[#Data],[Placa]:[Rutina]],8,FALSE)),0)</f>
        <v>0</v>
      </c>
      <c r="AJ504" s="20" t="str">
        <f>IFERROR((VLOOKUP(Tabla13[[#This Row],[ID]],[1]!Mtto_Pesv[[#Headers],[#Data],[Placa]:[Rutina]],9,FALSE)),"-")</f>
        <v>-</v>
      </c>
      <c r="AK504" s="20">
        <f>IFERROR((VLOOKUP(Tabla13[[#This Row],[ID]],[1]!Mtto_Pesv[[#Headers],[#Data],[Placa]:[Rutina]],10,FALSE)),0)</f>
        <v>0</v>
      </c>
      <c r="AL504" s="20">
        <f>IF(Tabla13[[#This Row],[Km Anterior]]=0,0,Tabla13[[#This Row],[Km Ejecut]]-Tabla13[[#This Row],[Km Anterior]])</f>
        <v>0</v>
      </c>
      <c r="AM504" s="20">
        <f>IFERROR((VLOOKUP(Tabla13[[#This Row],[ID]],[1]!Mtto_Pesv[[#Headers],[#Data],[Placa]:[Rutina]],4,FALSE)),0)</f>
        <v>0</v>
      </c>
      <c r="AN504" s="21">
        <f>IFERROR((VLOOKUP(Tabla13[[#This Row],[ID]],[1]!Mtto_Pesv[[#Headers],[#Data],[Placa]:[Rutina]],5,FALSE)),0)</f>
        <v>0</v>
      </c>
      <c r="AO504" s="21">
        <f>+Tabla13[[#This Row],[Km Fin]]-Tabla13[[#This Row],[Km Ini]]</f>
        <v>0</v>
      </c>
      <c r="AP504" s="20">
        <f>IFERROR((VLOOKUP(Tabla13[[#This Row],[ID]],[1]!Estilo_Conduccion[[#All],[Placa]:[Puntuacion]],15,FALSE)),0)</f>
        <v>0</v>
      </c>
      <c r="AQ504" s="15" t="s">
        <v>1395</v>
      </c>
      <c r="AR504" s="15" t="s">
        <v>1396</v>
      </c>
      <c r="AS504" s="20">
        <v>1655</v>
      </c>
      <c r="AT504" s="21">
        <v>9687</v>
      </c>
      <c r="AU504" s="21">
        <f>(Tabla13[[#This Row],[Cap Vh]]*$AX$2)*0.56</f>
        <v>0</v>
      </c>
      <c r="AV504" s="36" t="e">
        <f>(Tabla13[[#This Row],[Cap Util (kg)]]/(Tabla13[[#This Row],[Cap Inst (Kg)]]))</f>
        <v>#DIV/0!</v>
      </c>
    </row>
    <row r="505" spans="1:48" x14ac:dyDescent="0.25">
      <c r="A505" s="13" t="s">
        <v>1068</v>
      </c>
      <c r="B505" s="14" t="s">
        <v>707</v>
      </c>
      <c r="C505" s="14" t="s">
        <v>564</v>
      </c>
      <c r="D505" s="14" t="s">
        <v>577</v>
      </c>
      <c r="E505" s="14" t="s">
        <v>598</v>
      </c>
      <c r="F505" s="14" t="s">
        <v>76</v>
      </c>
      <c r="G505" s="15" t="s">
        <v>89</v>
      </c>
      <c r="H505" s="16" t="s">
        <v>90</v>
      </c>
      <c r="I505" s="14" t="s">
        <v>49</v>
      </c>
      <c r="J505" s="14">
        <v>900335279</v>
      </c>
      <c r="K505" s="14" t="s">
        <v>77</v>
      </c>
      <c r="L505" s="14" t="s">
        <v>103</v>
      </c>
      <c r="M505" s="23" t="s">
        <v>153</v>
      </c>
      <c r="N505" s="14">
        <v>2010</v>
      </c>
      <c r="O505" s="14">
        <v>10</v>
      </c>
      <c r="P505" s="14" t="s">
        <v>53</v>
      </c>
      <c r="Q505" s="14">
        <v>0</v>
      </c>
      <c r="R505" s="14">
        <v>0</v>
      </c>
      <c r="S505" s="17" t="s">
        <v>54</v>
      </c>
      <c r="T505" s="18">
        <v>0</v>
      </c>
      <c r="U505" s="14">
        <v>0</v>
      </c>
      <c r="V505" s="19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f>Tabla13[[#This Row],[CheckList App]]+Tabla13[[#This Row],[CheckList Fisc]]</f>
        <v>0</v>
      </c>
      <c r="AB505" s="19" t="str">
        <f t="shared" si="7"/>
        <v/>
      </c>
      <c r="AC505" s="14">
        <v>0</v>
      </c>
      <c r="AD505" s="14" t="s">
        <v>55</v>
      </c>
      <c r="AE505" s="15" t="str">
        <f>IFERROR((VLOOKUP(Tabla13[[#This Row],[ID]],[1]!Mtto_Pesv[[#Headers],[#Data],[Placa]:[Rutina]],2,FALSE)),"-")</f>
        <v>-</v>
      </c>
      <c r="AF505" s="14">
        <v>0</v>
      </c>
      <c r="AG505" s="20">
        <f>IFERROR((VLOOKUP(Tabla13[[#This Row],[ID]],[1]!Mtto_Pesv[[#Headers],[#Data],[Placa]:[Rutina]],3,FALSE)),0)</f>
        <v>0</v>
      </c>
      <c r="AH505" s="20">
        <f>IFERROR((VLOOKUP(Tabla13[[#This Row],[ID]],[1]!Mtto_Pesv[[#Headers],[#Data],[Placa]:[Rutina]],7,FALSE)),0)</f>
        <v>0</v>
      </c>
      <c r="AI505" s="20">
        <f>IFERROR((VLOOKUP(Tabla13[[#This Row],[ID]],[1]!Mtto_Pesv[[#Headers],[#Data],[Placa]:[Rutina]],8,FALSE)),0)</f>
        <v>0</v>
      </c>
      <c r="AJ505" s="20" t="str">
        <f>IFERROR((VLOOKUP(Tabla13[[#This Row],[ID]],[1]!Mtto_Pesv[[#Headers],[#Data],[Placa]:[Rutina]],9,FALSE)),"-")</f>
        <v>-</v>
      </c>
      <c r="AK505" s="20">
        <f>IFERROR((VLOOKUP(Tabla13[[#This Row],[ID]],[1]!Mtto_Pesv[[#Headers],[#Data],[Placa]:[Rutina]],10,FALSE)),0)</f>
        <v>0</v>
      </c>
      <c r="AL505" s="20">
        <f>IF(Tabla13[[#This Row],[Km Anterior]]=0,0,Tabla13[[#This Row],[Km Ejecut]]-Tabla13[[#This Row],[Km Anterior]])</f>
        <v>0</v>
      </c>
      <c r="AM505" s="20">
        <f>IFERROR((VLOOKUP(Tabla13[[#This Row],[ID]],[1]!Mtto_Pesv[[#Headers],[#Data],[Placa]:[Rutina]],4,FALSE)),0)</f>
        <v>0</v>
      </c>
      <c r="AN505" s="21">
        <f>IFERROR((VLOOKUP(Tabla13[[#This Row],[ID]],[1]!Mtto_Pesv[[#Headers],[#Data],[Placa]:[Rutina]],5,FALSE)),0)</f>
        <v>0</v>
      </c>
      <c r="AO505" s="21">
        <f>+Tabla13[[#This Row],[Km Fin]]-Tabla13[[#This Row],[Km Ini]]</f>
        <v>0</v>
      </c>
      <c r="AP505" s="20">
        <f>IFERROR((VLOOKUP(Tabla13[[#This Row],[ID]],[1]!Estilo_Conduccion[[#All],[Placa]:[Puntuacion]],15,FALSE)),0)</f>
        <v>0</v>
      </c>
      <c r="AQ505" s="15" t="s">
        <v>1367</v>
      </c>
      <c r="AR505" s="15" t="s">
        <v>1368</v>
      </c>
      <c r="AS505" s="20">
        <v>2850</v>
      </c>
      <c r="AT505" s="21">
        <v>7802.4</v>
      </c>
      <c r="AU505" s="21">
        <f>(Tabla13[[#This Row],[Cap Vh]]*$AX$2)*0.56</f>
        <v>0</v>
      </c>
      <c r="AV505" s="36" t="e">
        <f>(Tabla13[[#This Row],[Cap Util (kg)]]/(Tabla13[[#This Row],[Cap Inst (Kg)]]))</f>
        <v>#DIV/0!</v>
      </c>
    </row>
    <row r="506" spans="1:48" x14ac:dyDescent="0.25">
      <c r="A506" s="13" t="s">
        <v>1068</v>
      </c>
      <c r="B506" s="14" t="s">
        <v>708</v>
      </c>
      <c r="C506" s="14" t="s">
        <v>564</v>
      </c>
      <c r="D506" s="14" t="s">
        <v>577</v>
      </c>
      <c r="E506" s="14" t="s">
        <v>598</v>
      </c>
      <c r="F506" s="14" t="s">
        <v>64</v>
      </c>
      <c r="G506" s="14" t="s">
        <v>65</v>
      </c>
      <c r="H506" s="16" t="s">
        <v>66</v>
      </c>
      <c r="I506" s="14" t="s">
        <v>49</v>
      </c>
      <c r="J506" s="14">
        <v>8605033701</v>
      </c>
      <c r="K506" s="14" t="s">
        <v>244</v>
      </c>
      <c r="L506" s="14" t="s">
        <v>103</v>
      </c>
      <c r="M506" s="14" t="s">
        <v>153</v>
      </c>
      <c r="N506" s="14">
        <v>2010</v>
      </c>
      <c r="O506" s="14">
        <v>10</v>
      </c>
      <c r="P506" s="14" t="s">
        <v>53</v>
      </c>
      <c r="Q506" s="14">
        <v>0</v>
      </c>
      <c r="R506" s="14">
        <v>0</v>
      </c>
      <c r="S506" s="17" t="s">
        <v>54</v>
      </c>
      <c r="T506" s="18">
        <v>0</v>
      </c>
      <c r="U506" s="14">
        <v>0</v>
      </c>
      <c r="V506" s="19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f>Tabla13[[#This Row],[CheckList App]]+Tabla13[[#This Row],[CheckList Fisc]]</f>
        <v>0</v>
      </c>
      <c r="AB506" s="19" t="str">
        <f t="shared" si="7"/>
        <v/>
      </c>
      <c r="AC506" s="14">
        <v>751</v>
      </c>
      <c r="AD506" s="14" t="s">
        <v>70</v>
      </c>
      <c r="AE506" s="15" t="str">
        <f>IFERROR((VLOOKUP(Tabla13[[#This Row],[ID]],[1]!Mtto_Pesv[[#Headers],[#Data],[Placa]:[Rutina]],2,FALSE)),"-")</f>
        <v>-</v>
      </c>
      <c r="AF506" s="14">
        <v>1</v>
      </c>
      <c r="AG506" s="20">
        <f>IFERROR((VLOOKUP(Tabla13[[#This Row],[ID]],[1]!Mtto_Pesv[[#Headers],[#Data],[Placa]:[Rutina]],3,FALSE)),0)</f>
        <v>0</v>
      </c>
      <c r="AH506" s="20">
        <f>IFERROR((VLOOKUP(Tabla13[[#This Row],[ID]],[1]!Mtto_Pesv[[#Headers],[#Data],[Placa]:[Rutina]],7,FALSE)),0)</f>
        <v>0</v>
      </c>
      <c r="AI506" s="20">
        <f>IFERROR((VLOOKUP(Tabla13[[#This Row],[ID]],[1]!Mtto_Pesv[[#Headers],[#Data],[Placa]:[Rutina]],8,FALSE)),0)</f>
        <v>0</v>
      </c>
      <c r="AJ506" s="20" t="str">
        <f>IFERROR((VLOOKUP(Tabla13[[#This Row],[ID]],[1]!Mtto_Pesv[[#Headers],[#Data],[Placa]:[Rutina]],9,FALSE)),"-")</f>
        <v>-</v>
      </c>
      <c r="AK506" s="20">
        <f>IFERROR((VLOOKUP(Tabla13[[#This Row],[ID]],[1]!Mtto_Pesv[[#Headers],[#Data],[Placa]:[Rutina]],10,FALSE)),0)</f>
        <v>0</v>
      </c>
      <c r="AL506" s="20">
        <f>IF(Tabla13[[#This Row],[Km Anterior]]=0,0,Tabla13[[#This Row],[Km Ejecut]]-Tabla13[[#This Row],[Km Anterior]])</f>
        <v>0</v>
      </c>
      <c r="AM506" s="20">
        <f>IFERROR((VLOOKUP(Tabla13[[#This Row],[ID]],[1]!Mtto_Pesv[[#Headers],[#Data],[Placa]:[Rutina]],4,FALSE)),0)</f>
        <v>0</v>
      </c>
      <c r="AN506" s="21">
        <f>IFERROR((VLOOKUP(Tabla13[[#This Row],[ID]],[1]!Mtto_Pesv[[#Headers],[#Data],[Placa]:[Rutina]],5,FALSE)),0)</f>
        <v>0</v>
      </c>
      <c r="AO506" s="21">
        <f>+Tabla13[[#This Row],[Km Fin]]-Tabla13[[#This Row],[Km Ini]]</f>
        <v>0</v>
      </c>
      <c r="AP506" s="20">
        <f>IFERROR((VLOOKUP(Tabla13[[#This Row],[ID]],[1]!Estilo_Conduccion[[#All],[Placa]:[Puntuacion]],15,FALSE)),0)</f>
        <v>0</v>
      </c>
      <c r="AQ506" s="15" t="s">
        <v>54</v>
      </c>
      <c r="AR506" s="15" t="s">
        <v>54</v>
      </c>
      <c r="AS506" s="20">
        <v>4500</v>
      </c>
      <c r="AT506" s="21">
        <v>0</v>
      </c>
      <c r="AU506" s="21">
        <f>(Tabla13[[#This Row],[Cap Vh]]*$AX$2)*0.56</f>
        <v>0</v>
      </c>
      <c r="AV506" s="36" t="e">
        <f>(Tabla13[[#This Row],[Cap Util (kg)]]/(Tabla13[[#This Row],[Cap Inst (Kg)]]))</f>
        <v>#DIV/0!</v>
      </c>
    </row>
    <row r="507" spans="1:48" x14ac:dyDescent="0.25">
      <c r="A507" s="13" t="s">
        <v>1068</v>
      </c>
      <c r="B507" s="14" t="s">
        <v>709</v>
      </c>
      <c r="C507" s="14" t="s">
        <v>564</v>
      </c>
      <c r="D507" s="14" t="s">
        <v>577</v>
      </c>
      <c r="E507" s="14" t="s">
        <v>598</v>
      </c>
      <c r="F507" s="14" t="s">
        <v>76</v>
      </c>
      <c r="G507" s="15" t="s">
        <v>89</v>
      </c>
      <c r="H507" s="16" t="s">
        <v>90</v>
      </c>
      <c r="I507" s="14" t="s">
        <v>49</v>
      </c>
      <c r="J507" s="14">
        <v>900335279</v>
      </c>
      <c r="K507" s="14" t="s">
        <v>77</v>
      </c>
      <c r="L507" s="14" t="s">
        <v>103</v>
      </c>
      <c r="M507" s="14" t="s">
        <v>104</v>
      </c>
      <c r="N507" s="14">
        <v>2011</v>
      </c>
      <c r="O507" s="14">
        <v>9</v>
      </c>
      <c r="P507" s="14" t="s">
        <v>53</v>
      </c>
      <c r="Q507" s="14">
        <v>0</v>
      </c>
      <c r="R507" s="14">
        <v>0</v>
      </c>
      <c r="S507" s="17" t="s">
        <v>54</v>
      </c>
      <c r="T507" s="18">
        <v>0</v>
      </c>
      <c r="U507" s="14">
        <v>0</v>
      </c>
      <c r="V507" s="19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f>Tabla13[[#This Row],[CheckList App]]+Tabla13[[#This Row],[CheckList Fisc]]</f>
        <v>0</v>
      </c>
      <c r="AB507" s="19" t="str">
        <f t="shared" si="7"/>
        <v/>
      </c>
      <c r="AC507" s="14">
        <v>0</v>
      </c>
      <c r="AD507" s="14" t="s">
        <v>55</v>
      </c>
      <c r="AE507" s="15" t="str">
        <f>IFERROR((VLOOKUP(Tabla13[[#This Row],[ID]],[1]!Mtto_Pesv[[#Headers],[#Data],[Placa]:[Rutina]],2,FALSE)),"-")</f>
        <v>-</v>
      </c>
      <c r="AF507" s="14">
        <v>0</v>
      </c>
      <c r="AG507" s="20">
        <f>IFERROR((VLOOKUP(Tabla13[[#This Row],[ID]],[1]!Mtto_Pesv[[#Headers],[#Data],[Placa]:[Rutina]],3,FALSE)),0)</f>
        <v>0</v>
      </c>
      <c r="AH507" s="20">
        <f>IFERROR((VLOOKUP(Tabla13[[#This Row],[ID]],[1]!Mtto_Pesv[[#Headers],[#Data],[Placa]:[Rutina]],7,FALSE)),0)</f>
        <v>0</v>
      </c>
      <c r="AI507" s="20">
        <f>IFERROR((VLOOKUP(Tabla13[[#This Row],[ID]],[1]!Mtto_Pesv[[#Headers],[#Data],[Placa]:[Rutina]],8,FALSE)),0)</f>
        <v>0</v>
      </c>
      <c r="AJ507" s="20" t="str">
        <f>IFERROR((VLOOKUP(Tabla13[[#This Row],[ID]],[1]!Mtto_Pesv[[#Headers],[#Data],[Placa]:[Rutina]],9,FALSE)),"-")</f>
        <v>-</v>
      </c>
      <c r="AK507" s="20">
        <f>IFERROR((VLOOKUP(Tabla13[[#This Row],[ID]],[1]!Mtto_Pesv[[#Headers],[#Data],[Placa]:[Rutina]],10,FALSE)),0)</f>
        <v>0</v>
      </c>
      <c r="AL507" s="20">
        <f>IF(Tabla13[[#This Row],[Km Anterior]]=0,0,Tabla13[[#This Row],[Km Ejecut]]-Tabla13[[#This Row],[Km Anterior]])</f>
        <v>0</v>
      </c>
      <c r="AM507" s="20">
        <f>IFERROR((VLOOKUP(Tabla13[[#This Row],[ID]],[1]!Mtto_Pesv[[#Headers],[#Data],[Placa]:[Rutina]],4,FALSE)),0)</f>
        <v>0</v>
      </c>
      <c r="AN507" s="21">
        <f>IFERROR((VLOOKUP(Tabla13[[#This Row],[ID]],[1]!Mtto_Pesv[[#Headers],[#Data],[Placa]:[Rutina]],5,FALSE)),0)</f>
        <v>0</v>
      </c>
      <c r="AO507" s="21">
        <f>+Tabla13[[#This Row],[Km Fin]]-Tabla13[[#This Row],[Km Ini]]</f>
        <v>0</v>
      </c>
      <c r="AP507" s="20">
        <f>IFERROR((VLOOKUP(Tabla13[[#This Row],[ID]],[1]!Estilo_Conduccion[[#All],[Placa]:[Puntuacion]],15,FALSE)),0)</f>
        <v>0</v>
      </c>
      <c r="AQ507" s="15" t="s">
        <v>1367</v>
      </c>
      <c r="AR507" s="15" t="s">
        <v>1368</v>
      </c>
      <c r="AS507" s="20">
        <v>3500</v>
      </c>
      <c r="AT507" s="21">
        <v>7802.4</v>
      </c>
      <c r="AU507" s="21">
        <f>(Tabla13[[#This Row],[Cap Vh]]*$AX$2)*0.56</f>
        <v>0</v>
      </c>
      <c r="AV507" s="36" t="e">
        <f>(Tabla13[[#This Row],[Cap Util (kg)]]/(Tabla13[[#This Row],[Cap Inst (Kg)]]))</f>
        <v>#DIV/0!</v>
      </c>
    </row>
    <row r="508" spans="1:48" x14ac:dyDescent="0.25">
      <c r="A508" s="13" t="s">
        <v>1068</v>
      </c>
      <c r="B508" s="14" t="s">
        <v>710</v>
      </c>
      <c r="C508" s="14" t="s">
        <v>564</v>
      </c>
      <c r="D508" s="14" t="s">
        <v>577</v>
      </c>
      <c r="E508" s="14" t="s">
        <v>598</v>
      </c>
      <c r="F508" s="14" t="s">
        <v>76</v>
      </c>
      <c r="G508" s="15" t="s">
        <v>89</v>
      </c>
      <c r="H508" s="16" t="s">
        <v>90</v>
      </c>
      <c r="I508" s="14" t="s">
        <v>49</v>
      </c>
      <c r="J508" s="14">
        <v>900335279</v>
      </c>
      <c r="K508" s="14" t="s">
        <v>77</v>
      </c>
      <c r="L508" s="14" t="s">
        <v>405</v>
      </c>
      <c r="M508" s="14" t="s">
        <v>461</v>
      </c>
      <c r="N508" s="14">
        <v>2011</v>
      </c>
      <c r="O508" s="14">
        <v>9</v>
      </c>
      <c r="P508" s="14" t="s">
        <v>53</v>
      </c>
      <c r="Q508" s="14">
        <v>0</v>
      </c>
      <c r="R508" s="14">
        <v>0</v>
      </c>
      <c r="S508" s="17" t="s">
        <v>54</v>
      </c>
      <c r="T508" s="18">
        <v>0</v>
      </c>
      <c r="U508" s="14">
        <v>0</v>
      </c>
      <c r="V508" s="19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f>Tabla13[[#This Row],[CheckList App]]+Tabla13[[#This Row],[CheckList Fisc]]</f>
        <v>0</v>
      </c>
      <c r="AB508" s="19" t="str">
        <f t="shared" si="7"/>
        <v/>
      </c>
      <c r="AC508" s="14">
        <v>0</v>
      </c>
      <c r="AD508" s="14" t="s">
        <v>55</v>
      </c>
      <c r="AE508" s="15" t="str">
        <f>IFERROR((VLOOKUP(Tabla13[[#This Row],[ID]],[1]!Mtto_Pesv[[#Headers],[#Data],[Placa]:[Rutina]],2,FALSE)),"-")</f>
        <v>-</v>
      </c>
      <c r="AF508" s="14">
        <v>0</v>
      </c>
      <c r="AG508" s="20">
        <f>IFERROR((VLOOKUP(Tabla13[[#This Row],[ID]],[1]!Mtto_Pesv[[#Headers],[#Data],[Placa]:[Rutina]],3,FALSE)),0)</f>
        <v>0</v>
      </c>
      <c r="AH508" s="20">
        <f>IFERROR((VLOOKUP(Tabla13[[#This Row],[ID]],[1]!Mtto_Pesv[[#Headers],[#Data],[Placa]:[Rutina]],7,FALSE)),0)</f>
        <v>0</v>
      </c>
      <c r="AI508" s="20">
        <f>IFERROR((VLOOKUP(Tabla13[[#This Row],[ID]],[1]!Mtto_Pesv[[#Headers],[#Data],[Placa]:[Rutina]],8,FALSE)),0)</f>
        <v>0</v>
      </c>
      <c r="AJ508" s="20" t="str">
        <f>IFERROR((VLOOKUP(Tabla13[[#This Row],[ID]],[1]!Mtto_Pesv[[#Headers],[#Data],[Placa]:[Rutina]],9,FALSE)),"-")</f>
        <v>-</v>
      </c>
      <c r="AK508" s="20">
        <f>IFERROR((VLOOKUP(Tabla13[[#This Row],[ID]],[1]!Mtto_Pesv[[#Headers],[#Data],[Placa]:[Rutina]],10,FALSE)),0)</f>
        <v>0</v>
      </c>
      <c r="AL508" s="20">
        <f>IF(Tabla13[[#This Row],[Km Anterior]]=0,0,Tabla13[[#This Row],[Km Ejecut]]-Tabla13[[#This Row],[Km Anterior]])</f>
        <v>0</v>
      </c>
      <c r="AM508" s="20">
        <f>IFERROR((VLOOKUP(Tabla13[[#This Row],[ID]],[1]!Mtto_Pesv[[#Headers],[#Data],[Placa]:[Rutina]],4,FALSE)),0)</f>
        <v>0</v>
      </c>
      <c r="AN508" s="21">
        <f>IFERROR((VLOOKUP(Tabla13[[#This Row],[ID]],[1]!Mtto_Pesv[[#Headers],[#Data],[Placa]:[Rutina]],5,FALSE)),0)</f>
        <v>0</v>
      </c>
      <c r="AO508" s="21">
        <f>+Tabla13[[#This Row],[Km Fin]]-Tabla13[[#This Row],[Km Ini]]</f>
        <v>0</v>
      </c>
      <c r="AP508" s="20">
        <f>IFERROR((VLOOKUP(Tabla13[[#This Row],[ID]],[1]!Estilo_Conduccion[[#All],[Placa]:[Puntuacion]],15,FALSE)),0)</f>
        <v>0</v>
      </c>
      <c r="AQ508" s="15" t="s">
        <v>1397</v>
      </c>
      <c r="AR508" s="15" t="s">
        <v>1398</v>
      </c>
      <c r="AS508" s="20">
        <v>2810</v>
      </c>
      <c r="AT508" s="21">
        <v>15138</v>
      </c>
      <c r="AU508" s="21">
        <f>(Tabla13[[#This Row],[Cap Vh]]*$AX$2)*0.56</f>
        <v>0</v>
      </c>
      <c r="AV508" s="36" t="e">
        <f>(Tabla13[[#This Row],[Cap Util (kg)]]/(Tabla13[[#This Row],[Cap Inst (Kg)]]))</f>
        <v>#DIV/0!</v>
      </c>
    </row>
    <row r="509" spans="1:48" x14ac:dyDescent="0.25">
      <c r="A509" s="13" t="s">
        <v>1068</v>
      </c>
      <c r="B509" s="14" t="s">
        <v>711</v>
      </c>
      <c r="C509" s="14" t="s">
        <v>564</v>
      </c>
      <c r="D509" s="14" t="s">
        <v>577</v>
      </c>
      <c r="E509" s="14" t="s">
        <v>578</v>
      </c>
      <c r="F509" s="14" t="s">
        <v>337</v>
      </c>
      <c r="G509" s="15" t="s">
        <v>128</v>
      </c>
      <c r="H509" s="16" t="s">
        <v>129</v>
      </c>
      <c r="I509" s="14" t="s">
        <v>49</v>
      </c>
      <c r="J509" s="14">
        <v>900335279</v>
      </c>
      <c r="K509" s="14" t="s">
        <v>77</v>
      </c>
      <c r="L509" s="14" t="s">
        <v>103</v>
      </c>
      <c r="M509" s="14" t="s">
        <v>104</v>
      </c>
      <c r="N509" s="14">
        <v>2011</v>
      </c>
      <c r="O509" s="14">
        <v>9</v>
      </c>
      <c r="P509" s="14" t="s">
        <v>53</v>
      </c>
      <c r="Q509" s="14">
        <v>1</v>
      </c>
      <c r="R509" s="14">
        <v>0</v>
      </c>
      <c r="S509" s="17" t="s">
        <v>54</v>
      </c>
      <c r="T509" s="18">
        <v>0</v>
      </c>
      <c r="U509" s="14">
        <v>30</v>
      </c>
      <c r="V509" s="19">
        <v>1</v>
      </c>
      <c r="W509" s="14">
        <v>0</v>
      </c>
      <c r="X509" s="14">
        <v>29</v>
      </c>
      <c r="Y509" s="14">
        <v>0</v>
      </c>
      <c r="Z509" s="14">
        <v>27</v>
      </c>
      <c r="AA509" s="14">
        <f>Tabla13[[#This Row],[CheckList App]]+Tabla13[[#This Row],[CheckList Fisc]]</f>
        <v>27</v>
      </c>
      <c r="AB509" s="19">
        <f t="shared" si="7"/>
        <v>0.93103448275862066</v>
      </c>
      <c r="AC509" s="14">
        <v>0</v>
      </c>
      <c r="AD509" s="14" t="s">
        <v>55</v>
      </c>
      <c r="AE509" s="15" t="str">
        <f>IFERROR((VLOOKUP(Tabla13[[#This Row],[ID]],[1]!Mtto_Pesv[[#Headers],[#Data],[Placa]:[Rutina]],2,FALSE)),"-")</f>
        <v>-</v>
      </c>
      <c r="AF509" s="14">
        <v>0</v>
      </c>
      <c r="AG509" s="20">
        <f>IFERROR((VLOOKUP(Tabla13[[#This Row],[ID]],[1]!Mtto_Pesv[[#Headers],[#Data],[Placa]:[Rutina]],3,FALSE)),0)</f>
        <v>0</v>
      </c>
      <c r="AH509" s="20">
        <f>IFERROR((VLOOKUP(Tabla13[[#This Row],[ID]],[1]!Mtto_Pesv[[#Headers],[#Data],[Placa]:[Rutina]],7,FALSE)),0)</f>
        <v>0</v>
      </c>
      <c r="AI509" s="20">
        <f>IFERROR((VLOOKUP(Tabla13[[#This Row],[ID]],[1]!Mtto_Pesv[[#Headers],[#Data],[Placa]:[Rutina]],8,FALSE)),0)</f>
        <v>0</v>
      </c>
      <c r="AJ509" s="20" t="str">
        <f>IFERROR((VLOOKUP(Tabla13[[#This Row],[ID]],[1]!Mtto_Pesv[[#Headers],[#Data],[Placa]:[Rutina]],9,FALSE)),"-")</f>
        <v>-</v>
      </c>
      <c r="AK509" s="20">
        <f>IFERROR((VLOOKUP(Tabla13[[#This Row],[ID]],[1]!Mtto_Pesv[[#Headers],[#Data],[Placa]:[Rutina]],10,FALSE)),0)</f>
        <v>0</v>
      </c>
      <c r="AL509" s="20">
        <f>IF(Tabla13[[#This Row],[Km Anterior]]=0,0,Tabla13[[#This Row],[Km Ejecut]]-Tabla13[[#This Row],[Km Anterior]])</f>
        <v>0</v>
      </c>
      <c r="AM509" s="20">
        <f>IFERROR((VLOOKUP(Tabla13[[#This Row],[ID]],[1]!Mtto_Pesv[[#Headers],[#Data],[Placa]:[Rutina]],4,FALSE)),0)</f>
        <v>0</v>
      </c>
      <c r="AN509" s="21">
        <f>IFERROR((VLOOKUP(Tabla13[[#This Row],[ID]],[1]!Mtto_Pesv[[#Headers],[#Data],[Placa]:[Rutina]],5,FALSE)),0)</f>
        <v>0</v>
      </c>
      <c r="AO509" s="21">
        <f>+Tabla13[[#This Row],[Km Fin]]-Tabla13[[#This Row],[Km Ini]]</f>
        <v>0</v>
      </c>
      <c r="AP509" s="20">
        <f>IFERROR((VLOOKUP(Tabla13[[#This Row],[ID]],[1]!Estilo_Conduccion[[#All],[Placa]:[Puntuacion]],15,FALSE)),0)</f>
        <v>509</v>
      </c>
      <c r="AQ509" s="15" t="s">
        <v>1399</v>
      </c>
      <c r="AR509" s="15" t="s">
        <v>1400</v>
      </c>
      <c r="AS509" s="20">
        <v>1585</v>
      </c>
      <c r="AT509" s="21">
        <v>20864.7</v>
      </c>
      <c r="AU509" s="21">
        <f>(Tabla13[[#This Row],[Cap Vh]]*$AX$2)*0.56</f>
        <v>0</v>
      </c>
      <c r="AV509" s="36" t="e">
        <f>(Tabla13[[#This Row],[Cap Util (kg)]]/(Tabla13[[#This Row],[Cap Inst (Kg)]]))</f>
        <v>#DIV/0!</v>
      </c>
    </row>
    <row r="510" spans="1:48" x14ac:dyDescent="0.25">
      <c r="A510" s="13" t="s">
        <v>1068</v>
      </c>
      <c r="B510" s="14" t="s">
        <v>712</v>
      </c>
      <c r="C510" s="14" t="s">
        <v>564</v>
      </c>
      <c r="D510" s="14" t="s">
        <v>577</v>
      </c>
      <c r="E510" s="14" t="s">
        <v>598</v>
      </c>
      <c r="F510" s="14" t="s">
        <v>64</v>
      </c>
      <c r="G510" s="15" t="s">
        <v>128</v>
      </c>
      <c r="H510" s="13" t="s">
        <v>143</v>
      </c>
      <c r="I510" s="14" t="s">
        <v>49</v>
      </c>
      <c r="J510" s="14">
        <v>890300279</v>
      </c>
      <c r="K510" s="14" t="s">
        <v>282</v>
      </c>
      <c r="L510" s="14" t="s">
        <v>360</v>
      </c>
      <c r="M510" s="14" t="s">
        <v>361</v>
      </c>
      <c r="N510" s="14">
        <v>2012</v>
      </c>
      <c r="O510" s="14">
        <v>8</v>
      </c>
      <c r="P510" s="14" t="s">
        <v>53</v>
      </c>
      <c r="Q510" s="14">
        <v>1</v>
      </c>
      <c r="R510" s="14">
        <v>0</v>
      </c>
      <c r="S510" s="17" t="s">
        <v>54</v>
      </c>
      <c r="T510" s="18">
        <v>0</v>
      </c>
      <c r="U510" s="14">
        <v>0</v>
      </c>
      <c r="V510" s="19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f>Tabla13[[#This Row],[CheckList App]]+Tabla13[[#This Row],[CheckList Fisc]]</f>
        <v>0</v>
      </c>
      <c r="AB510" s="19" t="str">
        <f t="shared" si="7"/>
        <v/>
      </c>
      <c r="AC510" s="14">
        <v>0</v>
      </c>
      <c r="AD510" s="14" t="s">
        <v>70</v>
      </c>
      <c r="AE510" s="15" t="str">
        <f>IFERROR((VLOOKUP(Tabla13[[#This Row],[ID]],[1]!Mtto_Pesv[[#Headers],[#Data],[Placa]:[Rutina]],2,FALSE)),"-")</f>
        <v>-</v>
      </c>
      <c r="AF510" s="14">
        <v>1</v>
      </c>
      <c r="AG510" s="20">
        <f>IFERROR((VLOOKUP(Tabla13[[#This Row],[ID]],[1]!Mtto_Pesv[[#Headers],[#Data],[Placa]:[Rutina]],3,FALSE)),0)</f>
        <v>0</v>
      </c>
      <c r="AH510" s="20">
        <f>IFERROR((VLOOKUP(Tabla13[[#This Row],[ID]],[1]!Mtto_Pesv[[#Headers],[#Data],[Placa]:[Rutina]],7,FALSE)),0)</f>
        <v>0</v>
      </c>
      <c r="AI510" s="20">
        <f>IFERROR((VLOOKUP(Tabla13[[#This Row],[ID]],[1]!Mtto_Pesv[[#Headers],[#Data],[Placa]:[Rutina]],8,FALSE)),0)</f>
        <v>0</v>
      </c>
      <c r="AJ510" s="20" t="str">
        <f>IFERROR((VLOOKUP(Tabla13[[#This Row],[ID]],[1]!Mtto_Pesv[[#Headers],[#Data],[Placa]:[Rutina]],9,FALSE)),"-")</f>
        <v>-</v>
      </c>
      <c r="AK510" s="20">
        <f>IFERROR((VLOOKUP(Tabla13[[#This Row],[ID]],[1]!Mtto_Pesv[[#Headers],[#Data],[Placa]:[Rutina]],10,FALSE)),0)</f>
        <v>0</v>
      </c>
      <c r="AL510" s="20">
        <f>IF(Tabla13[[#This Row],[Km Anterior]]=0,0,Tabla13[[#This Row],[Km Ejecut]]-Tabla13[[#This Row],[Km Anterior]])</f>
        <v>0</v>
      </c>
      <c r="AM510" s="20">
        <f>IFERROR((VLOOKUP(Tabla13[[#This Row],[ID]],[1]!Mtto_Pesv[[#Headers],[#Data],[Placa]:[Rutina]],4,FALSE)),0)</f>
        <v>0</v>
      </c>
      <c r="AN510" s="21">
        <f>IFERROR((VLOOKUP(Tabla13[[#This Row],[ID]],[1]!Mtto_Pesv[[#Headers],[#Data],[Placa]:[Rutina]],5,FALSE)),0)</f>
        <v>0</v>
      </c>
      <c r="AO510" s="21">
        <f>+Tabla13[[#This Row],[Km Fin]]-Tabla13[[#This Row],[Km Ini]]</f>
        <v>0</v>
      </c>
      <c r="AP510" s="20">
        <f>IFERROR((VLOOKUP(Tabla13[[#This Row],[ID]],[1]!Estilo_Conduccion[[#All],[Placa]:[Puntuacion]],15,FALSE)),0)</f>
        <v>0</v>
      </c>
      <c r="AQ510" s="15" t="s">
        <v>54</v>
      </c>
      <c r="AR510" s="15" t="s">
        <v>1334</v>
      </c>
      <c r="AS510" s="20">
        <v>700</v>
      </c>
      <c r="AT510" s="21">
        <v>0</v>
      </c>
      <c r="AU510" s="21">
        <f>(Tabla13[[#This Row],[Cap Vh]]*$AX$2)*0.56</f>
        <v>0</v>
      </c>
      <c r="AV510" s="36" t="e">
        <f>(Tabla13[[#This Row],[Cap Util (kg)]]/(Tabla13[[#This Row],[Cap Inst (Kg)]]))</f>
        <v>#DIV/0!</v>
      </c>
    </row>
    <row r="511" spans="1:48" x14ac:dyDescent="0.25">
      <c r="A511" s="13" t="s">
        <v>1068</v>
      </c>
      <c r="B511" s="14" t="s">
        <v>713</v>
      </c>
      <c r="C511" s="14" t="s">
        <v>564</v>
      </c>
      <c r="D511" s="14" t="s">
        <v>577</v>
      </c>
      <c r="E511" s="14" t="s">
        <v>681</v>
      </c>
      <c r="F511" s="14" t="s">
        <v>337</v>
      </c>
      <c r="G511" s="15" t="s">
        <v>128</v>
      </c>
      <c r="H511" s="16" t="s">
        <v>129</v>
      </c>
      <c r="I511" s="14" t="s">
        <v>49</v>
      </c>
      <c r="J511" s="14">
        <v>890300279</v>
      </c>
      <c r="K511" s="14" t="s">
        <v>282</v>
      </c>
      <c r="L511" s="14" t="s">
        <v>103</v>
      </c>
      <c r="M511" s="14" t="s">
        <v>121</v>
      </c>
      <c r="N511" s="14">
        <v>2011</v>
      </c>
      <c r="O511" s="14">
        <v>9</v>
      </c>
      <c r="P511" s="14" t="s">
        <v>53</v>
      </c>
      <c r="Q511" s="14">
        <v>1</v>
      </c>
      <c r="R511" s="14">
        <v>0</v>
      </c>
      <c r="S511" s="17" t="s">
        <v>54</v>
      </c>
      <c r="T511" s="18">
        <v>0</v>
      </c>
      <c r="U511" s="14">
        <v>30</v>
      </c>
      <c r="V511" s="19">
        <v>1</v>
      </c>
      <c r="W511" s="14">
        <v>0</v>
      </c>
      <c r="X511" s="14">
        <v>30</v>
      </c>
      <c r="Y511" s="14">
        <v>0</v>
      </c>
      <c r="Z511" s="14">
        <v>30</v>
      </c>
      <c r="AA511" s="14">
        <f>Tabla13[[#This Row],[CheckList App]]+Tabla13[[#This Row],[CheckList Fisc]]</f>
        <v>30</v>
      </c>
      <c r="AB511" s="19">
        <f t="shared" si="7"/>
        <v>1</v>
      </c>
      <c r="AC511" s="14">
        <v>0</v>
      </c>
      <c r="AD511" s="14" t="s">
        <v>55</v>
      </c>
      <c r="AE511" s="15" t="str">
        <f>IFERROR((VLOOKUP(Tabla13[[#This Row],[ID]],[1]!Mtto_Pesv[[#Headers],[#Data],[Placa]:[Rutina]],2,FALSE)),"-")</f>
        <v>-</v>
      </c>
      <c r="AF511" s="14">
        <v>0</v>
      </c>
      <c r="AG511" s="20">
        <f>IFERROR((VLOOKUP(Tabla13[[#This Row],[ID]],[1]!Mtto_Pesv[[#Headers],[#Data],[Placa]:[Rutina]],3,FALSE)),0)</f>
        <v>0</v>
      </c>
      <c r="AH511" s="20">
        <f>IFERROR((VLOOKUP(Tabla13[[#This Row],[ID]],[1]!Mtto_Pesv[[#Headers],[#Data],[Placa]:[Rutina]],7,FALSE)),0)</f>
        <v>0</v>
      </c>
      <c r="AI511" s="20">
        <f>IFERROR((VLOOKUP(Tabla13[[#This Row],[ID]],[1]!Mtto_Pesv[[#Headers],[#Data],[Placa]:[Rutina]],8,FALSE)),0)</f>
        <v>0</v>
      </c>
      <c r="AJ511" s="20" t="str">
        <f>IFERROR((VLOOKUP(Tabla13[[#This Row],[ID]],[1]!Mtto_Pesv[[#Headers],[#Data],[Placa]:[Rutina]],9,FALSE)),"-")</f>
        <v>-</v>
      </c>
      <c r="AK511" s="20">
        <f>IFERROR((VLOOKUP(Tabla13[[#This Row],[ID]],[1]!Mtto_Pesv[[#Headers],[#Data],[Placa]:[Rutina]],10,FALSE)),0)</f>
        <v>0</v>
      </c>
      <c r="AL511" s="20">
        <f>IF(Tabla13[[#This Row],[Km Anterior]]=0,0,Tabla13[[#This Row],[Km Ejecut]]-Tabla13[[#This Row],[Km Anterior]])</f>
        <v>0</v>
      </c>
      <c r="AM511" s="20">
        <f>IFERROR((VLOOKUP(Tabla13[[#This Row],[ID]],[1]!Mtto_Pesv[[#Headers],[#Data],[Placa]:[Rutina]],4,FALSE)),0)</f>
        <v>0</v>
      </c>
      <c r="AN511" s="21">
        <f>IFERROR((VLOOKUP(Tabla13[[#This Row],[ID]],[1]!Mtto_Pesv[[#Headers],[#Data],[Placa]:[Rutina]],5,FALSE)),0)</f>
        <v>0</v>
      </c>
      <c r="AO511" s="21">
        <f>+Tabla13[[#This Row],[Km Fin]]-Tabla13[[#This Row],[Km Ini]]</f>
        <v>0</v>
      </c>
      <c r="AP511" s="20">
        <f>IFERROR((VLOOKUP(Tabla13[[#This Row],[ID]],[1]!Estilo_Conduccion[[#All],[Placa]:[Puntuacion]],15,FALSE)),0)</f>
        <v>1740.8</v>
      </c>
      <c r="AQ511" s="15" t="s">
        <v>1401</v>
      </c>
      <c r="AR511" s="15" t="s">
        <v>1402</v>
      </c>
      <c r="AS511" s="20">
        <v>2970</v>
      </c>
      <c r="AT511" s="21">
        <v>13107</v>
      </c>
      <c r="AU511" s="21">
        <f>(Tabla13[[#This Row],[Cap Vh]]*$AX$2)*0.56</f>
        <v>0</v>
      </c>
      <c r="AV511" s="36" t="e">
        <f>(Tabla13[[#This Row],[Cap Util (kg)]]/(Tabla13[[#This Row],[Cap Inst (Kg)]]))</f>
        <v>#DIV/0!</v>
      </c>
    </row>
    <row r="512" spans="1:48" x14ac:dyDescent="0.25">
      <c r="A512" s="13" t="s">
        <v>1068</v>
      </c>
      <c r="B512" s="14" t="s">
        <v>714</v>
      </c>
      <c r="C512" s="14" t="s">
        <v>564</v>
      </c>
      <c r="D512" s="14" t="s">
        <v>577</v>
      </c>
      <c r="E512" s="14" t="s">
        <v>598</v>
      </c>
      <c r="F512" s="14" t="s">
        <v>76</v>
      </c>
      <c r="G512" s="15" t="s">
        <v>128</v>
      </c>
      <c r="H512" s="16" t="s">
        <v>141</v>
      </c>
      <c r="I512" s="14" t="s">
        <v>49</v>
      </c>
      <c r="J512" s="14">
        <v>900335279</v>
      </c>
      <c r="K512" s="14" t="s">
        <v>77</v>
      </c>
      <c r="L512" s="14" t="s">
        <v>103</v>
      </c>
      <c r="M512" s="14" t="s">
        <v>104</v>
      </c>
      <c r="N512" s="14">
        <v>2011</v>
      </c>
      <c r="O512" s="14">
        <v>9</v>
      </c>
      <c r="P512" s="14" t="s">
        <v>53</v>
      </c>
      <c r="Q512" s="14">
        <v>1</v>
      </c>
      <c r="R512" s="14">
        <v>0</v>
      </c>
      <c r="S512" s="17" t="s">
        <v>54</v>
      </c>
      <c r="T512" s="18">
        <v>0</v>
      </c>
      <c r="U512" s="14">
        <v>30</v>
      </c>
      <c r="V512" s="19">
        <v>1</v>
      </c>
      <c r="W512" s="14">
        <v>0</v>
      </c>
      <c r="X512" s="14">
        <v>27</v>
      </c>
      <c r="Y512" s="14">
        <v>0</v>
      </c>
      <c r="Z512" s="14">
        <v>27</v>
      </c>
      <c r="AA512" s="14">
        <f>Tabla13[[#This Row],[CheckList App]]+Tabla13[[#This Row],[CheckList Fisc]]</f>
        <v>27</v>
      </c>
      <c r="AB512" s="19">
        <f t="shared" si="7"/>
        <v>1</v>
      </c>
      <c r="AC512" s="14">
        <v>0</v>
      </c>
      <c r="AD512" s="14" t="s">
        <v>55</v>
      </c>
      <c r="AE512" s="15" t="str">
        <f>IFERROR((VLOOKUP(Tabla13[[#This Row],[ID]],[1]!Mtto_Pesv[[#Headers],[#Data],[Placa]:[Rutina]],2,FALSE)),"-")</f>
        <v>-</v>
      </c>
      <c r="AF512" s="14">
        <v>0</v>
      </c>
      <c r="AG512" s="20">
        <f>IFERROR((VLOOKUP(Tabla13[[#This Row],[ID]],[1]!Mtto_Pesv[[#Headers],[#Data],[Placa]:[Rutina]],3,FALSE)),0)</f>
        <v>0</v>
      </c>
      <c r="AH512" s="20">
        <f>IFERROR((VLOOKUP(Tabla13[[#This Row],[ID]],[1]!Mtto_Pesv[[#Headers],[#Data],[Placa]:[Rutina]],7,FALSE)),0)</f>
        <v>0</v>
      </c>
      <c r="AI512" s="20">
        <f>IFERROR((VLOOKUP(Tabla13[[#This Row],[ID]],[1]!Mtto_Pesv[[#Headers],[#Data],[Placa]:[Rutina]],8,FALSE)),0)</f>
        <v>0</v>
      </c>
      <c r="AJ512" s="20" t="str">
        <f>IFERROR((VLOOKUP(Tabla13[[#This Row],[ID]],[1]!Mtto_Pesv[[#Headers],[#Data],[Placa]:[Rutina]],9,FALSE)),"-")</f>
        <v>-</v>
      </c>
      <c r="AK512" s="20">
        <f>IFERROR((VLOOKUP(Tabla13[[#This Row],[ID]],[1]!Mtto_Pesv[[#Headers],[#Data],[Placa]:[Rutina]],10,FALSE)),0)</f>
        <v>0</v>
      </c>
      <c r="AL512" s="20">
        <f>IF(Tabla13[[#This Row],[Km Anterior]]=0,0,Tabla13[[#This Row],[Km Ejecut]]-Tabla13[[#This Row],[Km Anterior]])</f>
        <v>0</v>
      </c>
      <c r="AM512" s="20">
        <f>IFERROR((VLOOKUP(Tabla13[[#This Row],[ID]],[1]!Mtto_Pesv[[#Headers],[#Data],[Placa]:[Rutina]],4,FALSE)),0)</f>
        <v>0</v>
      </c>
      <c r="AN512" s="21">
        <f>IFERROR((VLOOKUP(Tabla13[[#This Row],[ID]],[1]!Mtto_Pesv[[#Headers],[#Data],[Placa]:[Rutina]],5,FALSE)),0)</f>
        <v>0</v>
      </c>
      <c r="AO512" s="21">
        <f>+Tabla13[[#This Row],[Km Fin]]-Tabla13[[#This Row],[Km Ini]]</f>
        <v>0</v>
      </c>
      <c r="AP512" s="20">
        <f>IFERROR((VLOOKUP(Tabla13[[#This Row],[ID]],[1]!Estilo_Conduccion[[#All],[Placa]:[Puntuacion]],15,FALSE)),0)</f>
        <v>216.6</v>
      </c>
      <c r="AQ512" s="15" t="s">
        <v>1403</v>
      </c>
      <c r="AR512" s="15" t="s">
        <v>1404</v>
      </c>
      <c r="AS512" s="20">
        <v>1585</v>
      </c>
      <c r="AT512" s="21">
        <v>11919</v>
      </c>
      <c r="AU512" s="21">
        <f>(Tabla13[[#This Row],[Cap Vh]]*$AX$2)*0.56</f>
        <v>0</v>
      </c>
      <c r="AV512" s="36" t="e">
        <f>(Tabla13[[#This Row],[Cap Util (kg)]]/(Tabla13[[#This Row],[Cap Inst (Kg)]]))</f>
        <v>#DIV/0!</v>
      </c>
    </row>
    <row r="513" spans="1:48" x14ac:dyDescent="0.25">
      <c r="A513" s="13" t="s">
        <v>1068</v>
      </c>
      <c r="B513" s="14" t="s">
        <v>715</v>
      </c>
      <c r="C513" s="14" t="s">
        <v>44</v>
      </c>
      <c r="D513" s="14" t="s">
        <v>44</v>
      </c>
      <c r="E513" s="14" t="s">
        <v>85</v>
      </c>
      <c r="F513" s="14" t="s">
        <v>337</v>
      </c>
      <c r="G513" s="15" t="s">
        <v>47</v>
      </c>
      <c r="H513" s="16" t="s">
        <v>48</v>
      </c>
      <c r="I513" s="14" t="s">
        <v>49</v>
      </c>
      <c r="J513" s="14">
        <v>900335279</v>
      </c>
      <c r="K513" s="14" t="s">
        <v>77</v>
      </c>
      <c r="L513" s="14" t="s">
        <v>103</v>
      </c>
      <c r="M513" s="14" t="s">
        <v>121</v>
      </c>
      <c r="N513" s="14">
        <v>2012</v>
      </c>
      <c r="O513" s="14">
        <v>8</v>
      </c>
      <c r="P513" s="14" t="s">
        <v>53</v>
      </c>
      <c r="Q513" s="14">
        <v>0</v>
      </c>
      <c r="R513" s="14">
        <v>0</v>
      </c>
      <c r="S513" s="17" t="s">
        <v>54</v>
      </c>
      <c r="T513" s="18">
        <v>0</v>
      </c>
      <c r="U513" s="14">
        <v>30</v>
      </c>
      <c r="V513" s="19">
        <v>1</v>
      </c>
      <c r="W513" s="14">
        <v>0</v>
      </c>
      <c r="X513" s="14">
        <v>0</v>
      </c>
      <c r="Y513" s="14">
        <v>0</v>
      </c>
      <c r="Z513" s="14">
        <v>0</v>
      </c>
      <c r="AA513" s="14">
        <f>Tabla13[[#This Row],[CheckList App]]+Tabla13[[#This Row],[CheckList Fisc]]</f>
        <v>0</v>
      </c>
      <c r="AB513" s="19">
        <f t="shared" si="7"/>
        <v>0</v>
      </c>
      <c r="AC513" s="14">
        <v>0</v>
      </c>
      <c r="AD513" s="14" t="s">
        <v>55</v>
      </c>
      <c r="AE513" s="15" t="str">
        <f>IFERROR((VLOOKUP(Tabla13[[#This Row],[ID]],[1]!Mtto_Pesv[[#Headers],[#Data],[Placa]:[Rutina]],2,FALSE)),"-")</f>
        <v>-</v>
      </c>
      <c r="AF513" s="14">
        <v>0</v>
      </c>
      <c r="AG513" s="20">
        <f>IFERROR((VLOOKUP(Tabla13[[#This Row],[ID]],[1]!Mtto_Pesv[[#Headers],[#Data],[Placa]:[Rutina]],3,FALSE)),0)</f>
        <v>0</v>
      </c>
      <c r="AH513" s="20">
        <f>IFERROR((VLOOKUP(Tabla13[[#This Row],[ID]],[1]!Mtto_Pesv[[#Headers],[#Data],[Placa]:[Rutina]],7,FALSE)),0)</f>
        <v>0</v>
      </c>
      <c r="AI513" s="20">
        <f>IFERROR((VLOOKUP(Tabla13[[#This Row],[ID]],[1]!Mtto_Pesv[[#Headers],[#Data],[Placa]:[Rutina]],8,FALSE)),0)</f>
        <v>0</v>
      </c>
      <c r="AJ513" s="20" t="str">
        <f>IFERROR((VLOOKUP(Tabla13[[#This Row],[ID]],[1]!Mtto_Pesv[[#Headers],[#Data],[Placa]:[Rutina]],9,FALSE)),"-")</f>
        <v>-</v>
      </c>
      <c r="AK513" s="20">
        <f>IFERROR((VLOOKUP(Tabla13[[#This Row],[ID]],[1]!Mtto_Pesv[[#Headers],[#Data],[Placa]:[Rutina]],10,FALSE)),0)</f>
        <v>0</v>
      </c>
      <c r="AL513" s="20">
        <f>IF(Tabla13[[#This Row],[Km Anterior]]=0,0,Tabla13[[#This Row],[Km Ejecut]]-Tabla13[[#This Row],[Km Anterior]])</f>
        <v>0</v>
      </c>
      <c r="AM513" s="20">
        <f>IFERROR((VLOOKUP(Tabla13[[#This Row],[ID]],[1]!Mtto_Pesv[[#Headers],[#Data],[Placa]:[Rutina]],4,FALSE)),0)</f>
        <v>0</v>
      </c>
      <c r="AN513" s="21">
        <f>IFERROR((VLOOKUP(Tabla13[[#This Row],[ID]],[1]!Mtto_Pesv[[#Headers],[#Data],[Placa]:[Rutina]],5,FALSE)),0)</f>
        <v>0</v>
      </c>
      <c r="AO513" s="21">
        <f>+Tabla13[[#This Row],[Km Fin]]-Tabla13[[#This Row],[Km Ini]]</f>
        <v>0</v>
      </c>
      <c r="AP513" s="20">
        <f>IFERROR((VLOOKUP(Tabla13[[#This Row],[ID]],[1]!Estilo_Conduccion[[#All],[Placa]:[Puntuacion]],15,FALSE)),0)</f>
        <v>0</v>
      </c>
      <c r="AQ513" s="15" t="s">
        <v>1389</v>
      </c>
      <c r="AR513" s="15" t="s">
        <v>1390</v>
      </c>
      <c r="AS513" s="20">
        <v>2970</v>
      </c>
      <c r="AT513" s="21">
        <v>5880</v>
      </c>
      <c r="AU513" s="21">
        <f>(Tabla13[[#This Row],[Cap Vh]]*$AX$2)*0.56</f>
        <v>0</v>
      </c>
      <c r="AV513" s="36" t="e">
        <f>(Tabla13[[#This Row],[Cap Util (kg)]]/(Tabla13[[#This Row],[Cap Inst (Kg)]]))</f>
        <v>#DIV/0!</v>
      </c>
    </row>
    <row r="514" spans="1:48" x14ac:dyDescent="0.25">
      <c r="A514" s="13" t="s">
        <v>1068</v>
      </c>
      <c r="B514" s="14" t="s">
        <v>716</v>
      </c>
      <c r="C514" s="14" t="s">
        <v>564</v>
      </c>
      <c r="D514" s="14" t="s">
        <v>577</v>
      </c>
      <c r="E514" s="14" t="s">
        <v>681</v>
      </c>
      <c r="F514" s="14" t="s">
        <v>76</v>
      </c>
      <c r="G514" s="15" t="s">
        <v>89</v>
      </c>
      <c r="H514" s="16" t="s">
        <v>90</v>
      </c>
      <c r="I514" s="14" t="s">
        <v>49</v>
      </c>
      <c r="J514" s="14">
        <v>900335279</v>
      </c>
      <c r="K514" s="14" t="s">
        <v>77</v>
      </c>
      <c r="L514" s="14" t="s">
        <v>103</v>
      </c>
      <c r="M514" s="14" t="s">
        <v>121</v>
      </c>
      <c r="N514" s="14">
        <v>2012</v>
      </c>
      <c r="O514" s="14">
        <v>8</v>
      </c>
      <c r="P514" s="14" t="s">
        <v>53</v>
      </c>
      <c r="Q514" s="14">
        <v>0</v>
      </c>
      <c r="R514" s="14">
        <v>0</v>
      </c>
      <c r="S514" s="17" t="s">
        <v>54</v>
      </c>
      <c r="T514" s="18">
        <v>0</v>
      </c>
      <c r="U514" s="14">
        <v>0</v>
      </c>
      <c r="V514" s="19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f>Tabla13[[#This Row],[CheckList App]]+Tabla13[[#This Row],[CheckList Fisc]]</f>
        <v>0</v>
      </c>
      <c r="AB514" s="19" t="str">
        <f t="shared" ref="AB514:AB577" si="8">IF(U514=0,"",(IFERROR((AA514/X514),0)))</f>
        <v/>
      </c>
      <c r="AC514" s="14">
        <v>0</v>
      </c>
      <c r="AD514" s="14" t="s">
        <v>55</v>
      </c>
      <c r="AE514" s="15" t="str">
        <f>IFERROR((VLOOKUP(Tabla13[[#This Row],[ID]],[1]!Mtto_Pesv[[#Headers],[#Data],[Placa]:[Rutina]],2,FALSE)),"-")</f>
        <v>-</v>
      </c>
      <c r="AF514" s="14">
        <v>0</v>
      </c>
      <c r="AG514" s="20">
        <f>IFERROR((VLOOKUP(Tabla13[[#This Row],[ID]],[1]!Mtto_Pesv[[#Headers],[#Data],[Placa]:[Rutina]],3,FALSE)),0)</f>
        <v>0</v>
      </c>
      <c r="AH514" s="20">
        <f>IFERROR((VLOOKUP(Tabla13[[#This Row],[ID]],[1]!Mtto_Pesv[[#Headers],[#Data],[Placa]:[Rutina]],7,FALSE)),0)</f>
        <v>0</v>
      </c>
      <c r="AI514" s="20">
        <f>IFERROR((VLOOKUP(Tabla13[[#This Row],[ID]],[1]!Mtto_Pesv[[#Headers],[#Data],[Placa]:[Rutina]],8,FALSE)),0)</f>
        <v>0</v>
      </c>
      <c r="AJ514" s="20" t="str">
        <f>IFERROR((VLOOKUP(Tabla13[[#This Row],[ID]],[1]!Mtto_Pesv[[#Headers],[#Data],[Placa]:[Rutina]],9,FALSE)),"-")</f>
        <v>-</v>
      </c>
      <c r="AK514" s="20">
        <f>IFERROR((VLOOKUP(Tabla13[[#This Row],[ID]],[1]!Mtto_Pesv[[#Headers],[#Data],[Placa]:[Rutina]],10,FALSE)),0)</f>
        <v>0</v>
      </c>
      <c r="AL514" s="20">
        <f>IF(Tabla13[[#This Row],[Km Anterior]]=0,0,Tabla13[[#This Row],[Km Ejecut]]-Tabla13[[#This Row],[Km Anterior]])</f>
        <v>0</v>
      </c>
      <c r="AM514" s="20">
        <f>IFERROR((VLOOKUP(Tabla13[[#This Row],[ID]],[1]!Mtto_Pesv[[#Headers],[#Data],[Placa]:[Rutina]],4,FALSE)),0)</f>
        <v>0</v>
      </c>
      <c r="AN514" s="21">
        <f>IFERROR((VLOOKUP(Tabla13[[#This Row],[ID]],[1]!Mtto_Pesv[[#Headers],[#Data],[Placa]:[Rutina]],5,FALSE)),0)</f>
        <v>0</v>
      </c>
      <c r="AO514" s="21">
        <f>+Tabla13[[#This Row],[Km Fin]]-Tabla13[[#This Row],[Km Ini]]</f>
        <v>0</v>
      </c>
      <c r="AP514" s="20">
        <f>IFERROR((VLOOKUP(Tabla13[[#This Row],[ID]],[1]!Estilo_Conduccion[[#All],[Placa]:[Puntuacion]],15,FALSE)),0)</f>
        <v>0</v>
      </c>
      <c r="AQ514" s="15" t="s">
        <v>1369</v>
      </c>
      <c r="AR514" s="15" t="s">
        <v>1370</v>
      </c>
      <c r="AS514" s="20">
        <v>2970</v>
      </c>
      <c r="AT514" s="21">
        <v>4834.125</v>
      </c>
      <c r="AU514" s="21">
        <f>(Tabla13[[#This Row],[Cap Vh]]*$AX$2)*0.56</f>
        <v>0</v>
      </c>
      <c r="AV514" s="36" t="e">
        <f>(Tabla13[[#This Row],[Cap Util (kg)]]/(Tabla13[[#This Row],[Cap Inst (Kg)]]))</f>
        <v>#DIV/0!</v>
      </c>
    </row>
    <row r="515" spans="1:48" x14ac:dyDescent="0.25">
      <c r="A515" s="13" t="s">
        <v>1068</v>
      </c>
      <c r="B515" s="14" t="s">
        <v>717</v>
      </c>
      <c r="C515" s="14" t="s">
        <v>564</v>
      </c>
      <c r="D515" s="14" t="s">
        <v>577</v>
      </c>
      <c r="E515" s="14" t="s">
        <v>598</v>
      </c>
      <c r="F515" s="14" t="s">
        <v>76</v>
      </c>
      <c r="G515" s="15" t="s">
        <v>89</v>
      </c>
      <c r="H515" s="16" t="s">
        <v>90</v>
      </c>
      <c r="I515" s="14" t="s">
        <v>49</v>
      </c>
      <c r="J515" s="14">
        <v>900335279</v>
      </c>
      <c r="K515" s="14" t="s">
        <v>77</v>
      </c>
      <c r="L515" s="14" t="s">
        <v>103</v>
      </c>
      <c r="M515" s="14" t="s">
        <v>121</v>
      </c>
      <c r="N515" s="14">
        <v>2012</v>
      </c>
      <c r="O515" s="14">
        <v>8</v>
      </c>
      <c r="P515" s="14" t="s">
        <v>53</v>
      </c>
      <c r="Q515" s="14">
        <v>0</v>
      </c>
      <c r="R515" s="14">
        <v>0</v>
      </c>
      <c r="S515" s="17" t="s">
        <v>54</v>
      </c>
      <c r="T515" s="18">
        <v>0</v>
      </c>
      <c r="U515" s="14">
        <v>0</v>
      </c>
      <c r="V515" s="19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f>Tabla13[[#This Row],[CheckList App]]+Tabla13[[#This Row],[CheckList Fisc]]</f>
        <v>0</v>
      </c>
      <c r="AB515" s="19" t="str">
        <f t="shared" si="8"/>
        <v/>
      </c>
      <c r="AC515" s="14">
        <v>0</v>
      </c>
      <c r="AD515" s="14" t="s">
        <v>55</v>
      </c>
      <c r="AE515" s="15" t="str">
        <f>IFERROR((VLOOKUP(Tabla13[[#This Row],[ID]],[1]!Mtto_Pesv[[#Headers],[#Data],[Placa]:[Rutina]],2,FALSE)),"-")</f>
        <v>-</v>
      </c>
      <c r="AF515" s="14">
        <v>0</v>
      </c>
      <c r="AG515" s="20">
        <f>IFERROR((VLOOKUP(Tabla13[[#This Row],[ID]],[1]!Mtto_Pesv[[#Headers],[#Data],[Placa]:[Rutina]],3,FALSE)),0)</f>
        <v>0</v>
      </c>
      <c r="AH515" s="20">
        <f>IFERROR((VLOOKUP(Tabla13[[#This Row],[ID]],[1]!Mtto_Pesv[[#Headers],[#Data],[Placa]:[Rutina]],7,FALSE)),0)</f>
        <v>0</v>
      </c>
      <c r="AI515" s="20">
        <f>IFERROR((VLOOKUP(Tabla13[[#This Row],[ID]],[1]!Mtto_Pesv[[#Headers],[#Data],[Placa]:[Rutina]],8,FALSE)),0)</f>
        <v>0</v>
      </c>
      <c r="AJ515" s="20" t="str">
        <f>IFERROR((VLOOKUP(Tabla13[[#This Row],[ID]],[1]!Mtto_Pesv[[#Headers],[#Data],[Placa]:[Rutina]],9,FALSE)),"-")</f>
        <v>-</v>
      </c>
      <c r="AK515" s="20">
        <f>IFERROR((VLOOKUP(Tabla13[[#This Row],[ID]],[1]!Mtto_Pesv[[#Headers],[#Data],[Placa]:[Rutina]],10,FALSE)),0)</f>
        <v>0</v>
      </c>
      <c r="AL515" s="20">
        <f>IF(Tabla13[[#This Row],[Km Anterior]]=0,0,Tabla13[[#This Row],[Km Ejecut]]-Tabla13[[#This Row],[Km Anterior]])</f>
        <v>0</v>
      </c>
      <c r="AM515" s="20">
        <f>IFERROR((VLOOKUP(Tabla13[[#This Row],[ID]],[1]!Mtto_Pesv[[#Headers],[#Data],[Placa]:[Rutina]],4,FALSE)),0)</f>
        <v>0</v>
      </c>
      <c r="AN515" s="21">
        <f>IFERROR((VLOOKUP(Tabla13[[#This Row],[ID]],[1]!Mtto_Pesv[[#Headers],[#Data],[Placa]:[Rutina]],5,FALSE)),0)</f>
        <v>0</v>
      </c>
      <c r="AO515" s="21">
        <f>+Tabla13[[#This Row],[Km Fin]]-Tabla13[[#This Row],[Km Ini]]</f>
        <v>0</v>
      </c>
      <c r="AP515" s="20">
        <f>IFERROR((VLOOKUP(Tabla13[[#This Row],[ID]],[1]!Estilo_Conduccion[[#All],[Placa]:[Puntuacion]],15,FALSE)),0)</f>
        <v>0</v>
      </c>
      <c r="AQ515" s="15" t="s">
        <v>1405</v>
      </c>
      <c r="AR515" s="15" t="s">
        <v>1406</v>
      </c>
      <c r="AS515" s="20">
        <v>2970</v>
      </c>
      <c r="AT515" s="21">
        <v>13722</v>
      </c>
      <c r="AU515" s="21">
        <f>(Tabla13[[#This Row],[Cap Vh]]*$AX$2)*0.56</f>
        <v>0</v>
      </c>
      <c r="AV515" s="36" t="e">
        <f>(Tabla13[[#This Row],[Cap Util (kg)]]/(Tabla13[[#This Row],[Cap Inst (Kg)]]))</f>
        <v>#DIV/0!</v>
      </c>
    </row>
    <row r="516" spans="1:48" x14ac:dyDescent="0.25">
      <c r="A516" s="13" t="s">
        <v>1068</v>
      </c>
      <c r="B516" s="14" t="s">
        <v>718</v>
      </c>
      <c r="C516" s="14" t="s">
        <v>564</v>
      </c>
      <c r="D516" s="14" t="s">
        <v>577</v>
      </c>
      <c r="E516" s="14" t="s">
        <v>598</v>
      </c>
      <c r="F516" s="14" t="s">
        <v>337</v>
      </c>
      <c r="G516" s="15" t="s">
        <v>128</v>
      </c>
      <c r="H516" s="16" t="s">
        <v>129</v>
      </c>
      <c r="I516" s="14" t="s">
        <v>49</v>
      </c>
      <c r="J516" s="14">
        <v>900335279</v>
      </c>
      <c r="K516" s="14" t="s">
        <v>77</v>
      </c>
      <c r="L516" s="14" t="s">
        <v>103</v>
      </c>
      <c r="M516" s="14" t="s">
        <v>104</v>
      </c>
      <c r="N516" s="14">
        <v>2012</v>
      </c>
      <c r="O516" s="14">
        <v>8</v>
      </c>
      <c r="P516" s="14" t="s">
        <v>53</v>
      </c>
      <c r="Q516" s="14">
        <v>1</v>
      </c>
      <c r="R516" s="14">
        <v>0</v>
      </c>
      <c r="S516" s="17" t="s">
        <v>54</v>
      </c>
      <c r="T516" s="18">
        <v>0</v>
      </c>
      <c r="U516" s="14">
        <v>30</v>
      </c>
      <c r="V516" s="19">
        <v>1</v>
      </c>
      <c r="W516" s="14">
        <v>0</v>
      </c>
      <c r="X516" s="14">
        <v>27</v>
      </c>
      <c r="Y516" s="14">
        <v>0</v>
      </c>
      <c r="Z516" s="14">
        <v>27</v>
      </c>
      <c r="AA516" s="14">
        <f>Tabla13[[#This Row],[CheckList App]]+Tabla13[[#This Row],[CheckList Fisc]]</f>
        <v>27</v>
      </c>
      <c r="AB516" s="19">
        <f t="shared" si="8"/>
        <v>1</v>
      </c>
      <c r="AC516" s="14">
        <v>0</v>
      </c>
      <c r="AD516" s="14" t="s">
        <v>70</v>
      </c>
      <c r="AE516" s="15" t="str">
        <f>IFERROR((VLOOKUP(Tabla13[[#This Row],[ID]],[1]!Mtto_Pesv[[#Headers],[#Data],[Placa]:[Rutina]],2,FALSE)),"-")</f>
        <v>-</v>
      </c>
      <c r="AF516" s="14">
        <v>1</v>
      </c>
      <c r="AG516" s="20">
        <f>IFERROR((VLOOKUP(Tabla13[[#This Row],[ID]],[1]!Mtto_Pesv[[#Headers],[#Data],[Placa]:[Rutina]],3,FALSE)),0)</f>
        <v>0</v>
      </c>
      <c r="AH516" s="20">
        <f>IFERROR((VLOOKUP(Tabla13[[#This Row],[ID]],[1]!Mtto_Pesv[[#Headers],[#Data],[Placa]:[Rutina]],7,FALSE)),0)</f>
        <v>0</v>
      </c>
      <c r="AI516" s="20">
        <f>IFERROR((VLOOKUP(Tabla13[[#This Row],[ID]],[1]!Mtto_Pesv[[#Headers],[#Data],[Placa]:[Rutina]],8,FALSE)),0)</f>
        <v>0</v>
      </c>
      <c r="AJ516" s="20" t="str">
        <f>IFERROR((VLOOKUP(Tabla13[[#This Row],[ID]],[1]!Mtto_Pesv[[#Headers],[#Data],[Placa]:[Rutina]],9,FALSE)),"-")</f>
        <v>-</v>
      </c>
      <c r="AK516" s="20">
        <f>IFERROR((VLOOKUP(Tabla13[[#This Row],[ID]],[1]!Mtto_Pesv[[#Headers],[#Data],[Placa]:[Rutina]],10,FALSE)),0)</f>
        <v>0</v>
      </c>
      <c r="AL516" s="20">
        <f>IF(Tabla13[[#This Row],[Km Anterior]]=0,0,Tabla13[[#This Row],[Km Ejecut]]-Tabla13[[#This Row],[Km Anterior]])</f>
        <v>0</v>
      </c>
      <c r="AM516" s="20">
        <f>IFERROR((VLOOKUP(Tabla13[[#This Row],[ID]],[1]!Mtto_Pesv[[#Headers],[#Data],[Placa]:[Rutina]],4,FALSE)),0)</f>
        <v>0</v>
      </c>
      <c r="AN516" s="21">
        <f>IFERROR((VLOOKUP(Tabla13[[#This Row],[ID]],[1]!Mtto_Pesv[[#Headers],[#Data],[Placa]:[Rutina]],5,FALSE)),0)</f>
        <v>0</v>
      </c>
      <c r="AO516" s="21">
        <f>+Tabla13[[#This Row],[Km Fin]]-Tabla13[[#This Row],[Km Ini]]</f>
        <v>0</v>
      </c>
      <c r="AP516" s="20">
        <f>IFERROR((VLOOKUP(Tabla13[[#This Row],[ID]],[1]!Estilo_Conduccion[[#All],[Placa]:[Puntuacion]],15,FALSE)),0)</f>
        <v>25694.9</v>
      </c>
      <c r="AQ516" s="15" t="s">
        <v>1369</v>
      </c>
      <c r="AR516" s="15" t="s">
        <v>1370</v>
      </c>
      <c r="AS516" s="20">
        <v>1575</v>
      </c>
      <c r="AT516" s="21">
        <v>4834.125</v>
      </c>
      <c r="AU516" s="21">
        <f>(Tabla13[[#This Row],[Cap Vh]]*$AX$2)*0.56</f>
        <v>0</v>
      </c>
      <c r="AV516" s="36" t="e">
        <f>(Tabla13[[#This Row],[Cap Util (kg)]]/(Tabla13[[#This Row],[Cap Inst (Kg)]]))</f>
        <v>#DIV/0!</v>
      </c>
    </row>
    <row r="517" spans="1:48" x14ac:dyDescent="0.25">
      <c r="A517" s="13" t="s">
        <v>1068</v>
      </c>
      <c r="B517" s="14" t="s">
        <v>719</v>
      </c>
      <c r="C517" s="14" t="s">
        <v>564</v>
      </c>
      <c r="D517" s="14" t="s">
        <v>577</v>
      </c>
      <c r="E517" s="14" t="s">
        <v>598</v>
      </c>
      <c r="F517" s="14" t="s">
        <v>76</v>
      </c>
      <c r="G517" s="15" t="s">
        <v>89</v>
      </c>
      <c r="H517" s="16" t="s">
        <v>90</v>
      </c>
      <c r="I517" s="14" t="s">
        <v>49</v>
      </c>
      <c r="J517" s="14">
        <v>900335279</v>
      </c>
      <c r="K517" s="14" t="s">
        <v>77</v>
      </c>
      <c r="L517" s="14" t="s">
        <v>103</v>
      </c>
      <c r="M517" s="14" t="s">
        <v>104</v>
      </c>
      <c r="N517" s="14">
        <v>2012</v>
      </c>
      <c r="O517" s="14">
        <v>8</v>
      </c>
      <c r="P517" s="14" t="s">
        <v>53</v>
      </c>
      <c r="Q517" s="14">
        <v>0</v>
      </c>
      <c r="R517" s="14">
        <v>0</v>
      </c>
      <c r="S517" s="17" t="s">
        <v>54</v>
      </c>
      <c r="T517" s="18">
        <v>0</v>
      </c>
      <c r="U517" s="14">
        <v>0</v>
      </c>
      <c r="V517" s="19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f>Tabla13[[#This Row],[CheckList App]]+Tabla13[[#This Row],[CheckList Fisc]]</f>
        <v>0</v>
      </c>
      <c r="AB517" s="19" t="str">
        <f t="shared" si="8"/>
        <v/>
      </c>
      <c r="AC517" s="14">
        <v>0</v>
      </c>
      <c r="AD517" s="14" t="s">
        <v>55</v>
      </c>
      <c r="AE517" s="15" t="str">
        <f>IFERROR((VLOOKUP(Tabla13[[#This Row],[ID]],[1]!Mtto_Pesv[[#Headers],[#Data],[Placa]:[Rutina]],2,FALSE)),"-")</f>
        <v>-</v>
      </c>
      <c r="AF517" s="14">
        <v>0</v>
      </c>
      <c r="AG517" s="20">
        <f>IFERROR((VLOOKUP(Tabla13[[#This Row],[ID]],[1]!Mtto_Pesv[[#Headers],[#Data],[Placa]:[Rutina]],3,FALSE)),0)</f>
        <v>0</v>
      </c>
      <c r="AH517" s="20">
        <f>IFERROR((VLOOKUP(Tabla13[[#This Row],[ID]],[1]!Mtto_Pesv[[#Headers],[#Data],[Placa]:[Rutina]],7,FALSE)),0)</f>
        <v>0</v>
      </c>
      <c r="AI517" s="20">
        <f>IFERROR((VLOOKUP(Tabla13[[#This Row],[ID]],[1]!Mtto_Pesv[[#Headers],[#Data],[Placa]:[Rutina]],8,FALSE)),0)</f>
        <v>0</v>
      </c>
      <c r="AJ517" s="20" t="str">
        <f>IFERROR((VLOOKUP(Tabla13[[#This Row],[ID]],[1]!Mtto_Pesv[[#Headers],[#Data],[Placa]:[Rutina]],9,FALSE)),"-")</f>
        <v>-</v>
      </c>
      <c r="AK517" s="20">
        <f>IFERROR((VLOOKUP(Tabla13[[#This Row],[ID]],[1]!Mtto_Pesv[[#Headers],[#Data],[Placa]:[Rutina]],10,FALSE)),0)</f>
        <v>0</v>
      </c>
      <c r="AL517" s="20">
        <f>IF(Tabla13[[#This Row],[Km Anterior]]=0,0,Tabla13[[#This Row],[Km Ejecut]]-Tabla13[[#This Row],[Km Anterior]])</f>
        <v>0</v>
      </c>
      <c r="AM517" s="20">
        <f>IFERROR((VLOOKUP(Tabla13[[#This Row],[ID]],[1]!Mtto_Pesv[[#Headers],[#Data],[Placa]:[Rutina]],4,FALSE)),0)</f>
        <v>0</v>
      </c>
      <c r="AN517" s="21">
        <f>IFERROR((VLOOKUP(Tabla13[[#This Row],[ID]],[1]!Mtto_Pesv[[#Headers],[#Data],[Placa]:[Rutina]],5,FALSE)),0)</f>
        <v>0</v>
      </c>
      <c r="AO517" s="21">
        <f>+Tabla13[[#This Row],[Km Fin]]-Tabla13[[#This Row],[Km Ini]]</f>
        <v>0</v>
      </c>
      <c r="AP517" s="20">
        <f>IFERROR((VLOOKUP(Tabla13[[#This Row],[ID]],[1]!Estilo_Conduccion[[#All],[Placa]:[Puntuacion]],15,FALSE)),0)</f>
        <v>0</v>
      </c>
      <c r="AQ517" s="15" t="s">
        <v>1361</v>
      </c>
      <c r="AR517" s="15" t="s">
        <v>1362</v>
      </c>
      <c r="AS517" s="20">
        <v>1575</v>
      </c>
      <c r="AT517" s="21">
        <v>7627.5</v>
      </c>
      <c r="AU517" s="21">
        <f>(Tabla13[[#This Row],[Cap Vh]]*$AX$2)*0.56</f>
        <v>0</v>
      </c>
      <c r="AV517" s="36" t="e">
        <f>(Tabla13[[#This Row],[Cap Util (kg)]]/(Tabla13[[#This Row],[Cap Inst (Kg)]]))</f>
        <v>#DIV/0!</v>
      </c>
    </row>
    <row r="518" spans="1:48" x14ac:dyDescent="0.25">
      <c r="A518" s="13" t="s">
        <v>1068</v>
      </c>
      <c r="B518" s="14" t="s">
        <v>720</v>
      </c>
      <c r="C518" s="14" t="s">
        <v>564</v>
      </c>
      <c r="D518" s="14" t="s">
        <v>577</v>
      </c>
      <c r="E518" s="14" t="s">
        <v>578</v>
      </c>
      <c r="F518" s="14" t="s">
        <v>76</v>
      </c>
      <c r="G518" s="15" t="s">
        <v>47</v>
      </c>
      <c r="H518" s="16" t="s">
        <v>48</v>
      </c>
      <c r="I518" s="14" t="s">
        <v>49</v>
      </c>
      <c r="J518" s="14">
        <v>900335279</v>
      </c>
      <c r="K518" s="14" t="s">
        <v>77</v>
      </c>
      <c r="L518" s="14" t="s">
        <v>103</v>
      </c>
      <c r="M518" s="14" t="s">
        <v>104</v>
      </c>
      <c r="N518" s="14">
        <v>2012</v>
      </c>
      <c r="O518" s="14">
        <v>8</v>
      </c>
      <c r="P518" s="14" t="s">
        <v>53</v>
      </c>
      <c r="Q518" s="14">
        <v>0</v>
      </c>
      <c r="R518" s="14">
        <v>0</v>
      </c>
      <c r="S518" s="17" t="s">
        <v>54</v>
      </c>
      <c r="T518" s="18">
        <v>0</v>
      </c>
      <c r="U518" s="14">
        <v>0</v>
      </c>
      <c r="V518" s="19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f>Tabla13[[#This Row],[CheckList App]]+Tabla13[[#This Row],[CheckList Fisc]]</f>
        <v>0</v>
      </c>
      <c r="AB518" s="19" t="str">
        <f t="shared" si="8"/>
        <v/>
      </c>
      <c r="AC518" s="14">
        <v>0</v>
      </c>
      <c r="AD518" s="14" t="s">
        <v>55</v>
      </c>
      <c r="AE518" s="15" t="str">
        <f>IFERROR((VLOOKUP(Tabla13[[#This Row],[ID]],[1]!Mtto_Pesv[[#Headers],[#Data],[Placa]:[Rutina]],2,FALSE)),"-")</f>
        <v>-</v>
      </c>
      <c r="AF518" s="14">
        <v>0</v>
      </c>
      <c r="AG518" s="20">
        <f>IFERROR((VLOOKUP(Tabla13[[#This Row],[ID]],[1]!Mtto_Pesv[[#Headers],[#Data],[Placa]:[Rutina]],3,FALSE)),0)</f>
        <v>0</v>
      </c>
      <c r="AH518" s="20">
        <f>IFERROR((VLOOKUP(Tabla13[[#This Row],[ID]],[1]!Mtto_Pesv[[#Headers],[#Data],[Placa]:[Rutina]],7,FALSE)),0)</f>
        <v>0</v>
      </c>
      <c r="AI518" s="20">
        <f>IFERROR((VLOOKUP(Tabla13[[#This Row],[ID]],[1]!Mtto_Pesv[[#Headers],[#Data],[Placa]:[Rutina]],8,FALSE)),0)</f>
        <v>0</v>
      </c>
      <c r="AJ518" s="20" t="str">
        <f>IFERROR((VLOOKUP(Tabla13[[#This Row],[ID]],[1]!Mtto_Pesv[[#Headers],[#Data],[Placa]:[Rutina]],9,FALSE)),"-")</f>
        <v>-</v>
      </c>
      <c r="AK518" s="20">
        <f>IFERROR((VLOOKUP(Tabla13[[#This Row],[ID]],[1]!Mtto_Pesv[[#Headers],[#Data],[Placa]:[Rutina]],10,FALSE)),0)</f>
        <v>0</v>
      </c>
      <c r="AL518" s="20">
        <f>IF(Tabla13[[#This Row],[Km Anterior]]=0,0,Tabla13[[#This Row],[Km Ejecut]]-Tabla13[[#This Row],[Km Anterior]])</f>
        <v>0</v>
      </c>
      <c r="AM518" s="20">
        <f>IFERROR((VLOOKUP(Tabla13[[#This Row],[ID]],[1]!Mtto_Pesv[[#Headers],[#Data],[Placa]:[Rutina]],4,FALSE)),0)</f>
        <v>0</v>
      </c>
      <c r="AN518" s="21">
        <f>IFERROR((VLOOKUP(Tabla13[[#This Row],[ID]],[1]!Mtto_Pesv[[#Headers],[#Data],[Placa]:[Rutina]],5,FALSE)),0)</f>
        <v>0</v>
      </c>
      <c r="AO518" s="21">
        <f>+Tabla13[[#This Row],[Km Fin]]-Tabla13[[#This Row],[Km Ini]]</f>
        <v>0</v>
      </c>
      <c r="AP518" s="20">
        <f>IFERROR((VLOOKUP(Tabla13[[#This Row],[ID]],[1]!Estilo_Conduccion[[#All],[Placa]:[Puntuacion]],15,FALSE)),0)</f>
        <v>0</v>
      </c>
      <c r="AQ518" s="15" t="s">
        <v>1399</v>
      </c>
      <c r="AR518" s="15" t="s">
        <v>1400</v>
      </c>
      <c r="AS518" s="20">
        <v>1575</v>
      </c>
      <c r="AT518" s="21">
        <v>20864.7</v>
      </c>
      <c r="AU518" s="21">
        <f>(Tabla13[[#This Row],[Cap Vh]]*$AX$2)*0.56</f>
        <v>0</v>
      </c>
      <c r="AV518" s="36" t="e">
        <f>(Tabla13[[#This Row],[Cap Util (kg)]]/(Tabla13[[#This Row],[Cap Inst (Kg)]]))</f>
        <v>#DIV/0!</v>
      </c>
    </row>
    <row r="519" spans="1:48" x14ac:dyDescent="0.25">
      <c r="A519" s="13" t="s">
        <v>1068</v>
      </c>
      <c r="B519" s="14" t="s">
        <v>721</v>
      </c>
      <c r="C519" s="14" t="s">
        <v>564</v>
      </c>
      <c r="D519" s="14" t="s">
        <v>577</v>
      </c>
      <c r="E519" s="14" t="s">
        <v>598</v>
      </c>
      <c r="F519" s="14" t="s">
        <v>76</v>
      </c>
      <c r="G519" s="15" t="s">
        <v>89</v>
      </c>
      <c r="H519" s="16" t="s">
        <v>90</v>
      </c>
      <c r="I519" s="14" t="s">
        <v>49</v>
      </c>
      <c r="J519" s="14">
        <v>890300279</v>
      </c>
      <c r="K519" s="14" t="s">
        <v>282</v>
      </c>
      <c r="L519" s="14" t="s">
        <v>405</v>
      </c>
      <c r="M519" s="14" t="s">
        <v>441</v>
      </c>
      <c r="N519" s="14">
        <v>2012</v>
      </c>
      <c r="O519" s="14">
        <v>8</v>
      </c>
      <c r="P519" s="14" t="s">
        <v>53</v>
      </c>
      <c r="Q519" s="14">
        <v>0</v>
      </c>
      <c r="R519" s="14">
        <v>0</v>
      </c>
      <c r="S519" s="17" t="s">
        <v>54</v>
      </c>
      <c r="T519" s="18">
        <v>0</v>
      </c>
      <c r="U519" s="14">
        <v>0</v>
      </c>
      <c r="V519" s="19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f>Tabla13[[#This Row],[CheckList App]]+Tabla13[[#This Row],[CheckList Fisc]]</f>
        <v>0</v>
      </c>
      <c r="AB519" s="19" t="str">
        <f t="shared" si="8"/>
        <v/>
      </c>
      <c r="AC519" s="14">
        <v>0</v>
      </c>
      <c r="AD519" s="14" t="s">
        <v>55</v>
      </c>
      <c r="AE519" s="15" t="str">
        <f>IFERROR((VLOOKUP(Tabla13[[#This Row],[ID]],[1]!Mtto_Pesv[[#Headers],[#Data],[Placa]:[Rutina]],2,FALSE)),"-")</f>
        <v>-</v>
      </c>
      <c r="AF519" s="14">
        <v>0</v>
      </c>
      <c r="AG519" s="20">
        <f>IFERROR((VLOOKUP(Tabla13[[#This Row],[ID]],[1]!Mtto_Pesv[[#Headers],[#Data],[Placa]:[Rutina]],3,FALSE)),0)</f>
        <v>0</v>
      </c>
      <c r="AH519" s="20">
        <f>IFERROR((VLOOKUP(Tabla13[[#This Row],[ID]],[1]!Mtto_Pesv[[#Headers],[#Data],[Placa]:[Rutina]],7,FALSE)),0)</f>
        <v>0</v>
      </c>
      <c r="AI519" s="20">
        <f>IFERROR((VLOOKUP(Tabla13[[#This Row],[ID]],[1]!Mtto_Pesv[[#Headers],[#Data],[Placa]:[Rutina]],8,FALSE)),0)</f>
        <v>0</v>
      </c>
      <c r="AJ519" s="20" t="str">
        <f>IFERROR((VLOOKUP(Tabla13[[#This Row],[ID]],[1]!Mtto_Pesv[[#Headers],[#Data],[Placa]:[Rutina]],9,FALSE)),"-")</f>
        <v>-</v>
      </c>
      <c r="AK519" s="20">
        <f>IFERROR((VLOOKUP(Tabla13[[#This Row],[ID]],[1]!Mtto_Pesv[[#Headers],[#Data],[Placa]:[Rutina]],10,FALSE)),0)</f>
        <v>0</v>
      </c>
      <c r="AL519" s="20">
        <f>IF(Tabla13[[#This Row],[Km Anterior]]=0,0,Tabla13[[#This Row],[Km Ejecut]]-Tabla13[[#This Row],[Km Anterior]])</f>
        <v>0</v>
      </c>
      <c r="AM519" s="20">
        <f>IFERROR((VLOOKUP(Tabla13[[#This Row],[ID]],[1]!Mtto_Pesv[[#Headers],[#Data],[Placa]:[Rutina]],4,FALSE)),0)</f>
        <v>0</v>
      </c>
      <c r="AN519" s="21">
        <f>IFERROR((VLOOKUP(Tabla13[[#This Row],[ID]],[1]!Mtto_Pesv[[#Headers],[#Data],[Placa]:[Rutina]],5,FALSE)),0)</f>
        <v>0</v>
      </c>
      <c r="AO519" s="21">
        <f>+Tabla13[[#This Row],[Km Fin]]-Tabla13[[#This Row],[Km Ini]]</f>
        <v>0</v>
      </c>
      <c r="AP519" s="20">
        <f>IFERROR((VLOOKUP(Tabla13[[#This Row],[ID]],[1]!Estilo_Conduccion[[#All],[Placa]:[Puntuacion]],15,FALSE)),0)</f>
        <v>0</v>
      </c>
      <c r="AQ519" s="15" t="s">
        <v>1367</v>
      </c>
      <c r="AR519" s="15" t="s">
        <v>1368</v>
      </c>
      <c r="AS519" s="20">
        <v>1013</v>
      </c>
      <c r="AT519" s="21">
        <v>7802.4</v>
      </c>
      <c r="AU519" s="21">
        <f>(Tabla13[[#This Row],[Cap Vh]]*$AX$2)*0.56</f>
        <v>0</v>
      </c>
      <c r="AV519" s="36" t="e">
        <f>(Tabla13[[#This Row],[Cap Util (kg)]]/(Tabla13[[#This Row],[Cap Inst (Kg)]]))</f>
        <v>#DIV/0!</v>
      </c>
    </row>
    <row r="520" spans="1:48" x14ac:dyDescent="0.25">
      <c r="A520" s="13" t="s">
        <v>1068</v>
      </c>
      <c r="B520" s="14" t="s">
        <v>722</v>
      </c>
      <c r="C520" s="14" t="s">
        <v>44</v>
      </c>
      <c r="D520" s="14" t="s">
        <v>44</v>
      </c>
      <c r="E520" s="14" t="s">
        <v>85</v>
      </c>
      <c r="F520" s="14" t="s">
        <v>337</v>
      </c>
      <c r="G520" s="15" t="s">
        <v>47</v>
      </c>
      <c r="H520" s="16" t="s">
        <v>48</v>
      </c>
      <c r="I520" s="14" t="s">
        <v>49</v>
      </c>
      <c r="J520" s="14">
        <v>890300279</v>
      </c>
      <c r="K520" s="14" t="s">
        <v>282</v>
      </c>
      <c r="L520" s="14" t="s">
        <v>103</v>
      </c>
      <c r="M520" s="14" t="s">
        <v>104</v>
      </c>
      <c r="N520" s="14">
        <v>2012</v>
      </c>
      <c r="O520" s="14">
        <v>8</v>
      </c>
      <c r="P520" s="14" t="s">
        <v>53</v>
      </c>
      <c r="Q520" s="14">
        <v>0</v>
      </c>
      <c r="R520" s="14">
        <v>0</v>
      </c>
      <c r="S520" s="17" t="s">
        <v>54</v>
      </c>
      <c r="T520" s="18">
        <v>0</v>
      </c>
      <c r="U520" s="14">
        <v>0</v>
      </c>
      <c r="V520" s="19">
        <v>1</v>
      </c>
      <c r="W520" s="14">
        <v>0</v>
      </c>
      <c r="X520" s="14">
        <v>0</v>
      </c>
      <c r="Y520" s="14">
        <v>0</v>
      </c>
      <c r="Z520" s="14">
        <v>0</v>
      </c>
      <c r="AA520" s="14">
        <f>Tabla13[[#This Row],[CheckList App]]+Tabla13[[#This Row],[CheckList Fisc]]</f>
        <v>0</v>
      </c>
      <c r="AB520" s="19" t="str">
        <f t="shared" si="8"/>
        <v/>
      </c>
      <c r="AC520" s="14">
        <v>0</v>
      </c>
      <c r="AD520" s="14" t="s">
        <v>55</v>
      </c>
      <c r="AE520" s="15" t="str">
        <f>IFERROR((VLOOKUP(Tabla13[[#This Row],[ID]],[1]!Mtto_Pesv[[#Headers],[#Data],[Placa]:[Rutina]],2,FALSE)),"-")</f>
        <v>-</v>
      </c>
      <c r="AF520" s="14">
        <v>0</v>
      </c>
      <c r="AG520" s="20">
        <f>IFERROR((VLOOKUP(Tabla13[[#This Row],[ID]],[1]!Mtto_Pesv[[#Headers],[#Data],[Placa]:[Rutina]],3,FALSE)),0)</f>
        <v>0</v>
      </c>
      <c r="AH520" s="20">
        <f>IFERROR((VLOOKUP(Tabla13[[#This Row],[ID]],[1]!Mtto_Pesv[[#Headers],[#Data],[Placa]:[Rutina]],7,FALSE)),0)</f>
        <v>0</v>
      </c>
      <c r="AI520" s="20">
        <f>IFERROR((VLOOKUP(Tabla13[[#This Row],[ID]],[1]!Mtto_Pesv[[#Headers],[#Data],[Placa]:[Rutina]],8,FALSE)),0)</f>
        <v>0</v>
      </c>
      <c r="AJ520" s="20" t="str">
        <f>IFERROR((VLOOKUP(Tabla13[[#This Row],[ID]],[1]!Mtto_Pesv[[#Headers],[#Data],[Placa]:[Rutina]],9,FALSE)),"-")</f>
        <v>-</v>
      </c>
      <c r="AK520" s="20">
        <f>IFERROR((VLOOKUP(Tabla13[[#This Row],[ID]],[1]!Mtto_Pesv[[#Headers],[#Data],[Placa]:[Rutina]],10,FALSE)),0)</f>
        <v>0</v>
      </c>
      <c r="AL520" s="20">
        <f>IF(Tabla13[[#This Row],[Km Anterior]]=0,0,Tabla13[[#This Row],[Km Ejecut]]-Tabla13[[#This Row],[Km Anterior]])</f>
        <v>0</v>
      </c>
      <c r="AM520" s="20">
        <f>IFERROR((VLOOKUP(Tabla13[[#This Row],[ID]],[1]!Mtto_Pesv[[#Headers],[#Data],[Placa]:[Rutina]],4,FALSE)),0)</f>
        <v>0</v>
      </c>
      <c r="AN520" s="21">
        <f>IFERROR((VLOOKUP(Tabla13[[#This Row],[ID]],[1]!Mtto_Pesv[[#Headers],[#Data],[Placa]:[Rutina]],5,FALSE)),0)</f>
        <v>0</v>
      </c>
      <c r="AO520" s="21">
        <f>+Tabla13[[#This Row],[Km Fin]]-Tabla13[[#This Row],[Km Ini]]</f>
        <v>0</v>
      </c>
      <c r="AP520" s="20">
        <f>IFERROR((VLOOKUP(Tabla13[[#This Row],[ID]],[1]!Estilo_Conduccion[[#All],[Placa]:[Puntuacion]],15,FALSE)),0)</f>
        <v>0</v>
      </c>
      <c r="AQ520" s="15" t="s">
        <v>1389</v>
      </c>
      <c r="AR520" s="15" t="s">
        <v>1390</v>
      </c>
      <c r="AS520" s="20">
        <v>1325</v>
      </c>
      <c r="AT520" s="21">
        <v>5880</v>
      </c>
      <c r="AU520" s="21">
        <f>(Tabla13[[#This Row],[Cap Vh]]*$AX$2)*0.56</f>
        <v>0</v>
      </c>
      <c r="AV520" s="36" t="e">
        <f>(Tabla13[[#This Row],[Cap Util (kg)]]/(Tabla13[[#This Row],[Cap Inst (Kg)]]))</f>
        <v>#DIV/0!</v>
      </c>
    </row>
    <row r="521" spans="1:48" x14ac:dyDescent="0.25">
      <c r="A521" s="13" t="s">
        <v>1068</v>
      </c>
      <c r="B521" s="14" t="s">
        <v>723</v>
      </c>
      <c r="C521" s="14" t="s">
        <v>564</v>
      </c>
      <c r="D521" s="14" t="s">
        <v>577</v>
      </c>
      <c r="E521" s="14" t="s">
        <v>598</v>
      </c>
      <c r="F521" s="14" t="s">
        <v>337</v>
      </c>
      <c r="G521" s="15" t="s">
        <v>128</v>
      </c>
      <c r="H521" s="16" t="s">
        <v>129</v>
      </c>
      <c r="I521" s="14" t="s">
        <v>49</v>
      </c>
      <c r="J521" s="14">
        <v>900335279</v>
      </c>
      <c r="K521" s="14" t="s">
        <v>77</v>
      </c>
      <c r="L521" s="14" t="s">
        <v>103</v>
      </c>
      <c r="M521" s="14" t="s">
        <v>104</v>
      </c>
      <c r="N521" s="14">
        <v>2012</v>
      </c>
      <c r="O521" s="14">
        <v>8</v>
      </c>
      <c r="P521" s="14" t="s">
        <v>53</v>
      </c>
      <c r="Q521" s="14">
        <v>1</v>
      </c>
      <c r="R521" s="14">
        <v>0</v>
      </c>
      <c r="S521" s="17" t="s">
        <v>54</v>
      </c>
      <c r="T521" s="18">
        <v>0</v>
      </c>
      <c r="U521" s="14">
        <v>30</v>
      </c>
      <c r="V521" s="19">
        <v>1</v>
      </c>
      <c r="W521" s="14">
        <v>0</v>
      </c>
      <c r="X521" s="14">
        <v>27</v>
      </c>
      <c r="Y521" s="14">
        <v>0</v>
      </c>
      <c r="Z521" s="14">
        <v>27</v>
      </c>
      <c r="AA521" s="14">
        <f>Tabla13[[#This Row],[CheckList App]]+Tabla13[[#This Row],[CheckList Fisc]]</f>
        <v>27</v>
      </c>
      <c r="AB521" s="19">
        <f t="shared" si="8"/>
        <v>1</v>
      </c>
      <c r="AC521" s="14">
        <v>0</v>
      </c>
      <c r="AD521" s="14" t="s">
        <v>55</v>
      </c>
      <c r="AE521" s="15" t="str">
        <f>IFERROR((VLOOKUP(Tabla13[[#This Row],[ID]],[1]!Mtto_Pesv[[#Headers],[#Data],[Placa]:[Rutina]],2,FALSE)),"-")</f>
        <v>-</v>
      </c>
      <c r="AF521" s="14">
        <v>0</v>
      </c>
      <c r="AG521" s="20">
        <f>IFERROR((VLOOKUP(Tabla13[[#This Row],[ID]],[1]!Mtto_Pesv[[#Headers],[#Data],[Placa]:[Rutina]],3,FALSE)),0)</f>
        <v>0</v>
      </c>
      <c r="AH521" s="20">
        <f>IFERROR((VLOOKUP(Tabla13[[#This Row],[ID]],[1]!Mtto_Pesv[[#Headers],[#Data],[Placa]:[Rutina]],7,FALSE)),0)</f>
        <v>0</v>
      </c>
      <c r="AI521" s="20">
        <f>IFERROR((VLOOKUP(Tabla13[[#This Row],[ID]],[1]!Mtto_Pesv[[#Headers],[#Data],[Placa]:[Rutina]],8,FALSE)),0)</f>
        <v>0</v>
      </c>
      <c r="AJ521" s="20" t="str">
        <f>IFERROR((VLOOKUP(Tabla13[[#This Row],[ID]],[1]!Mtto_Pesv[[#Headers],[#Data],[Placa]:[Rutina]],9,FALSE)),"-")</f>
        <v>-</v>
      </c>
      <c r="AK521" s="20">
        <f>IFERROR((VLOOKUP(Tabla13[[#This Row],[ID]],[1]!Mtto_Pesv[[#Headers],[#Data],[Placa]:[Rutina]],10,FALSE)),0)</f>
        <v>0</v>
      </c>
      <c r="AL521" s="20">
        <f>IF(Tabla13[[#This Row],[Km Anterior]]=0,0,Tabla13[[#This Row],[Km Ejecut]]-Tabla13[[#This Row],[Km Anterior]])</f>
        <v>0</v>
      </c>
      <c r="AM521" s="20">
        <f>IFERROR((VLOOKUP(Tabla13[[#This Row],[ID]],[1]!Mtto_Pesv[[#Headers],[#Data],[Placa]:[Rutina]],4,FALSE)),0)</f>
        <v>0</v>
      </c>
      <c r="AN521" s="21">
        <f>IFERROR((VLOOKUP(Tabla13[[#This Row],[ID]],[1]!Mtto_Pesv[[#Headers],[#Data],[Placa]:[Rutina]],5,FALSE)),0)</f>
        <v>0</v>
      </c>
      <c r="AO521" s="21">
        <f>+Tabla13[[#This Row],[Km Fin]]-Tabla13[[#This Row],[Km Ini]]</f>
        <v>0</v>
      </c>
      <c r="AP521" s="20">
        <f>IFERROR((VLOOKUP(Tabla13[[#This Row],[ID]],[1]!Estilo_Conduccion[[#All],[Placa]:[Puntuacion]],15,FALSE)),0)</f>
        <v>24395.1</v>
      </c>
      <c r="AQ521" s="15" t="s">
        <v>1407</v>
      </c>
      <c r="AR521" s="15" t="s">
        <v>1408</v>
      </c>
      <c r="AS521" s="20">
        <v>1325</v>
      </c>
      <c r="AT521" s="21">
        <v>4509</v>
      </c>
      <c r="AU521" s="21">
        <f>(Tabla13[[#This Row],[Cap Vh]]*$AX$2)*0.56</f>
        <v>0</v>
      </c>
      <c r="AV521" s="36" t="e">
        <f>(Tabla13[[#This Row],[Cap Util (kg)]]/(Tabla13[[#This Row],[Cap Inst (Kg)]]))</f>
        <v>#DIV/0!</v>
      </c>
    </row>
    <row r="522" spans="1:48" x14ac:dyDescent="0.25">
      <c r="A522" s="13" t="s">
        <v>1068</v>
      </c>
      <c r="B522" s="14" t="s">
        <v>724</v>
      </c>
      <c r="C522" s="14" t="s">
        <v>564</v>
      </c>
      <c r="D522" s="14" t="s">
        <v>577</v>
      </c>
      <c r="E522" s="14" t="s">
        <v>598</v>
      </c>
      <c r="F522" s="14" t="s">
        <v>337</v>
      </c>
      <c r="G522" s="15" t="s">
        <v>128</v>
      </c>
      <c r="H522" s="16" t="s">
        <v>129</v>
      </c>
      <c r="I522" s="14" t="s">
        <v>49</v>
      </c>
      <c r="J522" s="14">
        <v>890300279</v>
      </c>
      <c r="K522" s="14" t="s">
        <v>282</v>
      </c>
      <c r="L522" s="14" t="s">
        <v>103</v>
      </c>
      <c r="M522" s="14" t="s">
        <v>104</v>
      </c>
      <c r="N522" s="14">
        <v>2012</v>
      </c>
      <c r="O522" s="14">
        <v>8</v>
      </c>
      <c r="P522" s="14" t="s">
        <v>53</v>
      </c>
      <c r="Q522" s="14">
        <v>1</v>
      </c>
      <c r="R522" s="14">
        <v>0</v>
      </c>
      <c r="S522" s="17" t="s">
        <v>54</v>
      </c>
      <c r="T522" s="18">
        <v>0</v>
      </c>
      <c r="U522" s="14">
        <v>30</v>
      </c>
      <c r="V522" s="19">
        <v>1</v>
      </c>
      <c r="W522" s="14">
        <v>0</v>
      </c>
      <c r="X522" s="14">
        <v>6</v>
      </c>
      <c r="Y522" s="14">
        <v>0</v>
      </c>
      <c r="Z522" s="14">
        <v>1</v>
      </c>
      <c r="AA522" s="14">
        <f>Tabla13[[#This Row],[CheckList App]]+Tabla13[[#This Row],[CheckList Fisc]]</f>
        <v>1</v>
      </c>
      <c r="AB522" s="19">
        <f t="shared" si="8"/>
        <v>0.16666666666666666</v>
      </c>
      <c r="AC522" s="14">
        <v>0</v>
      </c>
      <c r="AD522" s="14" t="s">
        <v>55</v>
      </c>
      <c r="AE522" s="15" t="str">
        <f>IFERROR((VLOOKUP(Tabla13[[#This Row],[ID]],[1]!Mtto_Pesv[[#Headers],[#Data],[Placa]:[Rutina]],2,FALSE)),"-")</f>
        <v>-</v>
      </c>
      <c r="AF522" s="14">
        <v>0</v>
      </c>
      <c r="AG522" s="20">
        <f>IFERROR((VLOOKUP(Tabla13[[#This Row],[ID]],[1]!Mtto_Pesv[[#Headers],[#Data],[Placa]:[Rutina]],3,FALSE)),0)</f>
        <v>0</v>
      </c>
      <c r="AH522" s="20">
        <f>IFERROR((VLOOKUP(Tabla13[[#This Row],[ID]],[1]!Mtto_Pesv[[#Headers],[#Data],[Placa]:[Rutina]],7,FALSE)),0)</f>
        <v>0</v>
      </c>
      <c r="AI522" s="20">
        <f>IFERROR((VLOOKUP(Tabla13[[#This Row],[ID]],[1]!Mtto_Pesv[[#Headers],[#Data],[Placa]:[Rutina]],8,FALSE)),0)</f>
        <v>0</v>
      </c>
      <c r="AJ522" s="20" t="str">
        <f>IFERROR((VLOOKUP(Tabla13[[#This Row],[ID]],[1]!Mtto_Pesv[[#Headers],[#Data],[Placa]:[Rutina]],9,FALSE)),"-")</f>
        <v>-</v>
      </c>
      <c r="AK522" s="20">
        <f>IFERROR((VLOOKUP(Tabla13[[#This Row],[ID]],[1]!Mtto_Pesv[[#Headers],[#Data],[Placa]:[Rutina]],10,FALSE)),0)</f>
        <v>0</v>
      </c>
      <c r="AL522" s="20">
        <f>IF(Tabla13[[#This Row],[Km Anterior]]=0,0,Tabla13[[#This Row],[Km Ejecut]]-Tabla13[[#This Row],[Km Anterior]])</f>
        <v>0</v>
      </c>
      <c r="AM522" s="20">
        <f>IFERROR((VLOOKUP(Tabla13[[#This Row],[ID]],[1]!Mtto_Pesv[[#Headers],[#Data],[Placa]:[Rutina]],4,FALSE)),0)</f>
        <v>0</v>
      </c>
      <c r="AN522" s="21">
        <f>IFERROR((VLOOKUP(Tabla13[[#This Row],[ID]],[1]!Mtto_Pesv[[#Headers],[#Data],[Placa]:[Rutina]],5,FALSE)),0)</f>
        <v>0</v>
      </c>
      <c r="AO522" s="21">
        <f>+Tabla13[[#This Row],[Km Fin]]-Tabla13[[#This Row],[Km Ini]]</f>
        <v>0</v>
      </c>
      <c r="AP522" s="20">
        <f>IFERROR((VLOOKUP(Tabla13[[#This Row],[ID]],[1]!Estilo_Conduccion[[#All],[Placa]:[Puntuacion]],15,FALSE)),0)</f>
        <v>16789.199999999997</v>
      </c>
      <c r="AQ522" s="15" t="s">
        <v>1409</v>
      </c>
      <c r="AR522" s="15" t="s">
        <v>1410</v>
      </c>
      <c r="AS522" s="20">
        <v>1325</v>
      </c>
      <c r="AT522" s="21">
        <v>2556</v>
      </c>
      <c r="AU522" s="21">
        <f>(Tabla13[[#This Row],[Cap Vh]]*$AX$2)*0.56</f>
        <v>0</v>
      </c>
      <c r="AV522" s="36" t="e">
        <f>(Tabla13[[#This Row],[Cap Util (kg)]]/(Tabla13[[#This Row],[Cap Inst (Kg)]]))</f>
        <v>#DIV/0!</v>
      </c>
    </row>
    <row r="523" spans="1:48" x14ac:dyDescent="0.25">
      <c r="A523" s="13" t="s">
        <v>1068</v>
      </c>
      <c r="B523" s="14" t="s">
        <v>725</v>
      </c>
      <c r="C523" s="14" t="s">
        <v>564</v>
      </c>
      <c r="D523" s="14" t="s">
        <v>577</v>
      </c>
      <c r="E523" s="14" t="s">
        <v>598</v>
      </c>
      <c r="F523" s="14" t="s">
        <v>76</v>
      </c>
      <c r="G523" s="15" t="s">
        <v>89</v>
      </c>
      <c r="H523" s="16" t="s">
        <v>90</v>
      </c>
      <c r="I523" s="14" t="s">
        <v>49</v>
      </c>
      <c r="J523" s="14">
        <v>890300279</v>
      </c>
      <c r="K523" s="14" t="s">
        <v>282</v>
      </c>
      <c r="L523" s="14" t="s">
        <v>103</v>
      </c>
      <c r="M523" s="14" t="s">
        <v>104</v>
      </c>
      <c r="N523" s="14">
        <v>2012</v>
      </c>
      <c r="O523" s="14">
        <v>8</v>
      </c>
      <c r="P523" s="14" t="s">
        <v>53</v>
      </c>
      <c r="Q523" s="14">
        <v>0</v>
      </c>
      <c r="R523" s="14">
        <v>0</v>
      </c>
      <c r="S523" s="17" t="s">
        <v>54</v>
      </c>
      <c r="T523" s="18">
        <v>0</v>
      </c>
      <c r="U523" s="14">
        <v>0</v>
      </c>
      <c r="V523" s="19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f>Tabla13[[#This Row],[CheckList App]]+Tabla13[[#This Row],[CheckList Fisc]]</f>
        <v>0</v>
      </c>
      <c r="AB523" s="19" t="str">
        <f t="shared" si="8"/>
        <v/>
      </c>
      <c r="AC523" s="14">
        <v>0</v>
      </c>
      <c r="AD523" s="14" t="s">
        <v>55</v>
      </c>
      <c r="AE523" s="15" t="str">
        <f>IFERROR((VLOOKUP(Tabla13[[#This Row],[ID]],[1]!Mtto_Pesv[[#Headers],[#Data],[Placa]:[Rutina]],2,FALSE)),"-")</f>
        <v>-</v>
      </c>
      <c r="AF523" s="14">
        <v>0</v>
      </c>
      <c r="AG523" s="20">
        <f>IFERROR((VLOOKUP(Tabla13[[#This Row],[ID]],[1]!Mtto_Pesv[[#Headers],[#Data],[Placa]:[Rutina]],3,FALSE)),0)</f>
        <v>0</v>
      </c>
      <c r="AH523" s="20">
        <f>IFERROR((VLOOKUP(Tabla13[[#This Row],[ID]],[1]!Mtto_Pesv[[#Headers],[#Data],[Placa]:[Rutina]],7,FALSE)),0)</f>
        <v>0</v>
      </c>
      <c r="AI523" s="20">
        <f>IFERROR((VLOOKUP(Tabla13[[#This Row],[ID]],[1]!Mtto_Pesv[[#Headers],[#Data],[Placa]:[Rutina]],8,FALSE)),0)</f>
        <v>0</v>
      </c>
      <c r="AJ523" s="20" t="str">
        <f>IFERROR((VLOOKUP(Tabla13[[#This Row],[ID]],[1]!Mtto_Pesv[[#Headers],[#Data],[Placa]:[Rutina]],9,FALSE)),"-")</f>
        <v>-</v>
      </c>
      <c r="AK523" s="20">
        <f>IFERROR((VLOOKUP(Tabla13[[#This Row],[ID]],[1]!Mtto_Pesv[[#Headers],[#Data],[Placa]:[Rutina]],10,FALSE)),0)</f>
        <v>0</v>
      </c>
      <c r="AL523" s="20">
        <f>IF(Tabla13[[#This Row],[Km Anterior]]=0,0,Tabla13[[#This Row],[Km Ejecut]]-Tabla13[[#This Row],[Km Anterior]])</f>
        <v>0</v>
      </c>
      <c r="AM523" s="20">
        <f>IFERROR((VLOOKUP(Tabla13[[#This Row],[ID]],[1]!Mtto_Pesv[[#Headers],[#Data],[Placa]:[Rutina]],4,FALSE)),0)</f>
        <v>0</v>
      </c>
      <c r="AN523" s="21">
        <f>IFERROR((VLOOKUP(Tabla13[[#This Row],[ID]],[1]!Mtto_Pesv[[#Headers],[#Data],[Placa]:[Rutina]],5,FALSE)),0)</f>
        <v>0</v>
      </c>
      <c r="AO523" s="21">
        <f>+Tabla13[[#This Row],[Km Fin]]-Tabla13[[#This Row],[Km Ini]]</f>
        <v>0</v>
      </c>
      <c r="AP523" s="20">
        <f>IFERROR((VLOOKUP(Tabla13[[#This Row],[ID]],[1]!Estilo_Conduccion[[#All],[Placa]:[Puntuacion]],15,FALSE)),0)</f>
        <v>0</v>
      </c>
      <c r="AQ523" s="15" t="s">
        <v>1367</v>
      </c>
      <c r="AR523" s="15" t="s">
        <v>1368</v>
      </c>
      <c r="AS523" s="20">
        <v>1325</v>
      </c>
      <c r="AT523" s="21">
        <v>7802.4</v>
      </c>
      <c r="AU523" s="21">
        <f>(Tabla13[[#This Row],[Cap Vh]]*$AX$2)*0.56</f>
        <v>0</v>
      </c>
      <c r="AV523" s="36" t="e">
        <f>(Tabla13[[#This Row],[Cap Util (kg)]]/(Tabla13[[#This Row],[Cap Inst (Kg)]]))</f>
        <v>#DIV/0!</v>
      </c>
    </row>
    <row r="524" spans="1:48" x14ac:dyDescent="0.25">
      <c r="A524" s="13" t="s">
        <v>1068</v>
      </c>
      <c r="B524" s="14" t="s">
        <v>726</v>
      </c>
      <c r="C524" s="14" t="s">
        <v>564</v>
      </c>
      <c r="D524" s="14" t="s">
        <v>577</v>
      </c>
      <c r="E524" s="14" t="s">
        <v>578</v>
      </c>
      <c r="F524" s="14" t="s">
        <v>76</v>
      </c>
      <c r="G524" s="15" t="s">
        <v>89</v>
      </c>
      <c r="H524" s="16" t="s">
        <v>90</v>
      </c>
      <c r="I524" s="14" t="s">
        <v>49</v>
      </c>
      <c r="J524" s="14">
        <v>900335279</v>
      </c>
      <c r="K524" s="14" t="s">
        <v>77</v>
      </c>
      <c r="L524" s="14" t="s">
        <v>103</v>
      </c>
      <c r="M524" s="14" t="s">
        <v>121</v>
      </c>
      <c r="N524" s="14">
        <v>2003</v>
      </c>
      <c r="O524" s="14">
        <v>17</v>
      </c>
      <c r="P524" s="14" t="s">
        <v>173</v>
      </c>
      <c r="Q524" s="14">
        <v>0</v>
      </c>
      <c r="R524" s="14">
        <v>0</v>
      </c>
      <c r="S524" s="17" t="s">
        <v>54</v>
      </c>
      <c r="T524" s="18">
        <v>0</v>
      </c>
      <c r="U524" s="14">
        <v>0</v>
      </c>
      <c r="V524" s="19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f>Tabla13[[#This Row],[CheckList App]]+Tabla13[[#This Row],[CheckList Fisc]]</f>
        <v>0</v>
      </c>
      <c r="AB524" s="19" t="str">
        <f t="shared" si="8"/>
        <v/>
      </c>
      <c r="AC524" s="14">
        <v>0</v>
      </c>
      <c r="AD524" s="14" t="s">
        <v>55</v>
      </c>
      <c r="AE524" s="15" t="str">
        <f>IFERROR((VLOOKUP(Tabla13[[#This Row],[ID]],[1]!Mtto_Pesv[[#Headers],[#Data],[Placa]:[Rutina]],2,FALSE)),"-")</f>
        <v>-</v>
      </c>
      <c r="AF524" s="14">
        <v>0</v>
      </c>
      <c r="AG524" s="20">
        <f>IFERROR((VLOOKUP(Tabla13[[#This Row],[ID]],[1]!Mtto_Pesv[[#Headers],[#Data],[Placa]:[Rutina]],3,FALSE)),0)</f>
        <v>0</v>
      </c>
      <c r="AH524" s="20">
        <f>IFERROR((VLOOKUP(Tabla13[[#This Row],[ID]],[1]!Mtto_Pesv[[#Headers],[#Data],[Placa]:[Rutina]],7,FALSE)),0)</f>
        <v>0</v>
      </c>
      <c r="AI524" s="20">
        <f>IFERROR((VLOOKUP(Tabla13[[#This Row],[ID]],[1]!Mtto_Pesv[[#Headers],[#Data],[Placa]:[Rutina]],8,FALSE)),0)</f>
        <v>0</v>
      </c>
      <c r="AJ524" s="20" t="str">
        <f>IFERROR((VLOOKUP(Tabla13[[#This Row],[ID]],[1]!Mtto_Pesv[[#Headers],[#Data],[Placa]:[Rutina]],9,FALSE)),"-")</f>
        <v>-</v>
      </c>
      <c r="AK524" s="20">
        <f>IFERROR((VLOOKUP(Tabla13[[#This Row],[ID]],[1]!Mtto_Pesv[[#Headers],[#Data],[Placa]:[Rutina]],10,FALSE)),0)</f>
        <v>0</v>
      </c>
      <c r="AL524" s="20">
        <f>IF(Tabla13[[#This Row],[Km Anterior]]=0,0,Tabla13[[#This Row],[Km Ejecut]]-Tabla13[[#This Row],[Km Anterior]])</f>
        <v>0</v>
      </c>
      <c r="AM524" s="20">
        <f>IFERROR((VLOOKUP(Tabla13[[#This Row],[ID]],[1]!Mtto_Pesv[[#Headers],[#Data],[Placa]:[Rutina]],4,FALSE)),0)</f>
        <v>0</v>
      </c>
      <c r="AN524" s="21">
        <f>IFERROR((VLOOKUP(Tabla13[[#This Row],[ID]],[1]!Mtto_Pesv[[#Headers],[#Data],[Placa]:[Rutina]],5,FALSE)),0)</f>
        <v>0</v>
      </c>
      <c r="AO524" s="21">
        <f>+Tabla13[[#This Row],[Km Fin]]-Tabla13[[#This Row],[Km Ini]]</f>
        <v>0</v>
      </c>
      <c r="AP524" s="20">
        <f>IFERROR((VLOOKUP(Tabla13[[#This Row],[ID]],[1]!Estilo_Conduccion[[#All],[Placa]:[Puntuacion]],15,FALSE)),0)</f>
        <v>0</v>
      </c>
      <c r="AQ524" s="15" t="s">
        <v>1365</v>
      </c>
      <c r="AR524" s="15" t="s">
        <v>1366</v>
      </c>
      <c r="AS524" s="20">
        <v>3000</v>
      </c>
      <c r="AT524" s="21">
        <v>10152</v>
      </c>
      <c r="AU524" s="21">
        <f>(Tabla13[[#This Row],[Cap Vh]]*$AX$2)*0.56</f>
        <v>0</v>
      </c>
      <c r="AV524" s="36" t="e">
        <f>(Tabla13[[#This Row],[Cap Util (kg)]]/(Tabla13[[#This Row],[Cap Inst (Kg)]]))</f>
        <v>#DIV/0!</v>
      </c>
    </row>
    <row r="525" spans="1:48" x14ac:dyDescent="0.25">
      <c r="A525" s="13" t="s">
        <v>1068</v>
      </c>
      <c r="B525" s="14" t="s">
        <v>727</v>
      </c>
      <c r="C525" s="14" t="s">
        <v>564</v>
      </c>
      <c r="D525" s="14" t="s">
        <v>577</v>
      </c>
      <c r="E525" s="14" t="s">
        <v>578</v>
      </c>
      <c r="F525" s="14" t="s">
        <v>64</v>
      </c>
      <c r="G525" s="15" t="s">
        <v>128</v>
      </c>
      <c r="H525" s="16" t="s">
        <v>143</v>
      </c>
      <c r="I525" s="14" t="s">
        <v>177</v>
      </c>
      <c r="J525" s="14">
        <v>890300279</v>
      </c>
      <c r="K525" s="14" t="s">
        <v>282</v>
      </c>
      <c r="L525" s="14" t="s">
        <v>103</v>
      </c>
      <c r="M525" s="14" t="s">
        <v>132</v>
      </c>
      <c r="N525" s="14">
        <v>2013</v>
      </c>
      <c r="O525" s="14">
        <v>7</v>
      </c>
      <c r="P525" s="14" t="s">
        <v>53</v>
      </c>
      <c r="Q525" s="14">
        <v>1</v>
      </c>
      <c r="R525" s="14">
        <v>1</v>
      </c>
      <c r="S525" s="17">
        <v>44834.737569444442</v>
      </c>
      <c r="T525" s="18">
        <v>336.63099999999997</v>
      </c>
      <c r="U525" s="14">
        <v>29</v>
      </c>
      <c r="V525" s="19">
        <v>0.96666666666666667</v>
      </c>
      <c r="W525" s="14">
        <v>0</v>
      </c>
      <c r="X525" s="14">
        <v>26</v>
      </c>
      <c r="Y525" s="14">
        <v>0</v>
      </c>
      <c r="Z525" s="14">
        <v>24</v>
      </c>
      <c r="AA525" s="14">
        <f>Tabla13[[#This Row],[CheckList App]]+Tabla13[[#This Row],[CheckList Fisc]]</f>
        <v>24</v>
      </c>
      <c r="AB525" s="19">
        <f t="shared" si="8"/>
        <v>0.92307692307692313</v>
      </c>
      <c r="AC525" s="14">
        <v>12</v>
      </c>
      <c r="AD525" s="14" t="s">
        <v>70</v>
      </c>
      <c r="AE525" s="15" t="str">
        <f>IFERROR((VLOOKUP(Tabla13[[#This Row],[ID]],[1]!Mtto_Pesv[[#Headers],[#Data],[Placa]:[Rutina]],2,FALSE)),"-")</f>
        <v>-</v>
      </c>
      <c r="AF525" s="14">
        <v>1</v>
      </c>
      <c r="AG525" s="20">
        <f>IFERROR((VLOOKUP(Tabla13[[#This Row],[ID]],[1]!Mtto_Pesv[[#Headers],[#Data],[Placa]:[Rutina]],3,FALSE)),0)</f>
        <v>0</v>
      </c>
      <c r="AH525" s="20">
        <f>IFERROR((VLOOKUP(Tabla13[[#This Row],[ID]],[1]!Mtto_Pesv[[#Headers],[#Data],[Placa]:[Rutina]],7,FALSE)),0)</f>
        <v>0</v>
      </c>
      <c r="AI525" s="20">
        <f>IFERROR((VLOOKUP(Tabla13[[#This Row],[ID]],[1]!Mtto_Pesv[[#Headers],[#Data],[Placa]:[Rutina]],8,FALSE)),0)</f>
        <v>0</v>
      </c>
      <c r="AJ525" s="20" t="str">
        <f>IFERROR((VLOOKUP(Tabla13[[#This Row],[ID]],[1]!Mtto_Pesv[[#Headers],[#Data],[Placa]:[Rutina]],9,FALSE)),"-")</f>
        <v>-</v>
      </c>
      <c r="AK525" s="20">
        <f>IFERROR((VLOOKUP(Tabla13[[#This Row],[ID]],[1]!Mtto_Pesv[[#Headers],[#Data],[Placa]:[Rutina]],10,FALSE)),0)</f>
        <v>0</v>
      </c>
      <c r="AL525" s="20">
        <f>IF(Tabla13[[#This Row],[Km Anterior]]=0,0,Tabla13[[#This Row],[Km Ejecut]]-Tabla13[[#This Row],[Km Anterior]])</f>
        <v>0</v>
      </c>
      <c r="AM525" s="20">
        <f>IFERROR((VLOOKUP(Tabla13[[#This Row],[ID]],[1]!Mtto_Pesv[[#Headers],[#Data],[Placa]:[Rutina]],4,FALSE)),0)</f>
        <v>0</v>
      </c>
      <c r="AN525" s="21">
        <f>IFERROR((VLOOKUP(Tabla13[[#This Row],[ID]],[1]!Mtto_Pesv[[#Headers],[#Data],[Placa]:[Rutina]],5,FALSE)),0)</f>
        <v>0</v>
      </c>
      <c r="AO525" s="21">
        <f>+Tabla13[[#This Row],[Km Fin]]-Tabla13[[#This Row],[Km Ini]]</f>
        <v>0</v>
      </c>
      <c r="AP525" s="20">
        <f>IFERROR((VLOOKUP(Tabla13[[#This Row],[ID]],[1]!Estilo_Conduccion[[#All],[Placa]:[Puntuacion]],15,FALSE)),0)</f>
        <v>0.9</v>
      </c>
      <c r="AQ525" s="15" t="s">
        <v>54</v>
      </c>
      <c r="AR525" s="15" t="s">
        <v>1411</v>
      </c>
      <c r="AS525" s="20">
        <v>11000</v>
      </c>
      <c r="AT525" s="21">
        <v>0</v>
      </c>
      <c r="AU525" s="21">
        <f>(Tabla13[[#This Row],[Cap Vh]]*$AX$2)*0.56</f>
        <v>0</v>
      </c>
      <c r="AV525" s="36" t="e">
        <f>(Tabla13[[#This Row],[Cap Util (kg)]]/(Tabla13[[#This Row],[Cap Inst (Kg)]]))</f>
        <v>#DIV/0!</v>
      </c>
    </row>
    <row r="526" spans="1:48" x14ac:dyDescent="0.25">
      <c r="A526" s="13" t="s">
        <v>1068</v>
      </c>
      <c r="B526" s="14" t="s">
        <v>728</v>
      </c>
      <c r="C526" s="14" t="s">
        <v>564</v>
      </c>
      <c r="D526" s="14" t="s">
        <v>577</v>
      </c>
      <c r="E526" s="14" t="s">
        <v>598</v>
      </c>
      <c r="F526" s="14" t="s">
        <v>64</v>
      </c>
      <c r="G526" s="15" t="s">
        <v>128</v>
      </c>
      <c r="H526" s="16" t="s">
        <v>143</v>
      </c>
      <c r="I526" s="14" t="s">
        <v>177</v>
      </c>
      <c r="J526" s="14">
        <v>890300279</v>
      </c>
      <c r="K526" s="14" t="s">
        <v>282</v>
      </c>
      <c r="L526" s="14" t="s">
        <v>103</v>
      </c>
      <c r="M526" s="14" t="s">
        <v>132</v>
      </c>
      <c r="N526" s="14">
        <v>2013</v>
      </c>
      <c r="O526" s="14">
        <v>7</v>
      </c>
      <c r="P526" s="14" t="s">
        <v>53</v>
      </c>
      <c r="Q526" s="14">
        <v>1</v>
      </c>
      <c r="R526" s="14">
        <v>1</v>
      </c>
      <c r="S526" s="17">
        <v>44834.825879629629</v>
      </c>
      <c r="T526" s="18">
        <v>501.17099999999994</v>
      </c>
      <c r="U526" s="14">
        <v>30</v>
      </c>
      <c r="V526" s="19">
        <v>1</v>
      </c>
      <c r="W526" s="14">
        <v>0</v>
      </c>
      <c r="X526" s="14">
        <v>28</v>
      </c>
      <c r="Y526" s="14">
        <v>0</v>
      </c>
      <c r="Z526" s="14">
        <v>28</v>
      </c>
      <c r="AA526" s="14">
        <f>Tabla13[[#This Row],[CheckList App]]+Tabla13[[#This Row],[CheckList Fisc]]</f>
        <v>28</v>
      </c>
      <c r="AB526" s="19">
        <f t="shared" si="8"/>
        <v>1</v>
      </c>
      <c r="AC526" s="14">
        <v>69</v>
      </c>
      <c r="AD526" s="14" t="s">
        <v>70</v>
      </c>
      <c r="AE526" s="15" t="str">
        <f>IFERROR((VLOOKUP(Tabla13[[#This Row],[ID]],[1]!Mtto_Pesv[[#Headers],[#Data],[Placa]:[Rutina]],2,FALSE)),"-")</f>
        <v>-</v>
      </c>
      <c r="AF526" s="14">
        <v>1</v>
      </c>
      <c r="AG526" s="20">
        <f>IFERROR((VLOOKUP(Tabla13[[#This Row],[ID]],[1]!Mtto_Pesv[[#Headers],[#Data],[Placa]:[Rutina]],3,FALSE)),0)</f>
        <v>0</v>
      </c>
      <c r="AH526" s="20">
        <f>IFERROR((VLOOKUP(Tabla13[[#This Row],[ID]],[1]!Mtto_Pesv[[#Headers],[#Data],[Placa]:[Rutina]],7,FALSE)),0)</f>
        <v>0</v>
      </c>
      <c r="AI526" s="20">
        <f>IFERROR((VLOOKUP(Tabla13[[#This Row],[ID]],[1]!Mtto_Pesv[[#Headers],[#Data],[Placa]:[Rutina]],8,FALSE)),0)</f>
        <v>0</v>
      </c>
      <c r="AJ526" s="20" t="str">
        <f>IFERROR((VLOOKUP(Tabla13[[#This Row],[ID]],[1]!Mtto_Pesv[[#Headers],[#Data],[Placa]:[Rutina]],9,FALSE)),"-")</f>
        <v>-</v>
      </c>
      <c r="AK526" s="20">
        <f>IFERROR((VLOOKUP(Tabla13[[#This Row],[ID]],[1]!Mtto_Pesv[[#Headers],[#Data],[Placa]:[Rutina]],10,FALSE)),0)</f>
        <v>0</v>
      </c>
      <c r="AL526" s="20">
        <f>IF(Tabla13[[#This Row],[Km Anterior]]=0,0,Tabla13[[#This Row],[Km Ejecut]]-Tabla13[[#This Row],[Km Anterior]])</f>
        <v>0</v>
      </c>
      <c r="AM526" s="20">
        <f>IFERROR((VLOOKUP(Tabla13[[#This Row],[ID]],[1]!Mtto_Pesv[[#Headers],[#Data],[Placa]:[Rutina]],4,FALSE)),0)</f>
        <v>0</v>
      </c>
      <c r="AN526" s="21">
        <f>IFERROR((VLOOKUP(Tabla13[[#This Row],[ID]],[1]!Mtto_Pesv[[#Headers],[#Data],[Placa]:[Rutina]],5,FALSE)),0)</f>
        <v>0</v>
      </c>
      <c r="AO526" s="21">
        <f>+Tabla13[[#This Row],[Km Fin]]-Tabla13[[#This Row],[Km Ini]]</f>
        <v>0</v>
      </c>
      <c r="AP526" s="20">
        <f>IFERROR((VLOOKUP(Tabla13[[#This Row],[ID]],[1]!Estilo_Conduccion[[#All],[Placa]:[Puntuacion]],15,FALSE)),0)</f>
        <v>12.1</v>
      </c>
      <c r="AQ526" s="15" t="s">
        <v>54</v>
      </c>
      <c r="AR526" s="15" t="s">
        <v>1412</v>
      </c>
      <c r="AS526" s="20">
        <v>11000</v>
      </c>
      <c r="AT526" s="21">
        <v>0</v>
      </c>
      <c r="AU526" s="21">
        <f>(Tabla13[[#This Row],[Cap Vh]]*$AX$2)*0.56</f>
        <v>0</v>
      </c>
      <c r="AV526" s="36" t="e">
        <f>(Tabla13[[#This Row],[Cap Util (kg)]]/(Tabla13[[#This Row],[Cap Inst (Kg)]]))</f>
        <v>#DIV/0!</v>
      </c>
    </row>
    <row r="527" spans="1:48" x14ac:dyDescent="0.25">
      <c r="A527" s="13" t="s">
        <v>1068</v>
      </c>
      <c r="B527" s="14" t="s">
        <v>729</v>
      </c>
      <c r="C527" s="14" t="s">
        <v>564</v>
      </c>
      <c r="D527" s="14" t="s">
        <v>577</v>
      </c>
      <c r="E527" s="14" t="s">
        <v>598</v>
      </c>
      <c r="F527" s="14" t="s">
        <v>64</v>
      </c>
      <c r="G527" s="15" t="s">
        <v>128</v>
      </c>
      <c r="H527" s="16" t="s">
        <v>143</v>
      </c>
      <c r="I527" s="14" t="s">
        <v>49</v>
      </c>
      <c r="J527" s="14">
        <v>900335279</v>
      </c>
      <c r="K527" s="14" t="s">
        <v>77</v>
      </c>
      <c r="L527" s="14" t="s">
        <v>103</v>
      </c>
      <c r="M527" s="14" t="s">
        <v>654</v>
      </c>
      <c r="N527" s="14">
        <v>2003</v>
      </c>
      <c r="O527" s="14">
        <v>17</v>
      </c>
      <c r="P527" s="14" t="s">
        <v>173</v>
      </c>
      <c r="Q527" s="14">
        <v>1</v>
      </c>
      <c r="R527" s="14">
        <v>1</v>
      </c>
      <c r="S527" s="17">
        <v>44833.42460648148</v>
      </c>
      <c r="T527" s="18">
        <v>332.15300000000002</v>
      </c>
      <c r="U527" s="14">
        <v>30</v>
      </c>
      <c r="V527" s="19">
        <v>1</v>
      </c>
      <c r="W527" s="14">
        <v>0</v>
      </c>
      <c r="X527" s="14">
        <v>14</v>
      </c>
      <c r="Y527" s="14">
        <v>0</v>
      </c>
      <c r="Z527" s="14">
        <v>12</v>
      </c>
      <c r="AA527" s="14">
        <f>Tabla13[[#This Row],[CheckList App]]+Tabla13[[#This Row],[CheckList Fisc]]</f>
        <v>12</v>
      </c>
      <c r="AB527" s="19">
        <f t="shared" si="8"/>
        <v>0.8571428571428571</v>
      </c>
      <c r="AC527" s="14">
        <v>0</v>
      </c>
      <c r="AD527" s="14" t="s">
        <v>70</v>
      </c>
      <c r="AE527" s="15" t="str">
        <f>IFERROR((VLOOKUP(Tabla13[[#This Row],[ID]],[1]!Mtto_Pesv[[#Headers],[#Data],[Placa]:[Rutina]],2,FALSE)),"-")</f>
        <v>-</v>
      </c>
      <c r="AF527" s="14">
        <v>1</v>
      </c>
      <c r="AG527" s="20">
        <f>IFERROR((VLOOKUP(Tabla13[[#This Row],[ID]],[1]!Mtto_Pesv[[#Headers],[#Data],[Placa]:[Rutina]],3,FALSE)),0)</f>
        <v>0</v>
      </c>
      <c r="AH527" s="20">
        <f>IFERROR((VLOOKUP(Tabla13[[#This Row],[ID]],[1]!Mtto_Pesv[[#Headers],[#Data],[Placa]:[Rutina]],7,FALSE)),0)</f>
        <v>0</v>
      </c>
      <c r="AI527" s="20">
        <f>IFERROR((VLOOKUP(Tabla13[[#This Row],[ID]],[1]!Mtto_Pesv[[#Headers],[#Data],[Placa]:[Rutina]],8,FALSE)),0)</f>
        <v>0</v>
      </c>
      <c r="AJ527" s="20" t="str">
        <f>IFERROR((VLOOKUP(Tabla13[[#This Row],[ID]],[1]!Mtto_Pesv[[#Headers],[#Data],[Placa]:[Rutina]],9,FALSE)),"-")</f>
        <v>-</v>
      </c>
      <c r="AK527" s="20">
        <f>IFERROR((VLOOKUP(Tabla13[[#This Row],[ID]],[1]!Mtto_Pesv[[#Headers],[#Data],[Placa]:[Rutina]],10,FALSE)),0)</f>
        <v>0</v>
      </c>
      <c r="AL527" s="20">
        <f>IF(Tabla13[[#This Row],[Km Anterior]]=0,0,Tabla13[[#This Row],[Km Ejecut]]-Tabla13[[#This Row],[Km Anterior]])</f>
        <v>0</v>
      </c>
      <c r="AM527" s="20">
        <f>IFERROR((VLOOKUP(Tabla13[[#This Row],[ID]],[1]!Mtto_Pesv[[#Headers],[#Data],[Placa]:[Rutina]],4,FALSE)),0)</f>
        <v>0</v>
      </c>
      <c r="AN527" s="21">
        <f>IFERROR((VLOOKUP(Tabla13[[#This Row],[ID]],[1]!Mtto_Pesv[[#Headers],[#Data],[Placa]:[Rutina]],5,FALSE)),0)</f>
        <v>0</v>
      </c>
      <c r="AO527" s="21">
        <f>+Tabla13[[#This Row],[Km Fin]]-Tabla13[[#This Row],[Km Ini]]</f>
        <v>0</v>
      </c>
      <c r="AP527" s="20">
        <f>IFERROR((VLOOKUP(Tabla13[[#This Row],[ID]],[1]!Estilo_Conduccion[[#All],[Placa]:[Puntuacion]],15,FALSE)),0)</f>
        <v>13554.3</v>
      </c>
      <c r="AQ527" s="15" t="s">
        <v>54</v>
      </c>
      <c r="AR527" s="15" t="s">
        <v>1413</v>
      </c>
      <c r="AS527" s="20">
        <v>10000</v>
      </c>
      <c r="AT527" s="21">
        <v>0</v>
      </c>
      <c r="AU527" s="21">
        <f>(Tabla13[[#This Row],[Cap Vh]]*$AX$2)*0.56</f>
        <v>0</v>
      </c>
      <c r="AV527" s="36" t="e">
        <f>(Tabla13[[#This Row],[Cap Util (kg)]]/(Tabla13[[#This Row],[Cap Inst (Kg)]]))</f>
        <v>#DIV/0!</v>
      </c>
    </row>
    <row r="528" spans="1:48" x14ac:dyDescent="0.25">
      <c r="A528" s="13" t="s">
        <v>1068</v>
      </c>
      <c r="B528" s="14" t="s">
        <v>730</v>
      </c>
      <c r="C528" s="14" t="s">
        <v>564</v>
      </c>
      <c r="D528" s="14" t="s">
        <v>577</v>
      </c>
      <c r="E528" s="14" t="s">
        <v>598</v>
      </c>
      <c r="F528" s="14" t="s">
        <v>76</v>
      </c>
      <c r="G528" s="15" t="s">
        <v>89</v>
      </c>
      <c r="H528" s="16" t="s">
        <v>90</v>
      </c>
      <c r="I528" s="14" t="s">
        <v>49</v>
      </c>
      <c r="J528" s="14">
        <v>890300279</v>
      </c>
      <c r="K528" s="14" t="s">
        <v>282</v>
      </c>
      <c r="L528" s="14" t="s">
        <v>103</v>
      </c>
      <c r="M528" s="14" t="s">
        <v>121</v>
      </c>
      <c r="N528" s="14">
        <v>2011</v>
      </c>
      <c r="O528" s="14">
        <v>9</v>
      </c>
      <c r="P528" s="14" t="s">
        <v>53</v>
      </c>
      <c r="Q528" s="14">
        <v>0</v>
      </c>
      <c r="R528" s="14">
        <v>0</v>
      </c>
      <c r="S528" s="17" t="s">
        <v>54</v>
      </c>
      <c r="T528" s="18">
        <v>0</v>
      </c>
      <c r="U528" s="14">
        <v>0</v>
      </c>
      <c r="V528" s="19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f>Tabla13[[#This Row],[CheckList App]]+Tabla13[[#This Row],[CheckList Fisc]]</f>
        <v>0</v>
      </c>
      <c r="AB528" s="19" t="str">
        <f t="shared" si="8"/>
        <v/>
      </c>
      <c r="AC528" s="14">
        <v>0</v>
      </c>
      <c r="AD528" s="14" t="s">
        <v>55</v>
      </c>
      <c r="AE528" s="15" t="str">
        <f>IFERROR((VLOOKUP(Tabla13[[#This Row],[ID]],[1]!Mtto_Pesv[[#Headers],[#Data],[Placa]:[Rutina]],2,FALSE)),"-")</f>
        <v>-</v>
      </c>
      <c r="AF528" s="14">
        <v>0</v>
      </c>
      <c r="AG528" s="20">
        <f>IFERROR((VLOOKUP(Tabla13[[#This Row],[ID]],[1]!Mtto_Pesv[[#Headers],[#Data],[Placa]:[Rutina]],3,FALSE)),0)</f>
        <v>0</v>
      </c>
      <c r="AH528" s="20">
        <f>IFERROR((VLOOKUP(Tabla13[[#This Row],[ID]],[1]!Mtto_Pesv[[#Headers],[#Data],[Placa]:[Rutina]],7,FALSE)),0)</f>
        <v>0</v>
      </c>
      <c r="AI528" s="20">
        <f>IFERROR((VLOOKUP(Tabla13[[#This Row],[ID]],[1]!Mtto_Pesv[[#Headers],[#Data],[Placa]:[Rutina]],8,FALSE)),0)</f>
        <v>0</v>
      </c>
      <c r="AJ528" s="20" t="str">
        <f>IFERROR((VLOOKUP(Tabla13[[#This Row],[ID]],[1]!Mtto_Pesv[[#Headers],[#Data],[Placa]:[Rutina]],9,FALSE)),"-")</f>
        <v>-</v>
      </c>
      <c r="AK528" s="20">
        <f>IFERROR((VLOOKUP(Tabla13[[#This Row],[ID]],[1]!Mtto_Pesv[[#Headers],[#Data],[Placa]:[Rutina]],10,FALSE)),0)</f>
        <v>0</v>
      </c>
      <c r="AL528" s="20">
        <f>IF(Tabla13[[#This Row],[Km Anterior]]=0,0,Tabla13[[#This Row],[Km Ejecut]]-Tabla13[[#This Row],[Km Anterior]])</f>
        <v>0</v>
      </c>
      <c r="AM528" s="20">
        <f>IFERROR((VLOOKUP(Tabla13[[#This Row],[ID]],[1]!Mtto_Pesv[[#Headers],[#Data],[Placa]:[Rutina]],4,FALSE)),0)</f>
        <v>0</v>
      </c>
      <c r="AN528" s="21">
        <f>IFERROR((VLOOKUP(Tabla13[[#This Row],[ID]],[1]!Mtto_Pesv[[#Headers],[#Data],[Placa]:[Rutina]],5,FALSE)),0)</f>
        <v>0</v>
      </c>
      <c r="AO528" s="21">
        <f>+Tabla13[[#This Row],[Km Fin]]-Tabla13[[#This Row],[Km Ini]]</f>
        <v>0</v>
      </c>
      <c r="AP528" s="20">
        <f>IFERROR((VLOOKUP(Tabla13[[#This Row],[ID]],[1]!Estilo_Conduccion[[#All],[Placa]:[Puntuacion]],15,FALSE)),0)</f>
        <v>0</v>
      </c>
      <c r="AQ528" s="15" t="s">
        <v>1363</v>
      </c>
      <c r="AR528" s="15" t="s">
        <v>1364</v>
      </c>
      <c r="AS528" s="20">
        <v>2970</v>
      </c>
      <c r="AT528" s="21">
        <v>8175</v>
      </c>
      <c r="AU528" s="21">
        <f>(Tabla13[[#This Row],[Cap Vh]]*$AX$2)*0.56</f>
        <v>0</v>
      </c>
      <c r="AV528" s="36" t="e">
        <f>(Tabla13[[#This Row],[Cap Util (kg)]]/(Tabla13[[#This Row],[Cap Inst (Kg)]]))</f>
        <v>#DIV/0!</v>
      </c>
    </row>
    <row r="529" spans="1:48" x14ac:dyDescent="0.25">
      <c r="A529" s="13" t="s">
        <v>1068</v>
      </c>
      <c r="B529" s="14" t="s">
        <v>731</v>
      </c>
      <c r="C529" s="14" t="s">
        <v>564</v>
      </c>
      <c r="D529" s="14" t="s">
        <v>577</v>
      </c>
      <c r="E529" s="14" t="s">
        <v>578</v>
      </c>
      <c r="F529" s="14" t="s">
        <v>76</v>
      </c>
      <c r="G529" s="15" t="s">
        <v>47</v>
      </c>
      <c r="H529" s="16" t="s">
        <v>48</v>
      </c>
      <c r="I529" s="14" t="s">
        <v>49</v>
      </c>
      <c r="J529" s="14">
        <v>890300279</v>
      </c>
      <c r="K529" s="14" t="s">
        <v>282</v>
      </c>
      <c r="L529" s="14" t="s">
        <v>103</v>
      </c>
      <c r="M529" s="14" t="s">
        <v>121</v>
      </c>
      <c r="N529" s="14">
        <v>2011</v>
      </c>
      <c r="O529" s="14">
        <v>9</v>
      </c>
      <c r="P529" s="14" t="s">
        <v>53</v>
      </c>
      <c r="Q529" s="14">
        <v>1</v>
      </c>
      <c r="R529" s="14">
        <v>0</v>
      </c>
      <c r="S529" s="17" t="s">
        <v>54</v>
      </c>
      <c r="T529" s="18">
        <v>0</v>
      </c>
      <c r="U529" s="14">
        <v>0</v>
      </c>
      <c r="V529" s="19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f>Tabla13[[#This Row],[CheckList App]]+Tabla13[[#This Row],[CheckList Fisc]]</f>
        <v>0</v>
      </c>
      <c r="AB529" s="19" t="str">
        <f t="shared" si="8"/>
        <v/>
      </c>
      <c r="AC529" s="14">
        <v>0</v>
      </c>
      <c r="AD529" s="14" t="s">
        <v>55</v>
      </c>
      <c r="AE529" s="15" t="str">
        <f>IFERROR((VLOOKUP(Tabla13[[#This Row],[ID]],[1]!Mtto_Pesv[[#Headers],[#Data],[Placa]:[Rutina]],2,FALSE)),"-")</f>
        <v>-</v>
      </c>
      <c r="AF529" s="14">
        <v>0</v>
      </c>
      <c r="AG529" s="20">
        <f>IFERROR((VLOOKUP(Tabla13[[#This Row],[ID]],[1]!Mtto_Pesv[[#Headers],[#Data],[Placa]:[Rutina]],3,FALSE)),0)</f>
        <v>0</v>
      </c>
      <c r="AH529" s="20">
        <f>IFERROR((VLOOKUP(Tabla13[[#This Row],[ID]],[1]!Mtto_Pesv[[#Headers],[#Data],[Placa]:[Rutina]],7,FALSE)),0)</f>
        <v>0</v>
      </c>
      <c r="AI529" s="20">
        <f>IFERROR((VLOOKUP(Tabla13[[#This Row],[ID]],[1]!Mtto_Pesv[[#Headers],[#Data],[Placa]:[Rutina]],8,FALSE)),0)</f>
        <v>0</v>
      </c>
      <c r="AJ529" s="20" t="str">
        <f>IFERROR((VLOOKUP(Tabla13[[#This Row],[ID]],[1]!Mtto_Pesv[[#Headers],[#Data],[Placa]:[Rutina]],9,FALSE)),"-")</f>
        <v>-</v>
      </c>
      <c r="AK529" s="20">
        <f>IFERROR((VLOOKUP(Tabla13[[#This Row],[ID]],[1]!Mtto_Pesv[[#Headers],[#Data],[Placa]:[Rutina]],10,FALSE)),0)</f>
        <v>0</v>
      </c>
      <c r="AL529" s="20">
        <f>IF(Tabla13[[#This Row],[Km Anterior]]=0,0,Tabla13[[#This Row],[Km Ejecut]]-Tabla13[[#This Row],[Km Anterior]])</f>
        <v>0</v>
      </c>
      <c r="AM529" s="20">
        <f>IFERROR((VLOOKUP(Tabla13[[#This Row],[ID]],[1]!Mtto_Pesv[[#Headers],[#Data],[Placa]:[Rutina]],4,FALSE)),0)</f>
        <v>0</v>
      </c>
      <c r="AN529" s="21">
        <f>IFERROR((VLOOKUP(Tabla13[[#This Row],[ID]],[1]!Mtto_Pesv[[#Headers],[#Data],[Placa]:[Rutina]],5,FALSE)),0)</f>
        <v>0</v>
      </c>
      <c r="AO529" s="21">
        <f>+Tabla13[[#This Row],[Km Fin]]-Tabla13[[#This Row],[Km Ini]]</f>
        <v>0</v>
      </c>
      <c r="AP529" s="20">
        <f>IFERROR((VLOOKUP(Tabla13[[#This Row],[ID]],[1]!Estilo_Conduccion[[#All],[Placa]:[Puntuacion]],15,FALSE)),0)</f>
        <v>261.5</v>
      </c>
      <c r="AQ529" s="15" t="s">
        <v>1399</v>
      </c>
      <c r="AR529" s="15" t="s">
        <v>1400</v>
      </c>
      <c r="AS529" s="20">
        <v>2970</v>
      </c>
      <c r="AT529" s="21">
        <v>20864.7</v>
      </c>
      <c r="AU529" s="21">
        <f>(Tabla13[[#This Row],[Cap Vh]]*$AX$2)*0.56</f>
        <v>0</v>
      </c>
      <c r="AV529" s="36" t="e">
        <f>(Tabla13[[#This Row],[Cap Util (kg)]]/(Tabla13[[#This Row],[Cap Inst (Kg)]]))</f>
        <v>#DIV/0!</v>
      </c>
    </row>
    <row r="530" spans="1:48" x14ac:dyDescent="0.25">
      <c r="A530" s="13" t="s">
        <v>1068</v>
      </c>
      <c r="B530" s="14" t="s">
        <v>732</v>
      </c>
      <c r="C530" s="14" t="s">
        <v>564</v>
      </c>
      <c r="D530" s="14" t="s">
        <v>577</v>
      </c>
      <c r="E530" s="14" t="s">
        <v>598</v>
      </c>
      <c r="F530" s="14" t="s">
        <v>76</v>
      </c>
      <c r="G530" s="15" t="s">
        <v>89</v>
      </c>
      <c r="H530" s="16" t="s">
        <v>90</v>
      </c>
      <c r="I530" s="14" t="s">
        <v>49</v>
      </c>
      <c r="J530" s="14">
        <v>900335279</v>
      </c>
      <c r="K530" s="14" t="s">
        <v>77</v>
      </c>
      <c r="L530" s="14" t="s">
        <v>405</v>
      </c>
      <c r="M530" s="14" t="s">
        <v>441</v>
      </c>
      <c r="N530" s="14">
        <v>2012</v>
      </c>
      <c r="O530" s="14">
        <v>8</v>
      </c>
      <c r="P530" s="14" t="s">
        <v>53</v>
      </c>
      <c r="Q530" s="14">
        <v>0</v>
      </c>
      <c r="R530" s="14">
        <v>0</v>
      </c>
      <c r="S530" s="17" t="s">
        <v>54</v>
      </c>
      <c r="T530" s="18">
        <v>0</v>
      </c>
      <c r="U530" s="14">
        <v>0</v>
      </c>
      <c r="V530" s="19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f>Tabla13[[#This Row],[CheckList App]]+Tabla13[[#This Row],[CheckList Fisc]]</f>
        <v>0</v>
      </c>
      <c r="AB530" s="19" t="str">
        <f t="shared" si="8"/>
        <v/>
      </c>
      <c r="AC530" s="14">
        <v>0</v>
      </c>
      <c r="AD530" s="14" t="s">
        <v>55</v>
      </c>
      <c r="AE530" s="15" t="str">
        <f>IFERROR((VLOOKUP(Tabla13[[#This Row],[ID]],[1]!Mtto_Pesv[[#Headers],[#Data],[Placa]:[Rutina]],2,FALSE)),"-")</f>
        <v>-</v>
      </c>
      <c r="AF530" s="14">
        <v>0</v>
      </c>
      <c r="AG530" s="20">
        <f>IFERROR((VLOOKUP(Tabla13[[#This Row],[ID]],[1]!Mtto_Pesv[[#Headers],[#Data],[Placa]:[Rutina]],3,FALSE)),0)</f>
        <v>0</v>
      </c>
      <c r="AH530" s="20">
        <f>IFERROR((VLOOKUP(Tabla13[[#This Row],[ID]],[1]!Mtto_Pesv[[#Headers],[#Data],[Placa]:[Rutina]],7,FALSE)),0)</f>
        <v>0</v>
      </c>
      <c r="AI530" s="20">
        <f>IFERROR((VLOOKUP(Tabla13[[#This Row],[ID]],[1]!Mtto_Pesv[[#Headers],[#Data],[Placa]:[Rutina]],8,FALSE)),0)</f>
        <v>0</v>
      </c>
      <c r="AJ530" s="20" t="str">
        <f>IFERROR((VLOOKUP(Tabla13[[#This Row],[ID]],[1]!Mtto_Pesv[[#Headers],[#Data],[Placa]:[Rutina]],9,FALSE)),"-")</f>
        <v>-</v>
      </c>
      <c r="AK530" s="20">
        <f>IFERROR((VLOOKUP(Tabla13[[#This Row],[ID]],[1]!Mtto_Pesv[[#Headers],[#Data],[Placa]:[Rutina]],10,FALSE)),0)</f>
        <v>0</v>
      </c>
      <c r="AL530" s="20">
        <f>IF(Tabla13[[#This Row],[Km Anterior]]=0,0,Tabla13[[#This Row],[Km Ejecut]]-Tabla13[[#This Row],[Km Anterior]])</f>
        <v>0</v>
      </c>
      <c r="AM530" s="20">
        <f>IFERROR((VLOOKUP(Tabla13[[#This Row],[ID]],[1]!Mtto_Pesv[[#Headers],[#Data],[Placa]:[Rutina]],4,FALSE)),0)</f>
        <v>0</v>
      </c>
      <c r="AN530" s="21">
        <f>IFERROR((VLOOKUP(Tabla13[[#This Row],[ID]],[1]!Mtto_Pesv[[#Headers],[#Data],[Placa]:[Rutina]],5,FALSE)),0)</f>
        <v>0</v>
      </c>
      <c r="AO530" s="21">
        <f>+Tabla13[[#This Row],[Km Fin]]-Tabla13[[#This Row],[Km Ini]]</f>
        <v>0</v>
      </c>
      <c r="AP530" s="20">
        <f>IFERROR((VLOOKUP(Tabla13[[#This Row],[ID]],[1]!Estilo_Conduccion[[#All],[Placa]:[Puntuacion]],15,FALSE)),0)</f>
        <v>0</v>
      </c>
      <c r="AQ530" s="15" t="s">
        <v>1369</v>
      </c>
      <c r="AR530" s="15" t="s">
        <v>1370</v>
      </c>
      <c r="AS530" s="20">
        <v>1013</v>
      </c>
      <c r="AT530" s="21">
        <v>4834.125</v>
      </c>
      <c r="AU530" s="21">
        <f>(Tabla13[[#This Row],[Cap Vh]]*$AX$2)*0.56</f>
        <v>0</v>
      </c>
      <c r="AV530" s="36" t="e">
        <f>(Tabla13[[#This Row],[Cap Util (kg)]]/(Tabla13[[#This Row],[Cap Inst (Kg)]]))</f>
        <v>#DIV/0!</v>
      </c>
    </row>
    <row r="531" spans="1:48" x14ac:dyDescent="0.25">
      <c r="A531" s="13" t="s">
        <v>1068</v>
      </c>
      <c r="B531" s="14" t="s">
        <v>733</v>
      </c>
      <c r="C531" s="14" t="s">
        <v>564</v>
      </c>
      <c r="D531" s="14" t="s">
        <v>577</v>
      </c>
      <c r="E531" s="14" t="s">
        <v>598</v>
      </c>
      <c r="F531" s="14" t="s">
        <v>64</v>
      </c>
      <c r="G531" s="14" t="s">
        <v>65</v>
      </c>
      <c r="H531" s="16" t="s">
        <v>66</v>
      </c>
      <c r="I531" s="14" t="s">
        <v>49</v>
      </c>
      <c r="J531" s="14">
        <v>900335279</v>
      </c>
      <c r="K531" s="14" t="s">
        <v>77</v>
      </c>
      <c r="L531" s="14" t="s">
        <v>405</v>
      </c>
      <c r="M531" s="14" t="s">
        <v>441</v>
      </c>
      <c r="N531" s="14">
        <v>2012</v>
      </c>
      <c r="O531" s="14">
        <v>8</v>
      </c>
      <c r="P531" s="14" t="s">
        <v>53</v>
      </c>
      <c r="Q531" s="14">
        <v>0</v>
      </c>
      <c r="R531" s="14">
        <v>0</v>
      </c>
      <c r="S531" s="17" t="s">
        <v>54</v>
      </c>
      <c r="T531" s="18">
        <v>0</v>
      </c>
      <c r="U531" s="14">
        <v>0</v>
      </c>
      <c r="V531" s="19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f>Tabla13[[#This Row],[CheckList App]]+Tabla13[[#This Row],[CheckList Fisc]]</f>
        <v>0</v>
      </c>
      <c r="AB531" s="19" t="str">
        <f t="shared" si="8"/>
        <v/>
      </c>
      <c r="AC531" s="14">
        <v>0</v>
      </c>
      <c r="AD531" s="14" t="s">
        <v>55</v>
      </c>
      <c r="AE531" s="15" t="str">
        <f>IFERROR((VLOOKUP(Tabla13[[#This Row],[ID]],[1]!Mtto_Pesv[[#Headers],[#Data],[Placa]:[Rutina]],2,FALSE)),"-")</f>
        <v>-</v>
      </c>
      <c r="AF531" s="14">
        <v>0</v>
      </c>
      <c r="AG531" s="20">
        <f>IFERROR((VLOOKUP(Tabla13[[#This Row],[ID]],[1]!Mtto_Pesv[[#Headers],[#Data],[Placa]:[Rutina]],3,FALSE)),0)</f>
        <v>0</v>
      </c>
      <c r="AH531" s="20">
        <f>IFERROR((VLOOKUP(Tabla13[[#This Row],[ID]],[1]!Mtto_Pesv[[#Headers],[#Data],[Placa]:[Rutina]],7,FALSE)),0)</f>
        <v>0</v>
      </c>
      <c r="AI531" s="20">
        <f>IFERROR((VLOOKUP(Tabla13[[#This Row],[ID]],[1]!Mtto_Pesv[[#Headers],[#Data],[Placa]:[Rutina]],8,FALSE)),0)</f>
        <v>0</v>
      </c>
      <c r="AJ531" s="20" t="str">
        <f>IFERROR((VLOOKUP(Tabla13[[#This Row],[ID]],[1]!Mtto_Pesv[[#Headers],[#Data],[Placa]:[Rutina]],9,FALSE)),"-")</f>
        <v>-</v>
      </c>
      <c r="AK531" s="20">
        <f>IFERROR((VLOOKUP(Tabla13[[#This Row],[ID]],[1]!Mtto_Pesv[[#Headers],[#Data],[Placa]:[Rutina]],10,FALSE)),0)</f>
        <v>0</v>
      </c>
      <c r="AL531" s="20">
        <f>IF(Tabla13[[#This Row],[Km Anterior]]=0,0,Tabla13[[#This Row],[Km Ejecut]]-Tabla13[[#This Row],[Km Anterior]])</f>
        <v>0</v>
      </c>
      <c r="AM531" s="20">
        <f>IFERROR((VLOOKUP(Tabla13[[#This Row],[ID]],[1]!Mtto_Pesv[[#Headers],[#Data],[Placa]:[Rutina]],4,FALSE)),0)</f>
        <v>0</v>
      </c>
      <c r="AN531" s="21">
        <f>IFERROR((VLOOKUP(Tabla13[[#This Row],[ID]],[1]!Mtto_Pesv[[#Headers],[#Data],[Placa]:[Rutina]],5,FALSE)),0)</f>
        <v>0</v>
      </c>
      <c r="AO531" s="21">
        <f>+Tabla13[[#This Row],[Km Fin]]-Tabla13[[#This Row],[Km Ini]]</f>
        <v>0</v>
      </c>
      <c r="AP531" s="20">
        <f>IFERROR((VLOOKUP(Tabla13[[#This Row],[ID]],[1]!Estilo_Conduccion[[#All],[Placa]:[Puntuacion]],15,FALSE)),0)</f>
        <v>0</v>
      </c>
      <c r="AQ531" s="15" t="s">
        <v>54</v>
      </c>
      <c r="AR531" s="15" t="s">
        <v>734</v>
      </c>
      <c r="AS531" s="20">
        <v>1013</v>
      </c>
      <c r="AT531" s="21">
        <v>0</v>
      </c>
      <c r="AU531" s="21">
        <f>(Tabla13[[#This Row],[Cap Vh]]*$AX$2)*0.56</f>
        <v>0</v>
      </c>
      <c r="AV531" s="36" t="e">
        <f>(Tabla13[[#This Row],[Cap Util (kg)]]/(Tabla13[[#This Row],[Cap Inst (Kg)]]))</f>
        <v>#DIV/0!</v>
      </c>
    </row>
    <row r="532" spans="1:48" x14ac:dyDescent="0.25">
      <c r="A532" s="13" t="s">
        <v>1068</v>
      </c>
      <c r="B532" s="14" t="s">
        <v>735</v>
      </c>
      <c r="C532" s="14" t="s">
        <v>564</v>
      </c>
      <c r="D532" s="14" t="s">
        <v>577</v>
      </c>
      <c r="E532" s="14" t="s">
        <v>578</v>
      </c>
      <c r="F532" s="14" t="s">
        <v>76</v>
      </c>
      <c r="G532" s="15" t="s">
        <v>47</v>
      </c>
      <c r="H532" s="16" t="s">
        <v>48</v>
      </c>
      <c r="I532" s="14" t="s">
        <v>49</v>
      </c>
      <c r="J532" s="14">
        <v>900335279</v>
      </c>
      <c r="K532" s="14" t="s">
        <v>77</v>
      </c>
      <c r="L532" s="14" t="s">
        <v>405</v>
      </c>
      <c r="M532" s="14" t="s">
        <v>441</v>
      </c>
      <c r="N532" s="14">
        <v>2012</v>
      </c>
      <c r="O532" s="14">
        <v>8</v>
      </c>
      <c r="P532" s="14" t="s">
        <v>53</v>
      </c>
      <c r="Q532" s="14">
        <v>0</v>
      </c>
      <c r="R532" s="14">
        <v>0</v>
      </c>
      <c r="S532" s="17" t="s">
        <v>54</v>
      </c>
      <c r="T532" s="18">
        <v>0</v>
      </c>
      <c r="U532" s="14">
        <v>0</v>
      </c>
      <c r="V532" s="19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f>Tabla13[[#This Row],[CheckList App]]+Tabla13[[#This Row],[CheckList Fisc]]</f>
        <v>0</v>
      </c>
      <c r="AB532" s="19" t="str">
        <f t="shared" si="8"/>
        <v/>
      </c>
      <c r="AC532" s="14">
        <v>0</v>
      </c>
      <c r="AD532" s="14" t="s">
        <v>55</v>
      </c>
      <c r="AE532" s="15" t="str">
        <f>IFERROR((VLOOKUP(Tabla13[[#This Row],[ID]],[1]!Mtto_Pesv[[#Headers],[#Data],[Placa]:[Rutina]],2,FALSE)),"-")</f>
        <v>-</v>
      </c>
      <c r="AF532" s="14">
        <v>0</v>
      </c>
      <c r="AG532" s="20">
        <f>IFERROR((VLOOKUP(Tabla13[[#This Row],[ID]],[1]!Mtto_Pesv[[#Headers],[#Data],[Placa]:[Rutina]],3,FALSE)),0)</f>
        <v>0</v>
      </c>
      <c r="AH532" s="20">
        <f>IFERROR((VLOOKUP(Tabla13[[#This Row],[ID]],[1]!Mtto_Pesv[[#Headers],[#Data],[Placa]:[Rutina]],7,FALSE)),0)</f>
        <v>0</v>
      </c>
      <c r="AI532" s="20">
        <f>IFERROR((VLOOKUP(Tabla13[[#This Row],[ID]],[1]!Mtto_Pesv[[#Headers],[#Data],[Placa]:[Rutina]],8,FALSE)),0)</f>
        <v>0</v>
      </c>
      <c r="AJ532" s="20" t="str">
        <f>IFERROR((VLOOKUP(Tabla13[[#This Row],[ID]],[1]!Mtto_Pesv[[#Headers],[#Data],[Placa]:[Rutina]],9,FALSE)),"-")</f>
        <v>-</v>
      </c>
      <c r="AK532" s="20">
        <f>IFERROR((VLOOKUP(Tabla13[[#This Row],[ID]],[1]!Mtto_Pesv[[#Headers],[#Data],[Placa]:[Rutina]],10,FALSE)),0)</f>
        <v>0</v>
      </c>
      <c r="AL532" s="20">
        <f>IF(Tabla13[[#This Row],[Km Anterior]]=0,0,Tabla13[[#This Row],[Km Ejecut]]-Tabla13[[#This Row],[Km Anterior]])</f>
        <v>0</v>
      </c>
      <c r="AM532" s="20">
        <f>IFERROR((VLOOKUP(Tabla13[[#This Row],[ID]],[1]!Mtto_Pesv[[#Headers],[#Data],[Placa]:[Rutina]],4,FALSE)),0)</f>
        <v>0</v>
      </c>
      <c r="AN532" s="21">
        <f>IFERROR((VLOOKUP(Tabla13[[#This Row],[ID]],[1]!Mtto_Pesv[[#Headers],[#Data],[Placa]:[Rutina]],5,FALSE)),0)</f>
        <v>0</v>
      </c>
      <c r="AO532" s="21">
        <f>+Tabla13[[#This Row],[Km Fin]]-Tabla13[[#This Row],[Km Ini]]</f>
        <v>0</v>
      </c>
      <c r="AP532" s="20">
        <f>IFERROR((VLOOKUP(Tabla13[[#This Row],[ID]],[1]!Estilo_Conduccion[[#All],[Placa]:[Puntuacion]],15,FALSE)),0)</f>
        <v>0</v>
      </c>
      <c r="AQ532" s="15" t="s">
        <v>1399</v>
      </c>
      <c r="AR532" s="15" t="s">
        <v>1400</v>
      </c>
      <c r="AS532" s="20">
        <v>1013</v>
      </c>
      <c r="AT532" s="21">
        <v>20864.7</v>
      </c>
      <c r="AU532" s="21">
        <f>(Tabla13[[#This Row],[Cap Vh]]*$AX$2)*0.56</f>
        <v>0</v>
      </c>
      <c r="AV532" s="36" t="e">
        <f>(Tabla13[[#This Row],[Cap Util (kg)]]/(Tabla13[[#This Row],[Cap Inst (Kg)]]))</f>
        <v>#DIV/0!</v>
      </c>
    </row>
    <row r="533" spans="1:48" x14ac:dyDescent="0.25">
      <c r="A533" s="13" t="s">
        <v>1068</v>
      </c>
      <c r="B533" s="14" t="s">
        <v>736</v>
      </c>
      <c r="C533" s="14" t="s">
        <v>564</v>
      </c>
      <c r="D533" s="14" t="s">
        <v>577</v>
      </c>
      <c r="E533" s="14" t="s">
        <v>598</v>
      </c>
      <c r="F533" s="14" t="s">
        <v>76</v>
      </c>
      <c r="G533" s="15" t="s">
        <v>47</v>
      </c>
      <c r="H533" s="16" t="s">
        <v>48</v>
      </c>
      <c r="I533" s="14" t="s">
        <v>49</v>
      </c>
      <c r="J533" s="14">
        <v>860007660</v>
      </c>
      <c r="K533" s="14" t="s">
        <v>369</v>
      </c>
      <c r="L533" s="14" t="s">
        <v>405</v>
      </c>
      <c r="M533" s="14" t="s">
        <v>441</v>
      </c>
      <c r="N533" s="14">
        <v>2012</v>
      </c>
      <c r="O533" s="14">
        <v>8</v>
      </c>
      <c r="P533" s="14" t="s">
        <v>53</v>
      </c>
      <c r="Q533" s="14">
        <v>0</v>
      </c>
      <c r="R533" s="14">
        <v>0</v>
      </c>
      <c r="S533" s="17" t="s">
        <v>54</v>
      </c>
      <c r="T533" s="18">
        <v>0</v>
      </c>
      <c r="U533" s="14">
        <v>0</v>
      </c>
      <c r="V533" s="19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f>Tabla13[[#This Row],[CheckList App]]+Tabla13[[#This Row],[CheckList Fisc]]</f>
        <v>0</v>
      </c>
      <c r="AB533" s="19" t="str">
        <f t="shared" si="8"/>
        <v/>
      </c>
      <c r="AC533" s="14">
        <v>0</v>
      </c>
      <c r="AD533" s="14" t="s">
        <v>55</v>
      </c>
      <c r="AE533" s="15" t="str">
        <f>IFERROR((VLOOKUP(Tabla13[[#This Row],[ID]],[1]!Mtto_Pesv[[#Headers],[#Data],[Placa]:[Rutina]],2,FALSE)),"-")</f>
        <v>-</v>
      </c>
      <c r="AF533" s="14">
        <v>0</v>
      </c>
      <c r="AG533" s="20">
        <f>IFERROR((VLOOKUP(Tabla13[[#This Row],[ID]],[1]!Mtto_Pesv[[#Headers],[#Data],[Placa]:[Rutina]],3,FALSE)),0)</f>
        <v>0</v>
      </c>
      <c r="AH533" s="20">
        <f>IFERROR((VLOOKUP(Tabla13[[#This Row],[ID]],[1]!Mtto_Pesv[[#Headers],[#Data],[Placa]:[Rutina]],7,FALSE)),0)</f>
        <v>0</v>
      </c>
      <c r="AI533" s="20">
        <f>IFERROR((VLOOKUP(Tabla13[[#This Row],[ID]],[1]!Mtto_Pesv[[#Headers],[#Data],[Placa]:[Rutina]],8,FALSE)),0)</f>
        <v>0</v>
      </c>
      <c r="AJ533" s="20" t="str">
        <f>IFERROR((VLOOKUP(Tabla13[[#This Row],[ID]],[1]!Mtto_Pesv[[#Headers],[#Data],[Placa]:[Rutina]],9,FALSE)),"-")</f>
        <v>-</v>
      </c>
      <c r="AK533" s="20">
        <f>IFERROR((VLOOKUP(Tabla13[[#This Row],[ID]],[1]!Mtto_Pesv[[#Headers],[#Data],[Placa]:[Rutina]],10,FALSE)),0)</f>
        <v>0</v>
      </c>
      <c r="AL533" s="20">
        <f>IF(Tabla13[[#This Row],[Km Anterior]]=0,0,Tabla13[[#This Row],[Km Ejecut]]-Tabla13[[#This Row],[Km Anterior]])</f>
        <v>0</v>
      </c>
      <c r="AM533" s="20">
        <f>IFERROR((VLOOKUP(Tabla13[[#This Row],[ID]],[1]!Mtto_Pesv[[#Headers],[#Data],[Placa]:[Rutina]],4,FALSE)),0)</f>
        <v>0</v>
      </c>
      <c r="AN533" s="21">
        <f>IFERROR((VLOOKUP(Tabla13[[#This Row],[ID]],[1]!Mtto_Pesv[[#Headers],[#Data],[Placa]:[Rutina]],5,FALSE)),0)</f>
        <v>0</v>
      </c>
      <c r="AO533" s="21">
        <f>+Tabla13[[#This Row],[Km Fin]]-Tabla13[[#This Row],[Km Ini]]</f>
        <v>0</v>
      </c>
      <c r="AP533" s="20">
        <f>IFERROR((VLOOKUP(Tabla13[[#This Row],[ID]],[1]!Estilo_Conduccion[[#All],[Placa]:[Puntuacion]],15,FALSE)),0)</f>
        <v>0</v>
      </c>
      <c r="AQ533" s="15" t="s">
        <v>1069</v>
      </c>
      <c r="AR533" s="15" t="s">
        <v>703</v>
      </c>
      <c r="AS533" s="20">
        <v>1013</v>
      </c>
      <c r="AT533" s="21">
        <v>0</v>
      </c>
      <c r="AU533" s="21">
        <f>(Tabla13[[#This Row],[Cap Vh]]*$AX$2)*0.56</f>
        <v>0</v>
      </c>
      <c r="AV533" s="36" t="e">
        <f>(Tabla13[[#This Row],[Cap Util (kg)]]/(Tabla13[[#This Row],[Cap Inst (Kg)]]))</f>
        <v>#DIV/0!</v>
      </c>
    </row>
    <row r="534" spans="1:48" x14ac:dyDescent="0.25">
      <c r="A534" s="13" t="s">
        <v>1068</v>
      </c>
      <c r="B534" s="14" t="s">
        <v>737</v>
      </c>
      <c r="C534" s="14" t="s">
        <v>564</v>
      </c>
      <c r="D534" s="14" t="s">
        <v>577</v>
      </c>
      <c r="E534" s="14" t="s">
        <v>598</v>
      </c>
      <c r="F534" s="14" t="s">
        <v>337</v>
      </c>
      <c r="G534" s="15" t="s">
        <v>128</v>
      </c>
      <c r="H534" s="16" t="s">
        <v>129</v>
      </c>
      <c r="I534" s="14" t="s">
        <v>49</v>
      </c>
      <c r="J534" s="14">
        <v>900335279</v>
      </c>
      <c r="K534" s="14" t="s">
        <v>77</v>
      </c>
      <c r="L534" s="14" t="s">
        <v>103</v>
      </c>
      <c r="M534" s="14" t="s">
        <v>121</v>
      </c>
      <c r="N534" s="14">
        <v>2012</v>
      </c>
      <c r="O534" s="14">
        <v>8</v>
      </c>
      <c r="P534" s="14" t="s">
        <v>53</v>
      </c>
      <c r="Q534" s="14">
        <v>1</v>
      </c>
      <c r="R534" s="14">
        <v>0</v>
      </c>
      <c r="S534" s="17" t="s">
        <v>54</v>
      </c>
      <c r="T534" s="18">
        <v>0</v>
      </c>
      <c r="U534" s="14">
        <v>30</v>
      </c>
      <c r="V534" s="19">
        <v>1</v>
      </c>
      <c r="W534" s="14">
        <v>0</v>
      </c>
      <c r="X534" s="14">
        <v>25</v>
      </c>
      <c r="Y534" s="14">
        <v>0</v>
      </c>
      <c r="Z534" s="14">
        <v>25</v>
      </c>
      <c r="AA534" s="14">
        <f>Tabla13[[#This Row],[CheckList App]]+Tabla13[[#This Row],[CheckList Fisc]]</f>
        <v>25</v>
      </c>
      <c r="AB534" s="19">
        <f t="shared" si="8"/>
        <v>1</v>
      </c>
      <c r="AC534" s="14">
        <v>0</v>
      </c>
      <c r="AD534" s="14" t="s">
        <v>70</v>
      </c>
      <c r="AE534" s="15" t="str">
        <f>IFERROR((VLOOKUP(Tabla13[[#This Row],[ID]],[1]!Mtto_Pesv[[#Headers],[#Data],[Placa]:[Rutina]],2,FALSE)),"-")</f>
        <v>-</v>
      </c>
      <c r="AF534" s="14">
        <v>1</v>
      </c>
      <c r="AG534" s="20">
        <f>IFERROR((VLOOKUP(Tabla13[[#This Row],[ID]],[1]!Mtto_Pesv[[#Headers],[#Data],[Placa]:[Rutina]],3,FALSE)),0)</f>
        <v>0</v>
      </c>
      <c r="AH534" s="20">
        <f>IFERROR((VLOOKUP(Tabla13[[#This Row],[ID]],[1]!Mtto_Pesv[[#Headers],[#Data],[Placa]:[Rutina]],7,FALSE)),0)</f>
        <v>0</v>
      </c>
      <c r="AI534" s="20">
        <f>IFERROR((VLOOKUP(Tabla13[[#This Row],[ID]],[1]!Mtto_Pesv[[#Headers],[#Data],[Placa]:[Rutina]],8,FALSE)),0)</f>
        <v>0</v>
      </c>
      <c r="AJ534" s="20" t="str">
        <f>IFERROR((VLOOKUP(Tabla13[[#This Row],[ID]],[1]!Mtto_Pesv[[#Headers],[#Data],[Placa]:[Rutina]],9,FALSE)),"-")</f>
        <v>-</v>
      </c>
      <c r="AK534" s="20">
        <f>IFERROR((VLOOKUP(Tabla13[[#This Row],[ID]],[1]!Mtto_Pesv[[#Headers],[#Data],[Placa]:[Rutina]],10,FALSE)),0)</f>
        <v>0</v>
      </c>
      <c r="AL534" s="20">
        <f>IF(Tabla13[[#This Row],[Km Anterior]]=0,0,Tabla13[[#This Row],[Km Ejecut]]-Tabla13[[#This Row],[Km Anterior]])</f>
        <v>0</v>
      </c>
      <c r="AM534" s="20">
        <f>IFERROR((VLOOKUP(Tabla13[[#This Row],[ID]],[1]!Mtto_Pesv[[#Headers],[#Data],[Placa]:[Rutina]],4,FALSE)),0)</f>
        <v>0</v>
      </c>
      <c r="AN534" s="21">
        <f>IFERROR((VLOOKUP(Tabla13[[#This Row],[ID]],[1]!Mtto_Pesv[[#Headers],[#Data],[Placa]:[Rutina]],5,FALSE)),0)</f>
        <v>0</v>
      </c>
      <c r="AO534" s="21">
        <f>+Tabla13[[#This Row],[Km Fin]]-Tabla13[[#This Row],[Km Ini]]</f>
        <v>0</v>
      </c>
      <c r="AP534" s="20">
        <f>IFERROR((VLOOKUP(Tabla13[[#This Row],[ID]],[1]!Estilo_Conduccion[[#All],[Placa]:[Puntuacion]],15,FALSE)),0)</f>
        <v>4793.3999999999996</v>
      </c>
      <c r="AQ534" s="15" t="s">
        <v>1414</v>
      </c>
      <c r="AR534" s="15" t="s">
        <v>1415</v>
      </c>
      <c r="AS534" s="20">
        <v>2630</v>
      </c>
      <c r="AT534" s="21">
        <v>6084</v>
      </c>
      <c r="AU534" s="21">
        <f>(Tabla13[[#This Row],[Cap Vh]]*$AX$2)*0.56</f>
        <v>0</v>
      </c>
      <c r="AV534" s="36" t="e">
        <f>(Tabla13[[#This Row],[Cap Util (kg)]]/(Tabla13[[#This Row],[Cap Inst (Kg)]]))</f>
        <v>#DIV/0!</v>
      </c>
    </row>
    <row r="535" spans="1:48" x14ac:dyDescent="0.25">
      <c r="A535" s="13" t="s">
        <v>1068</v>
      </c>
      <c r="B535" s="14" t="s">
        <v>738</v>
      </c>
      <c r="C535" s="14" t="s">
        <v>564</v>
      </c>
      <c r="D535" s="14" t="s">
        <v>577</v>
      </c>
      <c r="E535" s="14" t="s">
        <v>681</v>
      </c>
      <c r="F535" s="14" t="s">
        <v>76</v>
      </c>
      <c r="G535" s="15" t="s">
        <v>89</v>
      </c>
      <c r="H535" s="16" t="s">
        <v>90</v>
      </c>
      <c r="I535" s="14" t="s">
        <v>49</v>
      </c>
      <c r="J535" s="14">
        <v>900335279</v>
      </c>
      <c r="K535" s="14" t="s">
        <v>77</v>
      </c>
      <c r="L535" s="14" t="s">
        <v>103</v>
      </c>
      <c r="M535" s="14" t="s">
        <v>121</v>
      </c>
      <c r="N535" s="14">
        <v>2012</v>
      </c>
      <c r="O535" s="14">
        <v>8</v>
      </c>
      <c r="P535" s="14" t="s">
        <v>53</v>
      </c>
      <c r="Q535" s="14">
        <v>0</v>
      </c>
      <c r="R535" s="14">
        <v>0</v>
      </c>
      <c r="S535" s="17" t="s">
        <v>54</v>
      </c>
      <c r="T535" s="18">
        <v>0</v>
      </c>
      <c r="U535" s="14">
        <v>0</v>
      </c>
      <c r="V535" s="19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f>Tabla13[[#This Row],[CheckList App]]+Tabla13[[#This Row],[CheckList Fisc]]</f>
        <v>0</v>
      </c>
      <c r="AB535" s="19" t="str">
        <f t="shared" si="8"/>
        <v/>
      </c>
      <c r="AC535" s="14">
        <v>0</v>
      </c>
      <c r="AD535" s="14" t="s">
        <v>55</v>
      </c>
      <c r="AE535" s="15" t="str">
        <f>IFERROR((VLOOKUP(Tabla13[[#This Row],[ID]],[1]!Mtto_Pesv[[#Headers],[#Data],[Placa]:[Rutina]],2,FALSE)),"-")</f>
        <v>-</v>
      </c>
      <c r="AF535" s="14">
        <v>0</v>
      </c>
      <c r="AG535" s="20">
        <f>IFERROR((VLOOKUP(Tabla13[[#This Row],[ID]],[1]!Mtto_Pesv[[#Headers],[#Data],[Placa]:[Rutina]],3,FALSE)),0)</f>
        <v>0</v>
      </c>
      <c r="AH535" s="20">
        <f>IFERROR((VLOOKUP(Tabla13[[#This Row],[ID]],[1]!Mtto_Pesv[[#Headers],[#Data],[Placa]:[Rutina]],7,FALSE)),0)</f>
        <v>0</v>
      </c>
      <c r="AI535" s="20">
        <f>IFERROR((VLOOKUP(Tabla13[[#This Row],[ID]],[1]!Mtto_Pesv[[#Headers],[#Data],[Placa]:[Rutina]],8,FALSE)),0)</f>
        <v>0</v>
      </c>
      <c r="AJ535" s="20" t="str">
        <f>IFERROR((VLOOKUP(Tabla13[[#This Row],[ID]],[1]!Mtto_Pesv[[#Headers],[#Data],[Placa]:[Rutina]],9,FALSE)),"-")</f>
        <v>-</v>
      </c>
      <c r="AK535" s="20">
        <f>IFERROR((VLOOKUP(Tabla13[[#This Row],[ID]],[1]!Mtto_Pesv[[#Headers],[#Data],[Placa]:[Rutina]],10,FALSE)),0)</f>
        <v>0</v>
      </c>
      <c r="AL535" s="20">
        <f>IF(Tabla13[[#This Row],[Km Anterior]]=0,0,Tabla13[[#This Row],[Km Ejecut]]-Tabla13[[#This Row],[Km Anterior]])</f>
        <v>0</v>
      </c>
      <c r="AM535" s="20">
        <f>IFERROR((VLOOKUP(Tabla13[[#This Row],[ID]],[1]!Mtto_Pesv[[#Headers],[#Data],[Placa]:[Rutina]],4,FALSE)),0)</f>
        <v>0</v>
      </c>
      <c r="AN535" s="21">
        <f>IFERROR((VLOOKUP(Tabla13[[#This Row],[ID]],[1]!Mtto_Pesv[[#Headers],[#Data],[Placa]:[Rutina]],5,FALSE)),0)</f>
        <v>0</v>
      </c>
      <c r="AO535" s="21">
        <f>+Tabla13[[#This Row],[Km Fin]]-Tabla13[[#This Row],[Km Ini]]</f>
        <v>0</v>
      </c>
      <c r="AP535" s="20">
        <f>IFERROR((VLOOKUP(Tabla13[[#This Row],[ID]],[1]!Estilo_Conduccion[[#All],[Placa]:[Puntuacion]],15,FALSE)),0)</f>
        <v>0</v>
      </c>
      <c r="AQ535" s="15" t="s">
        <v>1395</v>
      </c>
      <c r="AR535" s="15" t="s">
        <v>1396</v>
      </c>
      <c r="AS535" s="20">
        <v>2630</v>
      </c>
      <c r="AT535" s="21">
        <v>9687</v>
      </c>
      <c r="AU535" s="21">
        <f>(Tabla13[[#This Row],[Cap Vh]]*$AX$2)*0.56</f>
        <v>0</v>
      </c>
      <c r="AV535" s="36" t="e">
        <f>(Tabla13[[#This Row],[Cap Util (kg)]]/(Tabla13[[#This Row],[Cap Inst (Kg)]]))</f>
        <v>#DIV/0!</v>
      </c>
    </row>
    <row r="536" spans="1:48" x14ac:dyDescent="0.25">
      <c r="A536" s="13" t="s">
        <v>1068</v>
      </c>
      <c r="B536" s="14" t="s">
        <v>739</v>
      </c>
      <c r="C536" s="14" t="s">
        <v>564</v>
      </c>
      <c r="D536" s="14" t="s">
        <v>577</v>
      </c>
      <c r="E536" s="14" t="s">
        <v>598</v>
      </c>
      <c r="F536" s="14" t="s">
        <v>76</v>
      </c>
      <c r="G536" s="15" t="s">
        <v>89</v>
      </c>
      <c r="H536" s="16" t="s">
        <v>90</v>
      </c>
      <c r="I536" s="14" t="s">
        <v>49</v>
      </c>
      <c r="J536" s="14">
        <v>900335279</v>
      </c>
      <c r="K536" s="14" t="s">
        <v>77</v>
      </c>
      <c r="L536" s="14" t="s">
        <v>103</v>
      </c>
      <c r="M536" s="14" t="s">
        <v>121</v>
      </c>
      <c r="N536" s="14">
        <v>2012</v>
      </c>
      <c r="O536" s="14">
        <v>8</v>
      </c>
      <c r="P536" s="14" t="s">
        <v>53</v>
      </c>
      <c r="Q536" s="14">
        <v>0</v>
      </c>
      <c r="R536" s="14">
        <v>0</v>
      </c>
      <c r="S536" s="17" t="s">
        <v>54</v>
      </c>
      <c r="T536" s="18">
        <v>0</v>
      </c>
      <c r="U536" s="14">
        <v>0</v>
      </c>
      <c r="V536" s="19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f>Tabla13[[#This Row],[CheckList App]]+Tabla13[[#This Row],[CheckList Fisc]]</f>
        <v>0</v>
      </c>
      <c r="AB536" s="19" t="str">
        <f t="shared" si="8"/>
        <v/>
      </c>
      <c r="AC536" s="14">
        <v>0</v>
      </c>
      <c r="AD536" s="14" t="s">
        <v>55</v>
      </c>
      <c r="AE536" s="15" t="str">
        <f>IFERROR((VLOOKUP(Tabla13[[#This Row],[ID]],[1]!Mtto_Pesv[[#Headers],[#Data],[Placa]:[Rutina]],2,FALSE)),"-")</f>
        <v>-</v>
      </c>
      <c r="AF536" s="14">
        <v>0</v>
      </c>
      <c r="AG536" s="20">
        <f>IFERROR((VLOOKUP(Tabla13[[#This Row],[ID]],[1]!Mtto_Pesv[[#Headers],[#Data],[Placa]:[Rutina]],3,FALSE)),0)</f>
        <v>0</v>
      </c>
      <c r="AH536" s="20">
        <f>IFERROR((VLOOKUP(Tabla13[[#This Row],[ID]],[1]!Mtto_Pesv[[#Headers],[#Data],[Placa]:[Rutina]],7,FALSE)),0)</f>
        <v>0</v>
      </c>
      <c r="AI536" s="20">
        <f>IFERROR((VLOOKUP(Tabla13[[#This Row],[ID]],[1]!Mtto_Pesv[[#Headers],[#Data],[Placa]:[Rutina]],8,FALSE)),0)</f>
        <v>0</v>
      </c>
      <c r="AJ536" s="20" t="str">
        <f>IFERROR((VLOOKUP(Tabla13[[#This Row],[ID]],[1]!Mtto_Pesv[[#Headers],[#Data],[Placa]:[Rutina]],9,FALSE)),"-")</f>
        <v>-</v>
      </c>
      <c r="AK536" s="20">
        <f>IFERROR((VLOOKUP(Tabla13[[#This Row],[ID]],[1]!Mtto_Pesv[[#Headers],[#Data],[Placa]:[Rutina]],10,FALSE)),0)</f>
        <v>0</v>
      </c>
      <c r="AL536" s="20">
        <f>IF(Tabla13[[#This Row],[Km Anterior]]=0,0,Tabla13[[#This Row],[Km Ejecut]]-Tabla13[[#This Row],[Km Anterior]])</f>
        <v>0</v>
      </c>
      <c r="AM536" s="20">
        <f>IFERROR((VLOOKUP(Tabla13[[#This Row],[ID]],[1]!Mtto_Pesv[[#Headers],[#Data],[Placa]:[Rutina]],4,FALSE)),0)</f>
        <v>0</v>
      </c>
      <c r="AN536" s="21">
        <f>IFERROR((VLOOKUP(Tabla13[[#This Row],[ID]],[1]!Mtto_Pesv[[#Headers],[#Data],[Placa]:[Rutina]],5,FALSE)),0)</f>
        <v>0</v>
      </c>
      <c r="AO536" s="21">
        <f>+Tabla13[[#This Row],[Km Fin]]-Tabla13[[#This Row],[Km Ini]]</f>
        <v>0</v>
      </c>
      <c r="AP536" s="20">
        <f>IFERROR((VLOOKUP(Tabla13[[#This Row],[ID]],[1]!Estilo_Conduccion[[#All],[Placa]:[Puntuacion]],15,FALSE)),0)</f>
        <v>0</v>
      </c>
      <c r="AQ536" s="15" t="s">
        <v>1416</v>
      </c>
      <c r="AR536" s="15" t="s">
        <v>1417</v>
      </c>
      <c r="AS536" s="20">
        <v>2630</v>
      </c>
      <c r="AT536" s="21">
        <v>10057.5</v>
      </c>
      <c r="AU536" s="21">
        <f>(Tabla13[[#This Row],[Cap Vh]]*$AX$2)*0.56</f>
        <v>0</v>
      </c>
      <c r="AV536" s="36" t="e">
        <f>(Tabla13[[#This Row],[Cap Util (kg)]]/(Tabla13[[#This Row],[Cap Inst (Kg)]]))</f>
        <v>#DIV/0!</v>
      </c>
    </row>
    <row r="537" spans="1:48" x14ac:dyDescent="0.25">
      <c r="A537" s="13" t="s">
        <v>1068</v>
      </c>
      <c r="B537" s="14" t="s">
        <v>740</v>
      </c>
      <c r="C537" s="14" t="s">
        <v>564</v>
      </c>
      <c r="D537" s="14" t="s">
        <v>577</v>
      </c>
      <c r="E537" s="14" t="s">
        <v>598</v>
      </c>
      <c r="F537" s="14" t="s">
        <v>64</v>
      </c>
      <c r="G537" s="15" t="s">
        <v>128</v>
      </c>
      <c r="H537" s="16" t="s">
        <v>143</v>
      </c>
      <c r="I537" s="14" t="s">
        <v>109</v>
      </c>
      <c r="J537" s="14">
        <v>900335279</v>
      </c>
      <c r="K537" s="14" t="s">
        <v>77</v>
      </c>
      <c r="L537" s="14" t="s">
        <v>103</v>
      </c>
      <c r="M537" s="14" t="s">
        <v>741</v>
      </c>
      <c r="N537" s="14">
        <v>2008</v>
      </c>
      <c r="O537" s="14">
        <v>12</v>
      </c>
      <c r="P537" s="14" t="s">
        <v>173</v>
      </c>
      <c r="Q537" s="14">
        <v>1</v>
      </c>
      <c r="R537" s="14">
        <v>1</v>
      </c>
      <c r="S537" s="17">
        <v>44834.955717592587</v>
      </c>
      <c r="T537" s="18">
        <v>173.459</v>
      </c>
      <c r="U537" s="14">
        <v>25</v>
      </c>
      <c r="V537" s="19">
        <v>0.83333333333333337</v>
      </c>
      <c r="W537" s="14">
        <v>0</v>
      </c>
      <c r="X537" s="14">
        <v>5</v>
      </c>
      <c r="Y537" s="14">
        <v>0</v>
      </c>
      <c r="Z537" s="14">
        <v>3</v>
      </c>
      <c r="AA537" s="14">
        <f>Tabla13[[#This Row],[CheckList App]]+Tabla13[[#This Row],[CheckList Fisc]]</f>
        <v>3</v>
      </c>
      <c r="AB537" s="19">
        <f t="shared" si="8"/>
        <v>0.6</v>
      </c>
      <c r="AC537" s="14">
        <v>130</v>
      </c>
      <c r="AD537" s="14" t="s">
        <v>70</v>
      </c>
      <c r="AE537" s="15" t="str">
        <f>IFERROR((VLOOKUP(Tabla13[[#This Row],[ID]],[1]!Mtto_Pesv[[#Headers],[#Data],[Placa]:[Rutina]],2,FALSE)),"-")</f>
        <v>-</v>
      </c>
      <c r="AF537" s="14">
        <v>1</v>
      </c>
      <c r="AG537" s="20">
        <f>IFERROR((VLOOKUP(Tabla13[[#This Row],[ID]],[1]!Mtto_Pesv[[#Headers],[#Data],[Placa]:[Rutina]],3,FALSE)),0)</f>
        <v>0</v>
      </c>
      <c r="AH537" s="20">
        <f>IFERROR((VLOOKUP(Tabla13[[#This Row],[ID]],[1]!Mtto_Pesv[[#Headers],[#Data],[Placa]:[Rutina]],7,FALSE)),0)</f>
        <v>0</v>
      </c>
      <c r="AI537" s="20">
        <f>IFERROR((VLOOKUP(Tabla13[[#This Row],[ID]],[1]!Mtto_Pesv[[#Headers],[#Data],[Placa]:[Rutina]],8,FALSE)),0)</f>
        <v>0</v>
      </c>
      <c r="AJ537" s="20" t="str">
        <f>IFERROR((VLOOKUP(Tabla13[[#This Row],[ID]],[1]!Mtto_Pesv[[#Headers],[#Data],[Placa]:[Rutina]],9,FALSE)),"-")</f>
        <v>-</v>
      </c>
      <c r="AK537" s="20">
        <f>IFERROR((VLOOKUP(Tabla13[[#This Row],[ID]],[1]!Mtto_Pesv[[#Headers],[#Data],[Placa]:[Rutina]],10,FALSE)),0)</f>
        <v>0</v>
      </c>
      <c r="AL537" s="20">
        <f>IF(Tabla13[[#This Row],[Km Anterior]]=0,0,Tabla13[[#This Row],[Km Ejecut]]-Tabla13[[#This Row],[Km Anterior]])</f>
        <v>0</v>
      </c>
      <c r="AM537" s="20">
        <f>IFERROR((VLOOKUP(Tabla13[[#This Row],[ID]],[1]!Mtto_Pesv[[#Headers],[#Data],[Placa]:[Rutina]],4,FALSE)),0)</f>
        <v>0</v>
      </c>
      <c r="AN537" s="21">
        <f>IFERROR((VLOOKUP(Tabla13[[#This Row],[ID]],[1]!Mtto_Pesv[[#Headers],[#Data],[Placa]:[Rutina]],5,FALSE)),0)</f>
        <v>0</v>
      </c>
      <c r="AO537" s="21">
        <f>+Tabla13[[#This Row],[Km Fin]]-Tabla13[[#This Row],[Km Ini]]</f>
        <v>0</v>
      </c>
      <c r="AP537" s="20">
        <f>IFERROR((VLOOKUP(Tabla13[[#This Row],[ID]],[1]!Estilo_Conduccion[[#All],[Placa]:[Puntuacion]],15,FALSE)),0)</f>
        <v>541</v>
      </c>
      <c r="AQ537" s="15" t="s">
        <v>54</v>
      </c>
      <c r="AR537" s="15" t="s">
        <v>1418</v>
      </c>
      <c r="AS537" s="20">
        <v>20000</v>
      </c>
      <c r="AT537" s="21">
        <v>0</v>
      </c>
      <c r="AU537" s="21">
        <f>(Tabla13[[#This Row],[Cap Vh]]*$AX$2)*0.56</f>
        <v>0</v>
      </c>
      <c r="AV537" s="36" t="e">
        <f>(Tabla13[[#This Row],[Cap Util (kg)]]/(Tabla13[[#This Row],[Cap Inst (Kg)]]))</f>
        <v>#DIV/0!</v>
      </c>
    </row>
    <row r="538" spans="1:48" x14ac:dyDescent="0.25">
      <c r="A538" s="13" t="s">
        <v>1068</v>
      </c>
      <c r="B538" s="14" t="s">
        <v>742</v>
      </c>
      <c r="C538" s="14" t="s">
        <v>564</v>
      </c>
      <c r="D538" s="14" t="s">
        <v>577</v>
      </c>
      <c r="E538" s="14" t="s">
        <v>578</v>
      </c>
      <c r="F538" s="14" t="s">
        <v>337</v>
      </c>
      <c r="G538" s="15" t="s">
        <v>128</v>
      </c>
      <c r="H538" s="16" t="s">
        <v>129</v>
      </c>
      <c r="I538" s="14" t="s">
        <v>49</v>
      </c>
      <c r="J538" s="14">
        <v>890300279</v>
      </c>
      <c r="K538" s="14" t="s">
        <v>282</v>
      </c>
      <c r="L538" s="14" t="s">
        <v>103</v>
      </c>
      <c r="M538" s="14" t="s">
        <v>121</v>
      </c>
      <c r="N538" s="14">
        <v>2015</v>
      </c>
      <c r="O538" s="14">
        <v>5</v>
      </c>
      <c r="P538" s="14" t="s">
        <v>53</v>
      </c>
      <c r="Q538" s="14">
        <v>1</v>
      </c>
      <c r="R538" s="14">
        <v>0</v>
      </c>
      <c r="S538" s="17" t="s">
        <v>54</v>
      </c>
      <c r="T538" s="18">
        <v>0</v>
      </c>
      <c r="U538" s="14">
        <v>30</v>
      </c>
      <c r="V538" s="19">
        <v>1</v>
      </c>
      <c r="W538" s="14">
        <v>0</v>
      </c>
      <c r="X538" s="14">
        <v>14</v>
      </c>
      <c r="Y538" s="14">
        <v>0</v>
      </c>
      <c r="Z538" s="14">
        <v>9</v>
      </c>
      <c r="AA538" s="14">
        <f>Tabla13[[#This Row],[CheckList App]]+Tabla13[[#This Row],[CheckList Fisc]]</f>
        <v>9</v>
      </c>
      <c r="AB538" s="19">
        <f t="shared" si="8"/>
        <v>0.6428571428571429</v>
      </c>
      <c r="AC538" s="14">
        <v>0</v>
      </c>
      <c r="AD538" s="14" t="s">
        <v>55</v>
      </c>
      <c r="AE538" s="15" t="str">
        <f>IFERROR((VLOOKUP(Tabla13[[#This Row],[ID]],[1]!Mtto_Pesv[[#Headers],[#Data],[Placa]:[Rutina]],2,FALSE)),"-")</f>
        <v>-</v>
      </c>
      <c r="AF538" s="14">
        <v>0</v>
      </c>
      <c r="AG538" s="20">
        <f>IFERROR((VLOOKUP(Tabla13[[#This Row],[ID]],[1]!Mtto_Pesv[[#Headers],[#Data],[Placa]:[Rutina]],3,FALSE)),0)</f>
        <v>0</v>
      </c>
      <c r="AH538" s="20">
        <f>IFERROR((VLOOKUP(Tabla13[[#This Row],[ID]],[1]!Mtto_Pesv[[#Headers],[#Data],[Placa]:[Rutina]],7,FALSE)),0)</f>
        <v>0</v>
      </c>
      <c r="AI538" s="20">
        <f>IFERROR((VLOOKUP(Tabla13[[#This Row],[ID]],[1]!Mtto_Pesv[[#Headers],[#Data],[Placa]:[Rutina]],8,FALSE)),0)</f>
        <v>0</v>
      </c>
      <c r="AJ538" s="20" t="str">
        <f>IFERROR((VLOOKUP(Tabla13[[#This Row],[ID]],[1]!Mtto_Pesv[[#Headers],[#Data],[Placa]:[Rutina]],9,FALSE)),"-")</f>
        <v>-</v>
      </c>
      <c r="AK538" s="20">
        <f>IFERROR((VLOOKUP(Tabla13[[#This Row],[ID]],[1]!Mtto_Pesv[[#Headers],[#Data],[Placa]:[Rutina]],10,FALSE)),0)</f>
        <v>0</v>
      </c>
      <c r="AL538" s="20">
        <f>IF(Tabla13[[#This Row],[Km Anterior]]=0,0,Tabla13[[#This Row],[Km Ejecut]]-Tabla13[[#This Row],[Km Anterior]])</f>
        <v>0</v>
      </c>
      <c r="AM538" s="20">
        <f>IFERROR((VLOOKUP(Tabla13[[#This Row],[ID]],[1]!Mtto_Pesv[[#Headers],[#Data],[Placa]:[Rutina]],4,FALSE)),0)</f>
        <v>0</v>
      </c>
      <c r="AN538" s="21">
        <f>IFERROR((VLOOKUP(Tabla13[[#This Row],[ID]],[1]!Mtto_Pesv[[#Headers],[#Data],[Placa]:[Rutina]],5,FALSE)),0)</f>
        <v>0</v>
      </c>
      <c r="AO538" s="21">
        <f>+Tabla13[[#This Row],[Km Fin]]-Tabla13[[#This Row],[Km Ini]]</f>
        <v>0</v>
      </c>
      <c r="AP538" s="20">
        <f>IFERROR((VLOOKUP(Tabla13[[#This Row],[ID]],[1]!Estilo_Conduccion[[#All],[Placa]:[Puntuacion]],15,FALSE)),0)</f>
        <v>0.30000000000000004</v>
      </c>
      <c r="AQ538" s="15" t="s">
        <v>1399</v>
      </c>
      <c r="AR538" s="15" t="s">
        <v>1400</v>
      </c>
      <c r="AS538" s="20">
        <v>2601</v>
      </c>
      <c r="AT538" s="21">
        <v>20864.7</v>
      </c>
      <c r="AU538" s="21">
        <f>(Tabla13[[#This Row],[Cap Vh]]*$AX$2)*0.56</f>
        <v>0</v>
      </c>
      <c r="AV538" s="36" t="e">
        <f>(Tabla13[[#This Row],[Cap Util (kg)]]/(Tabla13[[#This Row],[Cap Inst (Kg)]]))</f>
        <v>#DIV/0!</v>
      </c>
    </row>
    <row r="539" spans="1:48" x14ac:dyDescent="0.25">
      <c r="A539" s="13" t="s">
        <v>1068</v>
      </c>
      <c r="B539" s="14" t="s">
        <v>743</v>
      </c>
      <c r="C539" s="14" t="s">
        <v>564</v>
      </c>
      <c r="D539" s="14" t="s">
        <v>577</v>
      </c>
      <c r="E539" s="14" t="s">
        <v>598</v>
      </c>
      <c r="F539" s="14" t="s">
        <v>64</v>
      </c>
      <c r="G539" s="15" t="s">
        <v>128</v>
      </c>
      <c r="H539" s="16" t="s">
        <v>143</v>
      </c>
      <c r="I539" s="14" t="s">
        <v>49</v>
      </c>
      <c r="J539" s="14">
        <v>890300279</v>
      </c>
      <c r="K539" s="14" t="s">
        <v>282</v>
      </c>
      <c r="L539" s="14" t="s">
        <v>103</v>
      </c>
      <c r="M539" s="14" t="s">
        <v>132</v>
      </c>
      <c r="N539" s="14">
        <v>2015</v>
      </c>
      <c r="O539" s="14">
        <v>5</v>
      </c>
      <c r="P539" s="14" t="s">
        <v>53</v>
      </c>
      <c r="Q539" s="14">
        <v>1</v>
      </c>
      <c r="R539" s="14">
        <v>1</v>
      </c>
      <c r="S539" s="17">
        <v>44833.939282407409</v>
      </c>
      <c r="T539" s="18">
        <v>352.26200000000006</v>
      </c>
      <c r="U539" s="14">
        <v>24</v>
      </c>
      <c r="V539" s="19">
        <v>0.8</v>
      </c>
      <c r="W539" s="14">
        <v>0</v>
      </c>
      <c r="X539" s="14">
        <v>21</v>
      </c>
      <c r="Y539" s="14">
        <v>0</v>
      </c>
      <c r="Z539" s="14">
        <v>19</v>
      </c>
      <c r="AA539" s="14">
        <f>Tabla13[[#This Row],[CheckList App]]+Tabla13[[#This Row],[CheckList Fisc]]</f>
        <v>19</v>
      </c>
      <c r="AB539" s="19">
        <f t="shared" si="8"/>
        <v>0.90476190476190477</v>
      </c>
      <c r="AC539" s="14">
        <v>18</v>
      </c>
      <c r="AD539" s="14" t="s">
        <v>70</v>
      </c>
      <c r="AE539" s="15" t="str">
        <f>IFERROR((VLOOKUP(Tabla13[[#This Row],[ID]],[1]!Mtto_Pesv[[#Headers],[#Data],[Placa]:[Rutina]],2,FALSE)),"-")</f>
        <v>-</v>
      </c>
      <c r="AF539" s="14">
        <v>1</v>
      </c>
      <c r="AG539" s="20">
        <f>IFERROR((VLOOKUP(Tabla13[[#This Row],[ID]],[1]!Mtto_Pesv[[#Headers],[#Data],[Placa]:[Rutina]],3,FALSE)),0)</f>
        <v>0</v>
      </c>
      <c r="AH539" s="20">
        <f>IFERROR((VLOOKUP(Tabla13[[#This Row],[ID]],[1]!Mtto_Pesv[[#Headers],[#Data],[Placa]:[Rutina]],7,FALSE)),0)</f>
        <v>0</v>
      </c>
      <c r="AI539" s="20">
        <f>IFERROR((VLOOKUP(Tabla13[[#This Row],[ID]],[1]!Mtto_Pesv[[#Headers],[#Data],[Placa]:[Rutina]],8,FALSE)),0)</f>
        <v>0</v>
      </c>
      <c r="AJ539" s="20" t="str">
        <f>IFERROR((VLOOKUP(Tabla13[[#This Row],[ID]],[1]!Mtto_Pesv[[#Headers],[#Data],[Placa]:[Rutina]],9,FALSE)),"-")</f>
        <v>-</v>
      </c>
      <c r="AK539" s="20">
        <f>IFERROR((VLOOKUP(Tabla13[[#This Row],[ID]],[1]!Mtto_Pesv[[#Headers],[#Data],[Placa]:[Rutina]],10,FALSE)),0)</f>
        <v>0</v>
      </c>
      <c r="AL539" s="20">
        <f>IF(Tabla13[[#This Row],[Km Anterior]]=0,0,Tabla13[[#This Row],[Km Ejecut]]-Tabla13[[#This Row],[Km Anterior]])</f>
        <v>0</v>
      </c>
      <c r="AM539" s="20">
        <f>IFERROR((VLOOKUP(Tabla13[[#This Row],[ID]],[1]!Mtto_Pesv[[#Headers],[#Data],[Placa]:[Rutina]],4,FALSE)),0)</f>
        <v>0</v>
      </c>
      <c r="AN539" s="21">
        <f>IFERROR((VLOOKUP(Tabla13[[#This Row],[ID]],[1]!Mtto_Pesv[[#Headers],[#Data],[Placa]:[Rutina]],5,FALSE)),0)</f>
        <v>0</v>
      </c>
      <c r="AO539" s="21">
        <f>+Tabla13[[#This Row],[Km Fin]]-Tabla13[[#This Row],[Km Ini]]</f>
        <v>0</v>
      </c>
      <c r="AP539" s="20">
        <f>IFERROR((VLOOKUP(Tabla13[[#This Row],[ID]],[1]!Estilo_Conduccion[[#All],[Placa]:[Puntuacion]],15,FALSE)),0)</f>
        <v>58.6</v>
      </c>
      <c r="AQ539" s="15" t="s">
        <v>54</v>
      </c>
      <c r="AR539" s="15" t="s">
        <v>1419</v>
      </c>
      <c r="AS539" s="20">
        <v>9989</v>
      </c>
      <c r="AT539" s="21">
        <v>0</v>
      </c>
      <c r="AU539" s="21">
        <f>(Tabla13[[#This Row],[Cap Vh]]*$AX$2)*0.56</f>
        <v>0</v>
      </c>
      <c r="AV539" s="36" t="e">
        <f>(Tabla13[[#This Row],[Cap Util (kg)]]/(Tabla13[[#This Row],[Cap Inst (Kg)]]))</f>
        <v>#DIV/0!</v>
      </c>
    </row>
    <row r="540" spans="1:48" x14ac:dyDescent="0.25">
      <c r="A540" s="13" t="s">
        <v>1068</v>
      </c>
      <c r="B540" s="14" t="s">
        <v>744</v>
      </c>
      <c r="C540" s="14" t="s">
        <v>564</v>
      </c>
      <c r="D540" s="14" t="s">
        <v>577</v>
      </c>
      <c r="E540" s="14" t="s">
        <v>578</v>
      </c>
      <c r="F540" s="14" t="s">
        <v>337</v>
      </c>
      <c r="G540" s="15" t="s">
        <v>47</v>
      </c>
      <c r="H540" s="16" t="s">
        <v>48</v>
      </c>
      <c r="I540" s="14" t="s">
        <v>49</v>
      </c>
      <c r="J540" s="14">
        <v>900335279</v>
      </c>
      <c r="K540" s="14" t="s">
        <v>77</v>
      </c>
      <c r="L540" s="14" t="s">
        <v>103</v>
      </c>
      <c r="M540" s="14" t="s">
        <v>347</v>
      </c>
      <c r="N540" s="14">
        <v>2009</v>
      </c>
      <c r="O540" s="14">
        <v>11</v>
      </c>
      <c r="P540" s="14" t="s">
        <v>53</v>
      </c>
      <c r="Q540" s="14">
        <v>0</v>
      </c>
      <c r="R540" s="14">
        <v>0</v>
      </c>
      <c r="S540" s="17" t="s">
        <v>54</v>
      </c>
      <c r="T540" s="18">
        <v>0</v>
      </c>
      <c r="U540" s="14">
        <v>0</v>
      </c>
      <c r="V540" s="19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f>Tabla13[[#This Row],[CheckList App]]+Tabla13[[#This Row],[CheckList Fisc]]</f>
        <v>0</v>
      </c>
      <c r="AB540" s="19" t="str">
        <f t="shared" si="8"/>
        <v/>
      </c>
      <c r="AC540" s="14">
        <v>0</v>
      </c>
      <c r="AD540" s="14" t="s">
        <v>55</v>
      </c>
      <c r="AE540" s="15" t="str">
        <f>IFERROR((VLOOKUP(Tabla13[[#This Row],[ID]],[1]!Mtto_Pesv[[#Headers],[#Data],[Placa]:[Rutina]],2,FALSE)),"-")</f>
        <v>-</v>
      </c>
      <c r="AF540" s="14">
        <v>0</v>
      </c>
      <c r="AG540" s="20">
        <f>IFERROR((VLOOKUP(Tabla13[[#This Row],[ID]],[1]!Mtto_Pesv[[#Headers],[#Data],[Placa]:[Rutina]],3,FALSE)),0)</f>
        <v>0</v>
      </c>
      <c r="AH540" s="20">
        <f>IFERROR((VLOOKUP(Tabla13[[#This Row],[ID]],[1]!Mtto_Pesv[[#Headers],[#Data],[Placa]:[Rutina]],7,FALSE)),0)</f>
        <v>0</v>
      </c>
      <c r="AI540" s="20">
        <f>IFERROR((VLOOKUP(Tabla13[[#This Row],[ID]],[1]!Mtto_Pesv[[#Headers],[#Data],[Placa]:[Rutina]],8,FALSE)),0)</f>
        <v>0</v>
      </c>
      <c r="AJ540" s="20" t="str">
        <f>IFERROR((VLOOKUP(Tabla13[[#This Row],[ID]],[1]!Mtto_Pesv[[#Headers],[#Data],[Placa]:[Rutina]],9,FALSE)),"-")</f>
        <v>-</v>
      </c>
      <c r="AK540" s="20">
        <f>IFERROR((VLOOKUP(Tabla13[[#This Row],[ID]],[1]!Mtto_Pesv[[#Headers],[#Data],[Placa]:[Rutina]],10,FALSE)),0)</f>
        <v>0</v>
      </c>
      <c r="AL540" s="20">
        <f>IF(Tabla13[[#This Row],[Km Anterior]]=0,0,Tabla13[[#This Row],[Km Ejecut]]-Tabla13[[#This Row],[Km Anterior]])</f>
        <v>0</v>
      </c>
      <c r="AM540" s="20">
        <f>IFERROR((VLOOKUP(Tabla13[[#This Row],[ID]],[1]!Mtto_Pesv[[#Headers],[#Data],[Placa]:[Rutina]],4,FALSE)),0)</f>
        <v>0</v>
      </c>
      <c r="AN540" s="21">
        <f>IFERROR((VLOOKUP(Tabla13[[#This Row],[ID]],[1]!Mtto_Pesv[[#Headers],[#Data],[Placa]:[Rutina]],5,FALSE)),0)</f>
        <v>0</v>
      </c>
      <c r="AO540" s="21">
        <f>+Tabla13[[#This Row],[Km Fin]]-Tabla13[[#This Row],[Km Ini]]</f>
        <v>0</v>
      </c>
      <c r="AP540" s="20">
        <f>IFERROR((VLOOKUP(Tabla13[[#This Row],[ID]],[1]!Estilo_Conduccion[[#All],[Placa]:[Puntuacion]],15,FALSE)),0)</f>
        <v>0</v>
      </c>
      <c r="AQ540" s="15" t="s">
        <v>1373</v>
      </c>
      <c r="AR540" s="15" t="s">
        <v>745</v>
      </c>
      <c r="AS540" s="20">
        <v>2000</v>
      </c>
      <c r="AT540" s="21">
        <v>12622.5</v>
      </c>
      <c r="AU540" s="21">
        <f>(Tabla13[[#This Row],[Cap Vh]]*$AX$2)*0.56</f>
        <v>0</v>
      </c>
      <c r="AV540" s="36" t="e">
        <f>(Tabla13[[#This Row],[Cap Util (kg)]]/(Tabla13[[#This Row],[Cap Inst (Kg)]]))</f>
        <v>#DIV/0!</v>
      </c>
    </row>
    <row r="541" spans="1:48" x14ac:dyDescent="0.25">
      <c r="A541" s="13" t="s">
        <v>1068</v>
      </c>
      <c r="B541" s="14" t="s">
        <v>746</v>
      </c>
      <c r="C541" s="14" t="s">
        <v>564</v>
      </c>
      <c r="D541" s="14" t="s">
        <v>577</v>
      </c>
      <c r="E541" s="14" t="s">
        <v>598</v>
      </c>
      <c r="F541" s="14" t="s">
        <v>64</v>
      </c>
      <c r="G541" s="15" t="s">
        <v>182</v>
      </c>
      <c r="H541" s="13" t="s">
        <v>183</v>
      </c>
      <c r="I541" s="14" t="s">
        <v>49</v>
      </c>
      <c r="J541" s="14">
        <v>901253015</v>
      </c>
      <c r="K541" s="14" t="s">
        <v>185</v>
      </c>
      <c r="L541" s="14" t="s">
        <v>103</v>
      </c>
      <c r="M541" s="14" t="s">
        <v>121</v>
      </c>
      <c r="N541" s="14">
        <v>2022</v>
      </c>
      <c r="O541" s="14">
        <v>1</v>
      </c>
      <c r="P541" s="14" t="s">
        <v>105</v>
      </c>
      <c r="Q541" s="14">
        <v>1</v>
      </c>
      <c r="R541" s="14">
        <v>1</v>
      </c>
      <c r="S541" s="17">
        <v>44833.48814814815</v>
      </c>
      <c r="T541" s="18">
        <v>121.72099999999999</v>
      </c>
      <c r="U541" s="37">
        <v>29</v>
      </c>
      <c r="V541" s="19">
        <v>0.96666666666666667</v>
      </c>
      <c r="W541" s="14">
        <v>0</v>
      </c>
      <c r="X541" s="14">
        <v>23</v>
      </c>
      <c r="Y541" s="14">
        <v>21</v>
      </c>
      <c r="Z541" s="14">
        <v>0</v>
      </c>
      <c r="AA541" s="14">
        <f>Tabla13[[#This Row],[CheckList App]]+Tabla13[[#This Row],[CheckList Fisc]]</f>
        <v>21</v>
      </c>
      <c r="AB541" s="19">
        <f t="shared" si="8"/>
        <v>0.91304347826086951</v>
      </c>
      <c r="AC541" s="14">
        <v>0</v>
      </c>
      <c r="AD541" s="14" t="s">
        <v>54</v>
      </c>
      <c r="AE541" s="15" t="str">
        <f>IFERROR((VLOOKUP(Tabla13[[#This Row],[ID]],[1]!Mtto_Pesv[[#Headers],[#Data],[Placa]:[Rutina]],2,FALSE)),"-")</f>
        <v>-</v>
      </c>
      <c r="AF541" s="14">
        <v>0</v>
      </c>
      <c r="AG541" s="20">
        <f>IFERROR((VLOOKUP(Tabla13[[#This Row],[ID]],[1]!Mtto_Pesv[[#Headers],[#Data],[Placa]:[Rutina]],3,FALSE)),0)</f>
        <v>0</v>
      </c>
      <c r="AH541" s="20">
        <f>IFERROR((VLOOKUP(Tabla13[[#This Row],[ID]],[1]!Mtto_Pesv[[#Headers],[#Data],[Placa]:[Rutina]],7,FALSE)),0)</f>
        <v>0</v>
      </c>
      <c r="AI541" s="20">
        <f>IFERROR((VLOOKUP(Tabla13[[#This Row],[ID]],[1]!Mtto_Pesv[[#Headers],[#Data],[Placa]:[Rutina]],8,FALSE)),0)</f>
        <v>0</v>
      </c>
      <c r="AJ541" s="20" t="str">
        <f>IFERROR((VLOOKUP(Tabla13[[#This Row],[ID]],[1]!Mtto_Pesv[[#Headers],[#Data],[Placa]:[Rutina]],9,FALSE)),"-")</f>
        <v>-</v>
      </c>
      <c r="AK541" s="20">
        <f>IFERROR((VLOOKUP(Tabla13[[#This Row],[ID]],[1]!Mtto_Pesv[[#Headers],[#Data],[Placa]:[Rutina]],10,FALSE)),0)</f>
        <v>0</v>
      </c>
      <c r="AL541" s="20">
        <f>IF(Tabla13[[#This Row],[Km Anterior]]=0,0,Tabla13[[#This Row],[Km Ejecut]]-Tabla13[[#This Row],[Km Anterior]])</f>
        <v>0</v>
      </c>
      <c r="AM541" s="20">
        <f>IFERROR((VLOOKUP(Tabla13[[#This Row],[ID]],[1]!Mtto_Pesv[[#Headers],[#Data],[Placa]:[Rutina]],4,FALSE)),0)</f>
        <v>0</v>
      </c>
      <c r="AN541" s="21">
        <f>IFERROR((VLOOKUP(Tabla13[[#This Row],[ID]],[1]!Mtto_Pesv[[#Headers],[#Data],[Placa]:[Rutina]],5,FALSE)),0)</f>
        <v>0</v>
      </c>
      <c r="AO541" s="21">
        <f>+Tabla13[[#This Row],[Km Fin]]-Tabla13[[#This Row],[Km Ini]]</f>
        <v>0</v>
      </c>
      <c r="AP541" s="20">
        <f>IFERROR((VLOOKUP(Tabla13[[#This Row],[ID]],[1]!Estilo_Conduccion[[#All],[Placa]:[Puntuacion]],15,FALSE)),0)</f>
        <v>15426.9</v>
      </c>
      <c r="AQ541" s="15" t="s">
        <v>54</v>
      </c>
      <c r="AR541" s="15" t="s">
        <v>1334</v>
      </c>
      <c r="AS541" s="20">
        <v>2350</v>
      </c>
      <c r="AT541" s="21">
        <v>0</v>
      </c>
      <c r="AU541" s="21">
        <f>(Tabla13[[#This Row],[Cap Vh]]*$AX$2)*0.56</f>
        <v>0</v>
      </c>
      <c r="AV541" s="36" t="e">
        <f>(Tabla13[[#This Row],[Cap Util (kg)]]/(Tabla13[[#This Row],[Cap Inst (Kg)]]))</f>
        <v>#DIV/0!</v>
      </c>
    </row>
    <row r="542" spans="1:48" x14ac:dyDescent="0.25">
      <c r="A542" s="13" t="s">
        <v>1068</v>
      </c>
      <c r="B542" s="14" t="s">
        <v>747</v>
      </c>
      <c r="C542" s="14" t="s">
        <v>564</v>
      </c>
      <c r="D542" s="14" t="s">
        <v>577</v>
      </c>
      <c r="E542" s="14" t="s">
        <v>598</v>
      </c>
      <c r="F542" s="14" t="s">
        <v>64</v>
      </c>
      <c r="G542" s="15" t="s">
        <v>182</v>
      </c>
      <c r="H542" s="13" t="s">
        <v>199</v>
      </c>
      <c r="I542" s="14" t="s">
        <v>49</v>
      </c>
      <c r="J542" s="14">
        <v>901253015</v>
      </c>
      <c r="K542" s="14" t="s">
        <v>185</v>
      </c>
      <c r="L542" s="14" t="s">
        <v>103</v>
      </c>
      <c r="M542" s="14" t="s">
        <v>104</v>
      </c>
      <c r="N542" s="14">
        <v>2022</v>
      </c>
      <c r="O542" s="14">
        <v>1</v>
      </c>
      <c r="P542" s="14" t="s">
        <v>105</v>
      </c>
      <c r="Q542" s="14">
        <v>1</v>
      </c>
      <c r="R542" s="14">
        <v>0</v>
      </c>
      <c r="S542" s="17" t="s">
        <v>54</v>
      </c>
      <c r="T542" s="18">
        <v>0</v>
      </c>
      <c r="U542" s="37">
        <v>30</v>
      </c>
      <c r="V542" s="19">
        <v>1</v>
      </c>
      <c r="W542" s="14">
        <v>0</v>
      </c>
      <c r="X542" s="14">
        <v>30</v>
      </c>
      <c r="Y542" s="14">
        <v>14</v>
      </c>
      <c r="Z542" s="14">
        <v>0</v>
      </c>
      <c r="AA542" s="14">
        <f>Tabla13[[#This Row],[CheckList App]]+Tabla13[[#This Row],[CheckList Fisc]]</f>
        <v>14</v>
      </c>
      <c r="AB542" s="19">
        <f t="shared" si="8"/>
        <v>0.46666666666666667</v>
      </c>
      <c r="AC542" s="14">
        <v>0</v>
      </c>
      <c r="AD542" s="14" t="s">
        <v>70</v>
      </c>
      <c r="AE542" s="15" t="str">
        <f>IFERROR((VLOOKUP(Tabla13[[#This Row],[ID]],[1]!Mtto_Pesv[[#Headers],[#Data],[Placa]:[Rutina]],2,FALSE)),"-")</f>
        <v>-</v>
      </c>
      <c r="AF542" s="14">
        <v>1</v>
      </c>
      <c r="AG542" s="20">
        <f>IFERROR((VLOOKUP(Tabla13[[#This Row],[ID]],[1]!Mtto_Pesv[[#Headers],[#Data],[Placa]:[Rutina]],3,FALSE)),0)</f>
        <v>0</v>
      </c>
      <c r="AH542" s="20">
        <f>IFERROR((VLOOKUP(Tabla13[[#This Row],[ID]],[1]!Mtto_Pesv[[#Headers],[#Data],[Placa]:[Rutina]],7,FALSE)),0)</f>
        <v>0</v>
      </c>
      <c r="AI542" s="20">
        <f>IFERROR((VLOOKUP(Tabla13[[#This Row],[ID]],[1]!Mtto_Pesv[[#Headers],[#Data],[Placa]:[Rutina]],8,FALSE)),0)</f>
        <v>0</v>
      </c>
      <c r="AJ542" s="20" t="str">
        <f>IFERROR((VLOOKUP(Tabla13[[#This Row],[ID]],[1]!Mtto_Pesv[[#Headers],[#Data],[Placa]:[Rutina]],9,FALSE)),"-")</f>
        <v>-</v>
      </c>
      <c r="AK542" s="20">
        <f>IFERROR((VLOOKUP(Tabla13[[#This Row],[ID]],[1]!Mtto_Pesv[[#Headers],[#Data],[Placa]:[Rutina]],10,FALSE)),0)</f>
        <v>0</v>
      </c>
      <c r="AL542" s="20">
        <f>IF(Tabla13[[#This Row],[Km Anterior]]=0,0,Tabla13[[#This Row],[Km Ejecut]]-Tabla13[[#This Row],[Km Anterior]])</f>
        <v>0</v>
      </c>
      <c r="AM542" s="20">
        <f>IFERROR((VLOOKUP(Tabla13[[#This Row],[ID]],[1]!Mtto_Pesv[[#Headers],[#Data],[Placa]:[Rutina]],4,FALSE)),0)</f>
        <v>0</v>
      </c>
      <c r="AN542" s="21">
        <f>IFERROR((VLOOKUP(Tabla13[[#This Row],[ID]],[1]!Mtto_Pesv[[#Headers],[#Data],[Placa]:[Rutina]],5,FALSE)),0)</f>
        <v>0</v>
      </c>
      <c r="AO542" s="21">
        <f>+Tabla13[[#This Row],[Km Fin]]-Tabla13[[#This Row],[Km Ini]]</f>
        <v>0</v>
      </c>
      <c r="AP542" s="20">
        <f>IFERROR((VLOOKUP(Tabla13[[#This Row],[ID]],[1]!Estilo_Conduccion[[#All],[Placa]:[Puntuacion]],15,FALSE)),0)</f>
        <v>8255.5</v>
      </c>
      <c r="AQ542" s="15" t="s">
        <v>1420</v>
      </c>
      <c r="AR542" s="15" t="s">
        <v>1421</v>
      </c>
      <c r="AS542" s="20">
        <v>1650</v>
      </c>
      <c r="AT542" s="21">
        <v>5979</v>
      </c>
      <c r="AU542" s="21">
        <f>(Tabla13[[#This Row],[Cap Vh]]*$AX$2)*0.56</f>
        <v>0</v>
      </c>
      <c r="AV542" s="36" t="e">
        <f>(Tabla13[[#This Row],[Cap Util (kg)]]/(Tabla13[[#This Row],[Cap Inst (Kg)]]))</f>
        <v>#DIV/0!</v>
      </c>
    </row>
    <row r="543" spans="1:48" x14ac:dyDescent="0.25">
      <c r="A543" s="13" t="s">
        <v>1068</v>
      </c>
      <c r="B543" s="14" t="s">
        <v>748</v>
      </c>
      <c r="C543" s="14" t="s">
        <v>749</v>
      </c>
      <c r="D543" s="14" t="s">
        <v>750</v>
      </c>
      <c r="E543" s="14" t="s">
        <v>751</v>
      </c>
      <c r="F543" s="14" t="s">
        <v>752</v>
      </c>
      <c r="G543" s="15" t="s">
        <v>47</v>
      </c>
      <c r="H543" s="16" t="s">
        <v>48</v>
      </c>
      <c r="I543" s="14" t="s">
        <v>49</v>
      </c>
      <c r="J543" s="14">
        <v>900335279</v>
      </c>
      <c r="K543" s="14" t="s">
        <v>77</v>
      </c>
      <c r="L543" s="14" t="s">
        <v>51</v>
      </c>
      <c r="M543" s="14" t="s">
        <v>78</v>
      </c>
      <c r="N543" s="14">
        <v>2015</v>
      </c>
      <c r="O543" s="14">
        <v>5</v>
      </c>
      <c r="P543" s="14" t="s">
        <v>53</v>
      </c>
      <c r="Q543" s="14">
        <v>0</v>
      </c>
      <c r="R543" s="14">
        <v>0</v>
      </c>
      <c r="S543" s="17" t="s">
        <v>54</v>
      </c>
      <c r="T543" s="18">
        <v>0</v>
      </c>
      <c r="U543" s="14">
        <v>30</v>
      </c>
      <c r="V543" s="19">
        <v>1</v>
      </c>
      <c r="W543" s="14">
        <v>0</v>
      </c>
      <c r="X543" s="14">
        <v>0</v>
      </c>
      <c r="Y543" s="14">
        <v>0</v>
      </c>
      <c r="Z543" s="14">
        <v>0</v>
      </c>
      <c r="AA543" s="14">
        <f>Tabla13[[#This Row],[CheckList App]]+Tabla13[[#This Row],[CheckList Fisc]]</f>
        <v>0</v>
      </c>
      <c r="AB543" s="19">
        <f t="shared" si="8"/>
        <v>0</v>
      </c>
      <c r="AC543" s="14">
        <v>0</v>
      </c>
      <c r="AD543" s="14" t="s">
        <v>55</v>
      </c>
      <c r="AE543" s="15" t="str">
        <f>IFERROR((VLOOKUP(Tabla13[[#This Row],[ID]],[1]!Mtto_Pesv[[#Headers],[#Data],[Placa]:[Rutina]],2,FALSE)),"-")</f>
        <v>-</v>
      </c>
      <c r="AF543" s="14">
        <v>0</v>
      </c>
      <c r="AG543" s="20">
        <f>IFERROR((VLOOKUP(Tabla13[[#This Row],[ID]],[1]!Mtto_Pesv[[#Headers],[#Data],[Placa]:[Rutina]],3,FALSE)),0)</f>
        <v>0</v>
      </c>
      <c r="AH543" s="20">
        <f>IFERROR((VLOOKUP(Tabla13[[#This Row],[ID]],[1]!Mtto_Pesv[[#Headers],[#Data],[Placa]:[Rutina]],7,FALSE)),0)</f>
        <v>0</v>
      </c>
      <c r="AI543" s="20">
        <f>IFERROR((VLOOKUP(Tabla13[[#This Row],[ID]],[1]!Mtto_Pesv[[#Headers],[#Data],[Placa]:[Rutina]],8,FALSE)),0)</f>
        <v>0</v>
      </c>
      <c r="AJ543" s="20" t="str">
        <f>IFERROR((VLOOKUP(Tabla13[[#This Row],[ID]],[1]!Mtto_Pesv[[#Headers],[#Data],[Placa]:[Rutina]],9,FALSE)),"-")</f>
        <v>-</v>
      </c>
      <c r="AK543" s="20">
        <f>IFERROR((VLOOKUP(Tabla13[[#This Row],[ID]],[1]!Mtto_Pesv[[#Headers],[#Data],[Placa]:[Rutina]],10,FALSE)),0)</f>
        <v>0</v>
      </c>
      <c r="AL543" s="20">
        <f>IF(Tabla13[[#This Row],[Km Anterior]]=0,0,Tabla13[[#This Row],[Km Ejecut]]-Tabla13[[#This Row],[Km Anterior]])</f>
        <v>0</v>
      </c>
      <c r="AM543" s="20">
        <f>IFERROR((VLOOKUP(Tabla13[[#This Row],[ID]],[1]!Mtto_Pesv[[#Headers],[#Data],[Placa]:[Rutina]],4,FALSE)),0)</f>
        <v>0</v>
      </c>
      <c r="AN543" s="21">
        <f>IFERROR((VLOOKUP(Tabla13[[#This Row],[ID]],[1]!Mtto_Pesv[[#Headers],[#Data],[Placa]:[Rutina]],5,FALSE)),0)</f>
        <v>0</v>
      </c>
      <c r="AO543" s="21">
        <f>+Tabla13[[#This Row],[Km Fin]]-Tabla13[[#This Row],[Km Ini]]</f>
        <v>0</v>
      </c>
      <c r="AP543" s="20">
        <f>IFERROR((VLOOKUP(Tabla13[[#This Row],[ID]],[1]!Estilo_Conduccion[[#All],[Placa]:[Puntuacion]],15,FALSE)),0)</f>
        <v>0</v>
      </c>
      <c r="AQ543" s="15" t="s">
        <v>1069</v>
      </c>
      <c r="AR543" s="15" t="s">
        <v>753</v>
      </c>
      <c r="AS543" s="20">
        <v>404</v>
      </c>
      <c r="AT543" s="21">
        <v>0</v>
      </c>
      <c r="AU543" s="21">
        <f>(Tabla13[[#This Row],[Cap Vh]]*$AX$2)*0.56</f>
        <v>0</v>
      </c>
      <c r="AV543" s="36" t="e">
        <f>(Tabla13[[#This Row],[Cap Util (kg)]]/(Tabla13[[#This Row],[Cap Inst (Kg)]]))</f>
        <v>#DIV/0!</v>
      </c>
    </row>
    <row r="544" spans="1:48" x14ac:dyDescent="0.25">
      <c r="A544" s="13" t="s">
        <v>1068</v>
      </c>
      <c r="B544" s="14" t="s">
        <v>754</v>
      </c>
      <c r="C544" s="14" t="s">
        <v>749</v>
      </c>
      <c r="D544" s="14" t="s">
        <v>750</v>
      </c>
      <c r="E544" s="14" t="s">
        <v>751</v>
      </c>
      <c r="F544" s="14" t="s">
        <v>76</v>
      </c>
      <c r="G544" s="15" t="s">
        <v>89</v>
      </c>
      <c r="H544" s="16" t="s">
        <v>90</v>
      </c>
      <c r="I544" s="14" t="s">
        <v>49</v>
      </c>
      <c r="J544" s="14">
        <v>860002964</v>
      </c>
      <c r="K544" s="14" t="s">
        <v>102</v>
      </c>
      <c r="L544" s="14" t="s">
        <v>103</v>
      </c>
      <c r="M544" s="14" t="s">
        <v>104</v>
      </c>
      <c r="N544" s="14">
        <v>2018</v>
      </c>
      <c r="O544" s="14">
        <v>2</v>
      </c>
      <c r="P544" s="14" t="s">
        <v>105</v>
      </c>
      <c r="Q544" s="14">
        <v>0</v>
      </c>
      <c r="R544" s="14">
        <v>0</v>
      </c>
      <c r="S544" s="17" t="s">
        <v>54</v>
      </c>
      <c r="T544" s="18">
        <v>0</v>
      </c>
      <c r="U544" s="14">
        <v>30</v>
      </c>
      <c r="V544" s="19">
        <v>1</v>
      </c>
      <c r="W544" s="14">
        <v>0</v>
      </c>
      <c r="X544" s="14">
        <v>0</v>
      </c>
      <c r="Y544" s="14">
        <v>0</v>
      </c>
      <c r="Z544" s="14">
        <v>0</v>
      </c>
      <c r="AA544" s="14">
        <f>Tabla13[[#This Row],[CheckList App]]+Tabla13[[#This Row],[CheckList Fisc]]</f>
        <v>0</v>
      </c>
      <c r="AB544" s="19">
        <f t="shared" si="8"/>
        <v>0</v>
      </c>
      <c r="AC544" s="14">
        <v>0</v>
      </c>
      <c r="AD544" s="14" t="s">
        <v>55</v>
      </c>
      <c r="AE544" s="15" t="str">
        <f>IFERROR((VLOOKUP(Tabla13[[#This Row],[ID]],[1]!Mtto_Pesv[[#Headers],[#Data],[Placa]:[Rutina]],2,FALSE)),"-")</f>
        <v>-</v>
      </c>
      <c r="AF544" s="14">
        <v>0</v>
      </c>
      <c r="AG544" s="20">
        <f>IFERROR((VLOOKUP(Tabla13[[#This Row],[ID]],[1]!Mtto_Pesv[[#Headers],[#Data],[Placa]:[Rutina]],3,FALSE)),0)</f>
        <v>0</v>
      </c>
      <c r="AH544" s="20">
        <f>IFERROR((VLOOKUP(Tabla13[[#This Row],[ID]],[1]!Mtto_Pesv[[#Headers],[#Data],[Placa]:[Rutina]],7,FALSE)),0)</f>
        <v>0</v>
      </c>
      <c r="AI544" s="20">
        <f>IFERROR((VLOOKUP(Tabla13[[#This Row],[ID]],[1]!Mtto_Pesv[[#Headers],[#Data],[Placa]:[Rutina]],8,FALSE)),0)</f>
        <v>0</v>
      </c>
      <c r="AJ544" s="20" t="str">
        <f>IFERROR((VLOOKUP(Tabla13[[#This Row],[ID]],[1]!Mtto_Pesv[[#Headers],[#Data],[Placa]:[Rutina]],9,FALSE)),"-")</f>
        <v>-</v>
      </c>
      <c r="AK544" s="20">
        <f>IFERROR((VLOOKUP(Tabla13[[#This Row],[ID]],[1]!Mtto_Pesv[[#Headers],[#Data],[Placa]:[Rutina]],10,FALSE)),0)</f>
        <v>0</v>
      </c>
      <c r="AL544" s="20">
        <f>IF(Tabla13[[#This Row],[Km Anterior]]=0,0,Tabla13[[#This Row],[Km Ejecut]]-Tabla13[[#This Row],[Km Anterior]])</f>
        <v>0</v>
      </c>
      <c r="AM544" s="20">
        <f>IFERROR((VLOOKUP(Tabla13[[#This Row],[ID]],[1]!Mtto_Pesv[[#Headers],[#Data],[Placa]:[Rutina]],4,FALSE)),0)</f>
        <v>0</v>
      </c>
      <c r="AN544" s="21">
        <f>IFERROR((VLOOKUP(Tabla13[[#This Row],[ID]],[1]!Mtto_Pesv[[#Headers],[#Data],[Placa]:[Rutina]],5,FALSE)),0)</f>
        <v>0</v>
      </c>
      <c r="AO544" s="21">
        <f>+Tabla13[[#This Row],[Km Fin]]-Tabla13[[#This Row],[Km Ini]]</f>
        <v>0</v>
      </c>
      <c r="AP544" s="20">
        <f>IFERROR((VLOOKUP(Tabla13[[#This Row],[ID]],[1]!Estilo_Conduccion[[#All],[Placa]:[Puntuacion]],15,FALSE)),0)</f>
        <v>0</v>
      </c>
      <c r="AQ544" s="15" t="s">
        <v>1422</v>
      </c>
      <c r="AR544" s="15" t="s">
        <v>1423</v>
      </c>
      <c r="AS544" s="20">
        <v>1650</v>
      </c>
      <c r="AT544" s="21">
        <v>18126</v>
      </c>
      <c r="AU544" s="21">
        <f>(Tabla13[[#This Row],[Cap Vh]]*$AX$2)*0.56</f>
        <v>0</v>
      </c>
      <c r="AV544" s="36" t="e">
        <f>(Tabla13[[#This Row],[Cap Util (kg)]]/(Tabla13[[#This Row],[Cap Inst (Kg)]]))</f>
        <v>#DIV/0!</v>
      </c>
    </row>
    <row r="545" spans="1:48" x14ac:dyDescent="0.25">
      <c r="A545" s="13" t="s">
        <v>1068</v>
      </c>
      <c r="B545" s="14" t="s">
        <v>755</v>
      </c>
      <c r="C545" s="14" t="s">
        <v>749</v>
      </c>
      <c r="D545" s="14" t="s">
        <v>750</v>
      </c>
      <c r="E545" s="14" t="s">
        <v>751</v>
      </c>
      <c r="F545" s="14" t="s">
        <v>76</v>
      </c>
      <c r="G545" s="15" t="s">
        <v>89</v>
      </c>
      <c r="H545" s="16" t="s">
        <v>90</v>
      </c>
      <c r="I545" s="14" t="s">
        <v>49</v>
      </c>
      <c r="J545" s="14">
        <v>860002964</v>
      </c>
      <c r="K545" s="14" t="s">
        <v>102</v>
      </c>
      <c r="L545" s="14" t="s">
        <v>103</v>
      </c>
      <c r="M545" s="14" t="s">
        <v>104</v>
      </c>
      <c r="N545" s="14">
        <v>2018</v>
      </c>
      <c r="O545" s="14">
        <v>2</v>
      </c>
      <c r="P545" s="14" t="s">
        <v>105</v>
      </c>
      <c r="Q545" s="14">
        <v>1</v>
      </c>
      <c r="R545" s="14">
        <v>0</v>
      </c>
      <c r="S545" s="17" t="s">
        <v>54</v>
      </c>
      <c r="T545" s="18">
        <v>0</v>
      </c>
      <c r="U545" s="14">
        <v>30</v>
      </c>
      <c r="V545" s="19">
        <v>1</v>
      </c>
      <c r="W545" s="14">
        <v>0</v>
      </c>
      <c r="X545" s="14">
        <v>0</v>
      </c>
      <c r="Y545" s="14">
        <v>0</v>
      </c>
      <c r="Z545" s="14">
        <v>0</v>
      </c>
      <c r="AA545" s="14">
        <f>Tabla13[[#This Row],[CheckList App]]+Tabla13[[#This Row],[CheckList Fisc]]</f>
        <v>0</v>
      </c>
      <c r="AB545" s="19">
        <f t="shared" si="8"/>
        <v>0</v>
      </c>
      <c r="AC545" s="14">
        <v>0</v>
      </c>
      <c r="AD545" s="14" t="s">
        <v>55</v>
      </c>
      <c r="AE545" s="15" t="str">
        <f>IFERROR((VLOOKUP(Tabla13[[#This Row],[ID]],[1]!Mtto_Pesv[[#Headers],[#Data],[Placa]:[Rutina]],2,FALSE)),"-")</f>
        <v>-</v>
      </c>
      <c r="AF545" s="14">
        <v>0</v>
      </c>
      <c r="AG545" s="20">
        <f>IFERROR((VLOOKUP(Tabla13[[#This Row],[ID]],[1]!Mtto_Pesv[[#Headers],[#Data],[Placa]:[Rutina]],3,FALSE)),0)</f>
        <v>0</v>
      </c>
      <c r="AH545" s="20">
        <f>IFERROR((VLOOKUP(Tabla13[[#This Row],[ID]],[1]!Mtto_Pesv[[#Headers],[#Data],[Placa]:[Rutina]],7,FALSE)),0)</f>
        <v>0</v>
      </c>
      <c r="AI545" s="20">
        <f>IFERROR((VLOOKUP(Tabla13[[#This Row],[ID]],[1]!Mtto_Pesv[[#Headers],[#Data],[Placa]:[Rutina]],8,FALSE)),0)</f>
        <v>0</v>
      </c>
      <c r="AJ545" s="20" t="str">
        <f>IFERROR((VLOOKUP(Tabla13[[#This Row],[ID]],[1]!Mtto_Pesv[[#Headers],[#Data],[Placa]:[Rutina]],9,FALSE)),"-")</f>
        <v>-</v>
      </c>
      <c r="AK545" s="20">
        <f>IFERROR((VLOOKUP(Tabla13[[#This Row],[ID]],[1]!Mtto_Pesv[[#Headers],[#Data],[Placa]:[Rutina]],10,FALSE)),0)</f>
        <v>0</v>
      </c>
      <c r="AL545" s="20">
        <f>IF(Tabla13[[#This Row],[Km Anterior]]=0,0,Tabla13[[#This Row],[Km Ejecut]]-Tabla13[[#This Row],[Km Anterior]])</f>
        <v>0</v>
      </c>
      <c r="AM545" s="20">
        <f>IFERROR((VLOOKUP(Tabla13[[#This Row],[ID]],[1]!Mtto_Pesv[[#Headers],[#Data],[Placa]:[Rutina]],4,FALSE)),0)</f>
        <v>0</v>
      </c>
      <c r="AN545" s="21">
        <f>IFERROR((VLOOKUP(Tabla13[[#This Row],[ID]],[1]!Mtto_Pesv[[#Headers],[#Data],[Placa]:[Rutina]],5,FALSE)),0)</f>
        <v>0</v>
      </c>
      <c r="AO545" s="21">
        <f>+Tabla13[[#This Row],[Km Fin]]-Tabla13[[#This Row],[Km Ini]]</f>
        <v>0</v>
      </c>
      <c r="AP545" s="20">
        <f>IFERROR((VLOOKUP(Tabla13[[#This Row],[ID]],[1]!Estilo_Conduccion[[#All],[Placa]:[Puntuacion]],15,FALSE)),0)</f>
        <v>1299.2</v>
      </c>
      <c r="AQ545" s="15" t="s">
        <v>1424</v>
      </c>
      <c r="AR545" s="15" t="s">
        <v>1425</v>
      </c>
      <c r="AS545" s="20">
        <v>1650</v>
      </c>
      <c r="AT545" s="21">
        <v>12672</v>
      </c>
      <c r="AU545" s="21">
        <f>(Tabla13[[#This Row],[Cap Vh]]*$AX$2)*0.56</f>
        <v>0</v>
      </c>
      <c r="AV545" s="36" t="e">
        <f>(Tabla13[[#This Row],[Cap Util (kg)]]/(Tabla13[[#This Row],[Cap Inst (Kg)]]))</f>
        <v>#DIV/0!</v>
      </c>
    </row>
    <row r="546" spans="1:48" x14ac:dyDescent="0.25">
      <c r="A546" s="13" t="s">
        <v>1068</v>
      </c>
      <c r="B546" s="14" t="s">
        <v>756</v>
      </c>
      <c r="C546" s="14" t="s">
        <v>749</v>
      </c>
      <c r="D546" s="14" t="s">
        <v>750</v>
      </c>
      <c r="E546" s="14" t="s">
        <v>751</v>
      </c>
      <c r="F546" s="14" t="s">
        <v>76</v>
      </c>
      <c r="G546" s="15" t="s">
        <v>89</v>
      </c>
      <c r="H546" s="16" t="s">
        <v>90</v>
      </c>
      <c r="I546" s="14" t="s">
        <v>49</v>
      </c>
      <c r="J546" s="14">
        <v>900335279</v>
      </c>
      <c r="K546" s="14" t="s">
        <v>77</v>
      </c>
      <c r="L546" s="14" t="s">
        <v>103</v>
      </c>
      <c r="M546" s="14" t="s">
        <v>121</v>
      </c>
      <c r="N546" s="14">
        <v>2018</v>
      </c>
      <c r="O546" s="14">
        <v>2</v>
      </c>
      <c r="P546" s="14" t="s">
        <v>105</v>
      </c>
      <c r="Q546" s="14">
        <v>1</v>
      </c>
      <c r="R546" s="14">
        <v>0</v>
      </c>
      <c r="S546" s="17" t="s">
        <v>54</v>
      </c>
      <c r="T546" s="18">
        <v>0</v>
      </c>
      <c r="U546" s="14">
        <v>30</v>
      </c>
      <c r="V546" s="19">
        <v>1</v>
      </c>
      <c r="W546" s="14">
        <v>0</v>
      </c>
      <c r="X546" s="14">
        <v>0</v>
      </c>
      <c r="Y546" s="14">
        <v>0</v>
      </c>
      <c r="Z546" s="14">
        <v>0</v>
      </c>
      <c r="AA546" s="14">
        <f>Tabla13[[#This Row],[CheckList App]]+Tabla13[[#This Row],[CheckList Fisc]]</f>
        <v>0</v>
      </c>
      <c r="AB546" s="19">
        <f t="shared" si="8"/>
        <v>0</v>
      </c>
      <c r="AC546" s="14">
        <v>0</v>
      </c>
      <c r="AD546" s="14" t="s">
        <v>55</v>
      </c>
      <c r="AE546" s="15" t="str">
        <f>IFERROR((VLOOKUP(Tabla13[[#This Row],[ID]],[1]!Mtto_Pesv[[#Headers],[#Data],[Placa]:[Rutina]],2,FALSE)),"-")</f>
        <v>-</v>
      </c>
      <c r="AF546" s="14">
        <v>0</v>
      </c>
      <c r="AG546" s="20">
        <f>IFERROR((VLOOKUP(Tabla13[[#This Row],[ID]],[1]!Mtto_Pesv[[#Headers],[#Data],[Placa]:[Rutina]],3,FALSE)),0)</f>
        <v>0</v>
      </c>
      <c r="AH546" s="20">
        <f>IFERROR((VLOOKUP(Tabla13[[#This Row],[ID]],[1]!Mtto_Pesv[[#Headers],[#Data],[Placa]:[Rutina]],7,FALSE)),0)</f>
        <v>0</v>
      </c>
      <c r="AI546" s="20">
        <f>IFERROR((VLOOKUP(Tabla13[[#This Row],[ID]],[1]!Mtto_Pesv[[#Headers],[#Data],[Placa]:[Rutina]],8,FALSE)),0)</f>
        <v>0</v>
      </c>
      <c r="AJ546" s="20" t="str">
        <f>IFERROR((VLOOKUP(Tabla13[[#This Row],[ID]],[1]!Mtto_Pesv[[#Headers],[#Data],[Placa]:[Rutina]],9,FALSE)),"-")</f>
        <v>-</v>
      </c>
      <c r="AK546" s="20">
        <f>IFERROR((VLOOKUP(Tabla13[[#This Row],[ID]],[1]!Mtto_Pesv[[#Headers],[#Data],[Placa]:[Rutina]],10,FALSE)),0)</f>
        <v>0</v>
      </c>
      <c r="AL546" s="20">
        <f>IF(Tabla13[[#This Row],[Km Anterior]]=0,0,Tabla13[[#This Row],[Km Ejecut]]-Tabla13[[#This Row],[Km Anterior]])</f>
        <v>0</v>
      </c>
      <c r="AM546" s="20">
        <f>IFERROR((VLOOKUP(Tabla13[[#This Row],[ID]],[1]!Mtto_Pesv[[#Headers],[#Data],[Placa]:[Rutina]],4,FALSE)),0)</f>
        <v>0</v>
      </c>
      <c r="AN546" s="21">
        <f>IFERROR((VLOOKUP(Tabla13[[#This Row],[ID]],[1]!Mtto_Pesv[[#Headers],[#Data],[Placa]:[Rutina]],5,FALSE)),0)</f>
        <v>0</v>
      </c>
      <c r="AO546" s="21">
        <f>+Tabla13[[#This Row],[Km Fin]]-Tabla13[[#This Row],[Km Ini]]</f>
        <v>0</v>
      </c>
      <c r="AP546" s="20">
        <f>IFERROR((VLOOKUP(Tabla13[[#This Row],[ID]],[1]!Estilo_Conduccion[[#All],[Placa]:[Puntuacion]],15,FALSE)),0)</f>
        <v>9.1</v>
      </c>
      <c r="AQ546" s="15" t="s">
        <v>1426</v>
      </c>
      <c r="AR546" s="15" t="s">
        <v>1427</v>
      </c>
      <c r="AS546" s="20">
        <v>1650</v>
      </c>
      <c r="AT546" s="21">
        <v>10225.5</v>
      </c>
      <c r="AU546" s="21">
        <f>(Tabla13[[#This Row],[Cap Vh]]*$AX$2)*0.56</f>
        <v>0</v>
      </c>
      <c r="AV546" s="36" t="e">
        <f>(Tabla13[[#This Row],[Cap Util (kg)]]/(Tabla13[[#This Row],[Cap Inst (Kg)]]))</f>
        <v>#DIV/0!</v>
      </c>
    </row>
    <row r="547" spans="1:48" x14ac:dyDescent="0.25">
      <c r="A547" s="13" t="s">
        <v>1068</v>
      </c>
      <c r="B547" s="14" t="s">
        <v>757</v>
      </c>
      <c r="C547" s="14" t="s">
        <v>749</v>
      </c>
      <c r="D547" s="14" t="s">
        <v>750</v>
      </c>
      <c r="E547" s="14" t="s">
        <v>751</v>
      </c>
      <c r="F547" s="14" t="s">
        <v>64</v>
      </c>
      <c r="G547" s="15" t="s">
        <v>128</v>
      </c>
      <c r="H547" s="16" t="s">
        <v>143</v>
      </c>
      <c r="I547" s="14" t="s">
        <v>49</v>
      </c>
      <c r="J547" s="14">
        <v>900335279</v>
      </c>
      <c r="K547" s="14" t="s">
        <v>77</v>
      </c>
      <c r="L547" s="14" t="s">
        <v>103</v>
      </c>
      <c r="M547" s="14" t="s">
        <v>121</v>
      </c>
      <c r="N547" s="14">
        <v>2018</v>
      </c>
      <c r="O547" s="14">
        <v>2</v>
      </c>
      <c r="P547" s="14" t="s">
        <v>105</v>
      </c>
      <c r="Q547" s="14">
        <v>1</v>
      </c>
      <c r="R547" s="14">
        <v>1</v>
      </c>
      <c r="S547" s="17">
        <v>44820.339502314811</v>
      </c>
      <c r="T547" s="18">
        <v>60.625</v>
      </c>
      <c r="U547" s="14">
        <v>30</v>
      </c>
      <c r="V547" s="19">
        <v>1</v>
      </c>
      <c r="W547" s="14">
        <v>0</v>
      </c>
      <c r="X547" s="14">
        <v>22</v>
      </c>
      <c r="Y547" s="14">
        <v>0</v>
      </c>
      <c r="Z547" s="14">
        <v>20</v>
      </c>
      <c r="AA547" s="14">
        <f>Tabla13[[#This Row],[CheckList App]]+Tabla13[[#This Row],[CheckList Fisc]]</f>
        <v>20</v>
      </c>
      <c r="AB547" s="19">
        <f t="shared" si="8"/>
        <v>0.90909090909090906</v>
      </c>
      <c r="AC547" s="14">
        <v>0</v>
      </c>
      <c r="AD547" s="14" t="s">
        <v>70</v>
      </c>
      <c r="AE547" s="15" t="str">
        <f>IFERROR((VLOOKUP(Tabla13[[#This Row],[ID]],[1]!Mtto_Pesv[[#Headers],[#Data],[Placa]:[Rutina]],2,FALSE)),"-")</f>
        <v>-</v>
      </c>
      <c r="AF547" s="14">
        <v>1</v>
      </c>
      <c r="AG547" s="20">
        <f>IFERROR((VLOOKUP(Tabla13[[#This Row],[ID]],[1]!Mtto_Pesv[[#Headers],[#Data],[Placa]:[Rutina]],3,FALSE)),0)</f>
        <v>0</v>
      </c>
      <c r="AH547" s="20">
        <f>IFERROR((VLOOKUP(Tabla13[[#This Row],[ID]],[1]!Mtto_Pesv[[#Headers],[#Data],[Placa]:[Rutina]],7,FALSE)),0)</f>
        <v>0</v>
      </c>
      <c r="AI547" s="20">
        <f>IFERROR((VLOOKUP(Tabla13[[#This Row],[ID]],[1]!Mtto_Pesv[[#Headers],[#Data],[Placa]:[Rutina]],8,FALSE)),0)</f>
        <v>0</v>
      </c>
      <c r="AJ547" s="20" t="str">
        <f>IFERROR((VLOOKUP(Tabla13[[#This Row],[ID]],[1]!Mtto_Pesv[[#Headers],[#Data],[Placa]:[Rutina]],9,FALSE)),"-")</f>
        <v>-</v>
      </c>
      <c r="AK547" s="20">
        <f>IFERROR((VLOOKUP(Tabla13[[#This Row],[ID]],[1]!Mtto_Pesv[[#Headers],[#Data],[Placa]:[Rutina]],10,FALSE)),0)</f>
        <v>0</v>
      </c>
      <c r="AL547" s="20">
        <f>IF(Tabla13[[#This Row],[Km Anterior]]=0,0,Tabla13[[#This Row],[Km Ejecut]]-Tabla13[[#This Row],[Km Anterior]])</f>
        <v>0</v>
      </c>
      <c r="AM547" s="20">
        <f>IFERROR((VLOOKUP(Tabla13[[#This Row],[ID]],[1]!Mtto_Pesv[[#Headers],[#Data],[Placa]:[Rutina]],4,FALSE)),0)</f>
        <v>0</v>
      </c>
      <c r="AN547" s="21">
        <f>IFERROR((VLOOKUP(Tabla13[[#This Row],[ID]],[1]!Mtto_Pesv[[#Headers],[#Data],[Placa]:[Rutina]],5,FALSE)),0)</f>
        <v>0</v>
      </c>
      <c r="AO547" s="21">
        <f>+Tabla13[[#This Row],[Km Fin]]-Tabla13[[#This Row],[Km Ini]]</f>
        <v>0</v>
      </c>
      <c r="AP547" s="20">
        <f>IFERROR((VLOOKUP(Tabla13[[#This Row],[ID]],[1]!Estilo_Conduccion[[#All],[Placa]:[Puntuacion]],15,FALSE)),0)</f>
        <v>177.5</v>
      </c>
      <c r="AQ547" s="15" t="s">
        <v>54</v>
      </c>
      <c r="AR547" s="15" t="s">
        <v>54</v>
      </c>
      <c r="AS547" s="20">
        <v>2200</v>
      </c>
      <c r="AT547" s="21">
        <v>0</v>
      </c>
      <c r="AU547" s="21">
        <f>(Tabla13[[#This Row],[Cap Vh]]*$AX$2)*0.56</f>
        <v>0</v>
      </c>
      <c r="AV547" s="36" t="e">
        <f>(Tabla13[[#This Row],[Cap Util (kg)]]/(Tabla13[[#This Row],[Cap Inst (Kg)]]))</f>
        <v>#DIV/0!</v>
      </c>
    </row>
    <row r="548" spans="1:48" x14ac:dyDescent="0.25">
      <c r="A548" s="13" t="s">
        <v>1068</v>
      </c>
      <c r="B548" s="14" t="s">
        <v>758</v>
      </c>
      <c r="C548" s="14" t="s">
        <v>749</v>
      </c>
      <c r="D548" s="14" t="s">
        <v>750</v>
      </c>
      <c r="E548" s="14" t="s">
        <v>759</v>
      </c>
      <c r="F548" s="14" t="s">
        <v>76</v>
      </c>
      <c r="G548" s="15" t="s">
        <v>89</v>
      </c>
      <c r="H548" s="16" t="s">
        <v>90</v>
      </c>
      <c r="I548" s="14" t="s">
        <v>49</v>
      </c>
      <c r="J548" s="14">
        <v>900335279</v>
      </c>
      <c r="K548" s="14" t="s">
        <v>77</v>
      </c>
      <c r="L548" s="14" t="s">
        <v>103</v>
      </c>
      <c r="M548" s="14" t="s">
        <v>104</v>
      </c>
      <c r="N548" s="14">
        <v>2018</v>
      </c>
      <c r="O548" s="14">
        <v>2</v>
      </c>
      <c r="P548" s="14" t="s">
        <v>105</v>
      </c>
      <c r="Q548" s="14">
        <v>1</v>
      </c>
      <c r="R548" s="14">
        <v>0</v>
      </c>
      <c r="S548" s="17" t="s">
        <v>54</v>
      </c>
      <c r="T548" s="18">
        <v>0</v>
      </c>
      <c r="U548" s="14">
        <v>30</v>
      </c>
      <c r="V548" s="19">
        <v>1</v>
      </c>
      <c r="W548" s="14">
        <v>0</v>
      </c>
      <c r="X548" s="14">
        <v>0</v>
      </c>
      <c r="Y548" s="14">
        <v>0</v>
      </c>
      <c r="Z548" s="14">
        <v>0</v>
      </c>
      <c r="AA548" s="14">
        <f>Tabla13[[#This Row],[CheckList App]]+Tabla13[[#This Row],[CheckList Fisc]]</f>
        <v>0</v>
      </c>
      <c r="AB548" s="19">
        <f t="shared" si="8"/>
        <v>0</v>
      </c>
      <c r="AC548" s="14">
        <v>0</v>
      </c>
      <c r="AD548" s="14" t="s">
        <v>55</v>
      </c>
      <c r="AE548" s="15" t="str">
        <f>IFERROR((VLOOKUP(Tabla13[[#This Row],[ID]],[1]!Mtto_Pesv[[#Headers],[#Data],[Placa]:[Rutina]],2,FALSE)),"-")</f>
        <v>-</v>
      </c>
      <c r="AF548" s="14">
        <v>0</v>
      </c>
      <c r="AG548" s="20">
        <f>IFERROR((VLOOKUP(Tabla13[[#This Row],[ID]],[1]!Mtto_Pesv[[#Headers],[#Data],[Placa]:[Rutina]],3,FALSE)),0)</f>
        <v>0</v>
      </c>
      <c r="AH548" s="20">
        <f>IFERROR((VLOOKUP(Tabla13[[#This Row],[ID]],[1]!Mtto_Pesv[[#Headers],[#Data],[Placa]:[Rutina]],7,FALSE)),0)</f>
        <v>0</v>
      </c>
      <c r="AI548" s="20">
        <f>IFERROR((VLOOKUP(Tabla13[[#This Row],[ID]],[1]!Mtto_Pesv[[#Headers],[#Data],[Placa]:[Rutina]],8,FALSE)),0)</f>
        <v>0</v>
      </c>
      <c r="AJ548" s="20" t="str">
        <f>IFERROR((VLOOKUP(Tabla13[[#This Row],[ID]],[1]!Mtto_Pesv[[#Headers],[#Data],[Placa]:[Rutina]],9,FALSE)),"-")</f>
        <v>-</v>
      </c>
      <c r="AK548" s="20">
        <f>IFERROR((VLOOKUP(Tabla13[[#This Row],[ID]],[1]!Mtto_Pesv[[#Headers],[#Data],[Placa]:[Rutina]],10,FALSE)),0)</f>
        <v>0</v>
      </c>
      <c r="AL548" s="20">
        <f>IF(Tabla13[[#This Row],[Km Anterior]]=0,0,Tabla13[[#This Row],[Km Ejecut]]-Tabla13[[#This Row],[Km Anterior]])</f>
        <v>0</v>
      </c>
      <c r="AM548" s="20">
        <f>IFERROR((VLOOKUP(Tabla13[[#This Row],[ID]],[1]!Mtto_Pesv[[#Headers],[#Data],[Placa]:[Rutina]],4,FALSE)),0)</f>
        <v>0</v>
      </c>
      <c r="AN548" s="21">
        <f>IFERROR((VLOOKUP(Tabla13[[#This Row],[ID]],[1]!Mtto_Pesv[[#Headers],[#Data],[Placa]:[Rutina]],5,FALSE)),0)</f>
        <v>0</v>
      </c>
      <c r="AO548" s="21">
        <f>+Tabla13[[#This Row],[Km Fin]]-Tabla13[[#This Row],[Km Ini]]</f>
        <v>0</v>
      </c>
      <c r="AP548" s="20">
        <f>IFERROR((VLOOKUP(Tabla13[[#This Row],[ID]],[1]!Estilo_Conduccion[[#All],[Placa]:[Puntuacion]],15,FALSE)),0)</f>
        <v>580.1</v>
      </c>
      <c r="AQ548" s="15" t="s">
        <v>1428</v>
      </c>
      <c r="AR548" s="15" t="s">
        <v>1429</v>
      </c>
      <c r="AS548" s="20">
        <v>1650</v>
      </c>
      <c r="AT548" s="21">
        <v>17611.5</v>
      </c>
      <c r="AU548" s="21">
        <f>(Tabla13[[#This Row],[Cap Vh]]*$AX$2)*0.56</f>
        <v>0</v>
      </c>
      <c r="AV548" s="36" t="e">
        <f>(Tabla13[[#This Row],[Cap Util (kg)]]/(Tabla13[[#This Row],[Cap Inst (Kg)]]))</f>
        <v>#DIV/0!</v>
      </c>
    </row>
    <row r="549" spans="1:48" x14ac:dyDescent="0.25">
      <c r="A549" s="13" t="s">
        <v>1068</v>
      </c>
      <c r="B549" s="14" t="s">
        <v>760</v>
      </c>
      <c r="C549" s="14" t="s">
        <v>749</v>
      </c>
      <c r="D549" s="14" t="s">
        <v>750</v>
      </c>
      <c r="E549" s="14" t="s">
        <v>763</v>
      </c>
      <c r="F549" s="14" t="s">
        <v>76</v>
      </c>
      <c r="G549" s="15" t="s">
        <v>128</v>
      </c>
      <c r="H549" s="16" t="s">
        <v>129</v>
      </c>
      <c r="I549" s="14" t="s">
        <v>49</v>
      </c>
      <c r="J549" s="14">
        <v>900335279</v>
      </c>
      <c r="K549" s="14" t="s">
        <v>77</v>
      </c>
      <c r="L549" s="14" t="s">
        <v>103</v>
      </c>
      <c r="M549" s="14" t="s">
        <v>121</v>
      </c>
      <c r="N549" s="14">
        <v>2019</v>
      </c>
      <c r="O549" s="14">
        <v>1</v>
      </c>
      <c r="P549" s="14" t="s">
        <v>105</v>
      </c>
      <c r="Q549" s="14">
        <v>1</v>
      </c>
      <c r="R549" s="14">
        <v>1</v>
      </c>
      <c r="S549" s="17">
        <v>44818.42732638889</v>
      </c>
      <c r="T549" s="18">
        <v>99.25</v>
      </c>
      <c r="U549" s="14">
        <v>30</v>
      </c>
      <c r="V549" s="19">
        <v>1</v>
      </c>
      <c r="W549" s="14">
        <v>0</v>
      </c>
      <c r="X549" s="14">
        <v>24</v>
      </c>
      <c r="Y549" s="14">
        <v>1</v>
      </c>
      <c r="Z549" s="14">
        <v>15</v>
      </c>
      <c r="AA549" s="14">
        <f>Tabla13[[#This Row],[CheckList App]]+Tabla13[[#This Row],[CheckList Fisc]]</f>
        <v>16</v>
      </c>
      <c r="AB549" s="19">
        <f t="shared" si="8"/>
        <v>0.66666666666666663</v>
      </c>
      <c r="AC549" s="14">
        <v>0</v>
      </c>
      <c r="AD549" s="14" t="s">
        <v>70</v>
      </c>
      <c r="AE549" s="15" t="str">
        <f>IFERROR((VLOOKUP(Tabla13[[#This Row],[ID]],[1]!Mtto_Pesv[[#Headers],[#Data],[Placa]:[Rutina]],2,FALSE)),"-")</f>
        <v>-</v>
      </c>
      <c r="AF549" s="14">
        <v>1</v>
      </c>
      <c r="AG549" s="20">
        <f>IFERROR((VLOOKUP(Tabla13[[#This Row],[ID]],[1]!Mtto_Pesv[[#Headers],[#Data],[Placa]:[Rutina]],3,FALSE)),0)</f>
        <v>0</v>
      </c>
      <c r="AH549" s="20">
        <f>IFERROR((VLOOKUP(Tabla13[[#This Row],[ID]],[1]!Mtto_Pesv[[#Headers],[#Data],[Placa]:[Rutina]],7,FALSE)),0)</f>
        <v>0</v>
      </c>
      <c r="AI549" s="20">
        <f>IFERROR((VLOOKUP(Tabla13[[#This Row],[ID]],[1]!Mtto_Pesv[[#Headers],[#Data],[Placa]:[Rutina]],8,FALSE)),0)</f>
        <v>0</v>
      </c>
      <c r="AJ549" s="20" t="str">
        <f>IFERROR((VLOOKUP(Tabla13[[#This Row],[ID]],[1]!Mtto_Pesv[[#Headers],[#Data],[Placa]:[Rutina]],9,FALSE)),"-")</f>
        <v>-</v>
      </c>
      <c r="AK549" s="20">
        <f>IFERROR((VLOOKUP(Tabla13[[#This Row],[ID]],[1]!Mtto_Pesv[[#Headers],[#Data],[Placa]:[Rutina]],10,FALSE)),0)</f>
        <v>0</v>
      </c>
      <c r="AL549" s="20">
        <f>IF(Tabla13[[#This Row],[Km Anterior]]=0,0,Tabla13[[#This Row],[Km Ejecut]]-Tabla13[[#This Row],[Km Anterior]])</f>
        <v>0</v>
      </c>
      <c r="AM549" s="20">
        <f>IFERROR((VLOOKUP(Tabla13[[#This Row],[ID]],[1]!Mtto_Pesv[[#Headers],[#Data],[Placa]:[Rutina]],4,FALSE)),0)</f>
        <v>0</v>
      </c>
      <c r="AN549" s="21">
        <f>IFERROR((VLOOKUP(Tabla13[[#This Row],[ID]],[1]!Mtto_Pesv[[#Headers],[#Data],[Placa]:[Rutina]],5,FALSE)),0)</f>
        <v>0</v>
      </c>
      <c r="AO549" s="21">
        <f>+Tabla13[[#This Row],[Km Fin]]-Tabla13[[#This Row],[Km Ini]]</f>
        <v>0</v>
      </c>
      <c r="AP549" s="20">
        <f>IFERROR((VLOOKUP(Tabla13[[#This Row],[ID]],[1]!Estilo_Conduccion[[#All],[Placa]:[Puntuacion]],15,FALSE)),0)</f>
        <v>230</v>
      </c>
      <c r="AQ549" s="15" t="s">
        <v>1430</v>
      </c>
      <c r="AR549" s="15" t="s">
        <v>1431</v>
      </c>
      <c r="AS549" s="20">
        <v>2200</v>
      </c>
      <c r="AT549" s="21">
        <v>16002</v>
      </c>
      <c r="AU549" s="21">
        <f>(Tabla13[[#This Row],[Cap Vh]]*$AX$2)*0.56</f>
        <v>0</v>
      </c>
      <c r="AV549" s="36" t="e">
        <f>(Tabla13[[#This Row],[Cap Util (kg)]]/(Tabla13[[#This Row],[Cap Inst (Kg)]]))</f>
        <v>#DIV/0!</v>
      </c>
    </row>
    <row r="550" spans="1:48" x14ac:dyDescent="0.25">
      <c r="A550" s="13" t="s">
        <v>1068</v>
      </c>
      <c r="B550" s="14" t="s">
        <v>761</v>
      </c>
      <c r="C550" s="14" t="s">
        <v>749</v>
      </c>
      <c r="D550" s="14" t="s">
        <v>750</v>
      </c>
      <c r="E550" s="14" t="s">
        <v>751</v>
      </c>
      <c r="F550" s="14" t="s">
        <v>64</v>
      </c>
      <c r="G550" s="15" t="s">
        <v>128</v>
      </c>
      <c r="H550" s="16" t="s">
        <v>143</v>
      </c>
      <c r="I550" s="14" t="s">
        <v>49</v>
      </c>
      <c r="J550" s="14">
        <v>900335279</v>
      </c>
      <c r="K550" s="14" t="s">
        <v>77</v>
      </c>
      <c r="L550" s="14" t="s">
        <v>103</v>
      </c>
      <c r="M550" s="14" t="s">
        <v>121</v>
      </c>
      <c r="N550" s="14">
        <v>2018</v>
      </c>
      <c r="O550" s="14">
        <v>2</v>
      </c>
      <c r="P550" s="14" t="s">
        <v>105</v>
      </c>
      <c r="Q550" s="14">
        <v>1</v>
      </c>
      <c r="R550" s="14">
        <v>1</v>
      </c>
      <c r="S550" s="17">
        <v>44832.639791666668</v>
      </c>
      <c r="T550" s="18">
        <v>104.697</v>
      </c>
      <c r="U550" s="14">
        <v>30</v>
      </c>
      <c r="V550" s="19">
        <v>1</v>
      </c>
      <c r="W550" s="14">
        <v>0</v>
      </c>
      <c r="X550" s="14">
        <v>25</v>
      </c>
      <c r="Y550" s="14">
        <v>0</v>
      </c>
      <c r="Z550" s="14">
        <v>24</v>
      </c>
      <c r="AA550" s="14">
        <f>Tabla13[[#This Row],[CheckList App]]+Tabla13[[#This Row],[CheckList Fisc]]</f>
        <v>24</v>
      </c>
      <c r="AB550" s="19">
        <f t="shared" si="8"/>
        <v>0.96</v>
      </c>
      <c r="AC550" s="14">
        <v>1</v>
      </c>
      <c r="AD550" s="14" t="s">
        <v>70</v>
      </c>
      <c r="AE550" s="15" t="str">
        <f>IFERROR((VLOOKUP(Tabla13[[#This Row],[ID]],[1]!Mtto_Pesv[[#Headers],[#Data],[Placa]:[Rutina]],2,FALSE)),"-")</f>
        <v>-</v>
      </c>
      <c r="AF550" s="14">
        <v>1</v>
      </c>
      <c r="AG550" s="20">
        <f>IFERROR((VLOOKUP(Tabla13[[#This Row],[ID]],[1]!Mtto_Pesv[[#Headers],[#Data],[Placa]:[Rutina]],3,FALSE)),0)</f>
        <v>0</v>
      </c>
      <c r="AH550" s="20">
        <f>IFERROR((VLOOKUP(Tabla13[[#This Row],[ID]],[1]!Mtto_Pesv[[#Headers],[#Data],[Placa]:[Rutina]],7,FALSE)),0)</f>
        <v>0</v>
      </c>
      <c r="AI550" s="20">
        <f>IFERROR((VLOOKUP(Tabla13[[#This Row],[ID]],[1]!Mtto_Pesv[[#Headers],[#Data],[Placa]:[Rutina]],8,FALSE)),0)</f>
        <v>0</v>
      </c>
      <c r="AJ550" s="20" t="str">
        <f>IFERROR((VLOOKUP(Tabla13[[#This Row],[ID]],[1]!Mtto_Pesv[[#Headers],[#Data],[Placa]:[Rutina]],9,FALSE)),"-")</f>
        <v>-</v>
      </c>
      <c r="AK550" s="20">
        <f>IFERROR((VLOOKUP(Tabla13[[#This Row],[ID]],[1]!Mtto_Pesv[[#Headers],[#Data],[Placa]:[Rutina]],10,FALSE)),0)</f>
        <v>0</v>
      </c>
      <c r="AL550" s="20">
        <f>IF(Tabla13[[#This Row],[Km Anterior]]=0,0,Tabla13[[#This Row],[Km Ejecut]]-Tabla13[[#This Row],[Km Anterior]])</f>
        <v>0</v>
      </c>
      <c r="AM550" s="20">
        <f>IFERROR((VLOOKUP(Tabla13[[#This Row],[ID]],[1]!Mtto_Pesv[[#Headers],[#Data],[Placa]:[Rutina]],4,FALSE)),0)</f>
        <v>0</v>
      </c>
      <c r="AN550" s="21">
        <f>IFERROR((VLOOKUP(Tabla13[[#This Row],[ID]],[1]!Mtto_Pesv[[#Headers],[#Data],[Placa]:[Rutina]],5,FALSE)),0)</f>
        <v>0</v>
      </c>
      <c r="AO550" s="21">
        <f>+Tabla13[[#This Row],[Km Fin]]-Tabla13[[#This Row],[Km Ini]]</f>
        <v>0</v>
      </c>
      <c r="AP550" s="20">
        <f>IFERROR((VLOOKUP(Tabla13[[#This Row],[ID]],[1]!Estilo_Conduccion[[#All],[Placa]:[Puntuacion]],15,FALSE)),0)</f>
        <v>219.1</v>
      </c>
      <c r="AQ550" s="15" t="s">
        <v>54</v>
      </c>
      <c r="AR550" s="15" t="s">
        <v>54</v>
      </c>
      <c r="AS550" s="20">
        <v>2200</v>
      </c>
      <c r="AT550" s="21">
        <v>0</v>
      </c>
      <c r="AU550" s="21">
        <f>(Tabla13[[#This Row],[Cap Vh]]*$AX$2)*0.56</f>
        <v>0</v>
      </c>
      <c r="AV550" s="36" t="e">
        <f>(Tabla13[[#This Row],[Cap Util (kg)]]/(Tabla13[[#This Row],[Cap Inst (Kg)]]))</f>
        <v>#DIV/0!</v>
      </c>
    </row>
    <row r="551" spans="1:48" x14ac:dyDescent="0.25">
      <c r="A551" s="13" t="s">
        <v>1068</v>
      </c>
      <c r="B551" s="14" t="s">
        <v>762</v>
      </c>
      <c r="C551" s="14" t="s">
        <v>749</v>
      </c>
      <c r="D551" s="14" t="s">
        <v>750</v>
      </c>
      <c r="E551" s="14" t="s">
        <v>763</v>
      </c>
      <c r="F551" s="14" t="s">
        <v>752</v>
      </c>
      <c r="G551" s="15" t="s">
        <v>128</v>
      </c>
      <c r="H551" s="16" t="s">
        <v>129</v>
      </c>
      <c r="I551" s="14" t="s">
        <v>49</v>
      </c>
      <c r="J551" s="14">
        <v>890903937</v>
      </c>
      <c r="K551" s="14" t="s">
        <v>138</v>
      </c>
      <c r="L551" s="14" t="s">
        <v>103</v>
      </c>
      <c r="M551" s="14" t="s">
        <v>121</v>
      </c>
      <c r="N551" s="14">
        <v>2020</v>
      </c>
      <c r="O551" s="14">
        <v>0</v>
      </c>
      <c r="P551" s="14" t="s">
        <v>105</v>
      </c>
      <c r="Q551" s="14">
        <v>1</v>
      </c>
      <c r="R551" s="14">
        <v>0</v>
      </c>
      <c r="S551" s="17" t="s">
        <v>54</v>
      </c>
      <c r="T551" s="18">
        <v>0</v>
      </c>
      <c r="U551" s="14">
        <v>30</v>
      </c>
      <c r="V551" s="19">
        <v>1</v>
      </c>
      <c r="W551" s="14">
        <v>0</v>
      </c>
      <c r="X551" s="14">
        <v>26</v>
      </c>
      <c r="Y551" s="14">
        <v>0</v>
      </c>
      <c r="Z551" s="14">
        <v>23</v>
      </c>
      <c r="AA551" s="14">
        <f>Tabla13[[#This Row],[CheckList App]]+Tabla13[[#This Row],[CheckList Fisc]]</f>
        <v>23</v>
      </c>
      <c r="AB551" s="19">
        <f t="shared" si="8"/>
        <v>0.88461538461538458</v>
      </c>
      <c r="AC551" s="14">
        <v>0</v>
      </c>
      <c r="AD551" s="14" t="s">
        <v>70</v>
      </c>
      <c r="AE551" s="15" t="str">
        <f>IFERROR((VLOOKUP(Tabla13[[#This Row],[ID]],[1]!Mtto_Pesv[[#Headers],[#Data],[Placa]:[Rutina]],2,FALSE)),"-")</f>
        <v>-</v>
      </c>
      <c r="AF551" s="14">
        <v>1</v>
      </c>
      <c r="AG551" s="20">
        <f>IFERROR((VLOOKUP(Tabla13[[#This Row],[ID]],[1]!Mtto_Pesv[[#Headers],[#Data],[Placa]:[Rutina]],3,FALSE)),0)</f>
        <v>0</v>
      </c>
      <c r="AH551" s="20">
        <f>IFERROR((VLOOKUP(Tabla13[[#This Row],[ID]],[1]!Mtto_Pesv[[#Headers],[#Data],[Placa]:[Rutina]],7,FALSE)),0)</f>
        <v>0</v>
      </c>
      <c r="AI551" s="20">
        <f>IFERROR((VLOOKUP(Tabla13[[#This Row],[ID]],[1]!Mtto_Pesv[[#Headers],[#Data],[Placa]:[Rutina]],8,FALSE)),0)</f>
        <v>0</v>
      </c>
      <c r="AJ551" s="20" t="str">
        <f>IFERROR((VLOOKUP(Tabla13[[#This Row],[ID]],[1]!Mtto_Pesv[[#Headers],[#Data],[Placa]:[Rutina]],9,FALSE)),"-")</f>
        <v>-</v>
      </c>
      <c r="AK551" s="20">
        <f>IFERROR((VLOOKUP(Tabla13[[#This Row],[ID]],[1]!Mtto_Pesv[[#Headers],[#Data],[Placa]:[Rutina]],10,FALSE)),0)</f>
        <v>0</v>
      </c>
      <c r="AL551" s="20">
        <f>IF(Tabla13[[#This Row],[Km Anterior]]=0,0,Tabla13[[#This Row],[Km Ejecut]]-Tabla13[[#This Row],[Km Anterior]])</f>
        <v>0</v>
      </c>
      <c r="AM551" s="20">
        <f>IFERROR((VLOOKUP(Tabla13[[#This Row],[ID]],[1]!Mtto_Pesv[[#Headers],[#Data],[Placa]:[Rutina]],4,FALSE)),0)</f>
        <v>0</v>
      </c>
      <c r="AN551" s="21">
        <f>IFERROR((VLOOKUP(Tabla13[[#This Row],[ID]],[1]!Mtto_Pesv[[#Headers],[#Data],[Placa]:[Rutina]],5,FALSE)),0)</f>
        <v>0</v>
      </c>
      <c r="AO551" s="21">
        <f>+Tabla13[[#This Row],[Km Fin]]-Tabla13[[#This Row],[Km Ini]]</f>
        <v>0</v>
      </c>
      <c r="AP551" s="20">
        <f>IFERROR((VLOOKUP(Tabla13[[#This Row],[ID]],[1]!Estilo_Conduccion[[#All],[Placa]:[Puntuacion]],15,FALSE)),0)</f>
        <v>11114.3</v>
      </c>
      <c r="AQ551" s="15" t="s">
        <v>54</v>
      </c>
      <c r="AR551" s="15" t="s">
        <v>54</v>
      </c>
      <c r="AS551" s="20">
        <v>2350</v>
      </c>
      <c r="AT551" s="21">
        <v>0</v>
      </c>
      <c r="AU551" s="21">
        <f>(Tabla13[[#This Row],[Cap Vh]]*$AX$2)*0.56</f>
        <v>0</v>
      </c>
      <c r="AV551" s="36" t="e">
        <f>(Tabla13[[#This Row],[Cap Util (kg)]]/(Tabla13[[#This Row],[Cap Inst (Kg)]]))</f>
        <v>#DIV/0!</v>
      </c>
    </row>
    <row r="552" spans="1:48" x14ac:dyDescent="0.25">
      <c r="A552" s="13" t="s">
        <v>1068</v>
      </c>
      <c r="B552" s="14" t="s">
        <v>764</v>
      </c>
      <c r="C552" s="14" t="s">
        <v>749</v>
      </c>
      <c r="D552" s="14" t="s">
        <v>750</v>
      </c>
      <c r="E552" s="14" t="s">
        <v>759</v>
      </c>
      <c r="F552" s="14" t="s">
        <v>752</v>
      </c>
      <c r="G552" s="15" t="s">
        <v>128</v>
      </c>
      <c r="H552" s="16" t="s">
        <v>129</v>
      </c>
      <c r="I552" s="14" t="s">
        <v>49</v>
      </c>
      <c r="J552" s="14">
        <v>890903937</v>
      </c>
      <c r="K552" s="14" t="s">
        <v>138</v>
      </c>
      <c r="L552" s="14" t="s">
        <v>103</v>
      </c>
      <c r="M552" s="14" t="s">
        <v>104</v>
      </c>
      <c r="N552" s="14">
        <v>2019</v>
      </c>
      <c r="O552" s="14">
        <v>1</v>
      </c>
      <c r="P552" s="14" t="s">
        <v>105</v>
      </c>
      <c r="Q552" s="14">
        <v>1</v>
      </c>
      <c r="R552" s="14">
        <v>0</v>
      </c>
      <c r="S552" s="17" t="s">
        <v>54</v>
      </c>
      <c r="T552" s="18">
        <v>0</v>
      </c>
      <c r="U552" s="14">
        <v>30</v>
      </c>
      <c r="V552" s="19">
        <v>1</v>
      </c>
      <c r="W552" s="14">
        <v>0</v>
      </c>
      <c r="X552" s="14">
        <v>22</v>
      </c>
      <c r="Y552" s="14">
        <v>0</v>
      </c>
      <c r="Z552" s="14">
        <v>14</v>
      </c>
      <c r="AA552" s="14">
        <f>Tabla13[[#This Row],[CheckList App]]+Tabla13[[#This Row],[CheckList Fisc]]</f>
        <v>14</v>
      </c>
      <c r="AB552" s="19">
        <f t="shared" si="8"/>
        <v>0.63636363636363635</v>
      </c>
      <c r="AC552" s="14">
        <v>0</v>
      </c>
      <c r="AD552" s="14" t="s">
        <v>70</v>
      </c>
      <c r="AE552" s="15" t="str">
        <f>IFERROR((VLOOKUP(Tabla13[[#This Row],[ID]],[1]!Mtto_Pesv[[#Headers],[#Data],[Placa]:[Rutina]],2,FALSE)),"-")</f>
        <v>-</v>
      </c>
      <c r="AF552" s="14">
        <v>1</v>
      </c>
      <c r="AG552" s="20">
        <f>IFERROR((VLOOKUP(Tabla13[[#This Row],[ID]],[1]!Mtto_Pesv[[#Headers],[#Data],[Placa]:[Rutina]],3,FALSE)),0)</f>
        <v>0</v>
      </c>
      <c r="AH552" s="20">
        <f>IFERROR((VLOOKUP(Tabla13[[#This Row],[ID]],[1]!Mtto_Pesv[[#Headers],[#Data],[Placa]:[Rutina]],7,FALSE)),0)</f>
        <v>0</v>
      </c>
      <c r="AI552" s="20">
        <f>IFERROR((VLOOKUP(Tabla13[[#This Row],[ID]],[1]!Mtto_Pesv[[#Headers],[#Data],[Placa]:[Rutina]],8,FALSE)),0)</f>
        <v>0</v>
      </c>
      <c r="AJ552" s="20" t="str">
        <f>IFERROR((VLOOKUP(Tabla13[[#This Row],[ID]],[1]!Mtto_Pesv[[#Headers],[#Data],[Placa]:[Rutina]],9,FALSE)),"-")</f>
        <v>-</v>
      </c>
      <c r="AK552" s="20">
        <f>IFERROR((VLOOKUP(Tabla13[[#This Row],[ID]],[1]!Mtto_Pesv[[#Headers],[#Data],[Placa]:[Rutina]],10,FALSE)),0)</f>
        <v>0</v>
      </c>
      <c r="AL552" s="20">
        <f>IF(Tabla13[[#This Row],[Km Anterior]]=0,0,Tabla13[[#This Row],[Km Ejecut]]-Tabla13[[#This Row],[Km Anterior]])</f>
        <v>0</v>
      </c>
      <c r="AM552" s="20">
        <f>IFERROR((VLOOKUP(Tabla13[[#This Row],[ID]],[1]!Mtto_Pesv[[#Headers],[#Data],[Placa]:[Rutina]],4,FALSE)),0)</f>
        <v>0</v>
      </c>
      <c r="AN552" s="21">
        <f>IFERROR((VLOOKUP(Tabla13[[#This Row],[ID]],[1]!Mtto_Pesv[[#Headers],[#Data],[Placa]:[Rutina]],5,FALSE)),0)</f>
        <v>0</v>
      </c>
      <c r="AO552" s="21">
        <f>+Tabla13[[#This Row],[Km Fin]]-Tabla13[[#This Row],[Km Ini]]</f>
        <v>0</v>
      </c>
      <c r="AP552" s="20">
        <f>IFERROR((VLOOKUP(Tabla13[[#This Row],[ID]],[1]!Estilo_Conduccion[[#All],[Placa]:[Puntuacion]],15,FALSE)),0)</f>
        <v>836.9</v>
      </c>
      <c r="AQ552" s="15" t="s">
        <v>54</v>
      </c>
      <c r="AR552" s="15" t="s">
        <v>54</v>
      </c>
      <c r="AS552" s="20">
        <v>1650</v>
      </c>
      <c r="AT552" s="21">
        <v>0</v>
      </c>
      <c r="AU552" s="21">
        <f>(Tabla13[[#This Row],[Cap Vh]]*$AX$2)*0.56</f>
        <v>0</v>
      </c>
      <c r="AV552" s="36" t="e">
        <f>(Tabla13[[#This Row],[Cap Util (kg)]]/(Tabla13[[#This Row],[Cap Inst (Kg)]]))</f>
        <v>#DIV/0!</v>
      </c>
    </row>
    <row r="553" spans="1:48" x14ac:dyDescent="0.25">
      <c r="A553" s="13" t="s">
        <v>1068</v>
      </c>
      <c r="B553" s="14" t="s">
        <v>765</v>
      </c>
      <c r="C553" s="14" t="s">
        <v>749</v>
      </c>
      <c r="D553" s="14" t="s">
        <v>750</v>
      </c>
      <c r="E553" s="14" t="s">
        <v>751</v>
      </c>
      <c r="F553" s="14" t="s">
        <v>64</v>
      </c>
      <c r="G553" s="15" t="s">
        <v>128</v>
      </c>
      <c r="H553" s="16" t="s">
        <v>143</v>
      </c>
      <c r="I553" s="14" t="s">
        <v>49</v>
      </c>
      <c r="J553" s="14">
        <v>890903937</v>
      </c>
      <c r="K553" s="14" t="s">
        <v>138</v>
      </c>
      <c r="L553" s="14" t="s">
        <v>103</v>
      </c>
      <c r="M553" s="14" t="s">
        <v>104</v>
      </c>
      <c r="N553" s="14">
        <v>2019</v>
      </c>
      <c r="O553" s="14">
        <v>1</v>
      </c>
      <c r="P553" s="14" t="s">
        <v>105</v>
      </c>
      <c r="Q553" s="14">
        <v>1</v>
      </c>
      <c r="R553" s="14">
        <v>1</v>
      </c>
      <c r="S553" s="17">
        <v>44834.868784722217</v>
      </c>
      <c r="T553" s="18">
        <v>109.99999999999999</v>
      </c>
      <c r="U553" s="14">
        <v>30</v>
      </c>
      <c r="V553" s="19">
        <v>1</v>
      </c>
      <c r="W553" s="14">
        <v>0</v>
      </c>
      <c r="X553" s="14">
        <v>27</v>
      </c>
      <c r="Y553" s="14">
        <v>0</v>
      </c>
      <c r="Z553" s="14">
        <v>26</v>
      </c>
      <c r="AA553" s="14">
        <f>Tabla13[[#This Row],[CheckList App]]+Tabla13[[#This Row],[CheckList Fisc]]</f>
        <v>26</v>
      </c>
      <c r="AB553" s="19">
        <f t="shared" si="8"/>
        <v>0.96296296296296291</v>
      </c>
      <c r="AC553" s="14">
        <v>0</v>
      </c>
      <c r="AD553" s="14" t="s">
        <v>70</v>
      </c>
      <c r="AE553" s="15" t="str">
        <f>IFERROR((VLOOKUP(Tabla13[[#This Row],[ID]],[1]!Mtto_Pesv[[#Headers],[#Data],[Placa]:[Rutina]],2,FALSE)),"-")</f>
        <v>-</v>
      </c>
      <c r="AF553" s="14">
        <v>1</v>
      </c>
      <c r="AG553" s="20">
        <f>IFERROR((VLOOKUP(Tabla13[[#This Row],[ID]],[1]!Mtto_Pesv[[#Headers],[#Data],[Placa]:[Rutina]],3,FALSE)),0)</f>
        <v>0</v>
      </c>
      <c r="AH553" s="20">
        <f>IFERROR((VLOOKUP(Tabla13[[#This Row],[ID]],[1]!Mtto_Pesv[[#Headers],[#Data],[Placa]:[Rutina]],7,FALSE)),0)</f>
        <v>0</v>
      </c>
      <c r="AI553" s="20">
        <f>IFERROR((VLOOKUP(Tabla13[[#This Row],[ID]],[1]!Mtto_Pesv[[#Headers],[#Data],[Placa]:[Rutina]],8,FALSE)),0)</f>
        <v>0</v>
      </c>
      <c r="AJ553" s="20" t="str">
        <f>IFERROR((VLOOKUP(Tabla13[[#This Row],[ID]],[1]!Mtto_Pesv[[#Headers],[#Data],[Placa]:[Rutina]],9,FALSE)),"-")</f>
        <v>-</v>
      </c>
      <c r="AK553" s="20">
        <f>IFERROR((VLOOKUP(Tabla13[[#This Row],[ID]],[1]!Mtto_Pesv[[#Headers],[#Data],[Placa]:[Rutina]],10,FALSE)),0)</f>
        <v>0</v>
      </c>
      <c r="AL553" s="20">
        <f>IF(Tabla13[[#This Row],[Km Anterior]]=0,0,Tabla13[[#This Row],[Km Ejecut]]-Tabla13[[#This Row],[Km Anterior]])</f>
        <v>0</v>
      </c>
      <c r="AM553" s="20">
        <f>IFERROR((VLOOKUP(Tabla13[[#This Row],[ID]],[1]!Mtto_Pesv[[#Headers],[#Data],[Placa]:[Rutina]],4,FALSE)),0)</f>
        <v>0</v>
      </c>
      <c r="AN553" s="21">
        <f>IFERROR((VLOOKUP(Tabla13[[#This Row],[ID]],[1]!Mtto_Pesv[[#Headers],[#Data],[Placa]:[Rutina]],5,FALSE)),0)</f>
        <v>0</v>
      </c>
      <c r="AO553" s="21">
        <f>+Tabla13[[#This Row],[Km Fin]]-Tabla13[[#This Row],[Km Ini]]</f>
        <v>0</v>
      </c>
      <c r="AP553" s="20">
        <f>IFERROR((VLOOKUP(Tabla13[[#This Row],[ID]],[1]!Estilo_Conduccion[[#All],[Placa]:[Puntuacion]],15,FALSE)),0)</f>
        <v>441.50000000000006</v>
      </c>
      <c r="AQ553" s="15" t="s">
        <v>54</v>
      </c>
      <c r="AR553" s="15" t="s">
        <v>54</v>
      </c>
      <c r="AS553" s="20">
        <v>1650</v>
      </c>
      <c r="AT553" s="21">
        <v>0</v>
      </c>
      <c r="AU553" s="21">
        <f>(Tabla13[[#This Row],[Cap Vh]]*$AX$2)*0.56</f>
        <v>0</v>
      </c>
      <c r="AV553" s="36" t="e">
        <f>(Tabla13[[#This Row],[Cap Util (kg)]]/(Tabla13[[#This Row],[Cap Inst (Kg)]]))</f>
        <v>#DIV/0!</v>
      </c>
    </row>
    <row r="554" spans="1:48" x14ac:dyDescent="0.25">
      <c r="A554" s="13" t="s">
        <v>1068</v>
      </c>
      <c r="B554" s="14" t="s">
        <v>766</v>
      </c>
      <c r="C554" s="14" t="s">
        <v>749</v>
      </c>
      <c r="D554" s="14" t="s">
        <v>750</v>
      </c>
      <c r="E554" s="14" t="s">
        <v>751</v>
      </c>
      <c r="F554" s="14" t="s">
        <v>64</v>
      </c>
      <c r="G554" s="15" t="s">
        <v>128</v>
      </c>
      <c r="H554" s="16" t="s">
        <v>143</v>
      </c>
      <c r="I554" s="14" t="s">
        <v>49</v>
      </c>
      <c r="J554" s="14">
        <v>890903937</v>
      </c>
      <c r="K554" s="14" t="s">
        <v>138</v>
      </c>
      <c r="L554" s="14" t="s">
        <v>103</v>
      </c>
      <c r="M554" s="14" t="s">
        <v>104</v>
      </c>
      <c r="N554" s="14">
        <v>2019</v>
      </c>
      <c r="O554" s="14">
        <v>1</v>
      </c>
      <c r="P554" s="14" t="s">
        <v>105</v>
      </c>
      <c r="Q554" s="14">
        <v>1</v>
      </c>
      <c r="R554" s="14">
        <v>0</v>
      </c>
      <c r="S554" s="17" t="s">
        <v>54</v>
      </c>
      <c r="T554" s="18">
        <v>0</v>
      </c>
      <c r="U554" s="14">
        <v>30</v>
      </c>
      <c r="V554" s="19">
        <v>1</v>
      </c>
      <c r="W554" s="14">
        <v>0</v>
      </c>
      <c r="X554" s="14">
        <v>0</v>
      </c>
      <c r="Y554" s="14">
        <v>0</v>
      </c>
      <c r="Z554" s="14">
        <v>0</v>
      </c>
      <c r="AA554" s="14">
        <f>Tabla13[[#This Row],[CheckList App]]+Tabla13[[#This Row],[CheckList Fisc]]</f>
        <v>0</v>
      </c>
      <c r="AB554" s="19">
        <f t="shared" si="8"/>
        <v>0</v>
      </c>
      <c r="AC554" s="14">
        <v>0</v>
      </c>
      <c r="AD554" s="14" t="s">
        <v>70</v>
      </c>
      <c r="AE554" s="15" t="str">
        <f>IFERROR((VLOOKUP(Tabla13[[#This Row],[ID]],[1]!Mtto_Pesv[[#Headers],[#Data],[Placa]:[Rutina]],2,FALSE)),"-")</f>
        <v>-</v>
      </c>
      <c r="AF554" s="14">
        <v>1</v>
      </c>
      <c r="AG554" s="20">
        <f>IFERROR((VLOOKUP(Tabla13[[#This Row],[ID]],[1]!Mtto_Pesv[[#Headers],[#Data],[Placa]:[Rutina]],3,FALSE)),0)</f>
        <v>0</v>
      </c>
      <c r="AH554" s="20">
        <f>IFERROR((VLOOKUP(Tabla13[[#This Row],[ID]],[1]!Mtto_Pesv[[#Headers],[#Data],[Placa]:[Rutina]],7,FALSE)),0)</f>
        <v>0</v>
      </c>
      <c r="AI554" s="20">
        <f>IFERROR((VLOOKUP(Tabla13[[#This Row],[ID]],[1]!Mtto_Pesv[[#Headers],[#Data],[Placa]:[Rutina]],8,FALSE)),0)</f>
        <v>0</v>
      </c>
      <c r="AJ554" s="20" t="str">
        <f>IFERROR((VLOOKUP(Tabla13[[#This Row],[ID]],[1]!Mtto_Pesv[[#Headers],[#Data],[Placa]:[Rutina]],9,FALSE)),"-")</f>
        <v>-</v>
      </c>
      <c r="AK554" s="20">
        <f>IFERROR((VLOOKUP(Tabla13[[#This Row],[ID]],[1]!Mtto_Pesv[[#Headers],[#Data],[Placa]:[Rutina]],10,FALSE)),0)</f>
        <v>0</v>
      </c>
      <c r="AL554" s="20">
        <f>IF(Tabla13[[#This Row],[Km Anterior]]=0,0,Tabla13[[#This Row],[Km Ejecut]]-Tabla13[[#This Row],[Km Anterior]])</f>
        <v>0</v>
      </c>
      <c r="AM554" s="20">
        <f>IFERROR((VLOOKUP(Tabla13[[#This Row],[ID]],[1]!Mtto_Pesv[[#Headers],[#Data],[Placa]:[Rutina]],4,FALSE)),0)</f>
        <v>0</v>
      </c>
      <c r="AN554" s="21">
        <f>IFERROR((VLOOKUP(Tabla13[[#This Row],[ID]],[1]!Mtto_Pesv[[#Headers],[#Data],[Placa]:[Rutina]],5,FALSE)),0)</f>
        <v>0</v>
      </c>
      <c r="AO554" s="21">
        <f>+Tabla13[[#This Row],[Km Fin]]-Tabla13[[#This Row],[Km Ini]]</f>
        <v>0</v>
      </c>
      <c r="AP554" s="20">
        <f>IFERROR((VLOOKUP(Tabla13[[#This Row],[ID]],[1]!Estilo_Conduccion[[#All],[Placa]:[Puntuacion]],15,FALSE)),0)</f>
        <v>0</v>
      </c>
      <c r="AQ554" s="15" t="s">
        <v>54</v>
      </c>
      <c r="AR554" s="15" t="s">
        <v>54</v>
      </c>
      <c r="AS554" s="20">
        <v>1650</v>
      </c>
      <c r="AT554" s="21">
        <v>0</v>
      </c>
      <c r="AU554" s="21">
        <f>(Tabla13[[#This Row],[Cap Vh]]*$AX$2)*0.56</f>
        <v>0</v>
      </c>
      <c r="AV554" s="36" t="e">
        <f>(Tabla13[[#This Row],[Cap Util (kg)]]/(Tabla13[[#This Row],[Cap Inst (Kg)]]))</f>
        <v>#DIV/0!</v>
      </c>
    </row>
    <row r="555" spans="1:48" x14ac:dyDescent="0.25">
      <c r="A555" s="13" t="s">
        <v>1068</v>
      </c>
      <c r="B555" s="14" t="s">
        <v>767</v>
      </c>
      <c r="C555" s="14" t="s">
        <v>749</v>
      </c>
      <c r="D555" s="14" t="s">
        <v>750</v>
      </c>
      <c r="E555" s="14" t="s">
        <v>751</v>
      </c>
      <c r="F555" s="14" t="s">
        <v>64</v>
      </c>
      <c r="G555" s="15" t="s">
        <v>128</v>
      </c>
      <c r="H555" s="16" t="s">
        <v>143</v>
      </c>
      <c r="I555" s="14" t="s">
        <v>49</v>
      </c>
      <c r="J555" s="14">
        <v>890903937</v>
      </c>
      <c r="K555" s="14" t="s">
        <v>138</v>
      </c>
      <c r="L555" s="14" t="s">
        <v>103</v>
      </c>
      <c r="M555" s="14" t="s">
        <v>104</v>
      </c>
      <c r="N555" s="14">
        <v>2019</v>
      </c>
      <c r="O555" s="14">
        <v>1</v>
      </c>
      <c r="P555" s="14" t="s">
        <v>105</v>
      </c>
      <c r="Q555" s="14">
        <v>1</v>
      </c>
      <c r="R555" s="14">
        <v>1</v>
      </c>
      <c r="S555" s="17">
        <v>44831.51185185185</v>
      </c>
      <c r="T555" s="18">
        <v>73.408000000000001</v>
      </c>
      <c r="U555" s="14">
        <v>30</v>
      </c>
      <c r="V555" s="19">
        <v>1</v>
      </c>
      <c r="W555" s="14">
        <v>0</v>
      </c>
      <c r="X555" s="14">
        <v>26</v>
      </c>
      <c r="Y555" s="14">
        <v>0</v>
      </c>
      <c r="Z555" s="14">
        <v>26</v>
      </c>
      <c r="AA555" s="14">
        <f>Tabla13[[#This Row],[CheckList App]]+Tabla13[[#This Row],[CheckList Fisc]]</f>
        <v>26</v>
      </c>
      <c r="AB555" s="19">
        <f t="shared" si="8"/>
        <v>1</v>
      </c>
      <c r="AC555" s="14">
        <v>0</v>
      </c>
      <c r="AD555" s="14" t="s">
        <v>70</v>
      </c>
      <c r="AE555" s="15" t="str">
        <f>IFERROR((VLOOKUP(Tabla13[[#This Row],[ID]],[1]!Mtto_Pesv[[#Headers],[#Data],[Placa]:[Rutina]],2,FALSE)),"-")</f>
        <v>-</v>
      </c>
      <c r="AF555" s="14">
        <v>1</v>
      </c>
      <c r="AG555" s="20">
        <f>IFERROR((VLOOKUP(Tabla13[[#This Row],[ID]],[1]!Mtto_Pesv[[#Headers],[#Data],[Placa]:[Rutina]],3,FALSE)),0)</f>
        <v>0</v>
      </c>
      <c r="AH555" s="20">
        <f>IFERROR((VLOOKUP(Tabla13[[#This Row],[ID]],[1]!Mtto_Pesv[[#Headers],[#Data],[Placa]:[Rutina]],7,FALSE)),0)</f>
        <v>0</v>
      </c>
      <c r="AI555" s="20">
        <f>IFERROR((VLOOKUP(Tabla13[[#This Row],[ID]],[1]!Mtto_Pesv[[#Headers],[#Data],[Placa]:[Rutina]],8,FALSE)),0)</f>
        <v>0</v>
      </c>
      <c r="AJ555" s="20" t="str">
        <f>IFERROR((VLOOKUP(Tabla13[[#This Row],[ID]],[1]!Mtto_Pesv[[#Headers],[#Data],[Placa]:[Rutina]],9,FALSE)),"-")</f>
        <v>-</v>
      </c>
      <c r="AK555" s="20">
        <f>IFERROR((VLOOKUP(Tabla13[[#This Row],[ID]],[1]!Mtto_Pesv[[#Headers],[#Data],[Placa]:[Rutina]],10,FALSE)),0)</f>
        <v>0</v>
      </c>
      <c r="AL555" s="20">
        <f>IF(Tabla13[[#This Row],[Km Anterior]]=0,0,Tabla13[[#This Row],[Km Ejecut]]-Tabla13[[#This Row],[Km Anterior]])</f>
        <v>0</v>
      </c>
      <c r="AM555" s="20">
        <f>IFERROR((VLOOKUP(Tabla13[[#This Row],[ID]],[1]!Mtto_Pesv[[#Headers],[#Data],[Placa]:[Rutina]],4,FALSE)),0)</f>
        <v>0</v>
      </c>
      <c r="AN555" s="21">
        <f>IFERROR((VLOOKUP(Tabla13[[#This Row],[ID]],[1]!Mtto_Pesv[[#Headers],[#Data],[Placa]:[Rutina]],5,FALSE)),0)</f>
        <v>0</v>
      </c>
      <c r="AO555" s="21">
        <f>+Tabla13[[#This Row],[Km Fin]]-Tabla13[[#This Row],[Km Ini]]</f>
        <v>0</v>
      </c>
      <c r="AP555" s="20">
        <f>IFERROR((VLOOKUP(Tabla13[[#This Row],[ID]],[1]!Estilo_Conduccion[[#All],[Placa]:[Puntuacion]],15,FALSE)),0)</f>
        <v>561.6</v>
      </c>
      <c r="AQ555" s="15" t="s">
        <v>54</v>
      </c>
      <c r="AR555" s="15" t="s">
        <v>54</v>
      </c>
      <c r="AS555" s="20">
        <v>1650</v>
      </c>
      <c r="AT555" s="21">
        <v>0</v>
      </c>
      <c r="AU555" s="21">
        <f>(Tabla13[[#This Row],[Cap Vh]]*$AX$2)*0.56</f>
        <v>0</v>
      </c>
      <c r="AV555" s="36" t="e">
        <f>(Tabla13[[#This Row],[Cap Util (kg)]]/(Tabla13[[#This Row],[Cap Inst (Kg)]]))</f>
        <v>#DIV/0!</v>
      </c>
    </row>
    <row r="556" spans="1:48" x14ac:dyDescent="0.25">
      <c r="A556" s="13" t="s">
        <v>1068</v>
      </c>
      <c r="B556" s="14" t="s">
        <v>768</v>
      </c>
      <c r="C556" s="14" t="s">
        <v>749</v>
      </c>
      <c r="D556" s="14" t="s">
        <v>750</v>
      </c>
      <c r="E556" s="14" t="s">
        <v>763</v>
      </c>
      <c r="F556" s="14" t="s">
        <v>752</v>
      </c>
      <c r="G556" s="15" t="s">
        <v>128</v>
      </c>
      <c r="H556" s="16" t="s">
        <v>129</v>
      </c>
      <c r="I556" s="14" t="s">
        <v>49</v>
      </c>
      <c r="J556" s="14">
        <v>890903937</v>
      </c>
      <c r="K556" s="14" t="s">
        <v>138</v>
      </c>
      <c r="L556" s="14" t="s">
        <v>103</v>
      </c>
      <c r="M556" s="14" t="s">
        <v>104</v>
      </c>
      <c r="N556" s="14">
        <v>2019</v>
      </c>
      <c r="O556" s="14">
        <v>1</v>
      </c>
      <c r="P556" s="14" t="s">
        <v>105</v>
      </c>
      <c r="Q556" s="14">
        <v>1</v>
      </c>
      <c r="R556" s="14">
        <v>0</v>
      </c>
      <c r="S556" s="17" t="s">
        <v>54</v>
      </c>
      <c r="T556" s="18">
        <v>0</v>
      </c>
      <c r="U556" s="14">
        <v>30</v>
      </c>
      <c r="V556" s="19">
        <v>1</v>
      </c>
      <c r="W556" s="14">
        <v>0</v>
      </c>
      <c r="X556" s="14">
        <v>25</v>
      </c>
      <c r="Y556" s="14">
        <v>0</v>
      </c>
      <c r="Z556" s="14">
        <v>19</v>
      </c>
      <c r="AA556" s="14">
        <f>Tabla13[[#This Row],[CheckList App]]+Tabla13[[#This Row],[CheckList Fisc]]</f>
        <v>19</v>
      </c>
      <c r="AB556" s="19">
        <f t="shared" si="8"/>
        <v>0.76</v>
      </c>
      <c r="AC556" s="14">
        <v>0</v>
      </c>
      <c r="AD556" s="14" t="s">
        <v>70</v>
      </c>
      <c r="AE556" s="15" t="str">
        <f>IFERROR((VLOOKUP(Tabla13[[#This Row],[ID]],[1]!Mtto_Pesv[[#Headers],[#Data],[Placa]:[Rutina]],2,FALSE)),"-")</f>
        <v>-</v>
      </c>
      <c r="AF556" s="14">
        <v>1</v>
      </c>
      <c r="AG556" s="20">
        <f>IFERROR((VLOOKUP(Tabla13[[#This Row],[ID]],[1]!Mtto_Pesv[[#Headers],[#Data],[Placa]:[Rutina]],3,FALSE)),0)</f>
        <v>0</v>
      </c>
      <c r="AH556" s="20">
        <f>IFERROR((VLOOKUP(Tabla13[[#This Row],[ID]],[1]!Mtto_Pesv[[#Headers],[#Data],[Placa]:[Rutina]],7,FALSE)),0)</f>
        <v>0</v>
      </c>
      <c r="AI556" s="20">
        <f>IFERROR((VLOOKUP(Tabla13[[#This Row],[ID]],[1]!Mtto_Pesv[[#Headers],[#Data],[Placa]:[Rutina]],8,FALSE)),0)</f>
        <v>0</v>
      </c>
      <c r="AJ556" s="20" t="str">
        <f>IFERROR((VLOOKUP(Tabla13[[#This Row],[ID]],[1]!Mtto_Pesv[[#Headers],[#Data],[Placa]:[Rutina]],9,FALSE)),"-")</f>
        <v>-</v>
      </c>
      <c r="AK556" s="20">
        <f>IFERROR((VLOOKUP(Tabla13[[#This Row],[ID]],[1]!Mtto_Pesv[[#Headers],[#Data],[Placa]:[Rutina]],10,FALSE)),0)</f>
        <v>0</v>
      </c>
      <c r="AL556" s="20">
        <f>IF(Tabla13[[#This Row],[Km Anterior]]=0,0,Tabla13[[#This Row],[Km Ejecut]]-Tabla13[[#This Row],[Km Anterior]])</f>
        <v>0</v>
      </c>
      <c r="AM556" s="20">
        <f>IFERROR((VLOOKUP(Tabla13[[#This Row],[ID]],[1]!Mtto_Pesv[[#Headers],[#Data],[Placa]:[Rutina]],4,FALSE)),0)</f>
        <v>0</v>
      </c>
      <c r="AN556" s="21">
        <f>IFERROR((VLOOKUP(Tabla13[[#This Row],[ID]],[1]!Mtto_Pesv[[#Headers],[#Data],[Placa]:[Rutina]],5,FALSE)),0)</f>
        <v>0</v>
      </c>
      <c r="AO556" s="21">
        <f>+Tabla13[[#This Row],[Km Fin]]-Tabla13[[#This Row],[Km Ini]]</f>
        <v>0</v>
      </c>
      <c r="AP556" s="20">
        <f>IFERROR((VLOOKUP(Tabla13[[#This Row],[ID]],[1]!Estilo_Conduccion[[#All],[Placa]:[Puntuacion]],15,FALSE)),0)</f>
        <v>1040.9000000000001</v>
      </c>
      <c r="AQ556" s="15" t="s">
        <v>1432</v>
      </c>
      <c r="AR556" s="15" t="s">
        <v>1433</v>
      </c>
      <c r="AS556" s="20">
        <v>1650</v>
      </c>
      <c r="AT556" s="21">
        <v>51079.5</v>
      </c>
      <c r="AU556" s="21">
        <f>(Tabla13[[#This Row],[Cap Vh]]*$AX$2)*0.56</f>
        <v>0</v>
      </c>
      <c r="AV556" s="36" t="e">
        <f>(Tabla13[[#This Row],[Cap Util (kg)]]/(Tabla13[[#This Row],[Cap Inst (Kg)]]))</f>
        <v>#DIV/0!</v>
      </c>
    </row>
    <row r="557" spans="1:48" x14ac:dyDescent="0.25">
      <c r="A557" s="13" t="s">
        <v>1068</v>
      </c>
      <c r="B557" s="14" t="s">
        <v>769</v>
      </c>
      <c r="C557" s="14" t="s">
        <v>749</v>
      </c>
      <c r="D557" s="14" t="s">
        <v>750</v>
      </c>
      <c r="E557" s="14" t="s">
        <v>770</v>
      </c>
      <c r="F557" s="14" t="s">
        <v>64</v>
      </c>
      <c r="G557" s="15" t="s">
        <v>128</v>
      </c>
      <c r="H557" s="16" t="s">
        <v>143</v>
      </c>
      <c r="I557" s="14" t="s">
        <v>49</v>
      </c>
      <c r="J557" s="14">
        <v>890903937</v>
      </c>
      <c r="K557" s="14" t="s">
        <v>138</v>
      </c>
      <c r="L557" s="14" t="s">
        <v>103</v>
      </c>
      <c r="M557" s="14" t="s">
        <v>121</v>
      </c>
      <c r="N557" s="14">
        <v>2019</v>
      </c>
      <c r="O557" s="14">
        <v>1</v>
      </c>
      <c r="P557" s="14" t="s">
        <v>105</v>
      </c>
      <c r="Q557" s="14">
        <v>1</v>
      </c>
      <c r="R557" s="14">
        <v>1</v>
      </c>
      <c r="S557" s="17">
        <v>44832.578356481477</v>
      </c>
      <c r="T557" s="18">
        <v>135.01199999999997</v>
      </c>
      <c r="U557" s="14">
        <v>30</v>
      </c>
      <c r="V557" s="19">
        <v>1</v>
      </c>
      <c r="W557" s="14">
        <v>0</v>
      </c>
      <c r="X557" s="14">
        <v>23</v>
      </c>
      <c r="Y557" s="14">
        <v>0</v>
      </c>
      <c r="Z557" s="14">
        <v>20</v>
      </c>
      <c r="AA557" s="14">
        <f>Tabla13[[#This Row],[CheckList App]]+Tabla13[[#This Row],[CheckList Fisc]]</f>
        <v>20</v>
      </c>
      <c r="AB557" s="19">
        <f t="shared" si="8"/>
        <v>0.86956521739130432</v>
      </c>
      <c r="AC557" s="14">
        <v>0</v>
      </c>
      <c r="AD557" s="14" t="s">
        <v>70</v>
      </c>
      <c r="AE557" s="15" t="str">
        <f>IFERROR((VLOOKUP(Tabla13[[#This Row],[ID]],[1]!Mtto_Pesv[[#Headers],[#Data],[Placa]:[Rutina]],2,FALSE)),"-")</f>
        <v>-</v>
      </c>
      <c r="AF557" s="14">
        <v>1</v>
      </c>
      <c r="AG557" s="20">
        <f>IFERROR((VLOOKUP(Tabla13[[#This Row],[ID]],[1]!Mtto_Pesv[[#Headers],[#Data],[Placa]:[Rutina]],3,FALSE)),0)</f>
        <v>0</v>
      </c>
      <c r="AH557" s="20">
        <f>IFERROR((VLOOKUP(Tabla13[[#This Row],[ID]],[1]!Mtto_Pesv[[#Headers],[#Data],[Placa]:[Rutina]],7,FALSE)),0)</f>
        <v>0</v>
      </c>
      <c r="AI557" s="20">
        <f>IFERROR((VLOOKUP(Tabla13[[#This Row],[ID]],[1]!Mtto_Pesv[[#Headers],[#Data],[Placa]:[Rutina]],8,FALSE)),0)</f>
        <v>0</v>
      </c>
      <c r="AJ557" s="20" t="str">
        <f>IFERROR((VLOOKUP(Tabla13[[#This Row],[ID]],[1]!Mtto_Pesv[[#Headers],[#Data],[Placa]:[Rutina]],9,FALSE)),"-")</f>
        <v>-</v>
      </c>
      <c r="AK557" s="20">
        <f>IFERROR((VLOOKUP(Tabla13[[#This Row],[ID]],[1]!Mtto_Pesv[[#Headers],[#Data],[Placa]:[Rutina]],10,FALSE)),0)</f>
        <v>0</v>
      </c>
      <c r="AL557" s="20">
        <f>IF(Tabla13[[#This Row],[Km Anterior]]=0,0,Tabla13[[#This Row],[Km Ejecut]]-Tabla13[[#This Row],[Km Anterior]])</f>
        <v>0</v>
      </c>
      <c r="AM557" s="20">
        <f>IFERROR((VLOOKUP(Tabla13[[#This Row],[ID]],[1]!Mtto_Pesv[[#Headers],[#Data],[Placa]:[Rutina]],4,FALSE)),0)</f>
        <v>0</v>
      </c>
      <c r="AN557" s="21">
        <f>IFERROR((VLOOKUP(Tabla13[[#This Row],[ID]],[1]!Mtto_Pesv[[#Headers],[#Data],[Placa]:[Rutina]],5,FALSE)),0)</f>
        <v>0</v>
      </c>
      <c r="AO557" s="21">
        <f>+Tabla13[[#This Row],[Km Fin]]-Tabla13[[#This Row],[Km Ini]]</f>
        <v>0</v>
      </c>
      <c r="AP557" s="20">
        <f>IFERROR((VLOOKUP(Tabla13[[#This Row],[ID]],[1]!Estilo_Conduccion[[#All],[Placa]:[Puntuacion]],15,FALSE)),0)</f>
        <v>940.69999999999993</v>
      </c>
      <c r="AQ557" s="15" t="s">
        <v>54</v>
      </c>
      <c r="AR557" s="15" t="s">
        <v>54</v>
      </c>
      <c r="AS557" s="20">
        <v>2350</v>
      </c>
      <c r="AT557" s="21">
        <v>0</v>
      </c>
      <c r="AU557" s="21">
        <f>(Tabla13[[#This Row],[Cap Vh]]*$AX$2)*0.56</f>
        <v>0</v>
      </c>
      <c r="AV557" s="36" t="e">
        <f>(Tabla13[[#This Row],[Cap Util (kg)]]/(Tabla13[[#This Row],[Cap Inst (Kg)]]))</f>
        <v>#DIV/0!</v>
      </c>
    </row>
    <row r="558" spans="1:48" x14ac:dyDescent="0.25">
      <c r="A558" s="13" t="s">
        <v>1068</v>
      </c>
      <c r="B558" s="14" t="s">
        <v>771</v>
      </c>
      <c r="C558" s="14" t="s">
        <v>749</v>
      </c>
      <c r="D558" s="14" t="s">
        <v>750</v>
      </c>
      <c r="E558" s="14" t="s">
        <v>751</v>
      </c>
      <c r="F558" s="14" t="s">
        <v>64</v>
      </c>
      <c r="G558" s="15" t="s">
        <v>128</v>
      </c>
      <c r="H558" s="16" t="s">
        <v>143</v>
      </c>
      <c r="I558" s="14" t="s">
        <v>49</v>
      </c>
      <c r="J558" s="14">
        <v>890903937</v>
      </c>
      <c r="K558" s="14" t="s">
        <v>138</v>
      </c>
      <c r="L558" s="14" t="s">
        <v>103</v>
      </c>
      <c r="M558" s="14" t="s">
        <v>153</v>
      </c>
      <c r="N558" s="14">
        <v>2019</v>
      </c>
      <c r="O558" s="14">
        <v>1</v>
      </c>
      <c r="P558" s="14" t="s">
        <v>105</v>
      </c>
      <c r="Q558" s="14">
        <v>1</v>
      </c>
      <c r="R558" s="14">
        <v>1</v>
      </c>
      <c r="S558" s="17">
        <v>44833.371249999997</v>
      </c>
      <c r="T558" s="18">
        <v>134.374</v>
      </c>
      <c r="U558" s="14">
        <v>30</v>
      </c>
      <c r="V558" s="19">
        <v>1</v>
      </c>
      <c r="W558" s="14">
        <v>0</v>
      </c>
      <c r="X558" s="14">
        <v>30</v>
      </c>
      <c r="Y558" s="14">
        <v>0</v>
      </c>
      <c r="Z558" s="14">
        <v>30</v>
      </c>
      <c r="AA558" s="14">
        <f>Tabla13[[#This Row],[CheckList App]]+Tabla13[[#This Row],[CheckList Fisc]]</f>
        <v>30</v>
      </c>
      <c r="AB558" s="19">
        <f t="shared" si="8"/>
        <v>1</v>
      </c>
      <c r="AC558" s="14">
        <v>0</v>
      </c>
      <c r="AD558" s="14" t="s">
        <v>70</v>
      </c>
      <c r="AE558" s="15" t="str">
        <f>IFERROR((VLOOKUP(Tabla13[[#This Row],[ID]],[1]!Mtto_Pesv[[#Headers],[#Data],[Placa]:[Rutina]],2,FALSE)),"-")</f>
        <v>-</v>
      </c>
      <c r="AF558" s="14">
        <v>1</v>
      </c>
      <c r="AG558" s="20">
        <f>IFERROR((VLOOKUP(Tabla13[[#This Row],[ID]],[1]!Mtto_Pesv[[#Headers],[#Data],[Placa]:[Rutina]],3,FALSE)),0)</f>
        <v>0</v>
      </c>
      <c r="AH558" s="20">
        <f>IFERROR((VLOOKUP(Tabla13[[#This Row],[ID]],[1]!Mtto_Pesv[[#Headers],[#Data],[Placa]:[Rutina]],7,FALSE)),0)</f>
        <v>0</v>
      </c>
      <c r="AI558" s="20">
        <f>IFERROR((VLOOKUP(Tabla13[[#This Row],[ID]],[1]!Mtto_Pesv[[#Headers],[#Data],[Placa]:[Rutina]],8,FALSE)),0)</f>
        <v>0</v>
      </c>
      <c r="AJ558" s="20" t="str">
        <f>IFERROR((VLOOKUP(Tabla13[[#This Row],[ID]],[1]!Mtto_Pesv[[#Headers],[#Data],[Placa]:[Rutina]],9,FALSE)),"-")</f>
        <v>-</v>
      </c>
      <c r="AK558" s="20">
        <f>IFERROR((VLOOKUP(Tabla13[[#This Row],[ID]],[1]!Mtto_Pesv[[#Headers],[#Data],[Placa]:[Rutina]],10,FALSE)),0)</f>
        <v>0</v>
      </c>
      <c r="AL558" s="20">
        <f>IF(Tabla13[[#This Row],[Km Anterior]]=0,0,Tabla13[[#This Row],[Km Ejecut]]-Tabla13[[#This Row],[Km Anterior]])</f>
        <v>0</v>
      </c>
      <c r="AM558" s="20">
        <f>IFERROR((VLOOKUP(Tabla13[[#This Row],[ID]],[1]!Mtto_Pesv[[#Headers],[#Data],[Placa]:[Rutina]],4,FALSE)),0)</f>
        <v>0</v>
      </c>
      <c r="AN558" s="21">
        <f>IFERROR((VLOOKUP(Tabla13[[#This Row],[ID]],[1]!Mtto_Pesv[[#Headers],[#Data],[Placa]:[Rutina]],5,FALSE)),0)</f>
        <v>0</v>
      </c>
      <c r="AO558" s="21">
        <f>+Tabla13[[#This Row],[Km Fin]]-Tabla13[[#This Row],[Km Ini]]</f>
        <v>0</v>
      </c>
      <c r="AP558" s="20">
        <f>IFERROR((VLOOKUP(Tabla13[[#This Row],[ID]],[1]!Estilo_Conduccion[[#All],[Placa]:[Puntuacion]],15,FALSE)),0)</f>
        <v>693.7</v>
      </c>
      <c r="AQ558" s="15" t="s">
        <v>54</v>
      </c>
      <c r="AR558" s="15" t="s">
        <v>54</v>
      </c>
      <c r="AS558" s="20">
        <v>3900</v>
      </c>
      <c r="AT558" s="21">
        <v>0</v>
      </c>
      <c r="AU558" s="21">
        <f>(Tabla13[[#This Row],[Cap Vh]]*$AX$2)*0.56</f>
        <v>0</v>
      </c>
      <c r="AV558" s="36" t="e">
        <f>(Tabla13[[#This Row],[Cap Util (kg)]]/(Tabla13[[#This Row],[Cap Inst (Kg)]]))</f>
        <v>#DIV/0!</v>
      </c>
    </row>
    <row r="559" spans="1:48" x14ac:dyDescent="0.25">
      <c r="A559" s="13" t="s">
        <v>1068</v>
      </c>
      <c r="B559" s="14" t="s">
        <v>772</v>
      </c>
      <c r="C559" s="14" t="s">
        <v>749</v>
      </c>
      <c r="D559" s="14" t="s">
        <v>750</v>
      </c>
      <c r="E559" s="14" t="s">
        <v>773</v>
      </c>
      <c r="F559" s="14" t="s">
        <v>64</v>
      </c>
      <c r="G559" s="15" t="s">
        <v>128</v>
      </c>
      <c r="H559" s="16" t="s">
        <v>143</v>
      </c>
      <c r="I559" s="14" t="s">
        <v>49</v>
      </c>
      <c r="J559" s="14">
        <v>890903937</v>
      </c>
      <c r="K559" s="14" t="s">
        <v>138</v>
      </c>
      <c r="L559" s="14" t="s">
        <v>103</v>
      </c>
      <c r="M559" s="14" t="s">
        <v>153</v>
      </c>
      <c r="N559" s="14">
        <v>2019</v>
      </c>
      <c r="O559" s="14">
        <v>1</v>
      </c>
      <c r="P559" s="14" t="s">
        <v>105</v>
      </c>
      <c r="Q559" s="14">
        <v>1</v>
      </c>
      <c r="R559" s="14">
        <v>1</v>
      </c>
      <c r="S559" s="17">
        <v>44833.862025462957</v>
      </c>
      <c r="T559" s="18">
        <v>238.15200000000004</v>
      </c>
      <c r="U559" s="14">
        <v>30</v>
      </c>
      <c r="V559" s="19">
        <v>1</v>
      </c>
      <c r="W559" s="14">
        <v>0</v>
      </c>
      <c r="X559" s="14">
        <v>26</v>
      </c>
      <c r="Y559" s="14">
        <v>0</v>
      </c>
      <c r="Z559" s="14">
        <v>24</v>
      </c>
      <c r="AA559" s="14">
        <f>Tabla13[[#This Row],[CheckList App]]+Tabla13[[#This Row],[CheckList Fisc]]</f>
        <v>24</v>
      </c>
      <c r="AB559" s="19">
        <f t="shared" si="8"/>
        <v>0.92307692307692313</v>
      </c>
      <c r="AC559" s="14">
        <v>0</v>
      </c>
      <c r="AD559" s="14" t="s">
        <v>70</v>
      </c>
      <c r="AE559" s="15" t="str">
        <f>IFERROR((VLOOKUP(Tabla13[[#This Row],[ID]],[1]!Mtto_Pesv[[#Headers],[#Data],[Placa]:[Rutina]],2,FALSE)),"-")</f>
        <v>-</v>
      </c>
      <c r="AF559" s="14">
        <v>1</v>
      </c>
      <c r="AG559" s="20">
        <f>IFERROR((VLOOKUP(Tabla13[[#This Row],[ID]],[1]!Mtto_Pesv[[#Headers],[#Data],[Placa]:[Rutina]],3,FALSE)),0)</f>
        <v>0</v>
      </c>
      <c r="AH559" s="20">
        <f>IFERROR((VLOOKUP(Tabla13[[#This Row],[ID]],[1]!Mtto_Pesv[[#Headers],[#Data],[Placa]:[Rutina]],7,FALSE)),0)</f>
        <v>0</v>
      </c>
      <c r="AI559" s="20">
        <f>IFERROR((VLOOKUP(Tabla13[[#This Row],[ID]],[1]!Mtto_Pesv[[#Headers],[#Data],[Placa]:[Rutina]],8,FALSE)),0)</f>
        <v>0</v>
      </c>
      <c r="AJ559" s="20" t="str">
        <f>IFERROR((VLOOKUP(Tabla13[[#This Row],[ID]],[1]!Mtto_Pesv[[#Headers],[#Data],[Placa]:[Rutina]],9,FALSE)),"-")</f>
        <v>-</v>
      </c>
      <c r="AK559" s="20">
        <f>IFERROR((VLOOKUP(Tabla13[[#This Row],[ID]],[1]!Mtto_Pesv[[#Headers],[#Data],[Placa]:[Rutina]],10,FALSE)),0)</f>
        <v>0</v>
      </c>
      <c r="AL559" s="20">
        <f>IF(Tabla13[[#This Row],[Km Anterior]]=0,0,Tabla13[[#This Row],[Km Ejecut]]-Tabla13[[#This Row],[Km Anterior]])</f>
        <v>0</v>
      </c>
      <c r="AM559" s="20">
        <f>IFERROR((VLOOKUP(Tabla13[[#This Row],[ID]],[1]!Mtto_Pesv[[#Headers],[#Data],[Placa]:[Rutina]],4,FALSE)),0)</f>
        <v>0</v>
      </c>
      <c r="AN559" s="21">
        <f>IFERROR((VLOOKUP(Tabla13[[#This Row],[ID]],[1]!Mtto_Pesv[[#Headers],[#Data],[Placa]:[Rutina]],5,FALSE)),0)</f>
        <v>0</v>
      </c>
      <c r="AO559" s="21">
        <f>+Tabla13[[#This Row],[Km Fin]]-Tabla13[[#This Row],[Km Ini]]</f>
        <v>0</v>
      </c>
      <c r="AP559" s="20">
        <f>IFERROR((VLOOKUP(Tabla13[[#This Row],[ID]],[1]!Estilo_Conduccion[[#All],[Placa]:[Puntuacion]],15,FALSE)),0)</f>
        <v>1191</v>
      </c>
      <c r="AQ559" s="15" t="s">
        <v>54</v>
      </c>
      <c r="AR559" s="15" t="s">
        <v>54</v>
      </c>
      <c r="AS559" s="20">
        <v>3900</v>
      </c>
      <c r="AT559" s="21">
        <v>0</v>
      </c>
      <c r="AU559" s="21">
        <f>(Tabla13[[#This Row],[Cap Vh]]*$AX$2)*0.56</f>
        <v>0</v>
      </c>
      <c r="AV559" s="36" t="e">
        <f>(Tabla13[[#This Row],[Cap Util (kg)]]/(Tabla13[[#This Row],[Cap Inst (Kg)]]))</f>
        <v>#DIV/0!</v>
      </c>
    </row>
    <row r="560" spans="1:48" x14ac:dyDescent="0.25">
      <c r="A560" s="13" t="s">
        <v>1068</v>
      </c>
      <c r="B560" s="14" t="s">
        <v>774</v>
      </c>
      <c r="C560" s="14" t="s">
        <v>749</v>
      </c>
      <c r="D560" s="14" t="s">
        <v>750</v>
      </c>
      <c r="E560" s="14" t="s">
        <v>751</v>
      </c>
      <c r="F560" s="14" t="s">
        <v>64</v>
      </c>
      <c r="G560" s="15" t="s">
        <v>182</v>
      </c>
      <c r="H560" s="13" t="s">
        <v>183</v>
      </c>
      <c r="I560" s="14" t="s">
        <v>49</v>
      </c>
      <c r="J560" s="14">
        <v>901253015</v>
      </c>
      <c r="K560" s="14" t="s">
        <v>185</v>
      </c>
      <c r="L560" s="14" t="s">
        <v>103</v>
      </c>
      <c r="M560" s="14" t="s">
        <v>104</v>
      </c>
      <c r="N560" s="14">
        <v>2021</v>
      </c>
      <c r="O560" s="14">
        <v>0</v>
      </c>
      <c r="P560" s="14" t="s">
        <v>105</v>
      </c>
      <c r="Q560" s="14">
        <v>1</v>
      </c>
      <c r="R560" s="14">
        <v>1</v>
      </c>
      <c r="S560" s="17">
        <v>44810.507245370369</v>
      </c>
      <c r="T560" s="18">
        <v>39.106999999999999</v>
      </c>
      <c r="U560" s="37">
        <v>29</v>
      </c>
      <c r="V560" s="19">
        <v>0.96666666666666667</v>
      </c>
      <c r="W560" s="14">
        <v>0</v>
      </c>
      <c r="X560" s="14">
        <v>7</v>
      </c>
      <c r="Y560" s="14">
        <v>7</v>
      </c>
      <c r="Z560" s="14">
        <v>0</v>
      </c>
      <c r="AA560" s="14">
        <f>Tabla13[[#This Row],[CheckList App]]+Tabla13[[#This Row],[CheckList Fisc]]</f>
        <v>7</v>
      </c>
      <c r="AB560" s="19">
        <f t="shared" si="8"/>
        <v>1</v>
      </c>
      <c r="AC560" s="14">
        <v>39</v>
      </c>
      <c r="AD560" s="14" t="s">
        <v>70</v>
      </c>
      <c r="AE560" s="15" t="str">
        <f>IFERROR((VLOOKUP(Tabla13[[#This Row],[ID]],[1]!Mtto_Pesv[[#Headers],[#Data],[Placa]:[Rutina]],2,FALSE)),"-")</f>
        <v>-</v>
      </c>
      <c r="AF560" s="14">
        <v>0</v>
      </c>
      <c r="AG560" s="20">
        <f>IFERROR((VLOOKUP(Tabla13[[#This Row],[ID]],[1]!Mtto_Pesv[[#Headers],[#Data],[Placa]:[Rutina]],3,FALSE)),0)</f>
        <v>0</v>
      </c>
      <c r="AH560" s="20">
        <f>IFERROR((VLOOKUP(Tabla13[[#This Row],[ID]],[1]!Mtto_Pesv[[#Headers],[#Data],[Placa]:[Rutina]],7,FALSE)),0)</f>
        <v>0</v>
      </c>
      <c r="AI560" s="20">
        <f>IFERROR((VLOOKUP(Tabla13[[#This Row],[ID]],[1]!Mtto_Pesv[[#Headers],[#Data],[Placa]:[Rutina]],8,FALSE)),0)</f>
        <v>0</v>
      </c>
      <c r="AJ560" s="20" t="str">
        <f>IFERROR((VLOOKUP(Tabla13[[#This Row],[ID]],[1]!Mtto_Pesv[[#Headers],[#Data],[Placa]:[Rutina]],9,FALSE)),"-")</f>
        <v>-</v>
      </c>
      <c r="AK560" s="20">
        <f>IFERROR((VLOOKUP(Tabla13[[#This Row],[ID]],[1]!Mtto_Pesv[[#Headers],[#Data],[Placa]:[Rutina]],10,FALSE)),0)</f>
        <v>0</v>
      </c>
      <c r="AL560" s="20">
        <f>IF(Tabla13[[#This Row],[Km Anterior]]=0,0,Tabla13[[#This Row],[Km Ejecut]]-Tabla13[[#This Row],[Km Anterior]])</f>
        <v>0</v>
      </c>
      <c r="AM560" s="20">
        <f>IFERROR((VLOOKUP(Tabla13[[#This Row],[ID]],[1]!Mtto_Pesv[[#Headers],[#Data],[Placa]:[Rutina]],4,FALSE)),0)</f>
        <v>0</v>
      </c>
      <c r="AN560" s="21">
        <f>IFERROR((VLOOKUP(Tabla13[[#This Row],[ID]],[1]!Mtto_Pesv[[#Headers],[#Data],[Placa]:[Rutina]],5,FALSE)),0)</f>
        <v>0</v>
      </c>
      <c r="AO560" s="21">
        <f>+Tabla13[[#This Row],[Km Fin]]-Tabla13[[#This Row],[Km Ini]]</f>
        <v>0</v>
      </c>
      <c r="AP560" s="20">
        <f>IFERROR((VLOOKUP(Tabla13[[#This Row],[ID]],[1]!Estilo_Conduccion[[#All],[Placa]:[Puntuacion]],15,FALSE)),0)</f>
        <v>122.9</v>
      </c>
      <c r="AQ560" s="15" t="s">
        <v>54</v>
      </c>
      <c r="AR560" s="15" t="s">
        <v>54</v>
      </c>
      <c r="AS560" s="20">
        <v>1650</v>
      </c>
      <c r="AT560" s="21">
        <v>0</v>
      </c>
      <c r="AU560" s="21">
        <f>(Tabla13[[#This Row],[Cap Vh]]*$AX$2)*0.56</f>
        <v>0</v>
      </c>
      <c r="AV560" s="36" t="e">
        <f>(Tabla13[[#This Row],[Cap Util (kg)]]/(Tabla13[[#This Row],[Cap Inst (Kg)]]))</f>
        <v>#DIV/0!</v>
      </c>
    </row>
    <row r="561" spans="1:48" x14ac:dyDescent="0.25">
      <c r="A561" s="13" t="s">
        <v>1068</v>
      </c>
      <c r="B561" s="14" t="s">
        <v>775</v>
      </c>
      <c r="C561" s="14" t="s">
        <v>749</v>
      </c>
      <c r="D561" s="14" t="s">
        <v>750</v>
      </c>
      <c r="E561" s="14" t="s">
        <v>770</v>
      </c>
      <c r="F561" s="14" t="s">
        <v>64</v>
      </c>
      <c r="G561" s="15" t="s">
        <v>182</v>
      </c>
      <c r="H561" s="13" t="s">
        <v>183</v>
      </c>
      <c r="I561" s="14" t="s">
        <v>49</v>
      </c>
      <c r="J561" s="14">
        <v>901253015</v>
      </c>
      <c r="K561" s="14" t="s">
        <v>185</v>
      </c>
      <c r="L561" s="14" t="s">
        <v>103</v>
      </c>
      <c r="M561" s="14" t="s">
        <v>104</v>
      </c>
      <c r="N561" s="14">
        <v>2021</v>
      </c>
      <c r="O561" s="14">
        <v>0</v>
      </c>
      <c r="P561" s="14" t="s">
        <v>105</v>
      </c>
      <c r="Q561" s="14">
        <v>1</v>
      </c>
      <c r="R561" s="14">
        <v>1</v>
      </c>
      <c r="S561" s="17">
        <v>44832.481678240743</v>
      </c>
      <c r="T561" s="18">
        <v>141.29600000000002</v>
      </c>
      <c r="U561" s="37">
        <v>29</v>
      </c>
      <c r="V561" s="19">
        <v>0.96666666666666667</v>
      </c>
      <c r="W561" s="14">
        <v>0</v>
      </c>
      <c r="X561" s="14">
        <v>27</v>
      </c>
      <c r="Y561" s="14">
        <v>27</v>
      </c>
      <c r="Z561" s="14">
        <v>0</v>
      </c>
      <c r="AA561" s="14">
        <f>Tabla13[[#This Row],[CheckList App]]+Tabla13[[#This Row],[CheckList Fisc]]</f>
        <v>27</v>
      </c>
      <c r="AB561" s="19">
        <f t="shared" si="8"/>
        <v>1</v>
      </c>
      <c r="AC561" s="14">
        <v>3</v>
      </c>
      <c r="AD561" s="14" t="s">
        <v>70</v>
      </c>
      <c r="AE561" s="15" t="str">
        <f>IFERROR((VLOOKUP(Tabla13[[#This Row],[ID]],[1]!Mtto_Pesv[[#Headers],[#Data],[Placa]:[Rutina]],2,FALSE)),"-")</f>
        <v>-</v>
      </c>
      <c r="AF561" s="14">
        <v>0</v>
      </c>
      <c r="AG561" s="20">
        <f>IFERROR((VLOOKUP(Tabla13[[#This Row],[ID]],[1]!Mtto_Pesv[[#Headers],[#Data],[Placa]:[Rutina]],3,FALSE)),0)</f>
        <v>0</v>
      </c>
      <c r="AH561" s="20">
        <f>IFERROR((VLOOKUP(Tabla13[[#This Row],[ID]],[1]!Mtto_Pesv[[#Headers],[#Data],[Placa]:[Rutina]],7,FALSE)),0)</f>
        <v>0</v>
      </c>
      <c r="AI561" s="20">
        <f>IFERROR((VLOOKUP(Tabla13[[#This Row],[ID]],[1]!Mtto_Pesv[[#Headers],[#Data],[Placa]:[Rutina]],8,FALSE)),0)</f>
        <v>0</v>
      </c>
      <c r="AJ561" s="20" t="str">
        <f>IFERROR((VLOOKUP(Tabla13[[#This Row],[ID]],[1]!Mtto_Pesv[[#Headers],[#Data],[Placa]:[Rutina]],9,FALSE)),"-")</f>
        <v>-</v>
      </c>
      <c r="AK561" s="20">
        <f>IFERROR((VLOOKUP(Tabla13[[#This Row],[ID]],[1]!Mtto_Pesv[[#Headers],[#Data],[Placa]:[Rutina]],10,FALSE)),0)</f>
        <v>0</v>
      </c>
      <c r="AL561" s="20">
        <f>IF(Tabla13[[#This Row],[Km Anterior]]=0,0,Tabla13[[#This Row],[Km Ejecut]]-Tabla13[[#This Row],[Km Anterior]])</f>
        <v>0</v>
      </c>
      <c r="AM561" s="20">
        <f>IFERROR((VLOOKUP(Tabla13[[#This Row],[ID]],[1]!Mtto_Pesv[[#Headers],[#Data],[Placa]:[Rutina]],4,FALSE)),0)</f>
        <v>0</v>
      </c>
      <c r="AN561" s="21">
        <f>IFERROR((VLOOKUP(Tabla13[[#This Row],[ID]],[1]!Mtto_Pesv[[#Headers],[#Data],[Placa]:[Rutina]],5,FALSE)),0)</f>
        <v>0</v>
      </c>
      <c r="AO561" s="21">
        <f>+Tabla13[[#This Row],[Km Fin]]-Tabla13[[#This Row],[Km Ini]]</f>
        <v>0</v>
      </c>
      <c r="AP561" s="20">
        <f>IFERROR((VLOOKUP(Tabla13[[#This Row],[ID]],[1]!Estilo_Conduccion[[#All],[Placa]:[Puntuacion]],15,FALSE)),0)</f>
        <v>1816.3</v>
      </c>
      <c r="AQ561" s="15" t="s">
        <v>54</v>
      </c>
      <c r="AR561" s="15" t="s">
        <v>54</v>
      </c>
      <c r="AS561" s="20">
        <v>1650</v>
      </c>
      <c r="AT561" s="21">
        <v>0</v>
      </c>
      <c r="AU561" s="21">
        <f>(Tabla13[[#This Row],[Cap Vh]]*$AX$2)*0.56</f>
        <v>0</v>
      </c>
      <c r="AV561" s="36" t="e">
        <f>(Tabla13[[#This Row],[Cap Util (kg)]]/(Tabla13[[#This Row],[Cap Inst (Kg)]]))</f>
        <v>#DIV/0!</v>
      </c>
    </row>
    <row r="562" spans="1:48" x14ac:dyDescent="0.25">
      <c r="A562" s="13" t="s">
        <v>1068</v>
      </c>
      <c r="B562" s="14" t="s">
        <v>776</v>
      </c>
      <c r="C562" s="14" t="s">
        <v>749</v>
      </c>
      <c r="D562" s="14" t="s">
        <v>750</v>
      </c>
      <c r="E562" s="14" t="s">
        <v>751</v>
      </c>
      <c r="F562" s="14" t="s">
        <v>64</v>
      </c>
      <c r="G562" s="15" t="s">
        <v>182</v>
      </c>
      <c r="H562" s="13" t="s">
        <v>183</v>
      </c>
      <c r="I562" s="14" t="s">
        <v>49</v>
      </c>
      <c r="J562" s="14">
        <v>901253015</v>
      </c>
      <c r="K562" s="14" t="s">
        <v>185</v>
      </c>
      <c r="L562" s="14" t="s">
        <v>103</v>
      </c>
      <c r="M562" s="14" t="s">
        <v>104</v>
      </c>
      <c r="N562" s="14">
        <v>2021</v>
      </c>
      <c r="O562" s="14">
        <v>0</v>
      </c>
      <c r="P562" s="14" t="s">
        <v>105</v>
      </c>
      <c r="Q562" s="14">
        <v>1</v>
      </c>
      <c r="R562" s="14">
        <v>1</v>
      </c>
      <c r="S562" s="17">
        <v>44834.335694444453</v>
      </c>
      <c r="T562" s="18">
        <v>118.886</v>
      </c>
      <c r="U562" s="37">
        <v>30</v>
      </c>
      <c r="V562" s="19">
        <v>1</v>
      </c>
      <c r="W562" s="14">
        <v>0</v>
      </c>
      <c r="X562" s="14">
        <v>24</v>
      </c>
      <c r="Y562" s="14">
        <v>24</v>
      </c>
      <c r="Z562" s="14">
        <v>0</v>
      </c>
      <c r="AA562" s="14">
        <f>Tabla13[[#This Row],[CheckList App]]+Tabla13[[#This Row],[CheckList Fisc]]</f>
        <v>24</v>
      </c>
      <c r="AB562" s="19">
        <f t="shared" si="8"/>
        <v>1</v>
      </c>
      <c r="AC562" s="14">
        <v>3</v>
      </c>
      <c r="AD562" s="14" t="s">
        <v>70</v>
      </c>
      <c r="AE562" s="15" t="str">
        <f>IFERROR((VLOOKUP(Tabla13[[#This Row],[ID]],[1]!Mtto_Pesv[[#Headers],[#Data],[Placa]:[Rutina]],2,FALSE)),"-")</f>
        <v>-</v>
      </c>
      <c r="AF562" s="14">
        <v>0</v>
      </c>
      <c r="AG562" s="20">
        <f>IFERROR((VLOOKUP(Tabla13[[#This Row],[ID]],[1]!Mtto_Pesv[[#Headers],[#Data],[Placa]:[Rutina]],3,FALSE)),0)</f>
        <v>0</v>
      </c>
      <c r="AH562" s="20">
        <f>IFERROR((VLOOKUP(Tabla13[[#This Row],[ID]],[1]!Mtto_Pesv[[#Headers],[#Data],[Placa]:[Rutina]],7,FALSE)),0)</f>
        <v>0</v>
      </c>
      <c r="AI562" s="20">
        <f>IFERROR((VLOOKUP(Tabla13[[#This Row],[ID]],[1]!Mtto_Pesv[[#Headers],[#Data],[Placa]:[Rutina]],8,FALSE)),0)</f>
        <v>0</v>
      </c>
      <c r="AJ562" s="20" t="str">
        <f>IFERROR((VLOOKUP(Tabla13[[#This Row],[ID]],[1]!Mtto_Pesv[[#Headers],[#Data],[Placa]:[Rutina]],9,FALSE)),"-")</f>
        <v>-</v>
      </c>
      <c r="AK562" s="20">
        <f>IFERROR((VLOOKUP(Tabla13[[#This Row],[ID]],[1]!Mtto_Pesv[[#Headers],[#Data],[Placa]:[Rutina]],10,FALSE)),0)</f>
        <v>0</v>
      </c>
      <c r="AL562" s="20">
        <f>IF(Tabla13[[#This Row],[Km Anterior]]=0,0,Tabla13[[#This Row],[Km Ejecut]]-Tabla13[[#This Row],[Km Anterior]])</f>
        <v>0</v>
      </c>
      <c r="AM562" s="20">
        <f>IFERROR((VLOOKUP(Tabla13[[#This Row],[ID]],[1]!Mtto_Pesv[[#Headers],[#Data],[Placa]:[Rutina]],4,FALSE)),0)</f>
        <v>0</v>
      </c>
      <c r="AN562" s="21">
        <f>IFERROR((VLOOKUP(Tabla13[[#This Row],[ID]],[1]!Mtto_Pesv[[#Headers],[#Data],[Placa]:[Rutina]],5,FALSE)),0)</f>
        <v>0</v>
      </c>
      <c r="AO562" s="21">
        <f>+Tabla13[[#This Row],[Km Fin]]-Tabla13[[#This Row],[Km Ini]]</f>
        <v>0</v>
      </c>
      <c r="AP562" s="20">
        <f>IFERROR((VLOOKUP(Tabla13[[#This Row],[ID]],[1]!Estilo_Conduccion[[#All],[Placa]:[Puntuacion]],15,FALSE)),0)</f>
        <v>217.2</v>
      </c>
      <c r="AQ562" s="15" t="s">
        <v>54</v>
      </c>
      <c r="AR562" s="15" t="s">
        <v>54</v>
      </c>
      <c r="AS562" s="20">
        <v>1650</v>
      </c>
      <c r="AT562" s="21">
        <v>0</v>
      </c>
      <c r="AU562" s="21">
        <f>(Tabla13[[#This Row],[Cap Vh]]*$AX$2)*0.56</f>
        <v>0</v>
      </c>
      <c r="AV562" s="36" t="e">
        <f>(Tabla13[[#This Row],[Cap Util (kg)]]/(Tabla13[[#This Row],[Cap Inst (Kg)]]))</f>
        <v>#DIV/0!</v>
      </c>
    </row>
    <row r="563" spans="1:48" x14ac:dyDescent="0.25">
      <c r="A563" s="13" t="s">
        <v>1068</v>
      </c>
      <c r="B563" s="14" t="s">
        <v>777</v>
      </c>
      <c r="C563" s="14" t="s">
        <v>749</v>
      </c>
      <c r="D563" s="14" t="s">
        <v>750</v>
      </c>
      <c r="E563" s="14" t="s">
        <v>763</v>
      </c>
      <c r="F563" s="14" t="s">
        <v>64</v>
      </c>
      <c r="G563" s="15" t="s">
        <v>182</v>
      </c>
      <c r="H563" s="13" t="s">
        <v>183</v>
      </c>
      <c r="I563" s="14" t="s">
        <v>49</v>
      </c>
      <c r="J563" s="14">
        <v>901253015</v>
      </c>
      <c r="K563" s="14" t="s">
        <v>185</v>
      </c>
      <c r="L563" s="14" t="s">
        <v>103</v>
      </c>
      <c r="M563" s="14" t="s">
        <v>104</v>
      </c>
      <c r="N563" s="14">
        <v>2021</v>
      </c>
      <c r="O563" s="14">
        <v>0</v>
      </c>
      <c r="P563" s="14" t="s">
        <v>105</v>
      </c>
      <c r="Q563" s="14">
        <v>1</v>
      </c>
      <c r="R563" s="14">
        <v>1</v>
      </c>
      <c r="S563" s="17">
        <v>44834.610266203701</v>
      </c>
      <c r="T563" s="18">
        <v>119.473</v>
      </c>
      <c r="U563" s="37">
        <v>29</v>
      </c>
      <c r="V563" s="19">
        <v>0.96666666666666667</v>
      </c>
      <c r="W563" s="14">
        <v>0</v>
      </c>
      <c r="X563" s="14">
        <v>23</v>
      </c>
      <c r="Y563" s="14">
        <v>23</v>
      </c>
      <c r="Z563" s="14">
        <v>0</v>
      </c>
      <c r="AA563" s="14">
        <f>Tabla13[[#This Row],[CheckList App]]+Tabla13[[#This Row],[CheckList Fisc]]</f>
        <v>23</v>
      </c>
      <c r="AB563" s="19">
        <f t="shared" si="8"/>
        <v>1</v>
      </c>
      <c r="AC563" s="14">
        <v>5</v>
      </c>
      <c r="AD563" s="14" t="s">
        <v>70</v>
      </c>
      <c r="AE563" s="15" t="str">
        <f>IFERROR((VLOOKUP(Tabla13[[#This Row],[ID]],[1]!Mtto_Pesv[[#Headers],[#Data],[Placa]:[Rutina]],2,FALSE)),"-")</f>
        <v>-</v>
      </c>
      <c r="AF563" s="14">
        <v>0</v>
      </c>
      <c r="AG563" s="20">
        <f>IFERROR((VLOOKUP(Tabla13[[#This Row],[ID]],[1]!Mtto_Pesv[[#Headers],[#Data],[Placa]:[Rutina]],3,FALSE)),0)</f>
        <v>0</v>
      </c>
      <c r="AH563" s="20">
        <f>IFERROR((VLOOKUP(Tabla13[[#This Row],[ID]],[1]!Mtto_Pesv[[#Headers],[#Data],[Placa]:[Rutina]],7,FALSE)),0)</f>
        <v>0</v>
      </c>
      <c r="AI563" s="20">
        <f>IFERROR((VLOOKUP(Tabla13[[#This Row],[ID]],[1]!Mtto_Pesv[[#Headers],[#Data],[Placa]:[Rutina]],8,FALSE)),0)</f>
        <v>0</v>
      </c>
      <c r="AJ563" s="20" t="str">
        <f>IFERROR((VLOOKUP(Tabla13[[#This Row],[ID]],[1]!Mtto_Pesv[[#Headers],[#Data],[Placa]:[Rutina]],9,FALSE)),"-")</f>
        <v>-</v>
      </c>
      <c r="AK563" s="20">
        <f>IFERROR((VLOOKUP(Tabla13[[#This Row],[ID]],[1]!Mtto_Pesv[[#Headers],[#Data],[Placa]:[Rutina]],10,FALSE)),0)</f>
        <v>0</v>
      </c>
      <c r="AL563" s="20">
        <f>IF(Tabla13[[#This Row],[Km Anterior]]=0,0,Tabla13[[#This Row],[Km Ejecut]]-Tabla13[[#This Row],[Km Anterior]])</f>
        <v>0</v>
      </c>
      <c r="AM563" s="20">
        <f>IFERROR((VLOOKUP(Tabla13[[#This Row],[ID]],[1]!Mtto_Pesv[[#Headers],[#Data],[Placa]:[Rutina]],4,FALSE)),0)</f>
        <v>0</v>
      </c>
      <c r="AN563" s="21">
        <f>IFERROR((VLOOKUP(Tabla13[[#This Row],[ID]],[1]!Mtto_Pesv[[#Headers],[#Data],[Placa]:[Rutina]],5,FALSE)),0)</f>
        <v>0</v>
      </c>
      <c r="AO563" s="21">
        <f>+Tabla13[[#This Row],[Km Fin]]-Tabla13[[#This Row],[Km Ini]]</f>
        <v>0</v>
      </c>
      <c r="AP563" s="20">
        <f>IFERROR((VLOOKUP(Tabla13[[#This Row],[ID]],[1]!Estilo_Conduccion[[#All],[Placa]:[Puntuacion]],15,FALSE)),0)</f>
        <v>358.8</v>
      </c>
      <c r="AQ563" s="15" t="s">
        <v>54</v>
      </c>
      <c r="AR563" s="15" t="s">
        <v>54</v>
      </c>
      <c r="AS563" s="20">
        <v>1650</v>
      </c>
      <c r="AT563" s="21">
        <v>0</v>
      </c>
      <c r="AU563" s="21">
        <f>(Tabla13[[#This Row],[Cap Vh]]*$AX$2)*0.56</f>
        <v>0</v>
      </c>
      <c r="AV563" s="36" t="e">
        <f>(Tabla13[[#This Row],[Cap Util (kg)]]/(Tabla13[[#This Row],[Cap Inst (Kg)]]))</f>
        <v>#DIV/0!</v>
      </c>
    </row>
    <row r="564" spans="1:48" x14ac:dyDescent="0.25">
      <c r="A564" s="13" t="s">
        <v>1068</v>
      </c>
      <c r="B564" s="14" t="s">
        <v>778</v>
      </c>
      <c r="C564" s="14" t="s">
        <v>749</v>
      </c>
      <c r="D564" s="14" t="s">
        <v>750</v>
      </c>
      <c r="E564" s="14" t="s">
        <v>751</v>
      </c>
      <c r="F564" s="14" t="s">
        <v>64</v>
      </c>
      <c r="G564" s="15" t="s">
        <v>182</v>
      </c>
      <c r="H564" s="13" t="s">
        <v>183</v>
      </c>
      <c r="I564" s="14" t="s">
        <v>184</v>
      </c>
      <c r="J564" s="14">
        <v>901253015</v>
      </c>
      <c r="K564" s="14" t="s">
        <v>185</v>
      </c>
      <c r="L564" s="14" t="s">
        <v>103</v>
      </c>
      <c r="M564" s="14" t="s">
        <v>104</v>
      </c>
      <c r="N564" s="14">
        <v>2021</v>
      </c>
      <c r="O564" s="14">
        <v>1</v>
      </c>
      <c r="P564" s="14" t="s">
        <v>105</v>
      </c>
      <c r="Q564" s="14">
        <v>1</v>
      </c>
      <c r="R564" s="14">
        <v>1</v>
      </c>
      <c r="S564" s="17">
        <v>44833.398657407408</v>
      </c>
      <c r="T564" s="18">
        <v>67.27000000000001</v>
      </c>
      <c r="U564" s="37">
        <v>30</v>
      </c>
      <c r="V564" s="19">
        <v>1</v>
      </c>
      <c r="W564" s="14">
        <v>0</v>
      </c>
      <c r="X564" s="14">
        <v>18</v>
      </c>
      <c r="Y564" s="14">
        <v>18</v>
      </c>
      <c r="Z564" s="14">
        <v>0</v>
      </c>
      <c r="AA564" s="14">
        <f>Tabla13[[#This Row],[CheckList App]]+Tabla13[[#This Row],[CheckList Fisc]]</f>
        <v>18</v>
      </c>
      <c r="AB564" s="19">
        <f t="shared" si="8"/>
        <v>1</v>
      </c>
      <c r="AC564" s="14">
        <v>0</v>
      </c>
      <c r="AD564" s="14" t="s">
        <v>70</v>
      </c>
      <c r="AE564" s="15" t="str">
        <f>IFERROR((VLOOKUP(Tabla13[[#This Row],[ID]],[1]!Mtto_Pesv[[#Headers],[#Data],[Placa]:[Rutina]],2,FALSE)),"-")</f>
        <v>-</v>
      </c>
      <c r="AF564" s="14">
        <v>0</v>
      </c>
      <c r="AG564" s="20">
        <f>IFERROR((VLOOKUP(Tabla13[[#This Row],[ID]],[1]!Mtto_Pesv[[#Headers],[#Data],[Placa]:[Rutina]],3,FALSE)),0)</f>
        <v>0</v>
      </c>
      <c r="AH564" s="20">
        <f>IFERROR((VLOOKUP(Tabla13[[#This Row],[ID]],[1]!Mtto_Pesv[[#Headers],[#Data],[Placa]:[Rutina]],7,FALSE)),0)</f>
        <v>0</v>
      </c>
      <c r="AI564" s="20">
        <f>IFERROR((VLOOKUP(Tabla13[[#This Row],[ID]],[1]!Mtto_Pesv[[#Headers],[#Data],[Placa]:[Rutina]],8,FALSE)),0)</f>
        <v>0</v>
      </c>
      <c r="AJ564" s="20" t="str">
        <f>IFERROR((VLOOKUP(Tabla13[[#This Row],[ID]],[1]!Mtto_Pesv[[#Headers],[#Data],[Placa]:[Rutina]],9,FALSE)),"-")</f>
        <v>-</v>
      </c>
      <c r="AK564" s="20">
        <f>IFERROR((VLOOKUP(Tabla13[[#This Row],[ID]],[1]!Mtto_Pesv[[#Headers],[#Data],[Placa]:[Rutina]],10,FALSE)),0)</f>
        <v>0</v>
      </c>
      <c r="AL564" s="20">
        <f>IF(Tabla13[[#This Row],[Km Anterior]]=0,0,Tabla13[[#This Row],[Km Ejecut]]-Tabla13[[#This Row],[Km Anterior]])</f>
        <v>0</v>
      </c>
      <c r="AM564" s="20">
        <f>IFERROR((VLOOKUP(Tabla13[[#This Row],[ID]],[1]!Mtto_Pesv[[#Headers],[#Data],[Placa]:[Rutina]],4,FALSE)),0)</f>
        <v>0</v>
      </c>
      <c r="AN564" s="21">
        <f>IFERROR((VLOOKUP(Tabla13[[#This Row],[ID]],[1]!Mtto_Pesv[[#Headers],[#Data],[Placa]:[Rutina]],5,FALSE)),0)</f>
        <v>0</v>
      </c>
      <c r="AO564" s="21">
        <f>+Tabla13[[#This Row],[Km Fin]]-Tabla13[[#This Row],[Km Ini]]</f>
        <v>0</v>
      </c>
      <c r="AP564" s="20">
        <f>IFERROR((VLOOKUP(Tabla13[[#This Row],[ID]],[1]!Estilo_Conduccion[[#All],[Placa]:[Puntuacion]],15,FALSE)),0)</f>
        <v>451.9</v>
      </c>
      <c r="AQ564" s="15" t="s">
        <v>54</v>
      </c>
      <c r="AR564" s="15" t="s">
        <v>54</v>
      </c>
      <c r="AS564" s="20">
        <v>1650</v>
      </c>
      <c r="AT564" s="21">
        <v>0</v>
      </c>
      <c r="AU564" s="21">
        <f>(Tabla13[[#This Row],[Cap Vh]]*$AX$2)*0.56</f>
        <v>0</v>
      </c>
      <c r="AV564" s="36" t="e">
        <f>(Tabla13[[#This Row],[Cap Util (kg)]]/(Tabla13[[#This Row],[Cap Inst (Kg)]]))</f>
        <v>#DIV/0!</v>
      </c>
    </row>
    <row r="565" spans="1:48" x14ac:dyDescent="0.25">
      <c r="A565" s="13" t="s">
        <v>1068</v>
      </c>
      <c r="B565" s="14" t="s">
        <v>779</v>
      </c>
      <c r="C565" s="14" t="s">
        <v>749</v>
      </c>
      <c r="D565" s="14" t="s">
        <v>750</v>
      </c>
      <c r="E565" s="14" t="s">
        <v>751</v>
      </c>
      <c r="F565" s="14" t="s">
        <v>64</v>
      </c>
      <c r="G565" s="15" t="s">
        <v>182</v>
      </c>
      <c r="H565" s="13" t="s">
        <v>183</v>
      </c>
      <c r="I565" s="14" t="s">
        <v>184</v>
      </c>
      <c r="J565" s="14">
        <v>901253015</v>
      </c>
      <c r="K565" s="14" t="s">
        <v>185</v>
      </c>
      <c r="L565" s="14" t="s">
        <v>186</v>
      </c>
      <c r="M565" s="14" t="s">
        <v>187</v>
      </c>
      <c r="N565" s="14">
        <v>2021</v>
      </c>
      <c r="O565" s="14">
        <v>1</v>
      </c>
      <c r="P565" s="14" t="s">
        <v>105</v>
      </c>
      <c r="Q565" s="14">
        <v>1</v>
      </c>
      <c r="R565" s="14">
        <v>1</v>
      </c>
      <c r="S565" s="17">
        <v>44824.546979166669</v>
      </c>
      <c r="T565" s="18">
        <v>26.807000000000002</v>
      </c>
      <c r="U565" s="37">
        <v>30</v>
      </c>
      <c r="V565" s="19">
        <v>1</v>
      </c>
      <c r="W565" s="14">
        <v>0</v>
      </c>
      <c r="X565" s="14">
        <v>18</v>
      </c>
      <c r="Y565" s="14">
        <v>18</v>
      </c>
      <c r="Z565" s="14">
        <v>0</v>
      </c>
      <c r="AA565" s="14">
        <f>Tabla13[[#This Row],[CheckList App]]+Tabla13[[#This Row],[CheckList Fisc]]</f>
        <v>18</v>
      </c>
      <c r="AB565" s="19">
        <f t="shared" si="8"/>
        <v>1</v>
      </c>
      <c r="AC565" s="14">
        <v>0</v>
      </c>
      <c r="AD565" s="14" t="s">
        <v>70</v>
      </c>
      <c r="AE565" s="15" t="str">
        <f>IFERROR((VLOOKUP(Tabla13[[#This Row],[ID]],[1]!Mtto_Pesv[[#Headers],[#Data],[Placa]:[Rutina]],2,FALSE)),"-")</f>
        <v>-</v>
      </c>
      <c r="AF565" s="14">
        <v>0</v>
      </c>
      <c r="AG565" s="20">
        <f>IFERROR((VLOOKUP(Tabla13[[#This Row],[ID]],[1]!Mtto_Pesv[[#Headers],[#Data],[Placa]:[Rutina]],3,FALSE)),0)</f>
        <v>0</v>
      </c>
      <c r="AH565" s="20">
        <f>IFERROR((VLOOKUP(Tabla13[[#This Row],[ID]],[1]!Mtto_Pesv[[#Headers],[#Data],[Placa]:[Rutina]],7,FALSE)),0)</f>
        <v>0</v>
      </c>
      <c r="AI565" s="20">
        <f>IFERROR((VLOOKUP(Tabla13[[#This Row],[ID]],[1]!Mtto_Pesv[[#Headers],[#Data],[Placa]:[Rutina]],8,FALSE)),0)</f>
        <v>0</v>
      </c>
      <c r="AJ565" s="20" t="str">
        <f>IFERROR((VLOOKUP(Tabla13[[#This Row],[ID]],[1]!Mtto_Pesv[[#Headers],[#Data],[Placa]:[Rutina]],9,FALSE)),"-")</f>
        <v>-</v>
      </c>
      <c r="AK565" s="20">
        <f>IFERROR((VLOOKUP(Tabla13[[#This Row],[ID]],[1]!Mtto_Pesv[[#Headers],[#Data],[Placa]:[Rutina]],10,FALSE)),0)</f>
        <v>0</v>
      </c>
      <c r="AL565" s="20">
        <f>IF(Tabla13[[#This Row],[Km Anterior]]=0,0,Tabla13[[#This Row],[Km Ejecut]]-Tabla13[[#This Row],[Km Anterior]])</f>
        <v>0</v>
      </c>
      <c r="AM565" s="20">
        <f>IFERROR((VLOOKUP(Tabla13[[#This Row],[ID]],[1]!Mtto_Pesv[[#Headers],[#Data],[Placa]:[Rutina]],4,FALSE)),0)</f>
        <v>0</v>
      </c>
      <c r="AN565" s="21">
        <f>IFERROR((VLOOKUP(Tabla13[[#This Row],[ID]],[1]!Mtto_Pesv[[#Headers],[#Data],[Placa]:[Rutina]],5,FALSE)),0)</f>
        <v>0</v>
      </c>
      <c r="AO565" s="21">
        <f>+Tabla13[[#This Row],[Km Fin]]-Tabla13[[#This Row],[Km Ini]]</f>
        <v>0</v>
      </c>
      <c r="AP565" s="20">
        <f>IFERROR((VLOOKUP(Tabla13[[#This Row],[ID]],[1]!Estilo_Conduccion[[#All],[Placa]:[Puntuacion]],15,FALSE)),0)</f>
        <v>100.4</v>
      </c>
      <c r="AQ565" s="15" t="s">
        <v>54</v>
      </c>
      <c r="AR565" s="15" t="s">
        <v>54</v>
      </c>
      <c r="AS565" s="20">
        <v>1000</v>
      </c>
      <c r="AT565" s="21">
        <v>0</v>
      </c>
      <c r="AU565" s="21">
        <f>(Tabla13[[#This Row],[Cap Vh]]*$AX$2)*0.56</f>
        <v>0</v>
      </c>
      <c r="AV565" s="36" t="e">
        <f>(Tabla13[[#This Row],[Cap Util (kg)]]/(Tabla13[[#This Row],[Cap Inst (Kg)]]))</f>
        <v>#DIV/0!</v>
      </c>
    </row>
    <row r="566" spans="1:48" x14ac:dyDescent="0.25">
      <c r="A566" s="13" t="s">
        <v>1068</v>
      </c>
      <c r="B566" s="14" t="s">
        <v>780</v>
      </c>
      <c r="C566" s="14" t="s">
        <v>749</v>
      </c>
      <c r="D566" s="14" t="s">
        <v>750</v>
      </c>
      <c r="E566" s="14" t="s">
        <v>751</v>
      </c>
      <c r="F566" s="14" t="s">
        <v>64</v>
      </c>
      <c r="G566" s="15" t="s">
        <v>182</v>
      </c>
      <c r="H566" s="13" t="s">
        <v>183</v>
      </c>
      <c r="I566" s="14" t="s">
        <v>49</v>
      </c>
      <c r="J566" s="14">
        <v>901253015</v>
      </c>
      <c r="K566" s="14" t="s">
        <v>185</v>
      </c>
      <c r="L566" s="14" t="s">
        <v>103</v>
      </c>
      <c r="M566" s="14" t="s">
        <v>153</v>
      </c>
      <c r="N566" s="14">
        <v>2021</v>
      </c>
      <c r="O566" s="14">
        <v>1</v>
      </c>
      <c r="P566" s="14" t="s">
        <v>105</v>
      </c>
      <c r="Q566" s="14">
        <v>1</v>
      </c>
      <c r="R566" s="14">
        <v>1</v>
      </c>
      <c r="S566" s="17">
        <v>44833.305150462962</v>
      </c>
      <c r="T566" s="18">
        <v>160</v>
      </c>
      <c r="U566" s="37">
        <v>30</v>
      </c>
      <c r="V566" s="19">
        <v>1</v>
      </c>
      <c r="W566" s="14">
        <v>0</v>
      </c>
      <c r="X566" s="14">
        <v>26</v>
      </c>
      <c r="Y566" s="14">
        <v>26</v>
      </c>
      <c r="Z566" s="14">
        <v>0</v>
      </c>
      <c r="AA566" s="14">
        <f>Tabla13[[#This Row],[CheckList App]]+Tabla13[[#This Row],[CheckList Fisc]]</f>
        <v>26</v>
      </c>
      <c r="AB566" s="19">
        <f t="shared" si="8"/>
        <v>1</v>
      </c>
      <c r="AC566" s="14">
        <v>55</v>
      </c>
      <c r="AD566" s="14" t="s">
        <v>70</v>
      </c>
      <c r="AE566" s="15" t="str">
        <f>IFERROR((VLOOKUP(Tabla13[[#This Row],[ID]],[1]!Mtto_Pesv[[#Headers],[#Data],[Placa]:[Rutina]],2,FALSE)),"-")</f>
        <v>-</v>
      </c>
      <c r="AF566" s="14">
        <v>0</v>
      </c>
      <c r="AG566" s="20">
        <f>IFERROR((VLOOKUP(Tabla13[[#This Row],[ID]],[1]!Mtto_Pesv[[#Headers],[#Data],[Placa]:[Rutina]],3,FALSE)),0)</f>
        <v>0</v>
      </c>
      <c r="AH566" s="20">
        <f>IFERROR((VLOOKUP(Tabla13[[#This Row],[ID]],[1]!Mtto_Pesv[[#Headers],[#Data],[Placa]:[Rutina]],7,FALSE)),0)</f>
        <v>0</v>
      </c>
      <c r="AI566" s="20">
        <f>IFERROR((VLOOKUP(Tabla13[[#This Row],[ID]],[1]!Mtto_Pesv[[#Headers],[#Data],[Placa]:[Rutina]],8,FALSE)),0)</f>
        <v>0</v>
      </c>
      <c r="AJ566" s="20" t="str">
        <f>IFERROR((VLOOKUP(Tabla13[[#This Row],[ID]],[1]!Mtto_Pesv[[#Headers],[#Data],[Placa]:[Rutina]],9,FALSE)),"-")</f>
        <v>-</v>
      </c>
      <c r="AK566" s="20">
        <f>IFERROR((VLOOKUP(Tabla13[[#This Row],[ID]],[1]!Mtto_Pesv[[#Headers],[#Data],[Placa]:[Rutina]],10,FALSE)),0)</f>
        <v>0</v>
      </c>
      <c r="AL566" s="20">
        <f>IF(Tabla13[[#This Row],[Km Anterior]]=0,0,Tabla13[[#This Row],[Km Ejecut]]-Tabla13[[#This Row],[Km Anterior]])</f>
        <v>0</v>
      </c>
      <c r="AM566" s="20">
        <f>IFERROR((VLOOKUP(Tabla13[[#This Row],[ID]],[1]!Mtto_Pesv[[#Headers],[#Data],[Placa]:[Rutina]],4,FALSE)),0)</f>
        <v>0</v>
      </c>
      <c r="AN566" s="21">
        <f>IFERROR((VLOOKUP(Tabla13[[#This Row],[ID]],[1]!Mtto_Pesv[[#Headers],[#Data],[Placa]:[Rutina]],5,FALSE)),0)</f>
        <v>0</v>
      </c>
      <c r="AO566" s="21">
        <f>+Tabla13[[#This Row],[Km Fin]]-Tabla13[[#This Row],[Km Ini]]</f>
        <v>0</v>
      </c>
      <c r="AP566" s="20">
        <f>IFERROR((VLOOKUP(Tabla13[[#This Row],[ID]],[1]!Estilo_Conduccion[[#All],[Placa]:[Puntuacion]],15,FALSE)),0)</f>
        <v>530.70000000000005</v>
      </c>
      <c r="AQ566" s="15" t="s">
        <v>54</v>
      </c>
      <c r="AR566" s="15" t="s">
        <v>54</v>
      </c>
      <c r="AS566" s="20">
        <v>3900</v>
      </c>
      <c r="AT566" s="21">
        <v>0</v>
      </c>
      <c r="AU566" s="21">
        <f>(Tabla13[[#This Row],[Cap Vh]]*$AX$2)*0.56</f>
        <v>0</v>
      </c>
      <c r="AV566" s="36" t="e">
        <f>(Tabla13[[#This Row],[Cap Util (kg)]]/(Tabla13[[#This Row],[Cap Inst (Kg)]]))</f>
        <v>#DIV/0!</v>
      </c>
    </row>
    <row r="567" spans="1:48" x14ac:dyDescent="0.25">
      <c r="A567" s="13" t="s">
        <v>1068</v>
      </c>
      <c r="B567" s="14" t="s">
        <v>781</v>
      </c>
      <c r="C567" s="14" t="s">
        <v>749</v>
      </c>
      <c r="D567" s="14" t="s">
        <v>750</v>
      </c>
      <c r="E567" s="14" t="s">
        <v>751</v>
      </c>
      <c r="F567" s="14" t="s">
        <v>64</v>
      </c>
      <c r="G567" s="15" t="s">
        <v>182</v>
      </c>
      <c r="H567" s="13" t="s">
        <v>183</v>
      </c>
      <c r="I567" s="14" t="s">
        <v>49</v>
      </c>
      <c r="J567" s="14">
        <v>901253015</v>
      </c>
      <c r="K567" s="14" t="s">
        <v>185</v>
      </c>
      <c r="L567" s="14" t="s">
        <v>103</v>
      </c>
      <c r="M567" s="14" t="s">
        <v>121</v>
      </c>
      <c r="N567" s="14">
        <v>2021</v>
      </c>
      <c r="O567" s="14">
        <v>1</v>
      </c>
      <c r="P567" s="14" t="s">
        <v>105</v>
      </c>
      <c r="Q567" s="14">
        <v>1</v>
      </c>
      <c r="R567" s="14">
        <v>1</v>
      </c>
      <c r="S567" s="17">
        <v>44834.43949074074</v>
      </c>
      <c r="T567" s="18">
        <v>140.60399999999998</v>
      </c>
      <c r="U567" s="37">
        <v>30</v>
      </c>
      <c r="V567" s="19">
        <v>1</v>
      </c>
      <c r="W567" s="14">
        <v>0</v>
      </c>
      <c r="X567" s="14">
        <v>27</v>
      </c>
      <c r="Y567" s="14">
        <v>24</v>
      </c>
      <c r="Z567" s="14">
        <v>0</v>
      </c>
      <c r="AA567" s="14">
        <f>Tabla13[[#This Row],[CheckList App]]+Tabla13[[#This Row],[CheckList Fisc]]</f>
        <v>24</v>
      </c>
      <c r="AB567" s="19">
        <f t="shared" si="8"/>
        <v>0.88888888888888884</v>
      </c>
      <c r="AC567" s="14">
        <v>111</v>
      </c>
      <c r="AD567" s="14" t="s">
        <v>70</v>
      </c>
      <c r="AE567" s="15" t="str">
        <f>IFERROR((VLOOKUP(Tabla13[[#This Row],[ID]],[1]!Mtto_Pesv[[#Headers],[#Data],[Placa]:[Rutina]],2,FALSE)),"-")</f>
        <v>-</v>
      </c>
      <c r="AF567" s="14">
        <v>0</v>
      </c>
      <c r="AG567" s="20">
        <f>IFERROR((VLOOKUP(Tabla13[[#This Row],[ID]],[1]!Mtto_Pesv[[#Headers],[#Data],[Placa]:[Rutina]],3,FALSE)),0)</f>
        <v>0</v>
      </c>
      <c r="AH567" s="20">
        <f>IFERROR((VLOOKUP(Tabla13[[#This Row],[ID]],[1]!Mtto_Pesv[[#Headers],[#Data],[Placa]:[Rutina]],7,FALSE)),0)</f>
        <v>0</v>
      </c>
      <c r="AI567" s="20">
        <f>IFERROR((VLOOKUP(Tabla13[[#This Row],[ID]],[1]!Mtto_Pesv[[#Headers],[#Data],[Placa]:[Rutina]],8,FALSE)),0)</f>
        <v>0</v>
      </c>
      <c r="AJ567" s="20" t="str">
        <f>IFERROR((VLOOKUP(Tabla13[[#This Row],[ID]],[1]!Mtto_Pesv[[#Headers],[#Data],[Placa]:[Rutina]],9,FALSE)),"-")</f>
        <v>-</v>
      </c>
      <c r="AK567" s="20">
        <f>IFERROR((VLOOKUP(Tabla13[[#This Row],[ID]],[1]!Mtto_Pesv[[#Headers],[#Data],[Placa]:[Rutina]],10,FALSE)),0)</f>
        <v>0</v>
      </c>
      <c r="AL567" s="20">
        <f>IF(Tabla13[[#This Row],[Km Anterior]]=0,0,Tabla13[[#This Row],[Km Ejecut]]-Tabla13[[#This Row],[Km Anterior]])</f>
        <v>0</v>
      </c>
      <c r="AM567" s="20">
        <f>IFERROR((VLOOKUP(Tabla13[[#This Row],[ID]],[1]!Mtto_Pesv[[#Headers],[#Data],[Placa]:[Rutina]],4,FALSE)),0)</f>
        <v>0</v>
      </c>
      <c r="AN567" s="21">
        <f>IFERROR((VLOOKUP(Tabla13[[#This Row],[ID]],[1]!Mtto_Pesv[[#Headers],[#Data],[Placa]:[Rutina]],5,FALSE)),0)</f>
        <v>0</v>
      </c>
      <c r="AO567" s="21">
        <f>+Tabla13[[#This Row],[Km Fin]]-Tabla13[[#This Row],[Km Ini]]</f>
        <v>0</v>
      </c>
      <c r="AP567" s="20">
        <f>IFERROR((VLOOKUP(Tabla13[[#This Row],[ID]],[1]!Estilo_Conduccion[[#All],[Placa]:[Puntuacion]],15,FALSE)),0)</f>
        <v>1962.5</v>
      </c>
      <c r="AQ567" s="15" t="s">
        <v>54</v>
      </c>
      <c r="AR567" s="15" t="s">
        <v>54</v>
      </c>
      <c r="AS567" s="20">
        <v>2350</v>
      </c>
      <c r="AT567" s="21">
        <v>0</v>
      </c>
      <c r="AU567" s="21">
        <f>(Tabla13[[#This Row],[Cap Vh]]*$AX$2)*0.56</f>
        <v>0</v>
      </c>
      <c r="AV567" s="36" t="e">
        <f>(Tabla13[[#This Row],[Cap Util (kg)]]/(Tabla13[[#This Row],[Cap Inst (Kg)]]))</f>
        <v>#DIV/0!</v>
      </c>
    </row>
    <row r="568" spans="1:48" x14ac:dyDescent="0.25">
      <c r="A568" s="13" t="s">
        <v>1068</v>
      </c>
      <c r="B568" s="14" t="s">
        <v>782</v>
      </c>
      <c r="C568" s="14" t="s">
        <v>749</v>
      </c>
      <c r="D568" s="14" t="s">
        <v>750</v>
      </c>
      <c r="E568" s="14" t="s">
        <v>751</v>
      </c>
      <c r="F568" s="14" t="s">
        <v>64</v>
      </c>
      <c r="G568" s="15" t="s">
        <v>182</v>
      </c>
      <c r="H568" s="13" t="s">
        <v>183</v>
      </c>
      <c r="I568" s="14" t="s">
        <v>49</v>
      </c>
      <c r="J568" s="14">
        <v>901253015</v>
      </c>
      <c r="K568" s="14" t="s">
        <v>185</v>
      </c>
      <c r="L568" s="14" t="s">
        <v>103</v>
      </c>
      <c r="M568" s="14" t="s">
        <v>121</v>
      </c>
      <c r="N568" s="14">
        <v>2021</v>
      </c>
      <c r="O568" s="14">
        <v>1</v>
      </c>
      <c r="P568" s="14" t="s">
        <v>105</v>
      </c>
      <c r="Q568" s="14">
        <v>1</v>
      </c>
      <c r="R568" s="14">
        <v>1</v>
      </c>
      <c r="S568" s="17">
        <v>44834.465324074074</v>
      </c>
      <c r="T568" s="18">
        <v>97.742000000000019</v>
      </c>
      <c r="U568" s="37">
        <v>30</v>
      </c>
      <c r="V568" s="19">
        <v>1</v>
      </c>
      <c r="W568" s="14">
        <v>0</v>
      </c>
      <c r="X568" s="14">
        <v>25</v>
      </c>
      <c r="Y568" s="14">
        <v>24</v>
      </c>
      <c r="Z568" s="14">
        <v>0</v>
      </c>
      <c r="AA568" s="14">
        <f>Tabla13[[#This Row],[CheckList App]]+Tabla13[[#This Row],[CheckList Fisc]]</f>
        <v>24</v>
      </c>
      <c r="AB568" s="19">
        <f t="shared" si="8"/>
        <v>0.96</v>
      </c>
      <c r="AC568" s="14">
        <v>11</v>
      </c>
      <c r="AD568" s="14" t="s">
        <v>70</v>
      </c>
      <c r="AE568" s="15" t="str">
        <f>IFERROR((VLOOKUP(Tabla13[[#This Row],[ID]],[1]!Mtto_Pesv[[#Headers],[#Data],[Placa]:[Rutina]],2,FALSE)),"-")</f>
        <v>-</v>
      </c>
      <c r="AF568" s="14">
        <v>0</v>
      </c>
      <c r="AG568" s="20">
        <f>IFERROR((VLOOKUP(Tabla13[[#This Row],[ID]],[1]!Mtto_Pesv[[#Headers],[#Data],[Placa]:[Rutina]],3,FALSE)),0)</f>
        <v>0</v>
      </c>
      <c r="AH568" s="20">
        <f>IFERROR((VLOOKUP(Tabla13[[#This Row],[ID]],[1]!Mtto_Pesv[[#Headers],[#Data],[Placa]:[Rutina]],7,FALSE)),0)</f>
        <v>0</v>
      </c>
      <c r="AI568" s="20">
        <f>IFERROR((VLOOKUP(Tabla13[[#This Row],[ID]],[1]!Mtto_Pesv[[#Headers],[#Data],[Placa]:[Rutina]],8,FALSE)),0)</f>
        <v>0</v>
      </c>
      <c r="AJ568" s="20" t="str">
        <f>IFERROR((VLOOKUP(Tabla13[[#This Row],[ID]],[1]!Mtto_Pesv[[#Headers],[#Data],[Placa]:[Rutina]],9,FALSE)),"-")</f>
        <v>-</v>
      </c>
      <c r="AK568" s="20">
        <f>IFERROR((VLOOKUP(Tabla13[[#This Row],[ID]],[1]!Mtto_Pesv[[#Headers],[#Data],[Placa]:[Rutina]],10,FALSE)),0)</f>
        <v>0</v>
      </c>
      <c r="AL568" s="20">
        <f>IF(Tabla13[[#This Row],[Km Anterior]]=0,0,Tabla13[[#This Row],[Km Ejecut]]-Tabla13[[#This Row],[Km Anterior]])</f>
        <v>0</v>
      </c>
      <c r="AM568" s="20">
        <f>IFERROR((VLOOKUP(Tabla13[[#This Row],[ID]],[1]!Mtto_Pesv[[#Headers],[#Data],[Placa]:[Rutina]],4,FALSE)),0)</f>
        <v>0</v>
      </c>
      <c r="AN568" s="21">
        <f>IFERROR((VLOOKUP(Tabla13[[#This Row],[ID]],[1]!Mtto_Pesv[[#Headers],[#Data],[Placa]:[Rutina]],5,FALSE)),0)</f>
        <v>0</v>
      </c>
      <c r="AO568" s="21">
        <f>+Tabla13[[#This Row],[Km Fin]]-Tabla13[[#This Row],[Km Ini]]</f>
        <v>0</v>
      </c>
      <c r="AP568" s="20">
        <f>IFERROR((VLOOKUP(Tabla13[[#This Row],[ID]],[1]!Estilo_Conduccion[[#All],[Placa]:[Puntuacion]],15,FALSE)),0)</f>
        <v>1073.2</v>
      </c>
      <c r="AQ568" s="15" t="s">
        <v>54</v>
      </c>
      <c r="AR568" s="15" t="s">
        <v>54</v>
      </c>
      <c r="AS568" s="20">
        <v>2350</v>
      </c>
      <c r="AT568" s="21">
        <v>0</v>
      </c>
      <c r="AU568" s="21">
        <f>(Tabla13[[#This Row],[Cap Vh]]*$AX$2)*0.56</f>
        <v>0</v>
      </c>
      <c r="AV568" s="36" t="e">
        <f>(Tabla13[[#This Row],[Cap Util (kg)]]/(Tabla13[[#This Row],[Cap Inst (Kg)]]))</f>
        <v>#DIV/0!</v>
      </c>
    </row>
    <row r="569" spans="1:48" x14ac:dyDescent="0.25">
      <c r="A569" s="13" t="s">
        <v>1068</v>
      </c>
      <c r="B569" s="14" t="s">
        <v>783</v>
      </c>
      <c r="C569" s="14" t="s">
        <v>749</v>
      </c>
      <c r="D569" s="14" t="s">
        <v>750</v>
      </c>
      <c r="E569" s="14" t="s">
        <v>763</v>
      </c>
      <c r="F569" s="14" t="s">
        <v>64</v>
      </c>
      <c r="G569" s="15" t="s">
        <v>182</v>
      </c>
      <c r="H569" s="13" t="s">
        <v>183</v>
      </c>
      <c r="I569" s="14" t="s">
        <v>49</v>
      </c>
      <c r="J569" s="14">
        <v>901253015</v>
      </c>
      <c r="K569" s="14" t="s">
        <v>185</v>
      </c>
      <c r="L569" s="14" t="s">
        <v>103</v>
      </c>
      <c r="M569" s="14" t="s">
        <v>121</v>
      </c>
      <c r="N569" s="14">
        <v>2021</v>
      </c>
      <c r="O569" s="14">
        <v>1</v>
      </c>
      <c r="P569" s="14" t="s">
        <v>105</v>
      </c>
      <c r="Q569" s="14">
        <v>1</v>
      </c>
      <c r="R569" s="14">
        <v>1</v>
      </c>
      <c r="S569" s="17">
        <v>44833.410185185188</v>
      </c>
      <c r="T569" s="18">
        <v>210</v>
      </c>
      <c r="U569" s="37">
        <v>29</v>
      </c>
      <c r="V569" s="19">
        <v>0.96666666666666667</v>
      </c>
      <c r="W569" s="14">
        <v>0</v>
      </c>
      <c r="X569" s="14">
        <v>24</v>
      </c>
      <c r="Y569" s="14">
        <v>20</v>
      </c>
      <c r="Z569" s="14">
        <v>0</v>
      </c>
      <c r="AA569" s="14">
        <f>Tabla13[[#This Row],[CheckList App]]+Tabla13[[#This Row],[CheckList Fisc]]</f>
        <v>20</v>
      </c>
      <c r="AB569" s="19">
        <f t="shared" si="8"/>
        <v>0.83333333333333337</v>
      </c>
      <c r="AC569" s="14">
        <v>1</v>
      </c>
      <c r="AD569" s="14" t="s">
        <v>70</v>
      </c>
      <c r="AE569" s="15" t="str">
        <f>IFERROR((VLOOKUP(Tabla13[[#This Row],[ID]],[1]!Mtto_Pesv[[#Headers],[#Data],[Placa]:[Rutina]],2,FALSE)),"-")</f>
        <v>-</v>
      </c>
      <c r="AF569" s="14">
        <v>0</v>
      </c>
      <c r="AG569" s="20">
        <f>IFERROR((VLOOKUP(Tabla13[[#This Row],[ID]],[1]!Mtto_Pesv[[#Headers],[#Data],[Placa]:[Rutina]],3,FALSE)),0)</f>
        <v>0</v>
      </c>
      <c r="AH569" s="20">
        <f>IFERROR((VLOOKUP(Tabla13[[#This Row],[ID]],[1]!Mtto_Pesv[[#Headers],[#Data],[Placa]:[Rutina]],7,FALSE)),0)</f>
        <v>0</v>
      </c>
      <c r="AI569" s="20">
        <f>IFERROR((VLOOKUP(Tabla13[[#This Row],[ID]],[1]!Mtto_Pesv[[#Headers],[#Data],[Placa]:[Rutina]],8,FALSE)),0)</f>
        <v>0</v>
      </c>
      <c r="AJ569" s="20" t="str">
        <f>IFERROR((VLOOKUP(Tabla13[[#This Row],[ID]],[1]!Mtto_Pesv[[#Headers],[#Data],[Placa]:[Rutina]],9,FALSE)),"-")</f>
        <v>-</v>
      </c>
      <c r="AK569" s="20">
        <f>IFERROR((VLOOKUP(Tabla13[[#This Row],[ID]],[1]!Mtto_Pesv[[#Headers],[#Data],[Placa]:[Rutina]],10,FALSE)),0)</f>
        <v>0</v>
      </c>
      <c r="AL569" s="20">
        <f>IF(Tabla13[[#This Row],[Km Anterior]]=0,0,Tabla13[[#This Row],[Km Ejecut]]-Tabla13[[#This Row],[Km Anterior]])</f>
        <v>0</v>
      </c>
      <c r="AM569" s="20">
        <f>IFERROR((VLOOKUP(Tabla13[[#This Row],[ID]],[1]!Mtto_Pesv[[#Headers],[#Data],[Placa]:[Rutina]],4,FALSE)),0)</f>
        <v>0</v>
      </c>
      <c r="AN569" s="21">
        <f>IFERROR((VLOOKUP(Tabla13[[#This Row],[ID]],[1]!Mtto_Pesv[[#Headers],[#Data],[Placa]:[Rutina]],5,FALSE)),0)</f>
        <v>0</v>
      </c>
      <c r="AO569" s="21">
        <f>+Tabla13[[#This Row],[Km Fin]]-Tabla13[[#This Row],[Km Ini]]</f>
        <v>0</v>
      </c>
      <c r="AP569" s="20">
        <f>IFERROR((VLOOKUP(Tabla13[[#This Row],[ID]],[1]!Estilo_Conduccion[[#All],[Placa]:[Puntuacion]],15,FALSE)),0)</f>
        <v>7598.4</v>
      </c>
      <c r="AQ569" s="15" t="s">
        <v>54</v>
      </c>
      <c r="AR569" s="15" t="s">
        <v>54</v>
      </c>
      <c r="AS569" s="20">
        <v>2350</v>
      </c>
      <c r="AT569" s="21">
        <v>0</v>
      </c>
      <c r="AU569" s="21">
        <f>(Tabla13[[#This Row],[Cap Vh]]*$AX$2)*0.56</f>
        <v>0</v>
      </c>
      <c r="AV569" s="36" t="e">
        <f>(Tabla13[[#This Row],[Cap Util (kg)]]/(Tabla13[[#This Row],[Cap Inst (Kg)]]))</f>
        <v>#DIV/0!</v>
      </c>
    </row>
    <row r="570" spans="1:48" x14ac:dyDescent="0.25">
      <c r="A570" s="13" t="s">
        <v>1068</v>
      </c>
      <c r="B570" s="14" t="s">
        <v>784</v>
      </c>
      <c r="C570" s="14" t="s">
        <v>749</v>
      </c>
      <c r="D570" s="14" t="s">
        <v>750</v>
      </c>
      <c r="E570" s="14" t="s">
        <v>751</v>
      </c>
      <c r="F570" s="14" t="s">
        <v>64</v>
      </c>
      <c r="G570" s="15" t="s">
        <v>65</v>
      </c>
      <c r="H570" s="16" t="s">
        <v>120</v>
      </c>
      <c r="I570" s="14" t="s">
        <v>49</v>
      </c>
      <c r="J570" s="14">
        <v>900335279</v>
      </c>
      <c r="K570" s="14" t="s">
        <v>77</v>
      </c>
      <c r="L570" s="14" t="s">
        <v>103</v>
      </c>
      <c r="M570" s="14" t="s">
        <v>153</v>
      </c>
      <c r="N570" s="14">
        <v>2008</v>
      </c>
      <c r="O570" s="14">
        <v>12</v>
      </c>
      <c r="P570" s="14" t="s">
        <v>173</v>
      </c>
      <c r="Q570" s="14">
        <v>0</v>
      </c>
      <c r="R570" s="14">
        <v>0</v>
      </c>
      <c r="S570" s="17" t="s">
        <v>54</v>
      </c>
      <c r="T570" s="18">
        <v>0</v>
      </c>
      <c r="U570" s="14">
        <v>30</v>
      </c>
      <c r="V570" s="19">
        <v>1</v>
      </c>
      <c r="W570" s="14">
        <v>0</v>
      </c>
      <c r="X570" s="14">
        <v>0</v>
      </c>
      <c r="Y570" s="14">
        <v>0</v>
      </c>
      <c r="Z570" s="14">
        <v>0</v>
      </c>
      <c r="AA570" s="14">
        <f>Tabla13[[#This Row],[CheckList App]]+Tabla13[[#This Row],[CheckList Fisc]]</f>
        <v>0</v>
      </c>
      <c r="AB570" s="19">
        <f t="shared" si="8"/>
        <v>0</v>
      </c>
      <c r="AC570" s="14">
        <v>0</v>
      </c>
      <c r="AD570" s="14" t="s">
        <v>55</v>
      </c>
      <c r="AE570" s="22" t="str">
        <f>IFERROR((VLOOKUP(Tabla13[[#This Row],[ID]],[1]!Mtto_Pesv[[#Headers],[#Data],[Placa]:[Rutina]],2,FALSE)),"-")</f>
        <v>-</v>
      </c>
      <c r="AF570" s="14">
        <v>0</v>
      </c>
      <c r="AG570" s="20">
        <f>IFERROR((VLOOKUP(Tabla13[[#This Row],[ID]],[1]!Mtto_Pesv[[#Headers],[#Data],[Placa]:[Rutina]],3,FALSE)),0)</f>
        <v>0</v>
      </c>
      <c r="AH570" s="20">
        <f>IFERROR((VLOOKUP(Tabla13[[#This Row],[ID]],[1]!Mtto_Pesv[[#Headers],[#Data],[Placa]:[Rutina]],7,FALSE)),0)</f>
        <v>0</v>
      </c>
      <c r="AI570" s="20">
        <f>IFERROR((VLOOKUP(Tabla13[[#This Row],[ID]],[1]!Mtto_Pesv[[#Headers],[#Data],[Placa]:[Rutina]],8,FALSE)),0)</f>
        <v>0</v>
      </c>
      <c r="AJ570" s="20" t="str">
        <f>IFERROR((VLOOKUP(Tabla13[[#This Row],[ID]],[1]!Mtto_Pesv[[#Headers],[#Data],[Placa]:[Rutina]],9,FALSE)),"-")</f>
        <v>-</v>
      </c>
      <c r="AK570" s="20">
        <f>IFERROR((VLOOKUP(Tabla13[[#This Row],[ID]],[1]!Mtto_Pesv[[#Headers],[#Data],[Placa]:[Rutina]],10,FALSE)),0)</f>
        <v>0</v>
      </c>
      <c r="AL570" s="20">
        <f>IF(Tabla13[[#This Row],[Km Anterior]]=0,0,Tabla13[[#This Row],[Km Ejecut]]-Tabla13[[#This Row],[Km Anterior]])</f>
        <v>0</v>
      </c>
      <c r="AM570" s="20">
        <f>IFERROR((VLOOKUP(Tabla13[[#This Row],[ID]],[1]!Mtto_Pesv[[#Headers],[#Data],[Placa]:[Rutina]],4,FALSE)),0)</f>
        <v>0</v>
      </c>
      <c r="AN570" s="21">
        <f>IFERROR((VLOOKUP(Tabla13[[#This Row],[ID]],[1]!Mtto_Pesv[[#Headers],[#Data],[Placa]:[Rutina]],5,FALSE)),0)</f>
        <v>0</v>
      </c>
      <c r="AO570" s="21">
        <f>+Tabla13[[#This Row],[Km Fin]]-Tabla13[[#This Row],[Km Ini]]</f>
        <v>0</v>
      </c>
      <c r="AP570" s="20">
        <f>IFERROR((VLOOKUP(Tabla13[[#This Row],[ID]],[1]!Estilo_Conduccion[[#All],[Placa]:[Puntuacion]],15,FALSE)),0)</f>
        <v>0</v>
      </c>
      <c r="AQ570" s="15" t="s">
        <v>54</v>
      </c>
      <c r="AR570" s="15" t="s">
        <v>785</v>
      </c>
      <c r="AS570" s="20">
        <v>3500</v>
      </c>
      <c r="AT570" s="21">
        <v>0</v>
      </c>
      <c r="AU570" s="21">
        <f>(Tabla13[[#This Row],[Cap Vh]]*$AX$2)*0.56</f>
        <v>0</v>
      </c>
      <c r="AV570" s="36" t="e">
        <f>(Tabla13[[#This Row],[Cap Util (kg)]]/(Tabla13[[#This Row],[Cap Inst (Kg)]]))</f>
        <v>#DIV/0!</v>
      </c>
    </row>
    <row r="571" spans="1:48" x14ac:dyDescent="0.25">
      <c r="A571" s="13" t="s">
        <v>1068</v>
      </c>
      <c r="B571" s="14" t="s">
        <v>786</v>
      </c>
      <c r="C571" s="14" t="s">
        <v>749</v>
      </c>
      <c r="D571" s="14" t="s">
        <v>750</v>
      </c>
      <c r="E571" s="14" t="s">
        <v>751</v>
      </c>
      <c r="F571" s="14" t="s">
        <v>752</v>
      </c>
      <c r="G571" s="15" t="s">
        <v>47</v>
      </c>
      <c r="H571" s="16" t="s">
        <v>48</v>
      </c>
      <c r="I571" s="14" t="s">
        <v>49</v>
      </c>
      <c r="J571" s="14">
        <v>900335279</v>
      </c>
      <c r="K571" s="14" t="s">
        <v>77</v>
      </c>
      <c r="L571" s="14" t="s">
        <v>103</v>
      </c>
      <c r="M571" s="15" t="s">
        <v>696</v>
      </c>
      <c r="N571" s="14">
        <v>2007</v>
      </c>
      <c r="O571" s="14">
        <v>13</v>
      </c>
      <c r="P571" s="14" t="s">
        <v>173</v>
      </c>
      <c r="Q571" s="14">
        <v>0</v>
      </c>
      <c r="R571" s="14">
        <v>0</v>
      </c>
      <c r="S571" s="17" t="s">
        <v>54</v>
      </c>
      <c r="T571" s="18">
        <v>0</v>
      </c>
      <c r="U571" s="14">
        <v>30</v>
      </c>
      <c r="V571" s="19">
        <v>1</v>
      </c>
      <c r="W571" s="14">
        <v>0</v>
      </c>
      <c r="X571" s="14">
        <v>0</v>
      </c>
      <c r="Y571" s="14">
        <v>0</v>
      </c>
      <c r="Z571" s="14">
        <v>0</v>
      </c>
      <c r="AA571" s="14">
        <f>Tabla13[[#This Row],[CheckList App]]+Tabla13[[#This Row],[CheckList Fisc]]</f>
        <v>0</v>
      </c>
      <c r="AB571" s="19">
        <f t="shared" si="8"/>
        <v>0</v>
      </c>
      <c r="AC571" s="14">
        <v>0</v>
      </c>
      <c r="AD571" s="14" t="s">
        <v>55</v>
      </c>
      <c r="AE571" s="15" t="str">
        <f>IFERROR((VLOOKUP(Tabla13[[#This Row],[ID]],[1]!Mtto_Pesv[[#Headers],[#Data],[Placa]:[Rutina]],2,FALSE)),"-")</f>
        <v>-</v>
      </c>
      <c r="AF571" s="14">
        <v>0</v>
      </c>
      <c r="AG571" s="20">
        <f>IFERROR((VLOOKUP(Tabla13[[#This Row],[ID]],[1]!Mtto_Pesv[[#Headers],[#Data],[Placa]:[Rutina]],3,FALSE)),0)</f>
        <v>0</v>
      </c>
      <c r="AH571" s="20">
        <f>IFERROR((VLOOKUP(Tabla13[[#This Row],[ID]],[1]!Mtto_Pesv[[#Headers],[#Data],[Placa]:[Rutina]],7,FALSE)),0)</f>
        <v>0</v>
      </c>
      <c r="AI571" s="20">
        <f>IFERROR((VLOOKUP(Tabla13[[#This Row],[ID]],[1]!Mtto_Pesv[[#Headers],[#Data],[Placa]:[Rutina]],8,FALSE)),0)</f>
        <v>0</v>
      </c>
      <c r="AJ571" s="20" t="str">
        <f>IFERROR((VLOOKUP(Tabla13[[#This Row],[ID]],[1]!Mtto_Pesv[[#Headers],[#Data],[Placa]:[Rutina]],9,FALSE)),"-")</f>
        <v>-</v>
      </c>
      <c r="AK571" s="20">
        <f>IFERROR((VLOOKUP(Tabla13[[#This Row],[ID]],[1]!Mtto_Pesv[[#Headers],[#Data],[Placa]:[Rutina]],10,FALSE)),0)</f>
        <v>0</v>
      </c>
      <c r="AL571" s="20">
        <f>IF(Tabla13[[#This Row],[Km Anterior]]=0,0,Tabla13[[#This Row],[Km Ejecut]]-Tabla13[[#This Row],[Km Anterior]])</f>
        <v>0</v>
      </c>
      <c r="AM571" s="20">
        <f>IFERROR((VLOOKUP(Tabla13[[#This Row],[ID]],[1]!Mtto_Pesv[[#Headers],[#Data],[Placa]:[Rutina]],4,FALSE)),0)</f>
        <v>0</v>
      </c>
      <c r="AN571" s="21">
        <f>IFERROR((VLOOKUP(Tabla13[[#This Row],[ID]],[1]!Mtto_Pesv[[#Headers],[#Data],[Placa]:[Rutina]],5,FALSE)),0)</f>
        <v>0</v>
      </c>
      <c r="AO571" s="21">
        <f>+Tabla13[[#This Row],[Km Fin]]-Tabla13[[#This Row],[Km Ini]]</f>
        <v>0</v>
      </c>
      <c r="AP571" s="20">
        <f>IFERROR((VLOOKUP(Tabla13[[#This Row],[ID]],[1]!Estilo_Conduccion[[#All],[Placa]:[Puntuacion]],15,FALSE)),0)</f>
        <v>0</v>
      </c>
      <c r="AQ571" s="15" t="s">
        <v>1434</v>
      </c>
      <c r="AR571" s="15" t="s">
        <v>1435</v>
      </c>
      <c r="AS571" s="20">
        <v>1545</v>
      </c>
      <c r="AT571" s="21">
        <v>9064.0714285714294</v>
      </c>
      <c r="AU571" s="21">
        <f>(Tabla13[[#This Row],[Cap Vh]]*$AX$2)*0.56</f>
        <v>0</v>
      </c>
      <c r="AV571" s="36" t="e">
        <f>(Tabla13[[#This Row],[Cap Util (kg)]]/(Tabla13[[#This Row],[Cap Inst (Kg)]]))</f>
        <v>#DIV/0!</v>
      </c>
    </row>
    <row r="572" spans="1:48" x14ac:dyDescent="0.25">
      <c r="A572" s="13" t="s">
        <v>1068</v>
      </c>
      <c r="B572" s="14" t="s">
        <v>787</v>
      </c>
      <c r="C572" s="14" t="s">
        <v>749</v>
      </c>
      <c r="D572" s="14" t="s">
        <v>750</v>
      </c>
      <c r="E572" s="14" t="s">
        <v>751</v>
      </c>
      <c r="F572" s="14" t="s">
        <v>64</v>
      </c>
      <c r="G572" s="15" t="s">
        <v>65</v>
      </c>
      <c r="H572" s="16" t="s">
        <v>120</v>
      </c>
      <c r="I572" s="14" t="s">
        <v>49</v>
      </c>
      <c r="J572" s="14">
        <v>900335279</v>
      </c>
      <c r="K572" s="14" t="s">
        <v>77</v>
      </c>
      <c r="L572" s="14" t="s">
        <v>103</v>
      </c>
      <c r="M572" s="14" t="s">
        <v>153</v>
      </c>
      <c r="N572" s="14">
        <v>2010</v>
      </c>
      <c r="O572" s="14">
        <v>10</v>
      </c>
      <c r="P572" s="14" t="s">
        <v>53</v>
      </c>
      <c r="Q572" s="14">
        <v>0</v>
      </c>
      <c r="R572" s="14">
        <v>0</v>
      </c>
      <c r="S572" s="17" t="s">
        <v>54</v>
      </c>
      <c r="T572" s="18">
        <v>0</v>
      </c>
      <c r="U572" s="14">
        <v>30</v>
      </c>
      <c r="V572" s="19">
        <v>1</v>
      </c>
      <c r="W572" s="14">
        <v>0</v>
      </c>
      <c r="X572" s="14">
        <v>0</v>
      </c>
      <c r="Y572" s="14">
        <v>0</v>
      </c>
      <c r="Z572" s="14">
        <v>0</v>
      </c>
      <c r="AA572" s="14">
        <f>Tabla13[[#This Row],[CheckList App]]+Tabla13[[#This Row],[CheckList Fisc]]</f>
        <v>0</v>
      </c>
      <c r="AB572" s="19">
        <f t="shared" si="8"/>
        <v>0</v>
      </c>
      <c r="AC572" s="14">
        <v>0</v>
      </c>
      <c r="AD572" s="14" t="s">
        <v>70</v>
      </c>
      <c r="AE572" s="22" t="str">
        <f>IFERROR((VLOOKUP(Tabla13[[#This Row],[ID]],[1]!Mtto_Pesv[[#Headers],[#Data],[Placa]:[Rutina]],2,FALSE)),"-")</f>
        <v>-</v>
      </c>
      <c r="AF572" s="14">
        <v>1</v>
      </c>
      <c r="AG572" s="20">
        <f>IFERROR((VLOOKUP(Tabla13[[#This Row],[ID]],[1]!Mtto_Pesv[[#Headers],[#Data],[Placa]:[Rutina]],3,FALSE)),0)</f>
        <v>0</v>
      </c>
      <c r="AH572" s="20">
        <f>IFERROR((VLOOKUP(Tabla13[[#This Row],[ID]],[1]!Mtto_Pesv[[#Headers],[#Data],[Placa]:[Rutina]],7,FALSE)),0)</f>
        <v>0</v>
      </c>
      <c r="AI572" s="20">
        <f>IFERROR((VLOOKUP(Tabla13[[#This Row],[ID]],[1]!Mtto_Pesv[[#Headers],[#Data],[Placa]:[Rutina]],8,FALSE)),0)</f>
        <v>0</v>
      </c>
      <c r="AJ572" s="20" t="str">
        <f>IFERROR((VLOOKUP(Tabla13[[#This Row],[ID]],[1]!Mtto_Pesv[[#Headers],[#Data],[Placa]:[Rutina]],9,FALSE)),"-")</f>
        <v>-</v>
      </c>
      <c r="AK572" s="20">
        <f>IFERROR((VLOOKUP(Tabla13[[#This Row],[ID]],[1]!Mtto_Pesv[[#Headers],[#Data],[Placa]:[Rutina]],10,FALSE)),0)</f>
        <v>0</v>
      </c>
      <c r="AL572" s="20">
        <f>IF(Tabla13[[#This Row],[Km Anterior]]=0,0,Tabla13[[#This Row],[Km Ejecut]]-Tabla13[[#This Row],[Km Anterior]])</f>
        <v>0</v>
      </c>
      <c r="AM572" s="20">
        <f>IFERROR((VLOOKUP(Tabla13[[#This Row],[ID]],[1]!Mtto_Pesv[[#Headers],[#Data],[Placa]:[Rutina]],4,FALSE)),0)</f>
        <v>0</v>
      </c>
      <c r="AN572" s="21">
        <f>IFERROR((VLOOKUP(Tabla13[[#This Row],[ID]],[1]!Mtto_Pesv[[#Headers],[#Data],[Placa]:[Rutina]],5,FALSE)),0)</f>
        <v>0</v>
      </c>
      <c r="AO572" s="21">
        <f>+Tabla13[[#This Row],[Km Fin]]-Tabla13[[#This Row],[Km Ini]]</f>
        <v>0</v>
      </c>
      <c r="AP572" s="20">
        <f>IFERROR((VLOOKUP(Tabla13[[#This Row],[ID]],[1]!Estilo_Conduccion[[#All],[Placa]:[Puntuacion]],15,FALSE)),0)</f>
        <v>0</v>
      </c>
      <c r="AQ572" s="15" t="s">
        <v>54</v>
      </c>
      <c r="AR572" s="15" t="s">
        <v>54</v>
      </c>
      <c r="AS572" s="20">
        <v>4515</v>
      </c>
      <c r="AT572" s="21">
        <v>0</v>
      </c>
      <c r="AU572" s="21">
        <f>(Tabla13[[#This Row],[Cap Vh]]*$AX$2)*0.56</f>
        <v>0</v>
      </c>
      <c r="AV572" s="36" t="e">
        <f>(Tabla13[[#This Row],[Cap Util (kg)]]/(Tabla13[[#This Row],[Cap Inst (Kg)]]))</f>
        <v>#DIV/0!</v>
      </c>
    </row>
    <row r="573" spans="1:48" x14ac:dyDescent="0.25">
      <c r="A573" s="13" t="s">
        <v>1068</v>
      </c>
      <c r="B573" s="14" t="s">
        <v>788</v>
      </c>
      <c r="C573" s="14" t="s">
        <v>749</v>
      </c>
      <c r="D573" s="14" t="s">
        <v>750</v>
      </c>
      <c r="E573" s="14" t="s">
        <v>763</v>
      </c>
      <c r="F573" s="14" t="s">
        <v>76</v>
      </c>
      <c r="G573" s="15" t="s">
        <v>89</v>
      </c>
      <c r="H573" s="16" t="s">
        <v>90</v>
      </c>
      <c r="I573" s="14" t="s">
        <v>49</v>
      </c>
      <c r="J573" s="14">
        <v>900335279</v>
      </c>
      <c r="K573" s="14" t="s">
        <v>77</v>
      </c>
      <c r="L573" s="14" t="s">
        <v>103</v>
      </c>
      <c r="M573" s="14" t="s">
        <v>121</v>
      </c>
      <c r="N573" s="14">
        <v>2011</v>
      </c>
      <c r="O573" s="14">
        <v>9</v>
      </c>
      <c r="P573" s="14" t="s">
        <v>53</v>
      </c>
      <c r="Q573" s="14">
        <v>1</v>
      </c>
      <c r="R573" s="14">
        <v>0</v>
      </c>
      <c r="S573" s="17" t="s">
        <v>54</v>
      </c>
      <c r="T573" s="18">
        <v>0</v>
      </c>
      <c r="U573" s="14">
        <v>30</v>
      </c>
      <c r="V573" s="19">
        <v>1</v>
      </c>
      <c r="W573" s="14">
        <v>0</v>
      </c>
      <c r="X573" s="14">
        <v>0</v>
      </c>
      <c r="Y573" s="14">
        <v>0</v>
      </c>
      <c r="Z573" s="14">
        <v>0</v>
      </c>
      <c r="AA573" s="14">
        <f>Tabla13[[#This Row],[CheckList App]]+Tabla13[[#This Row],[CheckList Fisc]]</f>
        <v>0</v>
      </c>
      <c r="AB573" s="19">
        <f t="shared" si="8"/>
        <v>0</v>
      </c>
      <c r="AC573" s="14">
        <v>18</v>
      </c>
      <c r="AD573" s="14" t="s">
        <v>70</v>
      </c>
      <c r="AE573" s="15" t="str">
        <f>IFERROR((VLOOKUP(Tabla13[[#This Row],[ID]],[1]!Mtto_Pesv[[#Headers],[#Data],[Placa]:[Rutina]],2,FALSE)),"-")</f>
        <v>-</v>
      </c>
      <c r="AF573" s="14">
        <v>1</v>
      </c>
      <c r="AG573" s="20">
        <f>IFERROR((VLOOKUP(Tabla13[[#This Row],[ID]],[1]!Mtto_Pesv[[#Headers],[#Data],[Placa]:[Rutina]],3,FALSE)),0)</f>
        <v>0</v>
      </c>
      <c r="AH573" s="20">
        <f>IFERROR((VLOOKUP(Tabla13[[#This Row],[ID]],[1]!Mtto_Pesv[[#Headers],[#Data],[Placa]:[Rutina]],7,FALSE)),0)</f>
        <v>0</v>
      </c>
      <c r="AI573" s="20">
        <f>IFERROR((VLOOKUP(Tabla13[[#This Row],[ID]],[1]!Mtto_Pesv[[#Headers],[#Data],[Placa]:[Rutina]],8,FALSE)),0)</f>
        <v>0</v>
      </c>
      <c r="AJ573" s="20" t="str">
        <f>IFERROR((VLOOKUP(Tabla13[[#This Row],[ID]],[1]!Mtto_Pesv[[#Headers],[#Data],[Placa]:[Rutina]],9,FALSE)),"-")</f>
        <v>-</v>
      </c>
      <c r="AK573" s="20">
        <f>IFERROR((VLOOKUP(Tabla13[[#This Row],[ID]],[1]!Mtto_Pesv[[#Headers],[#Data],[Placa]:[Rutina]],10,FALSE)),0)</f>
        <v>0</v>
      </c>
      <c r="AL573" s="20">
        <f>IF(Tabla13[[#This Row],[Km Anterior]]=0,0,Tabla13[[#This Row],[Km Ejecut]]-Tabla13[[#This Row],[Km Anterior]])</f>
        <v>0</v>
      </c>
      <c r="AM573" s="20">
        <f>IFERROR((VLOOKUP(Tabla13[[#This Row],[ID]],[1]!Mtto_Pesv[[#Headers],[#Data],[Placa]:[Rutina]],4,FALSE)),0)</f>
        <v>0</v>
      </c>
      <c r="AN573" s="21">
        <f>IFERROR((VLOOKUP(Tabla13[[#This Row],[ID]],[1]!Mtto_Pesv[[#Headers],[#Data],[Placa]:[Rutina]],5,FALSE)),0)</f>
        <v>0</v>
      </c>
      <c r="AO573" s="21">
        <f>+Tabla13[[#This Row],[Km Fin]]-Tabla13[[#This Row],[Km Ini]]</f>
        <v>0</v>
      </c>
      <c r="AP573" s="20">
        <f>IFERROR((VLOOKUP(Tabla13[[#This Row],[ID]],[1]!Estilo_Conduccion[[#All],[Placa]:[Puntuacion]],15,FALSE)),0)</f>
        <v>864.30000000000007</v>
      </c>
      <c r="AQ573" s="15" t="s">
        <v>1436</v>
      </c>
      <c r="AR573" s="15" t="s">
        <v>1437</v>
      </c>
      <c r="AS573" s="20">
        <v>2970</v>
      </c>
      <c r="AT573" s="21">
        <v>11194.5</v>
      </c>
      <c r="AU573" s="21">
        <f>(Tabla13[[#This Row],[Cap Vh]]*$AX$2)*0.56</f>
        <v>0</v>
      </c>
      <c r="AV573" s="36" t="e">
        <f>(Tabla13[[#This Row],[Cap Util (kg)]]/(Tabla13[[#This Row],[Cap Inst (Kg)]]))</f>
        <v>#DIV/0!</v>
      </c>
    </row>
    <row r="574" spans="1:48" x14ac:dyDescent="0.25">
      <c r="A574" s="13" t="s">
        <v>1068</v>
      </c>
      <c r="B574" s="14" t="s">
        <v>789</v>
      </c>
      <c r="C574" s="14" t="s">
        <v>749</v>
      </c>
      <c r="D574" s="14" t="s">
        <v>750</v>
      </c>
      <c r="E574" s="14" t="s">
        <v>773</v>
      </c>
      <c r="F574" s="14" t="s">
        <v>64</v>
      </c>
      <c r="G574" s="15" t="s">
        <v>119</v>
      </c>
      <c r="H574" s="16" t="s">
        <v>120</v>
      </c>
      <c r="I574" s="14" t="s">
        <v>49</v>
      </c>
      <c r="J574" s="14">
        <v>900335279</v>
      </c>
      <c r="K574" s="14" t="s">
        <v>77</v>
      </c>
      <c r="L574" s="14" t="s">
        <v>103</v>
      </c>
      <c r="M574" s="14" t="s">
        <v>153</v>
      </c>
      <c r="N574" s="14">
        <v>2011</v>
      </c>
      <c r="O574" s="14">
        <v>9</v>
      </c>
      <c r="P574" s="14" t="s">
        <v>53</v>
      </c>
      <c r="Q574" s="14">
        <v>1</v>
      </c>
      <c r="R574" s="14">
        <v>0</v>
      </c>
      <c r="S574" s="17" t="s">
        <v>54</v>
      </c>
      <c r="T574" s="18">
        <v>0</v>
      </c>
      <c r="U574" s="14">
        <v>1</v>
      </c>
      <c r="V574" s="19">
        <v>3.3333333333333333E-2</v>
      </c>
      <c r="W574" s="14">
        <v>0</v>
      </c>
      <c r="X574" s="14">
        <v>1</v>
      </c>
      <c r="Y574" s="14">
        <v>0</v>
      </c>
      <c r="Z574" s="14">
        <v>0</v>
      </c>
      <c r="AA574" s="14">
        <f>Tabla13[[#This Row],[CheckList App]]+Tabla13[[#This Row],[CheckList Fisc]]</f>
        <v>0</v>
      </c>
      <c r="AB574" s="19">
        <f t="shared" si="8"/>
        <v>0</v>
      </c>
      <c r="AC574" s="14">
        <v>79</v>
      </c>
      <c r="AD574" s="14" t="s">
        <v>70</v>
      </c>
      <c r="AE574" s="22" t="str">
        <f>IFERROR((VLOOKUP(Tabla13[[#This Row],[ID]],[1]!Mtto_Pesv[[#Headers],[#Data],[Placa]:[Rutina]],2,FALSE)),"-")</f>
        <v>-</v>
      </c>
      <c r="AF574" s="14">
        <v>1</v>
      </c>
      <c r="AG574" s="20">
        <f>IFERROR((VLOOKUP(Tabla13[[#This Row],[ID]],[1]!Mtto_Pesv[[#Headers],[#Data],[Placa]:[Rutina]],3,FALSE)),0)</f>
        <v>0</v>
      </c>
      <c r="AH574" s="20">
        <f>IFERROR((VLOOKUP(Tabla13[[#This Row],[ID]],[1]!Mtto_Pesv[[#Headers],[#Data],[Placa]:[Rutina]],7,FALSE)),0)</f>
        <v>0</v>
      </c>
      <c r="AI574" s="20">
        <f>IFERROR((VLOOKUP(Tabla13[[#This Row],[ID]],[1]!Mtto_Pesv[[#Headers],[#Data],[Placa]:[Rutina]],8,FALSE)),0)</f>
        <v>0</v>
      </c>
      <c r="AJ574" s="20" t="str">
        <f>IFERROR((VLOOKUP(Tabla13[[#This Row],[ID]],[1]!Mtto_Pesv[[#Headers],[#Data],[Placa]:[Rutina]],9,FALSE)),"-")</f>
        <v>-</v>
      </c>
      <c r="AK574" s="20">
        <f>IFERROR((VLOOKUP(Tabla13[[#This Row],[ID]],[1]!Mtto_Pesv[[#Headers],[#Data],[Placa]:[Rutina]],10,FALSE)),0)</f>
        <v>0</v>
      </c>
      <c r="AL574" s="20">
        <f>IF(Tabla13[[#This Row],[Km Anterior]]=0,0,Tabla13[[#This Row],[Km Ejecut]]-Tabla13[[#This Row],[Km Anterior]])</f>
        <v>0</v>
      </c>
      <c r="AM574" s="20">
        <f>IFERROR((VLOOKUP(Tabla13[[#This Row],[ID]],[1]!Mtto_Pesv[[#Headers],[#Data],[Placa]:[Rutina]],4,FALSE)),0)</f>
        <v>0</v>
      </c>
      <c r="AN574" s="21">
        <f>IFERROR((VLOOKUP(Tabla13[[#This Row],[ID]],[1]!Mtto_Pesv[[#Headers],[#Data],[Placa]:[Rutina]],5,FALSE)),0)</f>
        <v>0</v>
      </c>
      <c r="AO574" s="21">
        <f>+Tabla13[[#This Row],[Km Fin]]-Tabla13[[#This Row],[Km Ini]]</f>
        <v>0</v>
      </c>
      <c r="AP574" s="20">
        <f>IFERROR((VLOOKUP(Tabla13[[#This Row],[ID]],[1]!Estilo_Conduccion[[#All],[Placa]:[Puntuacion]],15,FALSE)),0)</f>
        <v>0</v>
      </c>
      <c r="AQ574" s="15" t="s">
        <v>54</v>
      </c>
      <c r="AR574" s="15" t="s">
        <v>54</v>
      </c>
      <c r="AS574" s="20">
        <v>4500</v>
      </c>
      <c r="AT574" s="21">
        <v>0</v>
      </c>
      <c r="AU574" s="21">
        <f>(Tabla13[[#This Row],[Cap Vh]]*$AX$2)*0.56</f>
        <v>0</v>
      </c>
      <c r="AV574" s="36" t="e">
        <f>(Tabla13[[#This Row],[Cap Util (kg)]]/(Tabla13[[#This Row],[Cap Inst (Kg)]]))</f>
        <v>#DIV/0!</v>
      </c>
    </row>
    <row r="575" spans="1:48" x14ac:dyDescent="0.25">
      <c r="A575" s="13" t="s">
        <v>1068</v>
      </c>
      <c r="B575" s="14" t="s">
        <v>790</v>
      </c>
      <c r="C575" s="14" t="s">
        <v>749</v>
      </c>
      <c r="D575" s="14" t="s">
        <v>750</v>
      </c>
      <c r="E575" s="14" t="s">
        <v>751</v>
      </c>
      <c r="F575" s="14" t="s">
        <v>752</v>
      </c>
      <c r="G575" s="15" t="s">
        <v>47</v>
      </c>
      <c r="H575" s="16" t="s">
        <v>48</v>
      </c>
      <c r="I575" s="14" t="s">
        <v>49</v>
      </c>
      <c r="J575" s="14">
        <v>900335279</v>
      </c>
      <c r="K575" s="14" t="s">
        <v>77</v>
      </c>
      <c r="L575" s="14" t="s">
        <v>405</v>
      </c>
      <c r="M575" s="14" t="s">
        <v>441</v>
      </c>
      <c r="N575" s="14">
        <v>2011</v>
      </c>
      <c r="O575" s="14">
        <v>9</v>
      </c>
      <c r="P575" s="14" t="s">
        <v>53</v>
      </c>
      <c r="Q575" s="14">
        <v>0</v>
      </c>
      <c r="R575" s="14">
        <v>0</v>
      </c>
      <c r="S575" s="17" t="s">
        <v>54</v>
      </c>
      <c r="T575" s="18">
        <v>0</v>
      </c>
      <c r="U575" s="14">
        <v>30</v>
      </c>
      <c r="V575" s="19">
        <v>1</v>
      </c>
      <c r="W575" s="14">
        <v>0</v>
      </c>
      <c r="X575" s="14">
        <v>0</v>
      </c>
      <c r="Y575" s="14">
        <v>0</v>
      </c>
      <c r="Z575" s="14">
        <v>0</v>
      </c>
      <c r="AA575" s="14">
        <f>Tabla13[[#This Row],[CheckList App]]+Tabla13[[#This Row],[CheckList Fisc]]</f>
        <v>0</v>
      </c>
      <c r="AB575" s="19">
        <f t="shared" si="8"/>
        <v>0</v>
      </c>
      <c r="AC575" s="14">
        <v>0</v>
      </c>
      <c r="AD575" s="14" t="s">
        <v>55</v>
      </c>
      <c r="AE575" s="15" t="str">
        <f>IFERROR((VLOOKUP(Tabla13[[#This Row],[ID]],[1]!Mtto_Pesv[[#Headers],[#Data],[Placa]:[Rutina]],2,FALSE)),"-")</f>
        <v>-</v>
      </c>
      <c r="AF575" s="14">
        <v>0</v>
      </c>
      <c r="AG575" s="20">
        <f>IFERROR((VLOOKUP(Tabla13[[#This Row],[ID]],[1]!Mtto_Pesv[[#Headers],[#Data],[Placa]:[Rutina]],3,FALSE)),0)</f>
        <v>0</v>
      </c>
      <c r="AH575" s="20">
        <f>IFERROR((VLOOKUP(Tabla13[[#This Row],[ID]],[1]!Mtto_Pesv[[#Headers],[#Data],[Placa]:[Rutina]],7,FALSE)),0)</f>
        <v>0</v>
      </c>
      <c r="AI575" s="20">
        <f>IFERROR((VLOOKUP(Tabla13[[#This Row],[ID]],[1]!Mtto_Pesv[[#Headers],[#Data],[Placa]:[Rutina]],8,FALSE)),0)</f>
        <v>0</v>
      </c>
      <c r="AJ575" s="20" t="str">
        <f>IFERROR((VLOOKUP(Tabla13[[#This Row],[ID]],[1]!Mtto_Pesv[[#Headers],[#Data],[Placa]:[Rutina]],9,FALSE)),"-")</f>
        <v>-</v>
      </c>
      <c r="AK575" s="20">
        <f>IFERROR((VLOOKUP(Tabla13[[#This Row],[ID]],[1]!Mtto_Pesv[[#Headers],[#Data],[Placa]:[Rutina]],10,FALSE)),0)</f>
        <v>0</v>
      </c>
      <c r="AL575" s="20">
        <f>IF(Tabla13[[#This Row],[Km Anterior]]=0,0,Tabla13[[#This Row],[Km Ejecut]]-Tabla13[[#This Row],[Km Anterior]])</f>
        <v>0</v>
      </c>
      <c r="AM575" s="20">
        <f>IFERROR((VLOOKUP(Tabla13[[#This Row],[ID]],[1]!Mtto_Pesv[[#Headers],[#Data],[Placa]:[Rutina]],4,FALSE)),0)</f>
        <v>0</v>
      </c>
      <c r="AN575" s="21">
        <f>IFERROR((VLOOKUP(Tabla13[[#This Row],[ID]],[1]!Mtto_Pesv[[#Headers],[#Data],[Placa]:[Rutina]],5,FALSE)),0)</f>
        <v>0</v>
      </c>
      <c r="AO575" s="21">
        <f>+Tabla13[[#This Row],[Km Fin]]-Tabla13[[#This Row],[Km Ini]]</f>
        <v>0</v>
      </c>
      <c r="AP575" s="20">
        <f>IFERROR((VLOOKUP(Tabla13[[#This Row],[ID]],[1]!Estilo_Conduccion[[#All],[Placa]:[Puntuacion]],15,FALSE)),0)</f>
        <v>0</v>
      </c>
      <c r="AQ575" s="15" t="s">
        <v>1434</v>
      </c>
      <c r="AR575" s="15" t="s">
        <v>1435</v>
      </c>
      <c r="AS575" s="20">
        <v>1220</v>
      </c>
      <c r="AT575" s="21">
        <v>9064.0714285714294</v>
      </c>
      <c r="AU575" s="21">
        <f>(Tabla13[[#This Row],[Cap Vh]]*$AX$2)*0.56</f>
        <v>0</v>
      </c>
      <c r="AV575" s="36" t="e">
        <f>(Tabla13[[#This Row],[Cap Util (kg)]]/(Tabla13[[#This Row],[Cap Inst (Kg)]]))</f>
        <v>#DIV/0!</v>
      </c>
    </row>
    <row r="576" spans="1:48" x14ac:dyDescent="0.25">
      <c r="A576" s="13" t="s">
        <v>1068</v>
      </c>
      <c r="B576" s="14" t="s">
        <v>791</v>
      </c>
      <c r="C576" s="14" t="s">
        <v>749</v>
      </c>
      <c r="D576" s="14" t="s">
        <v>750</v>
      </c>
      <c r="E576" s="14" t="s">
        <v>759</v>
      </c>
      <c r="F576" s="14" t="s">
        <v>752</v>
      </c>
      <c r="G576" s="15" t="s">
        <v>47</v>
      </c>
      <c r="H576" s="16" t="s">
        <v>48</v>
      </c>
      <c r="I576" s="14" t="s">
        <v>49</v>
      </c>
      <c r="J576" s="14">
        <v>890300279</v>
      </c>
      <c r="K576" s="14" t="s">
        <v>282</v>
      </c>
      <c r="L576" s="14" t="s">
        <v>103</v>
      </c>
      <c r="M576" s="14" t="s">
        <v>121</v>
      </c>
      <c r="N576" s="14">
        <v>2011</v>
      </c>
      <c r="O576" s="14">
        <v>9</v>
      </c>
      <c r="P576" s="14" t="s">
        <v>53</v>
      </c>
      <c r="Q576" s="14">
        <v>1</v>
      </c>
      <c r="R576" s="14">
        <v>0</v>
      </c>
      <c r="S576" s="17" t="s">
        <v>54</v>
      </c>
      <c r="T576" s="18">
        <v>0</v>
      </c>
      <c r="U576" s="14">
        <v>30</v>
      </c>
      <c r="V576" s="19">
        <v>1</v>
      </c>
      <c r="W576" s="14">
        <v>0</v>
      </c>
      <c r="X576" s="14">
        <v>0</v>
      </c>
      <c r="Y576" s="14">
        <v>0</v>
      </c>
      <c r="Z576" s="14">
        <v>0</v>
      </c>
      <c r="AA576" s="14">
        <f>Tabla13[[#This Row],[CheckList App]]+Tabla13[[#This Row],[CheckList Fisc]]</f>
        <v>0</v>
      </c>
      <c r="AB576" s="19">
        <f t="shared" si="8"/>
        <v>0</v>
      </c>
      <c r="AC576" s="14">
        <v>0</v>
      </c>
      <c r="AD576" s="14" t="s">
        <v>55</v>
      </c>
      <c r="AE576" s="15" t="str">
        <f>IFERROR((VLOOKUP(Tabla13[[#This Row],[ID]],[1]!Mtto_Pesv[[#Headers],[#Data],[Placa]:[Rutina]],2,FALSE)),"-")</f>
        <v>-</v>
      </c>
      <c r="AF576" s="14">
        <v>0</v>
      </c>
      <c r="AG576" s="20">
        <f>IFERROR((VLOOKUP(Tabla13[[#This Row],[ID]],[1]!Mtto_Pesv[[#Headers],[#Data],[Placa]:[Rutina]],3,FALSE)),0)</f>
        <v>0</v>
      </c>
      <c r="AH576" s="20">
        <f>IFERROR((VLOOKUP(Tabla13[[#This Row],[ID]],[1]!Mtto_Pesv[[#Headers],[#Data],[Placa]:[Rutina]],7,FALSE)),0)</f>
        <v>0</v>
      </c>
      <c r="AI576" s="20">
        <f>IFERROR((VLOOKUP(Tabla13[[#This Row],[ID]],[1]!Mtto_Pesv[[#Headers],[#Data],[Placa]:[Rutina]],8,FALSE)),0)</f>
        <v>0</v>
      </c>
      <c r="AJ576" s="20" t="str">
        <f>IFERROR((VLOOKUP(Tabla13[[#This Row],[ID]],[1]!Mtto_Pesv[[#Headers],[#Data],[Placa]:[Rutina]],9,FALSE)),"-")</f>
        <v>-</v>
      </c>
      <c r="AK576" s="20">
        <f>IFERROR((VLOOKUP(Tabla13[[#This Row],[ID]],[1]!Mtto_Pesv[[#Headers],[#Data],[Placa]:[Rutina]],10,FALSE)),0)</f>
        <v>0</v>
      </c>
      <c r="AL576" s="20">
        <f>IF(Tabla13[[#This Row],[Km Anterior]]=0,0,Tabla13[[#This Row],[Km Ejecut]]-Tabla13[[#This Row],[Km Anterior]])</f>
        <v>0</v>
      </c>
      <c r="AM576" s="20">
        <f>IFERROR((VLOOKUP(Tabla13[[#This Row],[ID]],[1]!Mtto_Pesv[[#Headers],[#Data],[Placa]:[Rutina]],4,FALSE)),0)</f>
        <v>0</v>
      </c>
      <c r="AN576" s="21">
        <f>IFERROR((VLOOKUP(Tabla13[[#This Row],[ID]],[1]!Mtto_Pesv[[#Headers],[#Data],[Placa]:[Rutina]],5,FALSE)),0)</f>
        <v>0</v>
      </c>
      <c r="AO576" s="21">
        <f>+Tabla13[[#This Row],[Km Fin]]-Tabla13[[#This Row],[Km Ini]]</f>
        <v>0</v>
      </c>
      <c r="AP576" s="20">
        <f>IFERROR((VLOOKUP(Tabla13[[#This Row],[ID]],[1]!Estilo_Conduccion[[#All],[Placa]:[Puntuacion]],15,FALSE)),0)</f>
        <v>1780.8000000000002</v>
      </c>
      <c r="AQ576" s="15" t="s">
        <v>1438</v>
      </c>
      <c r="AR576" s="15" t="s">
        <v>1439</v>
      </c>
      <c r="AS576" s="20">
        <v>2970</v>
      </c>
      <c r="AT576" s="21">
        <v>18306</v>
      </c>
      <c r="AU576" s="21">
        <f>(Tabla13[[#This Row],[Cap Vh]]*$AX$2)*0.56</f>
        <v>0</v>
      </c>
      <c r="AV576" s="36" t="e">
        <f>(Tabla13[[#This Row],[Cap Util (kg)]]/(Tabla13[[#This Row],[Cap Inst (Kg)]]))</f>
        <v>#DIV/0!</v>
      </c>
    </row>
    <row r="577" spans="1:48" x14ac:dyDescent="0.25">
      <c r="A577" s="13" t="s">
        <v>1068</v>
      </c>
      <c r="B577" s="14" t="s">
        <v>792</v>
      </c>
      <c r="C577" s="14" t="s">
        <v>749</v>
      </c>
      <c r="D577" s="14" t="s">
        <v>750</v>
      </c>
      <c r="E577" s="14" t="s">
        <v>770</v>
      </c>
      <c r="F577" s="14" t="s">
        <v>64</v>
      </c>
      <c r="G577" s="15" t="s">
        <v>119</v>
      </c>
      <c r="H577" s="16" t="s">
        <v>120</v>
      </c>
      <c r="I577" s="14" t="s">
        <v>49</v>
      </c>
      <c r="J577" s="14">
        <v>900335279</v>
      </c>
      <c r="K577" s="14" t="s">
        <v>77</v>
      </c>
      <c r="L577" s="14" t="s">
        <v>103</v>
      </c>
      <c r="M577" s="14" t="s">
        <v>104</v>
      </c>
      <c r="N577" s="14">
        <v>2011</v>
      </c>
      <c r="O577" s="14">
        <v>9</v>
      </c>
      <c r="P577" s="14" t="s">
        <v>53</v>
      </c>
      <c r="Q577" s="14">
        <v>1</v>
      </c>
      <c r="R577" s="14">
        <v>0</v>
      </c>
      <c r="S577" s="17" t="s">
        <v>54</v>
      </c>
      <c r="T577" s="18">
        <v>0</v>
      </c>
      <c r="U577" s="14">
        <v>1</v>
      </c>
      <c r="V577" s="19">
        <v>3.3333333333333333E-2</v>
      </c>
      <c r="W577" s="14">
        <v>0</v>
      </c>
      <c r="X577" s="14">
        <v>1</v>
      </c>
      <c r="Y577" s="14">
        <v>0</v>
      </c>
      <c r="Z577" s="14">
        <v>0</v>
      </c>
      <c r="AA577" s="14">
        <f>Tabla13[[#This Row],[CheckList App]]+Tabla13[[#This Row],[CheckList Fisc]]</f>
        <v>0</v>
      </c>
      <c r="AB577" s="19">
        <f t="shared" si="8"/>
        <v>0</v>
      </c>
      <c r="AC577" s="14">
        <v>58</v>
      </c>
      <c r="AD577" s="14" t="s">
        <v>70</v>
      </c>
      <c r="AE577" s="22" t="str">
        <f>IFERROR((VLOOKUP(Tabla13[[#This Row],[ID]],[1]!Mtto_Pesv[[#Headers],[#Data],[Placa]:[Rutina]],2,FALSE)),"-")</f>
        <v>-</v>
      </c>
      <c r="AF577" s="14">
        <v>1</v>
      </c>
      <c r="AG577" s="20">
        <f>IFERROR((VLOOKUP(Tabla13[[#This Row],[ID]],[1]!Mtto_Pesv[[#Headers],[#Data],[Placa]:[Rutina]],3,FALSE)),0)</f>
        <v>0</v>
      </c>
      <c r="AH577" s="20">
        <f>IFERROR((VLOOKUP(Tabla13[[#This Row],[ID]],[1]!Mtto_Pesv[[#Headers],[#Data],[Placa]:[Rutina]],7,FALSE)),0)</f>
        <v>0</v>
      </c>
      <c r="AI577" s="20">
        <f>IFERROR((VLOOKUP(Tabla13[[#This Row],[ID]],[1]!Mtto_Pesv[[#Headers],[#Data],[Placa]:[Rutina]],8,FALSE)),0)</f>
        <v>0</v>
      </c>
      <c r="AJ577" s="20" t="str">
        <f>IFERROR((VLOOKUP(Tabla13[[#This Row],[ID]],[1]!Mtto_Pesv[[#Headers],[#Data],[Placa]:[Rutina]],9,FALSE)),"-")</f>
        <v>-</v>
      </c>
      <c r="AK577" s="20">
        <f>IFERROR((VLOOKUP(Tabla13[[#This Row],[ID]],[1]!Mtto_Pesv[[#Headers],[#Data],[Placa]:[Rutina]],10,FALSE)),0)</f>
        <v>0</v>
      </c>
      <c r="AL577" s="20">
        <f>IF(Tabla13[[#This Row],[Km Anterior]]=0,0,Tabla13[[#This Row],[Km Ejecut]]-Tabla13[[#This Row],[Km Anterior]])</f>
        <v>0</v>
      </c>
      <c r="AM577" s="20">
        <f>IFERROR((VLOOKUP(Tabla13[[#This Row],[ID]],[1]!Mtto_Pesv[[#Headers],[#Data],[Placa]:[Rutina]],4,FALSE)),0)</f>
        <v>0</v>
      </c>
      <c r="AN577" s="21">
        <f>IFERROR((VLOOKUP(Tabla13[[#This Row],[ID]],[1]!Mtto_Pesv[[#Headers],[#Data],[Placa]:[Rutina]],5,FALSE)),0)</f>
        <v>0</v>
      </c>
      <c r="AO577" s="21">
        <f>+Tabla13[[#This Row],[Km Fin]]-Tabla13[[#This Row],[Km Ini]]</f>
        <v>0</v>
      </c>
      <c r="AP577" s="20">
        <f>IFERROR((VLOOKUP(Tabla13[[#This Row],[ID]],[1]!Estilo_Conduccion[[#All],[Placa]:[Puntuacion]],15,FALSE)),0)</f>
        <v>0</v>
      </c>
      <c r="AQ577" s="15" t="s">
        <v>54</v>
      </c>
      <c r="AR577" s="15" t="s">
        <v>54</v>
      </c>
      <c r="AS577" s="20">
        <v>1585</v>
      </c>
      <c r="AT577" s="21">
        <v>0</v>
      </c>
      <c r="AU577" s="21">
        <f>(Tabla13[[#This Row],[Cap Vh]]*$AX$2)*0.56</f>
        <v>0</v>
      </c>
      <c r="AV577" s="36" t="e">
        <f>(Tabla13[[#This Row],[Cap Util (kg)]]/(Tabla13[[#This Row],[Cap Inst (Kg)]]))</f>
        <v>#DIV/0!</v>
      </c>
    </row>
    <row r="578" spans="1:48" x14ac:dyDescent="0.25">
      <c r="A578" s="13" t="s">
        <v>1068</v>
      </c>
      <c r="B578" s="14" t="s">
        <v>793</v>
      </c>
      <c r="C578" s="14" t="s">
        <v>749</v>
      </c>
      <c r="D578" s="14" t="s">
        <v>750</v>
      </c>
      <c r="E578" s="14" t="s">
        <v>763</v>
      </c>
      <c r="F578" s="14" t="s">
        <v>64</v>
      </c>
      <c r="G578" s="15" t="s">
        <v>119</v>
      </c>
      <c r="H578" s="16" t="s">
        <v>120</v>
      </c>
      <c r="I578" s="14" t="s">
        <v>49</v>
      </c>
      <c r="J578" s="14">
        <v>890300279</v>
      </c>
      <c r="K578" s="14" t="s">
        <v>282</v>
      </c>
      <c r="L578" s="14" t="s">
        <v>103</v>
      </c>
      <c r="M578" s="15" t="s">
        <v>104</v>
      </c>
      <c r="N578" s="14">
        <v>2011</v>
      </c>
      <c r="O578" s="14">
        <v>9</v>
      </c>
      <c r="P578" s="14" t="s">
        <v>53</v>
      </c>
      <c r="Q578" s="14">
        <v>1</v>
      </c>
      <c r="R578" s="14">
        <v>1</v>
      </c>
      <c r="S578" s="17">
        <v>44833.3752662037</v>
      </c>
      <c r="T578" s="18">
        <v>128.34</v>
      </c>
      <c r="U578" s="14">
        <v>30</v>
      </c>
      <c r="V578" s="19">
        <v>1</v>
      </c>
      <c r="W578" s="14">
        <v>0</v>
      </c>
      <c r="X578" s="14">
        <v>24</v>
      </c>
      <c r="Y578" s="14">
        <v>23</v>
      </c>
      <c r="Z578" s="14">
        <v>0</v>
      </c>
      <c r="AA578" s="14">
        <f>Tabla13[[#This Row],[CheckList App]]+Tabla13[[#This Row],[CheckList Fisc]]</f>
        <v>23</v>
      </c>
      <c r="AB578" s="19">
        <f t="shared" ref="AB578:AB641" si="9">IF(U578=0,"",(IFERROR((AA578/X578),0)))</f>
        <v>0.95833333333333337</v>
      </c>
      <c r="AC578" s="14">
        <v>151</v>
      </c>
      <c r="AD578" s="14" t="s">
        <v>70</v>
      </c>
      <c r="AE578" s="22" t="str">
        <f>IFERROR((VLOOKUP(Tabla13[[#This Row],[ID]],[1]!Mtto_Pesv[[#Headers],[#Data],[Placa]:[Rutina]],2,FALSE)),"-")</f>
        <v>-</v>
      </c>
      <c r="AF578" s="14">
        <v>1</v>
      </c>
      <c r="AG578" s="20">
        <f>IFERROR((VLOOKUP(Tabla13[[#This Row],[ID]],[1]!Mtto_Pesv[[#Headers],[#Data],[Placa]:[Rutina]],3,FALSE)),0)</f>
        <v>0</v>
      </c>
      <c r="AH578" s="20">
        <f>IFERROR((VLOOKUP(Tabla13[[#This Row],[ID]],[1]!Mtto_Pesv[[#Headers],[#Data],[Placa]:[Rutina]],7,FALSE)),0)</f>
        <v>0</v>
      </c>
      <c r="AI578" s="20">
        <f>IFERROR((VLOOKUP(Tabla13[[#This Row],[ID]],[1]!Mtto_Pesv[[#Headers],[#Data],[Placa]:[Rutina]],8,FALSE)),0)</f>
        <v>0</v>
      </c>
      <c r="AJ578" s="20" t="str">
        <f>IFERROR((VLOOKUP(Tabla13[[#This Row],[ID]],[1]!Mtto_Pesv[[#Headers],[#Data],[Placa]:[Rutina]],9,FALSE)),"-")</f>
        <v>-</v>
      </c>
      <c r="AK578" s="20">
        <f>IFERROR((VLOOKUP(Tabla13[[#This Row],[ID]],[1]!Mtto_Pesv[[#Headers],[#Data],[Placa]:[Rutina]],10,FALSE)),0)</f>
        <v>0</v>
      </c>
      <c r="AL578" s="20">
        <f>IF(Tabla13[[#This Row],[Km Anterior]]=0,0,Tabla13[[#This Row],[Km Ejecut]]-Tabla13[[#This Row],[Km Anterior]])</f>
        <v>0</v>
      </c>
      <c r="AM578" s="20">
        <f>IFERROR((VLOOKUP(Tabla13[[#This Row],[ID]],[1]!Mtto_Pesv[[#Headers],[#Data],[Placa]:[Rutina]],4,FALSE)),0)</f>
        <v>0</v>
      </c>
      <c r="AN578" s="21">
        <f>IFERROR((VLOOKUP(Tabla13[[#This Row],[ID]],[1]!Mtto_Pesv[[#Headers],[#Data],[Placa]:[Rutina]],5,FALSE)),0)</f>
        <v>0</v>
      </c>
      <c r="AO578" s="21">
        <f>+Tabla13[[#This Row],[Km Fin]]-Tabla13[[#This Row],[Km Ini]]</f>
        <v>0</v>
      </c>
      <c r="AP578" s="20">
        <f>IFERROR((VLOOKUP(Tabla13[[#This Row],[ID]],[1]!Estilo_Conduccion[[#All],[Placa]:[Puntuacion]],15,FALSE)),0)</f>
        <v>3.1000000000000005</v>
      </c>
      <c r="AQ578" s="15" t="s">
        <v>54</v>
      </c>
      <c r="AR578" s="15" t="s">
        <v>54</v>
      </c>
      <c r="AS578" s="20">
        <v>1585</v>
      </c>
      <c r="AT578" s="21">
        <v>0</v>
      </c>
      <c r="AU578" s="21">
        <f>(Tabla13[[#This Row],[Cap Vh]]*$AX$2)*0.56</f>
        <v>0</v>
      </c>
      <c r="AV578" s="36" t="e">
        <f>(Tabla13[[#This Row],[Cap Util (kg)]]/(Tabla13[[#This Row],[Cap Inst (Kg)]]))</f>
        <v>#DIV/0!</v>
      </c>
    </row>
    <row r="579" spans="1:48" x14ac:dyDescent="0.25">
      <c r="A579" s="13" t="s">
        <v>1068</v>
      </c>
      <c r="B579" s="14" t="s">
        <v>794</v>
      </c>
      <c r="C579" s="14" t="s">
        <v>749</v>
      </c>
      <c r="D579" s="14" t="s">
        <v>750</v>
      </c>
      <c r="E579" s="14" t="s">
        <v>773</v>
      </c>
      <c r="F579" s="14" t="s">
        <v>64</v>
      </c>
      <c r="G579" s="15" t="s">
        <v>119</v>
      </c>
      <c r="H579" s="16" t="s">
        <v>120</v>
      </c>
      <c r="I579" s="14" t="s">
        <v>49</v>
      </c>
      <c r="J579" s="14">
        <v>900335279</v>
      </c>
      <c r="K579" s="14" t="s">
        <v>77</v>
      </c>
      <c r="L579" s="14" t="s">
        <v>103</v>
      </c>
      <c r="M579" s="14" t="s">
        <v>104</v>
      </c>
      <c r="N579" s="14">
        <v>2011</v>
      </c>
      <c r="O579" s="14">
        <v>9</v>
      </c>
      <c r="P579" s="14" t="s">
        <v>53</v>
      </c>
      <c r="Q579" s="14">
        <v>1</v>
      </c>
      <c r="R579" s="14">
        <v>1</v>
      </c>
      <c r="S579" s="17">
        <v>44834.325046296297</v>
      </c>
      <c r="T579" s="18">
        <v>72.146999999999991</v>
      </c>
      <c r="U579" s="14">
        <v>30</v>
      </c>
      <c r="V579" s="19">
        <v>1</v>
      </c>
      <c r="W579" s="14">
        <v>0</v>
      </c>
      <c r="X579" s="14">
        <v>16</v>
      </c>
      <c r="Y579" s="14">
        <v>16</v>
      </c>
      <c r="Z579" s="14">
        <v>0</v>
      </c>
      <c r="AA579" s="14">
        <f>Tabla13[[#This Row],[CheckList App]]+Tabla13[[#This Row],[CheckList Fisc]]</f>
        <v>16</v>
      </c>
      <c r="AB579" s="19">
        <f t="shared" si="9"/>
        <v>1</v>
      </c>
      <c r="AC579" s="14">
        <v>0</v>
      </c>
      <c r="AD579" s="14" t="s">
        <v>55</v>
      </c>
      <c r="AE579" s="22" t="str">
        <f>IFERROR((VLOOKUP(Tabla13[[#This Row],[ID]],[1]!Mtto_Pesv[[#Headers],[#Data],[Placa]:[Rutina]],2,FALSE)),"-")</f>
        <v>-</v>
      </c>
      <c r="AF579" s="14">
        <v>0</v>
      </c>
      <c r="AG579" s="20">
        <f>IFERROR((VLOOKUP(Tabla13[[#This Row],[ID]],[1]!Mtto_Pesv[[#Headers],[#Data],[Placa]:[Rutina]],3,FALSE)),0)</f>
        <v>0</v>
      </c>
      <c r="AH579" s="20">
        <f>IFERROR((VLOOKUP(Tabla13[[#This Row],[ID]],[1]!Mtto_Pesv[[#Headers],[#Data],[Placa]:[Rutina]],7,FALSE)),0)</f>
        <v>0</v>
      </c>
      <c r="AI579" s="20">
        <f>IFERROR((VLOOKUP(Tabla13[[#This Row],[ID]],[1]!Mtto_Pesv[[#Headers],[#Data],[Placa]:[Rutina]],8,FALSE)),0)</f>
        <v>0</v>
      </c>
      <c r="AJ579" s="20" t="str">
        <f>IFERROR((VLOOKUP(Tabla13[[#This Row],[ID]],[1]!Mtto_Pesv[[#Headers],[#Data],[Placa]:[Rutina]],9,FALSE)),"-")</f>
        <v>-</v>
      </c>
      <c r="AK579" s="20">
        <f>IFERROR((VLOOKUP(Tabla13[[#This Row],[ID]],[1]!Mtto_Pesv[[#Headers],[#Data],[Placa]:[Rutina]],10,FALSE)),0)</f>
        <v>0</v>
      </c>
      <c r="AL579" s="20">
        <f>IF(Tabla13[[#This Row],[Km Anterior]]=0,0,Tabla13[[#This Row],[Km Ejecut]]-Tabla13[[#This Row],[Km Anterior]])</f>
        <v>0</v>
      </c>
      <c r="AM579" s="20">
        <f>IFERROR((VLOOKUP(Tabla13[[#This Row],[ID]],[1]!Mtto_Pesv[[#Headers],[#Data],[Placa]:[Rutina]],4,FALSE)),0)</f>
        <v>0</v>
      </c>
      <c r="AN579" s="21">
        <f>IFERROR((VLOOKUP(Tabla13[[#This Row],[ID]],[1]!Mtto_Pesv[[#Headers],[#Data],[Placa]:[Rutina]],5,FALSE)),0)</f>
        <v>0</v>
      </c>
      <c r="AO579" s="21">
        <f>+Tabla13[[#This Row],[Km Fin]]-Tabla13[[#This Row],[Km Ini]]</f>
        <v>0</v>
      </c>
      <c r="AP579" s="20">
        <f>IFERROR((VLOOKUP(Tabla13[[#This Row],[ID]],[1]!Estilo_Conduccion[[#All],[Placa]:[Puntuacion]],15,FALSE)),0)</f>
        <v>198.4</v>
      </c>
      <c r="AQ579" s="15" t="s">
        <v>54</v>
      </c>
      <c r="AR579" s="15" t="s">
        <v>795</v>
      </c>
      <c r="AS579" s="20">
        <v>1585</v>
      </c>
      <c r="AT579" s="21">
        <v>0</v>
      </c>
      <c r="AU579" s="21">
        <f>(Tabla13[[#This Row],[Cap Vh]]*$AX$2)*0.56</f>
        <v>0</v>
      </c>
      <c r="AV579" s="36" t="e">
        <f>(Tabla13[[#This Row],[Cap Util (kg)]]/(Tabla13[[#This Row],[Cap Inst (Kg)]]))</f>
        <v>#DIV/0!</v>
      </c>
    </row>
    <row r="580" spans="1:48" x14ac:dyDescent="0.25">
      <c r="A580" s="13" t="s">
        <v>1068</v>
      </c>
      <c r="B580" s="14" t="s">
        <v>796</v>
      </c>
      <c r="C580" s="14" t="s">
        <v>749</v>
      </c>
      <c r="D580" s="14" t="s">
        <v>750</v>
      </c>
      <c r="E580" s="14" t="s">
        <v>773</v>
      </c>
      <c r="F580" s="14" t="s">
        <v>76</v>
      </c>
      <c r="G580" s="15" t="s">
        <v>89</v>
      </c>
      <c r="H580" s="16" t="s">
        <v>90</v>
      </c>
      <c r="I580" s="14" t="s">
        <v>49</v>
      </c>
      <c r="J580" s="14">
        <v>900335279</v>
      </c>
      <c r="K580" s="14" t="s">
        <v>77</v>
      </c>
      <c r="L580" s="14" t="s">
        <v>103</v>
      </c>
      <c r="M580" s="14" t="s">
        <v>104</v>
      </c>
      <c r="N580" s="14">
        <v>2011</v>
      </c>
      <c r="O580" s="14">
        <v>9</v>
      </c>
      <c r="P580" s="14" t="s">
        <v>53</v>
      </c>
      <c r="Q580" s="14">
        <v>1</v>
      </c>
      <c r="R580" s="14">
        <v>0</v>
      </c>
      <c r="S580" s="17" t="s">
        <v>54</v>
      </c>
      <c r="T580" s="18">
        <v>0</v>
      </c>
      <c r="U580" s="14">
        <v>30</v>
      </c>
      <c r="V580" s="19">
        <v>1</v>
      </c>
      <c r="W580" s="14">
        <v>0</v>
      </c>
      <c r="X580" s="14">
        <v>0</v>
      </c>
      <c r="Y580" s="14">
        <v>0</v>
      </c>
      <c r="Z580" s="14">
        <v>0</v>
      </c>
      <c r="AA580" s="14">
        <f>Tabla13[[#This Row],[CheckList App]]+Tabla13[[#This Row],[CheckList Fisc]]</f>
        <v>0</v>
      </c>
      <c r="AB580" s="19">
        <f t="shared" si="9"/>
        <v>0</v>
      </c>
      <c r="AC580" s="14">
        <v>0</v>
      </c>
      <c r="AD580" s="14" t="s">
        <v>70</v>
      </c>
      <c r="AE580" s="15" t="str">
        <f>IFERROR((VLOOKUP(Tabla13[[#This Row],[ID]],[1]!Mtto_Pesv[[#Headers],[#Data],[Placa]:[Rutina]],2,FALSE)),"-")</f>
        <v>-</v>
      </c>
      <c r="AF580" s="14">
        <v>1</v>
      </c>
      <c r="AG580" s="20">
        <f>IFERROR((VLOOKUP(Tabla13[[#This Row],[ID]],[1]!Mtto_Pesv[[#Headers],[#Data],[Placa]:[Rutina]],3,FALSE)),0)</f>
        <v>0</v>
      </c>
      <c r="AH580" s="20">
        <f>IFERROR((VLOOKUP(Tabla13[[#This Row],[ID]],[1]!Mtto_Pesv[[#Headers],[#Data],[Placa]:[Rutina]],7,FALSE)),0)</f>
        <v>0</v>
      </c>
      <c r="AI580" s="20">
        <f>IFERROR((VLOOKUP(Tabla13[[#This Row],[ID]],[1]!Mtto_Pesv[[#Headers],[#Data],[Placa]:[Rutina]],8,FALSE)),0)</f>
        <v>0</v>
      </c>
      <c r="AJ580" s="20" t="str">
        <f>IFERROR((VLOOKUP(Tabla13[[#This Row],[ID]],[1]!Mtto_Pesv[[#Headers],[#Data],[Placa]:[Rutina]],9,FALSE)),"-")</f>
        <v>-</v>
      </c>
      <c r="AK580" s="20">
        <f>IFERROR((VLOOKUP(Tabla13[[#This Row],[ID]],[1]!Mtto_Pesv[[#Headers],[#Data],[Placa]:[Rutina]],10,FALSE)),0)</f>
        <v>0</v>
      </c>
      <c r="AL580" s="20">
        <f>IF(Tabla13[[#This Row],[Km Anterior]]=0,0,Tabla13[[#This Row],[Km Ejecut]]-Tabla13[[#This Row],[Km Anterior]])</f>
        <v>0</v>
      </c>
      <c r="AM580" s="20">
        <f>IFERROR((VLOOKUP(Tabla13[[#This Row],[ID]],[1]!Mtto_Pesv[[#Headers],[#Data],[Placa]:[Rutina]],4,FALSE)),0)</f>
        <v>0</v>
      </c>
      <c r="AN580" s="21">
        <f>IFERROR((VLOOKUP(Tabla13[[#This Row],[ID]],[1]!Mtto_Pesv[[#Headers],[#Data],[Placa]:[Rutina]],5,FALSE)),0)</f>
        <v>0</v>
      </c>
      <c r="AO580" s="21">
        <f>+Tabla13[[#This Row],[Km Fin]]-Tabla13[[#This Row],[Km Ini]]</f>
        <v>0</v>
      </c>
      <c r="AP580" s="20">
        <f>IFERROR((VLOOKUP(Tabla13[[#This Row],[ID]],[1]!Estilo_Conduccion[[#All],[Placa]:[Puntuacion]],15,FALSE)),0)</f>
        <v>643</v>
      </c>
      <c r="AQ580" s="15" t="s">
        <v>1440</v>
      </c>
      <c r="AR580" s="15" t="s">
        <v>1441</v>
      </c>
      <c r="AS580" s="20">
        <v>1585</v>
      </c>
      <c r="AT580" s="21">
        <v>11058</v>
      </c>
      <c r="AU580" s="21">
        <f>(Tabla13[[#This Row],[Cap Vh]]*$AX$2)*0.56</f>
        <v>0</v>
      </c>
      <c r="AV580" s="36" t="e">
        <f>(Tabla13[[#This Row],[Cap Util (kg)]]/(Tabla13[[#This Row],[Cap Inst (Kg)]]))</f>
        <v>#DIV/0!</v>
      </c>
    </row>
    <row r="581" spans="1:48" x14ac:dyDescent="0.25">
      <c r="A581" s="13" t="s">
        <v>1068</v>
      </c>
      <c r="B581" s="14" t="s">
        <v>797</v>
      </c>
      <c r="C581" s="14" t="s">
        <v>749</v>
      </c>
      <c r="D581" s="14" t="s">
        <v>750</v>
      </c>
      <c r="E581" s="14" t="s">
        <v>751</v>
      </c>
      <c r="F581" s="14" t="s">
        <v>76</v>
      </c>
      <c r="G581" s="15" t="s">
        <v>89</v>
      </c>
      <c r="H581" s="16" t="s">
        <v>90</v>
      </c>
      <c r="I581" s="14" t="s">
        <v>49</v>
      </c>
      <c r="J581" s="14">
        <v>890300279</v>
      </c>
      <c r="K581" s="14" t="s">
        <v>282</v>
      </c>
      <c r="L581" s="14" t="s">
        <v>360</v>
      </c>
      <c r="M581" s="14" t="s">
        <v>361</v>
      </c>
      <c r="N581" s="14">
        <v>2012</v>
      </c>
      <c r="O581" s="14">
        <v>8</v>
      </c>
      <c r="P581" s="14" t="s">
        <v>53</v>
      </c>
      <c r="Q581" s="14">
        <v>0</v>
      </c>
      <c r="R581" s="14">
        <v>0</v>
      </c>
      <c r="S581" s="17" t="s">
        <v>54</v>
      </c>
      <c r="T581" s="18">
        <v>0</v>
      </c>
      <c r="U581" s="14">
        <v>30</v>
      </c>
      <c r="V581" s="19">
        <v>1</v>
      </c>
      <c r="W581" s="14">
        <v>0</v>
      </c>
      <c r="X581" s="14">
        <v>0</v>
      </c>
      <c r="Y581" s="14">
        <v>0</v>
      </c>
      <c r="Z581" s="14">
        <v>0</v>
      </c>
      <c r="AA581" s="14">
        <f>Tabla13[[#This Row],[CheckList App]]+Tabla13[[#This Row],[CheckList Fisc]]</f>
        <v>0</v>
      </c>
      <c r="AB581" s="19">
        <f t="shared" si="9"/>
        <v>0</v>
      </c>
      <c r="AC581" s="14">
        <v>0</v>
      </c>
      <c r="AD581" s="14" t="s">
        <v>55</v>
      </c>
      <c r="AE581" s="15" t="str">
        <f>IFERROR((VLOOKUP(Tabla13[[#This Row],[ID]],[1]!Mtto_Pesv[[#Headers],[#Data],[Placa]:[Rutina]],2,FALSE)),"-")</f>
        <v>-</v>
      </c>
      <c r="AF581" s="14">
        <v>0</v>
      </c>
      <c r="AG581" s="20">
        <f>IFERROR((VLOOKUP(Tabla13[[#This Row],[ID]],[1]!Mtto_Pesv[[#Headers],[#Data],[Placa]:[Rutina]],3,FALSE)),0)</f>
        <v>0</v>
      </c>
      <c r="AH581" s="20">
        <f>IFERROR((VLOOKUP(Tabla13[[#This Row],[ID]],[1]!Mtto_Pesv[[#Headers],[#Data],[Placa]:[Rutina]],7,FALSE)),0)</f>
        <v>0</v>
      </c>
      <c r="AI581" s="20">
        <f>IFERROR((VLOOKUP(Tabla13[[#This Row],[ID]],[1]!Mtto_Pesv[[#Headers],[#Data],[Placa]:[Rutina]],8,FALSE)),0)</f>
        <v>0</v>
      </c>
      <c r="AJ581" s="20" t="str">
        <f>IFERROR((VLOOKUP(Tabla13[[#This Row],[ID]],[1]!Mtto_Pesv[[#Headers],[#Data],[Placa]:[Rutina]],9,FALSE)),"-")</f>
        <v>-</v>
      </c>
      <c r="AK581" s="20">
        <f>IFERROR((VLOOKUP(Tabla13[[#This Row],[ID]],[1]!Mtto_Pesv[[#Headers],[#Data],[Placa]:[Rutina]],10,FALSE)),0)</f>
        <v>0</v>
      </c>
      <c r="AL581" s="20">
        <f>IF(Tabla13[[#This Row],[Km Anterior]]=0,0,Tabla13[[#This Row],[Km Ejecut]]-Tabla13[[#This Row],[Km Anterior]])</f>
        <v>0</v>
      </c>
      <c r="AM581" s="20">
        <f>IFERROR((VLOOKUP(Tabla13[[#This Row],[ID]],[1]!Mtto_Pesv[[#Headers],[#Data],[Placa]:[Rutina]],4,FALSE)),0)</f>
        <v>0</v>
      </c>
      <c r="AN581" s="21">
        <f>IFERROR((VLOOKUP(Tabla13[[#This Row],[ID]],[1]!Mtto_Pesv[[#Headers],[#Data],[Placa]:[Rutina]],5,FALSE)),0)</f>
        <v>0</v>
      </c>
      <c r="AO581" s="21">
        <f>+Tabla13[[#This Row],[Km Fin]]-Tabla13[[#This Row],[Km Ini]]</f>
        <v>0</v>
      </c>
      <c r="AP581" s="20">
        <f>IFERROR((VLOOKUP(Tabla13[[#This Row],[ID]],[1]!Estilo_Conduccion[[#All],[Placa]:[Puntuacion]],15,FALSE)),0)</f>
        <v>0</v>
      </c>
      <c r="AQ581" s="15" t="s">
        <v>1434</v>
      </c>
      <c r="AR581" s="15" t="s">
        <v>1435</v>
      </c>
      <c r="AS581" s="20">
        <v>700</v>
      </c>
      <c r="AT581" s="21">
        <v>9064.0714285714294</v>
      </c>
      <c r="AU581" s="21">
        <f>(Tabla13[[#This Row],[Cap Vh]]*$AX$2)*0.56</f>
        <v>0</v>
      </c>
      <c r="AV581" s="36" t="e">
        <f>(Tabla13[[#This Row],[Cap Util (kg)]]/(Tabla13[[#This Row],[Cap Inst (Kg)]]))</f>
        <v>#DIV/0!</v>
      </c>
    </row>
    <row r="582" spans="1:48" x14ac:dyDescent="0.25">
      <c r="A582" s="13" t="s">
        <v>1068</v>
      </c>
      <c r="B582" s="14" t="s">
        <v>798</v>
      </c>
      <c r="C582" s="14" t="s">
        <v>749</v>
      </c>
      <c r="D582" s="14" t="s">
        <v>750</v>
      </c>
      <c r="E582" s="14" t="s">
        <v>763</v>
      </c>
      <c r="F582" s="14" t="s">
        <v>752</v>
      </c>
      <c r="G582" s="14" t="s">
        <v>128</v>
      </c>
      <c r="H582" s="16" t="s">
        <v>129</v>
      </c>
      <c r="I582" s="14" t="s">
        <v>49</v>
      </c>
      <c r="J582" s="14">
        <v>900335279</v>
      </c>
      <c r="K582" s="14" t="s">
        <v>77</v>
      </c>
      <c r="L582" s="14" t="s">
        <v>103</v>
      </c>
      <c r="M582" s="14" t="s">
        <v>104</v>
      </c>
      <c r="N582" s="14">
        <v>2012</v>
      </c>
      <c r="O582" s="14">
        <v>8</v>
      </c>
      <c r="P582" s="14" t="s">
        <v>53</v>
      </c>
      <c r="Q582" s="14">
        <v>0</v>
      </c>
      <c r="R582" s="14">
        <v>0</v>
      </c>
      <c r="S582" s="17" t="s">
        <v>54</v>
      </c>
      <c r="T582" s="18">
        <v>0</v>
      </c>
      <c r="U582" s="14">
        <v>30</v>
      </c>
      <c r="V582" s="19">
        <v>1</v>
      </c>
      <c r="W582" s="14">
        <v>0</v>
      </c>
      <c r="X582" s="14">
        <v>0</v>
      </c>
      <c r="Y582" s="14">
        <v>0</v>
      </c>
      <c r="Z582" s="14">
        <v>0</v>
      </c>
      <c r="AA582" s="14">
        <f>Tabla13[[#This Row],[CheckList App]]+Tabla13[[#This Row],[CheckList Fisc]]</f>
        <v>0</v>
      </c>
      <c r="AB582" s="19">
        <f t="shared" si="9"/>
        <v>0</v>
      </c>
      <c r="AC582" s="14">
        <v>0</v>
      </c>
      <c r="AD582" s="14" t="s">
        <v>70</v>
      </c>
      <c r="AE582" s="15" t="str">
        <f>IFERROR((VLOOKUP(Tabla13[[#This Row],[ID]],[1]!Mtto_Pesv[[#Headers],[#Data],[Placa]:[Rutina]],2,FALSE)),"-")</f>
        <v>-</v>
      </c>
      <c r="AF582" s="14">
        <v>1</v>
      </c>
      <c r="AG582" s="20">
        <f>IFERROR((VLOOKUP(Tabla13[[#This Row],[ID]],[1]!Mtto_Pesv[[#Headers],[#Data],[Placa]:[Rutina]],3,FALSE)),0)</f>
        <v>0</v>
      </c>
      <c r="AH582" s="20">
        <f>IFERROR((VLOOKUP(Tabla13[[#This Row],[ID]],[1]!Mtto_Pesv[[#Headers],[#Data],[Placa]:[Rutina]],7,FALSE)),0)</f>
        <v>0</v>
      </c>
      <c r="AI582" s="20">
        <f>IFERROR((VLOOKUP(Tabla13[[#This Row],[ID]],[1]!Mtto_Pesv[[#Headers],[#Data],[Placa]:[Rutina]],8,FALSE)),0)</f>
        <v>0</v>
      </c>
      <c r="AJ582" s="20" t="str">
        <f>IFERROR((VLOOKUP(Tabla13[[#This Row],[ID]],[1]!Mtto_Pesv[[#Headers],[#Data],[Placa]:[Rutina]],9,FALSE)),"-")</f>
        <v>-</v>
      </c>
      <c r="AK582" s="20">
        <f>IFERROR((VLOOKUP(Tabla13[[#This Row],[ID]],[1]!Mtto_Pesv[[#Headers],[#Data],[Placa]:[Rutina]],10,FALSE)),0)</f>
        <v>0</v>
      </c>
      <c r="AL582" s="20">
        <f>IF(Tabla13[[#This Row],[Km Anterior]]=0,0,Tabla13[[#This Row],[Km Ejecut]]-Tabla13[[#This Row],[Km Anterior]])</f>
        <v>0</v>
      </c>
      <c r="AM582" s="20">
        <f>IFERROR((VLOOKUP(Tabla13[[#This Row],[ID]],[1]!Mtto_Pesv[[#Headers],[#Data],[Placa]:[Rutina]],4,FALSE)),0)</f>
        <v>0</v>
      </c>
      <c r="AN582" s="21">
        <f>IFERROR((VLOOKUP(Tabla13[[#This Row],[ID]],[1]!Mtto_Pesv[[#Headers],[#Data],[Placa]:[Rutina]],5,FALSE)),0)</f>
        <v>0</v>
      </c>
      <c r="AO582" s="21">
        <f>+Tabla13[[#This Row],[Km Fin]]-Tabla13[[#This Row],[Km Ini]]</f>
        <v>0</v>
      </c>
      <c r="AP582" s="20">
        <f>IFERROR((VLOOKUP(Tabla13[[#This Row],[ID]],[1]!Estilo_Conduccion[[#All],[Placa]:[Puntuacion]],15,FALSE)),0)</f>
        <v>0</v>
      </c>
      <c r="AQ582" s="15" t="s">
        <v>1430</v>
      </c>
      <c r="AR582" s="15" t="s">
        <v>1431</v>
      </c>
      <c r="AS582" s="20">
        <v>1575</v>
      </c>
      <c r="AT582" s="21">
        <v>16002</v>
      </c>
      <c r="AU582" s="21">
        <f>(Tabla13[[#This Row],[Cap Vh]]*$AX$2)*0.56</f>
        <v>0</v>
      </c>
      <c r="AV582" s="36" t="e">
        <f>(Tabla13[[#This Row],[Cap Util (kg)]]/(Tabla13[[#This Row],[Cap Inst (Kg)]]))</f>
        <v>#DIV/0!</v>
      </c>
    </row>
    <row r="583" spans="1:48" x14ac:dyDescent="0.25">
      <c r="A583" s="13" t="s">
        <v>1068</v>
      </c>
      <c r="B583" s="14" t="s">
        <v>799</v>
      </c>
      <c r="C583" s="14" t="s">
        <v>749</v>
      </c>
      <c r="D583" s="14" t="s">
        <v>750</v>
      </c>
      <c r="E583" s="14" t="s">
        <v>751</v>
      </c>
      <c r="F583" s="14" t="s">
        <v>752</v>
      </c>
      <c r="G583" s="15" t="s">
        <v>47</v>
      </c>
      <c r="H583" s="16" t="s">
        <v>48</v>
      </c>
      <c r="I583" s="14" t="s">
        <v>49</v>
      </c>
      <c r="J583" s="14">
        <v>900335279</v>
      </c>
      <c r="K583" s="14" t="s">
        <v>77</v>
      </c>
      <c r="L583" s="14" t="s">
        <v>103</v>
      </c>
      <c r="M583" s="14" t="s">
        <v>121</v>
      </c>
      <c r="N583" s="14">
        <v>2012</v>
      </c>
      <c r="O583" s="14">
        <v>8</v>
      </c>
      <c r="P583" s="14" t="s">
        <v>53</v>
      </c>
      <c r="Q583" s="14">
        <v>0</v>
      </c>
      <c r="R583" s="14">
        <v>0</v>
      </c>
      <c r="S583" s="17" t="s">
        <v>54</v>
      </c>
      <c r="T583" s="18">
        <v>0</v>
      </c>
      <c r="U583" s="14">
        <v>30</v>
      </c>
      <c r="V583" s="19">
        <v>1</v>
      </c>
      <c r="W583" s="14">
        <v>0</v>
      </c>
      <c r="X583" s="14">
        <v>0</v>
      </c>
      <c r="Y583" s="14">
        <v>0</v>
      </c>
      <c r="Z583" s="14">
        <v>0</v>
      </c>
      <c r="AA583" s="14">
        <f>Tabla13[[#This Row],[CheckList App]]+Tabla13[[#This Row],[CheckList Fisc]]</f>
        <v>0</v>
      </c>
      <c r="AB583" s="19">
        <f t="shared" si="9"/>
        <v>0</v>
      </c>
      <c r="AC583" s="14">
        <v>0</v>
      </c>
      <c r="AD583" s="14" t="s">
        <v>55</v>
      </c>
      <c r="AE583" s="15" t="str">
        <f>IFERROR((VLOOKUP(Tabla13[[#This Row],[ID]],[1]!Mtto_Pesv[[#Headers],[#Data],[Placa]:[Rutina]],2,FALSE)),"-")</f>
        <v>-</v>
      </c>
      <c r="AF583" s="14">
        <v>0</v>
      </c>
      <c r="AG583" s="20">
        <f>IFERROR((VLOOKUP(Tabla13[[#This Row],[ID]],[1]!Mtto_Pesv[[#Headers],[#Data],[Placa]:[Rutina]],3,FALSE)),0)</f>
        <v>0</v>
      </c>
      <c r="AH583" s="20">
        <f>IFERROR((VLOOKUP(Tabla13[[#This Row],[ID]],[1]!Mtto_Pesv[[#Headers],[#Data],[Placa]:[Rutina]],7,FALSE)),0)</f>
        <v>0</v>
      </c>
      <c r="AI583" s="20">
        <f>IFERROR((VLOOKUP(Tabla13[[#This Row],[ID]],[1]!Mtto_Pesv[[#Headers],[#Data],[Placa]:[Rutina]],8,FALSE)),0)</f>
        <v>0</v>
      </c>
      <c r="AJ583" s="20" t="str">
        <f>IFERROR((VLOOKUP(Tabla13[[#This Row],[ID]],[1]!Mtto_Pesv[[#Headers],[#Data],[Placa]:[Rutina]],9,FALSE)),"-")</f>
        <v>-</v>
      </c>
      <c r="AK583" s="20">
        <f>IFERROR((VLOOKUP(Tabla13[[#This Row],[ID]],[1]!Mtto_Pesv[[#Headers],[#Data],[Placa]:[Rutina]],10,FALSE)),0)</f>
        <v>0</v>
      </c>
      <c r="AL583" s="20">
        <f>IF(Tabla13[[#This Row],[Km Anterior]]=0,0,Tabla13[[#This Row],[Km Ejecut]]-Tabla13[[#This Row],[Km Anterior]])</f>
        <v>0</v>
      </c>
      <c r="AM583" s="20">
        <f>IFERROR((VLOOKUP(Tabla13[[#This Row],[ID]],[1]!Mtto_Pesv[[#Headers],[#Data],[Placa]:[Rutina]],4,FALSE)),0)</f>
        <v>0</v>
      </c>
      <c r="AN583" s="21">
        <f>IFERROR((VLOOKUP(Tabla13[[#This Row],[ID]],[1]!Mtto_Pesv[[#Headers],[#Data],[Placa]:[Rutina]],5,FALSE)),0)</f>
        <v>0</v>
      </c>
      <c r="AO583" s="21">
        <f>+Tabla13[[#This Row],[Km Fin]]-Tabla13[[#This Row],[Km Ini]]</f>
        <v>0</v>
      </c>
      <c r="AP583" s="20">
        <f>IFERROR((VLOOKUP(Tabla13[[#This Row],[ID]],[1]!Estilo_Conduccion[[#All],[Placa]:[Puntuacion]],15,FALSE)),0)</f>
        <v>0</v>
      </c>
      <c r="AQ583" s="15" t="s">
        <v>1434</v>
      </c>
      <c r="AR583" s="15" t="s">
        <v>1435</v>
      </c>
      <c r="AS583" s="20">
        <v>2630</v>
      </c>
      <c r="AT583" s="21">
        <v>9064.0714285714294</v>
      </c>
      <c r="AU583" s="21">
        <f>(Tabla13[[#This Row],[Cap Vh]]*$AX$2)*0.56</f>
        <v>0</v>
      </c>
      <c r="AV583" s="36" t="e">
        <f>(Tabla13[[#This Row],[Cap Util (kg)]]/(Tabla13[[#This Row],[Cap Inst (Kg)]]))</f>
        <v>#DIV/0!</v>
      </c>
    </row>
    <row r="584" spans="1:48" x14ac:dyDescent="0.25">
      <c r="A584" s="13" t="s">
        <v>1068</v>
      </c>
      <c r="B584" s="14" t="s">
        <v>800</v>
      </c>
      <c r="C584" s="14" t="s">
        <v>749</v>
      </c>
      <c r="D584" s="14" t="s">
        <v>750</v>
      </c>
      <c r="E584" s="14" t="s">
        <v>751</v>
      </c>
      <c r="F584" s="14" t="s">
        <v>752</v>
      </c>
      <c r="G584" s="15" t="s">
        <v>47</v>
      </c>
      <c r="H584" s="16" t="s">
        <v>48</v>
      </c>
      <c r="I584" s="14" t="s">
        <v>49</v>
      </c>
      <c r="J584" s="14">
        <v>900335279</v>
      </c>
      <c r="K584" s="14" t="s">
        <v>77</v>
      </c>
      <c r="L584" s="14" t="s">
        <v>103</v>
      </c>
      <c r="M584" s="14" t="s">
        <v>104</v>
      </c>
      <c r="N584" s="14">
        <v>2012</v>
      </c>
      <c r="O584" s="14">
        <v>8</v>
      </c>
      <c r="P584" s="14" t="s">
        <v>53</v>
      </c>
      <c r="Q584" s="14">
        <v>0</v>
      </c>
      <c r="R584" s="14">
        <v>0</v>
      </c>
      <c r="S584" s="17" t="s">
        <v>54</v>
      </c>
      <c r="T584" s="18">
        <v>0</v>
      </c>
      <c r="U584" s="14">
        <v>30</v>
      </c>
      <c r="V584" s="19">
        <v>1</v>
      </c>
      <c r="W584" s="14">
        <v>0</v>
      </c>
      <c r="X584" s="14">
        <v>0</v>
      </c>
      <c r="Y584" s="14">
        <v>0</v>
      </c>
      <c r="Z584" s="14">
        <v>0</v>
      </c>
      <c r="AA584" s="14">
        <f>Tabla13[[#This Row],[CheckList App]]+Tabla13[[#This Row],[CheckList Fisc]]</f>
        <v>0</v>
      </c>
      <c r="AB584" s="19">
        <f t="shared" si="9"/>
        <v>0</v>
      </c>
      <c r="AC584" s="14">
        <v>0</v>
      </c>
      <c r="AD584" s="14" t="s">
        <v>55</v>
      </c>
      <c r="AE584" s="15" t="str">
        <f>IFERROR((VLOOKUP(Tabla13[[#This Row],[ID]],[1]!Mtto_Pesv[[#Headers],[#Data],[Placa]:[Rutina]],2,FALSE)),"-")</f>
        <v>-</v>
      </c>
      <c r="AF584" s="14">
        <v>0</v>
      </c>
      <c r="AG584" s="20">
        <f>IFERROR((VLOOKUP(Tabla13[[#This Row],[ID]],[1]!Mtto_Pesv[[#Headers],[#Data],[Placa]:[Rutina]],3,FALSE)),0)</f>
        <v>0</v>
      </c>
      <c r="AH584" s="20">
        <f>IFERROR((VLOOKUP(Tabla13[[#This Row],[ID]],[1]!Mtto_Pesv[[#Headers],[#Data],[Placa]:[Rutina]],7,FALSE)),0)</f>
        <v>0</v>
      </c>
      <c r="AI584" s="20">
        <f>IFERROR((VLOOKUP(Tabla13[[#This Row],[ID]],[1]!Mtto_Pesv[[#Headers],[#Data],[Placa]:[Rutina]],8,FALSE)),0)</f>
        <v>0</v>
      </c>
      <c r="AJ584" s="20" t="str">
        <f>IFERROR((VLOOKUP(Tabla13[[#This Row],[ID]],[1]!Mtto_Pesv[[#Headers],[#Data],[Placa]:[Rutina]],9,FALSE)),"-")</f>
        <v>-</v>
      </c>
      <c r="AK584" s="20">
        <f>IFERROR((VLOOKUP(Tabla13[[#This Row],[ID]],[1]!Mtto_Pesv[[#Headers],[#Data],[Placa]:[Rutina]],10,FALSE)),0)</f>
        <v>0</v>
      </c>
      <c r="AL584" s="20">
        <f>IF(Tabla13[[#This Row],[Km Anterior]]=0,0,Tabla13[[#This Row],[Km Ejecut]]-Tabla13[[#This Row],[Km Anterior]])</f>
        <v>0</v>
      </c>
      <c r="AM584" s="20">
        <f>IFERROR((VLOOKUP(Tabla13[[#This Row],[ID]],[1]!Mtto_Pesv[[#Headers],[#Data],[Placa]:[Rutina]],4,FALSE)),0)</f>
        <v>0</v>
      </c>
      <c r="AN584" s="21">
        <f>IFERROR((VLOOKUP(Tabla13[[#This Row],[ID]],[1]!Mtto_Pesv[[#Headers],[#Data],[Placa]:[Rutina]],5,FALSE)),0)</f>
        <v>0</v>
      </c>
      <c r="AO584" s="21">
        <f>+Tabla13[[#This Row],[Km Fin]]-Tabla13[[#This Row],[Km Ini]]</f>
        <v>0</v>
      </c>
      <c r="AP584" s="20">
        <f>IFERROR((VLOOKUP(Tabla13[[#This Row],[ID]],[1]!Estilo_Conduccion[[#All],[Placa]:[Puntuacion]],15,FALSE)),0)</f>
        <v>0</v>
      </c>
      <c r="AQ584" s="15" t="s">
        <v>1434</v>
      </c>
      <c r="AR584" s="15" t="s">
        <v>1435</v>
      </c>
      <c r="AS584" s="20">
        <v>1575</v>
      </c>
      <c r="AT584" s="21">
        <v>9064.0714285714294</v>
      </c>
      <c r="AU584" s="21">
        <f>(Tabla13[[#This Row],[Cap Vh]]*$AX$2)*0.56</f>
        <v>0</v>
      </c>
      <c r="AV584" s="36" t="e">
        <f>(Tabla13[[#This Row],[Cap Util (kg)]]/(Tabla13[[#This Row],[Cap Inst (Kg)]]))</f>
        <v>#DIV/0!</v>
      </c>
    </row>
    <row r="585" spans="1:48" x14ac:dyDescent="0.25">
      <c r="A585" s="13" t="s">
        <v>1068</v>
      </c>
      <c r="B585" s="14" t="s">
        <v>801</v>
      </c>
      <c r="C585" s="14" t="s">
        <v>749</v>
      </c>
      <c r="D585" s="14" t="s">
        <v>750</v>
      </c>
      <c r="E585" s="14" t="s">
        <v>751</v>
      </c>
      <c r="F585" s="14" t="s">
        <v>64</v>
      </c>
      <c r="G585" s="15" t="s">
        <v>65</v>
      </c>
      <c r="H585" s="16" t="s">
        <v>120</v>
      </c>
      <c r="I585" s="14" t="s">
        <v>49</v>
      </c>
      <c r="J585" s="14">
        <v>900335279</v>
      </c>
      <c r="K585" s="14" t="s">
        <v>77</v>
      </c>
      <c r="L585" s="14" t="s">
        <v>405</v>
      </c>
      <c r="M585" s="14" t="s">
        <v>461</v>
      </c>
      <c r="N585" s="14">
        <v>2012</v>
      </c>
      <c r="O585" s="14">
        <v>8</v>
      </c>
      <c r="P585" s="14" t="s">
        <v>53</v>
      </c>
      <c r="Q585" s="14">
        <v>1</v>
      </c>
      <c r="R585" s="14">
        <v>0</v>
      </c>
      <c r="S585" s="17" t="s">
        <v>54</v>
      </c>
      <c r="T585" s="18">
        <v>0</v>
      </c>
      <c r="U585" s="14">
        <v>30</v>
      </c>
      <c r="V585" s="19">
        <v>1</v>
      </c>
      <c r="W585" s="14">
        <v>0</v>
      </c>
      <c r="X585" s="14">
        <v>0</v>
      </c>
      <c r="Y585" s="14">
        <v>0</v>
      </c>
      <c r="Z585" s="14">
        <v>0</v>
      </c>
      <c r="AA585" s="14">
        <f>Tabla13[[#This Row],[CheckList App]]+Tabla13[[#This Row],[CheckList Fisc]]</f>
        <v>0</v>
      </c>
      <c r="AB585" s="19">
        <f t="shared" si="9"/>
        <v>0</v>
      </c>
      <c r="AC585" s="14">
        <v>0</v>
      </c>
      <c r="AD585" s="14" t="s">
        <v>55</v>
      </c>
      <c r="AE585" s="22" t="str">
        <f>IFERROR((VLOOKUP(Tabla13[[#This Row],[ID]],[1]!Mtto_Pesv[[#Headers],[#Data],[Placa]:[Rutina]],2,FALSE)),"-")</f>
        <v>-</v>
      </c>
      <c r="AF585" s="14">
        <v>0</v>
      </c>
      <c r="AG585" s="20">
        <f>IFERROR((VLOOKUP(Tabla13[[#This Row],[ID]],[1]!Mtto_Pesv[[#Headers],[#Data],[Placa]:[Rutina]],3,FALSE)),0)</f>
        <v>0</v>
      </c>
      <c r="AH585" s="20">
        <f>IFERROR((VLOOKUP(Tabla13[[#This Row],[ID]],[1]!Mtto_Pesv[[#Headers],[#Data],[Placa]:[Rutina]],7,FALSE)),0)</f>
        <v>0</v>
      </c>
      <c r="AI585" s="20">
        <f>IFERROR((VLOOKUP(Tabla13[[#This Row],[ID]],[1]!Mtto_Pesv[[#Headers],[#Data],[Placa]:[Rutina]],8,FALSE)),0)</f>
        <v>0</v>
      </c>
      <c r="AJ585" s="20" t="str">
        <f>IFERROR((VLOOKUP(Tabla13[[#This Row],[ID]],[1]!Mtto_Pesv[[#Headers],[#Data],[Placa]:[Rutina]],9,FALSE)),"-")</f>
        <v>-</v>
      </c>
      <c r="AK585" s="20">
        <f>IFERROR((VLOOKUP(Tabla13[[#This Row],[ID]],[1]!Mtto_Pesv[[#Headers],[#Data],[Placa]:[Rutina]],10,FALSE)),0)</f>
        <v>0</v>
      </c>
      <c r="AL585" s="20">
        <f>IF(Tabla13[[#This Row],[Km Anterior]]=0,0,Tabla13[[#This Row],[Km Ejecut]]-Tabla13[[#This Row],[Km Anterior]])</f>
        <v>0</v>
      </c>
      <c r="AM585" s="20">
        <f>IFERROR((VLOOKUP(Tabla13[[#This Row],[ID]],[1]!Mtto_Pesv[[#Headers],[#Data],[Placa]:[Rutina]],4,FALSE)),0)</f>
        <v>0</v>
      </c>
      <c r="AN585" s="21">
        <f>IFERROR((VLOOKUP(Tabla13[[#This Row],[ID]],[1]!Mtto_Pesv[[#Headers],[#Data],[Placa]:[Rutina]],5,FALSE)),0)</f>
        <v>0</v>
      </c>
      <c r="AO585" s="21">
        <f>+Tabla13[[#This Row],[Km Fin]]-Tabla13[[#This Row],[Km Ini]]</f>
        <v>0</v>
      </c>
      <c r="AP585" s="20">
        <f>IFERROR((VLOOKUP(Tabla13[[#This Row],[ID]],[1]!Estilo_Conduccion[[#All],[Placa]:[Puntuacion]],15,FALSE)),0)</f>
        <v>0</v>
      </c>
      <c r="AQ585" s="15" t="s">
        <v>54</v>
      </c>
      <c r="AR585" s="15" t="s">
        <v>802</v>
      </c>
      <c r="AS585" s="20">
        <v>3526</v>
      </c>
      <c r="AT585" s="21">
        <v>0</v>
      </c>
      <c r="AU585" s="21">
        <f>(Tabla13[[#This Row],[Cap Vh]]*$AX$2)*0.56</f>
        <v>0</v>
      </c>
      <c r="AV585" s="36" t="e">
        <f>(Tabla13[[#This Row],[Cap Util (kg)]]/(Tabla13[[#This Row],[Cap Inst (Kg)]]))</f>
        <v>#DIV/0!</v>
      </c>
    </row>
    <row r="586" spans="1:48" x14ac:dyDescent="0.25">
      <c r="A586" s="13" t="s">
        <v>1068</v>
      </c>
      <c r="B586" s="14" t="s">
        <v>803</v>
      </c>
      <c r="C586" s="14" t="s">
        <v>749</v>
      </c>
      <c r="D586" s="14" t="s">
        <v>750</v>
      </c>
      <c r="E586" s="14" t="s">
        <v>751</v>
      </c>
      <c r="F586" s="14" t="s">
        <v>752</v>
      </c>
      <c r="G586" s="15" t="s">
        <v>47</v>
      </c>
      <c r="H586" s="16" t="s">
        <v>48</v>
      </c>
      <c r="I586" s="14" t="s">
        <v>49</v>
      </c>
      <c r="J586" s="14">
        <v>900335279</v>
      </c>
      <c r="K586" s="14" t="s">
        <v>77</v>
      </c>
      <c r="L586" s="14" t="s">
        <v>103</v>
      </c>
      <c r="M586" s="14" t="s">
        <v>104</v>
      </c>
      <c r="N586" s="14">
        <v>2012</v>
      </c>
      <c r="O586" s="14">
        <v>8</v>
      </c>
      <c r="P586" s="14" t="s">
        <v>53</v>
      </c>
      <c r="Q586" s="14">
        <v>0</v>
      </c>
      <c r="R586" s="14">
        <v>0</v>
      </c>
      <c r="S586" s="17" t="s">
        <v>54</v>
      </c>
      <c r="T586" s="18">
        <v>0</v>
      </c>
      <c r="U586" s="14">
        <v>30</v>
      </c>
      <c r="V586" s="19">
        <v>1</v>
      </c>
      <c r="W586" s="14">
        <v>0</v>
      </c>
      <c r="X586" s="14">
        <v>0</v>
      </c>
      <c r="Y586" s="14">
        <v>0</v>
      </c>
      <c r="Z586" s="14">
        <v>0</v>
      </c>
      <c r="AA586" s="14">
        <f>Tabla13[[#This Row],[CheckList App]]+Tabla13[[#This Row],[CheckList Fisc]]</f>
        <v>0</v>
      </c>
      <c r="AB586" s="19">
        <f t="shared" si="9"/>
        <v>0</v>
      </c>
      <c r="AC586" s="14">
        <v>0</v>
      </c>
      <c r="AD586" s="14" t="s">
        <v>55</v>
      </c>
      <c r="AE586" s="15" t="str">
        <f>IFERROR((VLOOKUP(Tabla13[[#This Row],[ID]],[1]!Mtto_Pesv[[#Headers],[#Data],[Placa]:[Rutina]],2,FALSE)),"-")</f>
        <v>-</v>
      </c>
      <c r="AF586" s="14">
        <v>0</v>
      </c>
      <c r="AG586" s="20">
        <f>IFERROR((VLOOKUP(Tabla13[[#This Row],[ID]],[1]!Mtto_Pesv[[#Headers],[#Data],[Placa]:[Rutina]],3,FALSE)),0)</f>
        <v>0</v>
      </c>
      <c r="AH586" s="20">
        <f>IFERROR((VLOOKUP(Tabla13[[#This Row],[ID]],[1]!Mtto_Pesv[[#Headers],[#Data],[Placa]:[Rutina]],7,FALSE)),0)</f>
        <v>0</v>
      </c>
      <c r="AI586" s="20">
        <f>IFERROR((VLOOKUP(Tabla13[[#This Row],[ID]],[1]!Mtto_Pesv[[#Headers],[#Data],[Placa]:[Rutina]],8,FALSE)),0)</f>
        <v>0</v>
      </c>
      <c r="AJ586" s="20" t="str">
        <f>IFERROR((VLOOKUP(Tabla13[[#This Row],[ID]],[1]!Mtto_Pesv[[#Headers],[#Data],[Placa]:[Rutina]],9,FALSE)),"-")</f>
        <v>-</v>
      </c>
      <c r="AK586" s="20">
        <f>IFERROR((VLOOKUP(Tabla13[[#This Row],[ID]],[1]!Mtto_Pesv[[#Headers],[#Data],[Placa]:[Rutina]],10,FALSE)),0)</f>
        <v>0</v>
      </c>
      <c r="AL586" s="20">
        <f>IF(Tabla13[[#This Row],[Km Anterior]]=0,0,Tabla13[[#This Row],[Km Ejecut]]-Tabla13[[#This Row],[Km Anterior]])</f>
        <v>0</v>
      </c>
      <c r="AM586" s="20">
        <f>IFERROR((VLOOKUP(Tabla13[[#This Row],[ID]],[1]!Mtto_Pesv[[#Headers],[#Data],[Placa]:[Rutina]],4,FALSE)),0)</f>
        <v>0</v>
      </c>
      <c r="AN586" s="21">
        <f>IFERROR((VLOOKUP(Tabla13[[#This Row],[ID]],[1]!Mtto_Pesv[[#Headers],[#Data],[Placa]:[Rutina]],5,FALSE)),0)</f>
        <v>0</v>
      </c>
      <c r="AO586" s="21">
        <f>+Tabla13[[#This Row],[Km Fin]]-Tabla13[[#This Row],[Km Ini]]</f>
        <v>0</v>
      </c>
      <c r="AP586" s="20">
        <f>IFERROR((VLOOKUP(Tabla13[[#This Row],[ID]],[1]!Estilo_Conduccion[[#All],[Placa]:[Puntuacion]],15,FALSE)),0)</f>
        <v>0</v>
      </c>
      <c r="AQ586" s="15" t="s">
        <v>1434</v>
      </c>
      <c r="AR586" s="15" t="s">
        <v>1435</v>
      </c>
      <c r="AS586" s="20">
        <v>1575</v>
      </c>
      <c r="AT586" s="21">
        <v>9064.0714285714294</v>
      </c>
      <c r="AU586" s="21">
        <f>(Tabla13[[#This Row],[Cap Vh]]*$AX$2)*0.56</f>
        <v>0</v>
      </c>
      <c r="AV586" s="36" t="e">
        <f>(Tabla13[[#This Row],[Cap Util (kg)]]/(Tabla13[[#This Row],[Cap Inst (Kg)]]))</f>
        <v>#DIV/0!</v>
      </c>
    </row>
    <row r="587" spans="1:48" x14ac:dyDescent="0.25">
      <c r="A587" s="13" t="s">
        <v>1068</v>
      </c>
      <c r="B587" s="14" t="s">
        <v>804</v>
      </c>
      <c r="C587" s="14" t="s">
        <v>749</v>
      </c>
      <c r="D587" s="14" t="s">
        <v>750</v>
      </c>
      <c r="E587" s="14" t="s">
        <v>751</v>
      </c>
      <c r="F587" s="14" t="s">
        <v>64</v>
      </c>
      <c r="G587" s="15" t="s">
        <v>119</v>
      </c>
      <c r="H587" s="16" t="s">
        <v>120</v>
      </c>
      <c r="I587" s="14" t="s">
        <v>49</v>
      </c>
      <c r="J587" s="14">
        <v>900335279</v>
      </c>
      <c r="K587" s="14" t="s">
        <v>77</v>
      </c>
      <c r="L587" s="14" t="s">
        <v>103</v>
      </c>
      <c r="M587" s="14" t="s">
        <v>104</v>
      </c>
      <c r="N587" s="14">
        <v>2012</v>
      </c>
      <c r="O587" s="14">
        <v>8</v>
      </c>
      <c r="P587" s="14" t="s">
        <v>53</v>
      </c>
      <c r="Q587" s="14">
        <v>0</v>
      </c>
      <c r="R587" s="14">
        <v>0</v>
      </c>
      <c r="S587" s="17" t="s">
        <v>54</v>
      </c>
      <c r="T587" s="18">
        <v>0</v>
      </c>
      <c r="U587" s="14">
        <v>30</v>
      </c>
      <c r="V587" s="19">
        <v>1</v>
      </c>
      <c r="W587" s="14">
        <v>0</v>
      </c>
      <c r="X587" s="14">
        <v>0</v>
      </c>
      <c r="Y587" s="14">
        <v>0</v>
      </c>
      <c r="Z587" s="14">
        <v>0</v>
      </c>
      <c r="AA587" s="14">
        <f>Tabla13[[#This Row],[CheckList App]]+Tabla13[[#This Row],[CheckList Fisc]]</f>
        <v>0</v>
      </c>
      <c r="AB587" s="19">
        <f t="shared" si="9"/>
        <v>0</v>
      </c>
      <c r="AC587" s="14">
        <v>0</v>
      </c>
      <c r="AD587" s="14" t="s">
        <v>70</v>
      </c>
      <c r="AE587" s="22" t="str">
        <f>IFERROR((VLOOKUP(Tabla13[[#This Row],[ID]],[1]!Mtto_Pesv[[#Headers],[#Data],[Placa]:[Rutina]],2,FALSE)),"-")</f>
        <v>-</v>
      </c>
      <c r="AF587" s="14">
        <v>1</v>
      </c>
      <c r="AG587" s="20">
        <f>IFERROR((VLOOKUP(Tabla13[[#This Row],[ID]],[1]!Mtto_Pesv[[#Headers],[#Data],[Placa]:[Rutina]],3,FALSE)),0)</f>
        <v>0</v>
      </c>
      <c r="AH587" s="20">
        <f>IFERROR((VLOOKUP(Tabla13[[#This Row],[ID]],[1]!Mtto_Pesv[[#Headers],[#Data],[Placa]:[Rutina]],7,FALSE)),0)</f>
        <v>0</v>
      </c>
      <c r="AI587" s="20">
        <f>IFERROR((VLOOKUP(Tabla13[[#This Row],[ID]],[1]!Mtto_Pesv[[#Headers],[#Data],[Placa]:[Rutina]],8,FALSE)),0)</f>
        <v>0</v>
      </c>
      <c r="AJ587" s="20" t="str">
        <f>IFERROR((VLOOKUP(Tabla13[[#This Row],[ID]],[1]!Mtto_Pesv[[#Headers],[#Data],[Placa]:[Rutina]],9,FALSE)),"-")</f>
        <v>-</v>
      </c>
      <c r="AK587" s="20">
        <f>IFERROR((VLOOKUP(Tabla13[[#This Row],[ID]],[1]!Mtto_Pesv[[#Headers],[#Data],[Placa]:[Rutina]],10,FALSE)),0)</f>
        <v>0</v>
      </c>
      <c r="AL587" s="20">
        <f>IF(Tabla13[[#This Row],[Km Anterior]]=0,0,Tabla13[[#This Row],[Km Ejecut]]-Tabla13[[#This Row],[Km Anterior]])</f>
        <v>0</v>
      </c>
      <c r="AM587" s="20">
        <f>IFERROR((VLOOKUP(Tabla13[[#This Row],[ID]],[1]!Mtto_Pesv[[#Headers],[#Data],[Placa]:[Rutina]],4,FALSE)),0)</f>
        <v>0</v>
      </c>
      <c r="AN587" s="21">
        <f>IFERROR((VLOOKUP(Tabla13[[#This Row],[ID]],[1]!Mtto_Pesv[[#Headers],[#Data],[Placa]:[Rutina]],5,FALSE)),0)</f>
        <v>0</v>
      </c>
      <c r="AO587" s="21">
        <f>+Tabla13[[#This Row],[Km Fin]]-Tabla13[[#This Row],[Km Ini]]</f>
        <v>0</v>
      </c>
      <c r="AP587" s="20">
        <f>IFERROR((VLOOKUP(Tabla13[[#This Row],[ID]],[1]!Estilo_Conduccion[[#All],[Placa]:[Puntuacion]],15,FALSE)),0)</f>
        <v>0</v>
      </c>
      <c r="AQ587" s="15" t="s">
        <v>54</v>
      </c>
      <c r="AR587" s="15" t="s">
        <v>802</v>
      </c>
      <c r="AS587" s="20">
        <v>1575</v>
      </c>
      <c r="AT587" s="21">
        <v>0</v>
      </c>
      <c r="AU587" s="21">
        <f>(Tabla13[[#This Row],[Cap Vh]]*$AX$2)*0.56</f>
        <v>0</v>
      </c>
      <c r="AV587" s="36" t="e">
        <f>(Tabla13[[#This Row],[Cap Util (kg)]]/(Tabla13[[#This Row],[Cap Inst (Kg)]]))</f>
        <v>#DIV/0!</v>
      </c>
    </row>
    <row r="588" spans="1:48" x14ac:dyDescent="0.25">
      <c r="A588" s="13" t="s">
        <v>1068</v>
      </c>
      <c r="B588" s="14" t="s">
        <v>805</v>
      </c>
      <c r="C588" s="14" t="s">
        <v>749</v>
      </c>
      <c r="D588" s="14" t="s">
        <v>750</v>
      </c>
      <c r="E588" s="14" t="s">
        <v>770</v>
      </c>
      <c r="F588" s="14" t="s">
        <v>64</v>
      </c>
      <c r="G588" s="15" t="s">
        <v>119</v>
      </c>
      <c r="H588" s="16" t="s">
        <v>120</v>
      </c>
      <c r="I588" s="14" t="s">
        <v>49</v>
      </c>
      <c r="J588" s="14">
        <v>900335279</v>
      </c>
      <c r="K588" s="14" t="s">
        <v>77</v>
      </c>
      <c r="L588" s="14" t="s">
        <v>103</v>
      </c>
      <c r="M588" s="14" t="s">
        <v>104</v>
      </c>
      <c r="N588" s="14">
        <v>2012</v>
      </c>
      <c r="O588" s="14">
        <v>8</v>
      </c>
      <c r="P588" s="14" t="s">
        <v>53</v>
      </c>
      <c r="Q588" s="14">
        <v>1</v>
      </c>
      <c r="R588" s="14">
        <v>1</v>
      </c>
      <c r="S588" s="17">
        <v>44831.699560185189</v>
      </c>
      <c r="T588" s="18">
        <v>114.55799999999999</v>
      </c>
      <c r="U588" s="14">
        <v>30</v>
      </c>
      <c r="V588" s="19">
        <v>1</v>
      </c>
      <c r="W588" s="14">
        <v>0</v>
      </c>
      <c r="X588" s="14">
        <v>25</v>
      </c>
      <c r="Y588" s="14">
        <v>25</v>
      </c>
      <c r="Z588" s="14">
        <v>0</v>
      </c>
      <c r="AA588" s="14">
        <f>Tabla13[[#This Row],[CheckList App]]+Tabla13[[#This Row],[CheckList Fisc]]</f>
        <v>25</v>
      </c>
      <c r="AB588" s="19">
        <f t="shared" si="9"/>
        <v>1</v>
      </c>
      <c r="AC588" s="14">
        <v>28</v>
      </c>
      <c r="AD588" s="14" t="s">
        <v>70</v>
      </c>
      <c r="AE588" s="22" t="str">
        <f>IFERROR((VLOOKUP(Tabla13[[#This Row],[ID]],[1]!Mtto_Pesv[[#Headers],[#Data],[Placa]:[Rutina]],2,FALSE)),"-")</f>
        <v>-</v>
      </c>
      <c r="AF588" s="14">
        <v>1</v>
      </c>
      <c r="AG588" s="20">
        <f>IFERROR((VLOOKUP(Tabla13[[#This Row],[ID]],[1]!Mtto_Pesv[[#Headers],[#Data],[Placa]:[Rutina]],3,FALSE)),0)</f>
        <v>0</v>
      </c>
      <c r="AH588" s="20">
        <f>IFERROR((VLOOKUP(Tabla13[[#This Row],[ID]],[1]!Mtto_Pesv[[#Headers],[#Data],[Placa]:[Rutina]],7,FALSE)),0)</f>
        <v>0</v>
      </c>
      <c r="AI588" s="20">
        <f>IFERROR((VLOOKUP(Tabla13[[#This Row],[ID]],[1]!Mtto_Pesv[[#Headers],[#Data],[Placa]:[Rutina]],8,FALSE)),0)</f>
        <v>0</v>
      </c>
      <c r="AJ588" s="20" t="str">
        <f>IFERROR((VLOOKUP(Tabla13[[#This Row],[ID]],[1]!Mtto_Pesv[[#Headers],[#Data],[Placa]:[Rutina]],9,FALSE)),"-")</f>
        <v>-</v>
      </c>
      <c r="AK588" s="20">
        <f>IFERROR((VLOOKUP(Tabla13[[#This Row],[ID]],[1]!Mtto_Pesv[[#Headers],[#Data],[Placa]:[Rutina]],10,FALSE)),0)</f>
        <v>0</v>
      </c>
      <c r="AL588" s="20">
        <f>IF(Tabla13[[#This Row],[Km Anterior]]=0,0,Tabla13[[#This Row],[Km Ejecut]]-Tabla13[[#This Row],[Km Anterior]])</f>
        <v>0</v>
      </c>
      <c r="AM588" s="20">
        <f>IFERROR((VLOOKUP(Tabla13[[#This Row],[ID]],[1]!Mtto_Pesv[[#Headers],[#Data],[Placa]:[Rutina]],4,FALSE)),0)</f>
        <v>0</v>
      </c>
      <c r="AN588" s="21">
        <f>IFERROR((VLOOKUP(Tabla13[[#This Row],[ID]],[1]!Mtto_Pesv[[#Headers],[#Data],[Placa]:[Rutina]],5,FALSE)),0)</f>
        <v>0</v>
      </c>
      <c r="AO588" s="21">
        <f>+Tabla13[[#This Row],[Km Fin]]-Tabla13[[#This Row],[Km Ini]]</f>
        <v>0</v>
      </c>
      <c r="AP588" s="20">
        <f>IFERROR((VLOOKUP(Tabla13[[#This Row],[ID]],[1]!Estilo_Conduccion[[#All],[Placa]:[Puntuacion]],15,FALSE)),0)</f>
        <v>7.700000000000002</v>
      </c>
      <c r="AQ588" s="15" t="s">
        <v>54</v>
      </c>
      <c r="AR588" s="15" t="s">
        <v>54</v>
      </c>
      <c r="AS588" s="20">
        <v>1575</v>
      </c>
      <c r="AT588" s="21">
        <v>0</v>
      </c>
      <c r="AU588" s="21">
        <f>(Tabla13[[#This Row],[Cap Vh]]*$AX$2)*0.56</f>
        <v>0</v>
      </c>
      <c r="AV588" s="36" t="e">
        <f>(Tabla13[[#This Row],[Cap Util (kg)]]/(Tabla13[[#This Row],[Cap Inst (Kg)]]))</f>
        <v>#DIV/0!</v>
      </c>
    </row>
    <row r="589" spans="1:48" x14ac:dyDescent="0.25">
      <c r="A589" s="13" t="s">
        <v>1068</v>
      </c>
      <c r="B589" s="14" t="s">
        <v>806</v>
      </c>
      <c r="C589" s="14" t="s">
        <v>749</v>
      </c>
      <c r="D589" s="14" t="s">
        <v>750</v>
      </c>
      <c r="E589" s="14" t="s">
        <v>751</v>
      </c>
      <c r="F589" s="14" t="s">
        <v>752</v>
      </c>
      <c r="G589" s="15" t="s">
        <v>47</v>
      </c>
      <c r="H589" s="16" t="s">
        <v>48</v>
      </c>
      <c r="I589" s="14" t="s">
        <v>49</v>
      </c>
      <c r="J589" s="14">
        <v>900335279</v>
      </c>
      <c r="K589" s="14" t="s">
        <v>77</v>
      </c>
      <c r="L589" s="14" t="s">
        <v>103</v>
      </c>
      <c r="M589" s="14" t="s">
        <v>153</v>
      </c>
      <c r="N589" s="14">
        <v>2012</v>
      </c>
      <c r="O589" s="14">
        <v>8</v>
      </c>
      <c r="P589" s="14" t="s">
        <v>53</v>
      </c>
      <c r="Q589" s="14">
        <v>1</v>
      </c>
      <c r="R589" s="14">
        <v>0</v>
      </c>
      <c r="S589" s="17" t="s">
        <v>54</v>
      </c>
      <c r="T589" s="18">
        <v>0</v>
      </c>
      <c r="U589" s="14">
        <v>30</v>
      </c>
      <c r="V589" s="19">
        <v>1</v>
      </c>
      <c r="W589" s="14">
        <v>0</v>
      </c>
      <c r="X589" s="14">
        <v>0</v>
      </c>
      <c r="Y589" s="14">
        <v>0</v>
      </c>
      <c r="Z589" s="14">
        <v>0</v>
      </c>
      <c r="AA589" s="14">
        <f>Tabla13[[#This Row],[CheckList App]]+Tabla13[[#This Row],[CheckList Fisc]]</f>
        <v>0</v>
      </c>
      <c r="AB589" s="19">
        <f t="shared" si="9"/>
        <v>0</v>
      </c>
      <c r="AC589" s="14">
        <v>0</v>
      </c>
      <c r="AD589" s="14" t="s">
        <v>55</v>
      </c>
      <c r="AE589" s="15" t="str">
        <f>IFERROR((VLOOKUP(Tabla13[[#This Row],[ID]],[1]!Mtto_Pesv[[#Headers],[#Data],[Placa]:[Rutina]],2,FALSE)),"-")</f>
        <v>-</v>
      </c>
      <c r="AF589" s="14">
        <v>0</v>
      </c>
      <c r="AG589" s="20">
        <f>IFERROR((VLOOKUP(Tabla13[[#This Row],[ID]],[1]!Mtto_Pesv[[#Headers],[#Data],[Placa]:[Rutina]],3,FALSE)),0)</f>
        <v>0</v>
      </c>
      <c r="AH589" s="20">
        <f>IFERROR((VLOOKUP(Tabla13[[#This Row],[ID]],[1]!Mtto_Pesv[[#Headers],[#Data],[Placa]:[Rutina]],7,FALSE)),0)</f>
        <v>0</v>
      </c>
      <c r="AI589" s="20">
        <f>IFERROR((VLOOKUP(Tabla13[[#This Row],[ID]],[1]!Mtto_Pesv[[#Headers],[#Data],[Placa]:[Rutina]],8,FALSE)),0)</f>
        <v>0</v>
      </c>
      <c r="AJ589" s="20" t="str">
        <f>IFERROR((VLOOKUP(Tabla13[[#This Row],[ID]],[1]!Mtto_Pesv[[#Headers],[#Data],[Placa]:[Rutina]],9,FALSE)),"-")</f>
        <v>-</v>
      </c>
      <c r="AK589" s="20">
        <f>IFERROR((VLOOKUP(Tabla13[[#This Row],[ID]],[1]!Mtto_Pesv[[#Headers],[#Data],[Placa]:[Rutina]],10,FALSE)),0)</f>
        <v>0</v>
      </c>
      <c r="AL589" s="20">
        <f>IF(Tabla13[[#This Row],[Km Anterior]]=0,0,Tabla13[[#This Row],[Km Ejecut]]-Tabla13[[#This Row],[Km Anterior]])</f>
        <v>0</v>
      </c>
      <c r="AM589" s="20">
        <f>IFERROR((VLOOKUP(Tabla13[[#This Row],[ID]],[1]!Mtto_Pesv[[#Headers],[#Data],[Placa]:[Rutina]],4,FALSE)),0)</f>
        <v>0</v>
      </c>
      <c r="AN589" s="21">
        <f>IFERROR((VLOOKUP(Tabla13[[#This Row],[ID]],[1]!Mtto_Pesv[[#Headers],[#Data],[Placa]:[Rutina]],5,FALSE)),0)</f>
        <v>0</v>
      </c>
      <c r="AO589" s="21">
        <f>+Tabla13[[#This Row],[Km Fin]]-Tabla13[[#This Row],[Km Ini]]</f>
        <v>0</v>
      </c>
      <c r="AP589" s="20">
        <f>IFERROR((VLOOKUP(Tabla13[[#This Row],[ID]],[1]!Estilo_Conduccion[[#All],[Placa]:[Puntuacion]],15,FALSE)),0)</f>
        <v>654.59999999999991</v>
      </c>
      <c r="AQ589" s="15" t="s">
        <v>1424</v>
      </c>
      <c r="AR589" s="15" t="s">
        <v>1425</v>
      </c>
      <c r="AS589" s="20">
        <v>4500</v>
      </c>
      <c r="AT589" s="21">
        <v>12672</v>
      </c>
      <c r="AU589" s="21">
        <f>(Tabla13[[#This Row],[Cap Vh]]*$AX$2)*0.56</f>
        <v>0</v>
      </c>
      <c r="AV589" s="36" t="e">
        <f>(Tabla13[[#This Row],[Cap Util (kg)]]/(Tabla13[[#This Row],[Cap Inst (Kg)]]))</f>
        <v>#DIV/0!</v>
      </c>
    </row>
    <row r="590" spans="1:48" x14ac:dyDescent="0.25">
      <c r="A590" s="13" t="s">
        <v>1068</v>
      </c>
      <c r="B590" s="14" t="s">
        <v>807</v>
      </c>
      <c r="C590" s="14" t="s">
        <v>749</v>
      </c>
      <c r="D590" s="14" t="s">
        <v>750</v>
      </c>
      <c r="E590" s="14" t="s">
        <v>751</v>
      </c>
      <c r="F590" s="14" t="s">
        <v>64</v>
      </c>
      <c r="G590" s="14" t="s">
        <v>65</v>
      </c>
      <c r="H590" s="16" t="s">
        <v>66</v>
      </c>
      <c r="I590" s="14" t="s">
        <v>49</v>
      </c>
      <c r="J590" s="14">
        <v>900335279</v>
      </c>
      <c r="K590" s="14" t="s">
        <v>77</v>
      </c>
      <c r="L590" s="14" t="s">
        <v>103</v>
      </c>
      <c r="M590" s="14" t="s">
        <v>121</v>
      </c>
      <c r="N590" s="14">
        <v>2012</v>
      </c>
      <c r="O590" s="14">
        <v>8</v>
      </c>
      <c r="P590" s="14" t="s">
        <v>53</v>
      </c>
      <c r="Q590" s="14">
        <v>0</v>
      </c>
      <c r="R590" s="14">
        <v>0</v>
      </c>
      <c r="S590" s="17" t="s">
        <v>54</v>
      </c>
      <c r="T590" s="18">
        <v>0</v>
      </c>
      <c r="U590" s="14">
        <v>0</v>
      </c>
      <c r="V590" s="19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f>Tabla13[[#This Row],[CheckList App]]+Tabla13[[#This Row],[CheckList Fisc]]</f>
        <v>0</v>
      </c>
      <c r="AB590" s="19" t="str">
        <f t="shared" si="9"/>
        <v/>
      </c>
      <c r="AC590" s="14">
        <v>0</v>
      </c>
      <c r="AD590" s="14" t="s">
        <v>70</v>
      </c>
      <c r="AE590" s="15" t="str">
        <f>IFERROR((VLOOKUP(Tabla13[[#This Row],[ID]],[1]!Mtto_Pesv[[#Headers],[#Data],[Placa]:[Rutina]],2,FALSE)),"-")</f>
        <v>-</v>
      </c>
      <c r="AF590" s="14">
        <v>1</v>
      </c>
      <c r="AG590" s="20">
        <f>IFERROR((VLOOKUP(Tabla13[[#This Row],[ID]],[1]!Mtto_Pesv[[#Headers],[#Data],[Placa]:[Rutina]],3,FALSE)),0)</f>
        <v>0</v>
      </c>
      <c r="AH590" s="20">
        <f>IFERROR((VLOOKUP(Tabla13[[#This Row],[ID]],[1]!Mtto_Pesv[[#Headers],[#Data],[Placa]:[Rutina]],7,FALSE)),0)</f>
        <v>0</v>
      </c>
      <c r="AI590" s="20">
        <f>IFERROR((VLOOKUP(Tabla13[[#This Row],[ID]],[1]!Mtto_Pesv[[#Headers],[#Data],[Placa]:[Rutina]],8,FALSE)),0)</f>
        <v>0</v>
      </c>
      <c r="AJ590" s="20" t="str">
        <f>IFERROR((VLOOKUP(Tabla13[[#This Row],[ID]],[1]!Mtto_Pesv[[#Headers],[#Data],[Placa]:[Rutina]],9,FALSE)),"-")</f>
        <v>-</v>
      </c>
      <c r="AK590" s="20">
        <f>IFERROR((VLOOKUP(Tabla13[[#This Row],[ID]],[1]!Mtto_Pesv[[#Headers],[#Data],[Placa]:[Rutina]],10,FALSE)),0)</f>
        <v>0</v>
      </c>
      <c r="AL590" s="20">
        <f>IF(Tabla13[[#This Row],[Km Anterior]]=0,0,Tabla13[[#This Row],[Km Ejecut]]-Tabla13[[#This Row],[Km Anterior]])</f>
        <v>0</v>
      </c>
      <c r="AM590" s="20">
        <f>IFERROR((VLOOKUP(Tabla13[[#This Row],[ID]],[1]!Mtto_Pesv[[#Headers],[#Data],[Placa]:[Rutina]],4,FALSE)),0)</f>
        <v>0</v>
      </c>
      <c r="AN590" s="21">
        <f>IFERROR((VLOOKUP(Tabla13[[#This Row],[ID]],[1]!Mtto_Pesv[[#Headers],[#Data],[Placa]:[Rutina]],5,FALSE)),0)</f>
        <v>0</v>
      </c>
      <c r="AO590" s="21">
        <f>+Tabla13[[#This Row],[Km Fin]]-Tabla13[[#This Row],[Km Ini]]</f>
        <v>0</v>
      </c>
      <c r="AP590" s="20">
        <f>IFERROR((VLOOKUP(Tabla13[[#This Row],[ID]],[1]!Estilo_Conduccion[[#All],[Placa]:[Puntuacion]],15,FALSE)),0)</f>
        <v>0</v>
      </c>
      <c r="AQ590" s="15" t="s">
        <v>54</v>
      </c>
      <c r="AR590" s="15" t="s">
        <v>54</v>
      </c>
      <c r="AS590" s="20">
        <v>2630</v>
      </c>
      <c r="AT590" s="21">
        <v>0</v>
      </c>
      <c r="AU590" s="21">
        <f>(Tabla13[[#This Row],[Cap Vh]]*$AX$2)*0.56</f>
        <v>0</v>
      </c>
      <c r="AV590" s="36" t="e">
        <f>(Tabla13[[#This Row],[Cap Util (kg)]]/(Tabla13[[#This Row],[Cap Inst (Kg)]]))</f>
        <v>#DIV/0!</v>
      </c>
    </row>
    <row r="591" spans="1:48" x14ac:dyDescent="0.25">
      <c r="A591" s="13" t="s">
        <v>1068</v>
      </c>
      <c r="B591" s="14" t="s">
        <v>808</v>
      </c>
      <c r="C591" s="14" t="s">
        <v>749</v>
      </c>
      <c r="D591" s="14" t="s">
        <v>750</v>
      </c>
      <c r="E591" s="14" t="s">
        <v>751</v>
      </c>
      <c r="F591" s="14" t="s">
        <v>64</v>
      </c>
      <c r="G591" s="15" t="s">
        <v>119</v>
      </c>
      <c r="H591" s="16" t="s">
        <v>120</v>
      </c>
      <c r="I591" s="14" t="s">
        <v>49</v>
      </c>
      <c r="J591" s="14">
        <v>900335279</v>
      </c>
      <c r="K591" s="14" t="s">
        <v>77</v>
      </c>
      <c r="L591" s="14" t="s">
        <v>103</v>
      </c>
      <c r="M591" s="14" t="s">
        <v>104</v>
      </c>
      <c r="N591" s="14">
        <v>2012</v>
      </c>
      <c r="O591" s="14">
        <v>8</v>
      </c>
      <c r="P591" s="14" t="s">
        <v>53</v>
      </c>
      <c r="Q591" s="14">
        <v>1</v>
      </c>
      <c r="R591" s="14">
        <v>1</v>
      </c>
      <c r="S591" s="17">
        <v>44834.332592592589</v>
      </c>
      <c r="T591" s="18">
        <v>80.424000000000007</v>
      </c>
      <c r="U591" s="14">
        <v>30</v>
      </c>
      <c r="V591" s="19">
        <v>1</v>
      </c>
      <c r="W591" s="14">
        <v>0</v>
      </c>
      <c r="X591" s="14">
        <v>10</v>
      </c>
      <c r="Y591" s="14">
        <v>10</v>
      </c>
      <c r="Z591" s="14">
        <v>0</v>
      </c>
      <c r="AA591" s="14">
        <f>Tabla13[[#This Row],[CheckList App]]+Tabla13[[#This Row],[CheckList Fisc]]</f>
        <v>10</v>
      </c>
      <c r="AB591" s="19">
        <f t="shared" si="9"/>
        <v>1</v>
      </c>
      <c r="AC591" s="14">
        <v>0</v>
      </c>
      <c r="AD591" s="14" t="s">
        <v>55</v>
      </c>
      <c r="AE591" s="15" t="str">
        <f>IFERROR((VLOOKUP(Tabla13[[#This Row],[ID]],[1]!Mtto_Pesv[[#Headers],[#Data],[Placa]:[Rutina]],2,FALSE)),"-")</f>
        <v>-</v>
      </c>
      <c r="AF591" s="14">
        <v>0</v>
      </c>
      <c r="AG591" s="20">
        <f>IFERROR((VLOOKUP(Tabla13[[#This Row],[ID]],[1]!Mtto_Pesv[[#Headers],[#Data],[Placa]:[Rutina]],3,FALSE)),0)</f>
        <v>0</v>
      </c>
      <c r="AH591" s="20">
        <f>IFERROR((VLOOKUP(Tabla13[[#This Row],[ID]],[1]!Mtto_Pesv[[#Headers],[#Data],[Placa]:[Rutina]],7,FALSE)),0)</f>
        <v>0</v>
      </c>
      <c r="AI591" s="20">
        <f>IFERROR((VLOOKUP(Tabla13[[#This Row],[ID]],[1]!Mtto_Pesv[[#Headers],[#Data],[Placa]:[Rutina]],8,FALSE)),0)</f>
        <v>0</v>
      </c>
      <c r="AJ591" s="20" t="str">
        <f>IFERROR((VLOOKUP(Tabla13[[#This Row],[ID]],[1]!Mtto_Pesv[[#Headers],[#Data],[Placa]:[Rutina]],9,FALSE)),"-")</f>
        <v>-</v>
      </c>
      <c r="AK591" s="20">
        <f>IFERROR((VLOOKUP(Tabla13[[#This Row],[ID]],[1]!Mtto_Pesv[[#Headers],[#Data],[Placa]:[Rutina]],10,FALSE)),0)</f>
        <v>0</v>
      </c>
      <c r="AL591" s="20">
        <f>IF(Tabla13[[#This Row],[Km Anterior]]=0,0,Tabla13[[#This Row],[Km Ejecut]]-Tabla13[[#This Row],[Km Anterior]])</f>
        <v>0</v>
      </c>
      <c r="AM591" s="20">
        <f>IFERROR((VLOOKUP(Tabla13[[#This Row],[ID]],[1]!Mtto_Pesv[[#Headers],[#Data],[Placa]:[Rutina]],4,FALSE)),0)</f>
        <v>0</v>
      </c>
      <c r="AN591" s="21">
        <f>IFERROR((VLOOKUP(Tabla13[[#This Row],[ID]],[1]!Mtto_Pesv[[#Headers],[#Data],[Placa]:[Rutina]],5,FALSE)),0)</f>
        <v>0</v>
      </c>
      <c r="AO591" s="21">
        <f>+Tabla13[[#This Row],[Km Fin]]-Tabla13[[#This Row],[Km Ini]]</f>
        <v>0</v>
      </c>
      <c r="AP591" s="20">
        <f>IFERROR((VLOOKUP(Tabla13[[#This Row],[ID]],[1]!Estilo_Conduccion[[#All],[Placa]:[Puntuacion]],15,FALSE)),0)</f>
        <v>780.1</v>
      </c>
      <c r="AQ591" s="15" t="s">
        <v>54</v>
      </c>
      <c r="AR591" s="15" t="s">
        <v>809</v>
      </c>
      <c r="AS591" s="20">
        <v>1575</v>
      </c>
      <c r="AT591" s="21">
        <v>0</v>
      </c>
      <c r="AU591" s="21">
        <f>(Tabla13[[#This Row],[Cap Vh]]*$AX$2)*0.56</f>
        <v>0</v>
      </c>
      <c r="AV591" s="36" t="e">
        <f>(Tabla13[[#This Row],[Cap Util (kg)]]/(Tabla13[[#This Row],[Cap Inst (Kg)]]))</f>
        <v>#DIV/0!</v>
      </c>
    </row>
    <row r="592" spans="1:48" x14ac:dyDescent="0.25">
      <c r="A592" s="13" t="s">
        <v>1068</v>
      </c>
      <c r="B592" s="14" t="s">
        <v>810</v>
      </c>
      <c r="C592" s="14" t="s">
        <v>749</v>
      </c>
      <c r="D592" s="14" t="s">
        <v>750</v>
      </c>
      <c r="E592" s="14" t="s">
        <v>770</v>
      </c>
      <c r="F592" s="14" t="s">
        <v>64</v>
      </c>
      <c r="G592" s="15" t="s">
        <v>119</v>
      </c>
      <c r="H592" s="16" t="s">
        <v>120</v>
      </c>
      <c r="I592" s="14" t="s">
        <v>49</v>
      </c>
      <c r="J592" s="14">
        <v>900335279</v>
      </c>
      <c r="K592" s="14" t="s">
        <v>77</v>
      </c>
      <c r="L592" s="14" t="s">
        <v>103</v>
      </c>
      <c r="M592" s="15" t="s">
        <v>104</v>
      </c>
      <c r="N592" s="14">
        <v>2012</v>
      </c>
      <c r="O592" s="14">
        <v>8</v>
      </c>
      <c r="P592" s="14" t="s">
        <v>53</v>
      </c>
      <c r="Q592" s="14">
        <v>1</v>
      </c>
      <c r="R592" s="14">
        <v>1</v>
      </c>
      <c r="S592" s="17">
        <v>44833.651134259257</v>
      </c>
      <c r="T592" s="18">
        <v>98.494</v>
      </c>
      <c r="U592" s="14">
        <v>30</v>
      </c>
      <c r="V592" s="19">
        <v>1</v>
      </c>
      <c r="W592" s="14">
        <v>0</v>
      </c>
      <c r="X592" s="14">
        <v>25</v>
      </c>
      <c r="Y592" s="14">
        <v>25</v>
      </c>
      <c r="Z592" s="14">
        <v>0</v>
      </c>
      <c r="AA592" s="14">
        <f>Tabla13[[#This Row],[CheckList App]]+Tabla13[[#This Row],[CheckList Fisc]]</f>
        <v>25</v>
      </c>
      <c r="AB592" s="19">
        <f t="shared" si="9"/>
        <v>1</v>
      </c>
      <c r="AC592" s="14">
        <v>0</v>
      </c>
      <c r="AD592" s="14" t="s">
        <v>55</v>
      </c>
      <c r="AE592" s="22" t="str">
        <f>IFERROR((VLOOKUP(Tabla13[[#This Row],[ID]],[1]!Mtto_Pesv[[#Headers],[#Data],[Placa]:[Rutina]],2,FALSE)),"-")</f>
        <v>-</v>
      </c>
      <c r="AF592" s="14">
        <v>0</v>
      </c>
      <c r="AG592" s="20">
        <f>IFERROR((VLOOKUP(Tabla13[[#This Row],[ID]],[1]!Mtto_Pesv[[#Headers],[#Data],[Placa]:[Rutina]],3,FALSE)),0)</f>
        <v>0</v>
      </c>
      <c r="AH592" s="20">
        <f>IFERROR((VLOOKUP(Tabla13[[#This Row],[ID]],[1]!Mtto_Pesv[[#Headers],[#Data],[Placa]:[Rutina]],7,FALSE)),0)</f>
        <v>0</v>
      </c>
      <c r="AI592" s="20">
        <f>IFERROR((VLOOKUP(Tabla13[[#This Row],[ID]],[1]!Mtto_Pesv[[#Headers],[#Data],[Placa]:[Rutina]],8,FALSE)),0)</f>
        <v>0</v>
      </c>
      <c r="AJ592" s="20" t="str">
        <f>IFERROR((VLOOKUP(Tabla13[[#This Row],[ID]],[1]!Mtto_Pesv[[#Headers],[#Data],[Placa]:[Rutina]],9,FALSE)),"-")</f>
        <v>-</v>
      </c>
      <c r="AK592" s="20">
        <f>IFERROR((VLOOKUP(Tabla13[[#This Row],[ID]],[1]!Mtto_Pesv[[#Headers],[#Data],[Placa]:[Rutina]],10,FALSE)),0)</f>
        <v>0</v>
      </c>
      <c r="AL592" s="20">
        <f>IF(Tabla13[[#This Row],[Km Anterior]]=0,0,Tabla13[[#This Row],[Km Ejecut]]-Tabla13[[#This Row],[Km Anterior]])</f>
        <v>0</v>
      </c>
      <c r="AM592" s="20">
        <f>IFERROR((VLOOKUP(Tabla13[[#This Row],[ID]],[1]!Mtto_Pesv[[#Headers],[#Data],[Placa]:[Rutina]],4,FALSE)),0)</f>
        <v>0</v>
      </c>
      <c r="AN592" s="21">
        <f>IFERROR((VLOOKUP(Tabla13[[#This Row],[ID]],[1]!Mtto_Pesv[[#Headers],[#Data],[Placa]:[Rutina]],5,FALSE)),0)</f>
        <v>0</v>
      </c>
      <c r="AO592" s="21">
        <f>+Tabla13[[#This Row],[Km Fin]]-Tabla13[[#This Row],[Km Ini]]</f>
        <v>0</v>
      </c>
      <c r="AP592" s="20">
        <f>IFERROR((VLOOKUP(Tabla13[[#This Row],[ID]],[1]!Estilo_Conduccion[[#All],[Placa]:[Puntuacion]],15,FALSE)),0)</f>
        <v>338.70000000000005</v>
      </c>
      <c r="AQ592" s="15" t="s">
        <v>54</v>
      </c>
      <c r="AR592" s="15" t="s">
        <v>811</v>
      </c>
      <c r="AS592" s="20">
        <v>1575</v>
      </c>
      <c r="AT592" s="21">
        <v>0</v>
      </c>
      <c r="AU592" s="21">
        <f>(Tabla13[[#This Row],[Cap Vh]]*$AX$2)*0.56</f>
        <v>0</v>
      </c>
      <c r="AV592" s="36" t="e">
        <f>(Tabla13[[#This Row],[Cap Util (kg)]]/(Tabla13[[#This Row],[Cap Inst (Kg)]]))</f>
        <v>#DIV/0!</v>
      </c>
    </row>
    <row r="593" spans="1:48" x14ac:dyDescent="0.25">
      <c r="A593" s="13" t="s">
        <v>1068</v>
      </c>
      <c r="B593" s="14" t="s">
        <v>812</v>
      </c>
      <c r="C593" s="14" t="s">
        <v>749</v>
      </c>
      <c r="D593" s="14" t="s">
        <v>750</v>
      </c>
      <c r="E593" s="14" t="s">
        <v>751</v>
      </c>
      <c r="F593" s="14" t="s">
        <v>752</v>
      </c>
      <c r="G593" s="15" t="s">
        <v>47</v>
      </c>
      <c r="H593" s="16" t="s">
        <v>48</v>
      </c>
      <c r="I593" s="14" t="s">
        <v>49</v>
      </c>
      <c r="J593" s="14">
        <v>900335279</v>
      </c>
      <c r="K593" s="14" t="s">
        <v>77</v>
      </c>
      <c r="L593" s="14" t="s">
        <v>103</v>
      </c>
      <c r="M593" s="14" t="s">
        <v>104</v>
      </c>
      <c r="N593" s="14">
        <v>2012</v>
      </c>
      <c r="O593" s="14">
        <v>8</v>
      </c>
      <c r="P593" s="14" t="s">
        <v>53</v>
      </c>
      <c r="Q593" s="14">
        <v>1</v>
      </c>
      <c r="R593" s="14">
        <v>0</v>
      </c>
      <c r="S593" s="17" t="s">
        <v>54</v>
      </c>
      <c r="T593" s="18">
        <v>0</v>
      </c>
      <c r="U593" s="14">
        <v>30</v>
      </c>
      <c r="V593" s="19">
        <v>1</v>
      </c>
      <c r="W593" s="14">
        <v>0</v>
      </c>
      <c r="X593" s="14">
        <v>0</v>
      </c>
      <c r="Y593" s="14">
        <v>0</v>
      </c>
      <c r="Z593" s="14">
        <v>0</v>
      </c>
      <c r="AA593" s="14">
        <f>Tabla13[[#This Row],[CheckList App]]+Tabla13[[#This Row],[CheckList Fisc]]</f>
        <v>0</v>
      </c>
      <c r="AB593" s="19">
        <f t="shared" si="9"/>
        <v>0</v>
      </c>
      <c r="AC593" s="14">
        <v>24</v>
      </c>
      <c r="AD593" s="14" t="s">
        <v>70</v>
      </c>
      <c r="AE593" s="15" t="str">
        <f>IFERROR((VLOOKUP(Tabla13[[#This Row],[ID]],[1]!Mtto_Pesv[[#Headers],[#Data],[Placa]:[Rutina]],2,FALSE)),"-")</f>
        <v>-</v>
      </c>
      <c r="AF593" s="14">
        <v>1</v>
      </c>
      <c r="AG593" s="20">
        <f>IFERROR((VLOOKUP(Tabla13[[#This Row],[ID]],[1]!Mtto_Pesv[[#Headers],[#Data],[Placa]:[Rutina]],3,FALSE)),0)</f>
        <v>0</v>
      </c>
      <c r="AH593" s="20">
        <f>IFERROR((VLOOKUP(Tabla13[[#This Row],[ID]],[1]!Mtto_Pesv[[#Headers],[#Data],[Placa]:[Rutina]],7,FALSE)),0)</f>
        <v>0</v>
      </c>
      <c r="AI593" s="20">
        <f>IFERROR((VLOOKUP(Tabla13[[#This Row],[ID]],[1]!Mtto_Pesv[[#Headers],[#Data],[Placa]:[Rutina]],8,FALSE)),0)</f>
        <v>0</v>
      </c>
      <c r="AJ593" s="20" t="str">
        <f>IFERROR((VLOOKUP(Tabla13[[#This Row],[ID]],[1]!Mtto_Pesv[[#Headers],[#Data],[Placa]:[Rutina]],9,FALSE)),"-")</f>
        <v>-</v>
      </c>
      <c r="AK593" s="20">
        <f>IFERROR((VLOOKUP(Tabla13[[#This Row],[ID]],[1]!Mtto_Pesv[[#Headers],[#Data],[Placa]:[Rutina]],10,FALSE)),0)</f>
        <v>0</v>
      </c>
      <c r="AL593" s="20">
        <f>IF(Tabla13[[#This Row],[Km Anterior]]=0,0,Tabla13[[#This Row],[Km Ejecut]]-Tabla13[[#This Row],[Km Anterior]])</f>
        <v>0</v>
      </c>
      <c r="AM593" s="20">
        <f>IFERROR((VLOOKUP(Tabla13[[#This Row],[ID]],[1]!Mtto_Pesv[[#Headers],[#Data],[Placa]:[Rutina]],4,FALSE)),0)</f>
        <v>0</v>
      </c>
      <c r="AN593" s="21">
        <f>IFERROR((VLOOKUP(Tabla13[[#This Row],[ID]],[1]!Mtto_Pesv[[#Headers],[#Data],[Placa]:[Rutina]],5,FALSE)),0)</f>
        <v>0</v>
      </c>
      <c r="AO593" s="21">
        <f>+Tabla13[[#This Row],[Km Fin]]-Tabla13[[#This Row],[Km Ini]]</f>
        <v>0</v>
      </c>
      <c r="AP593" s="20">
        <f>IFERROR((VLOOKUP(Tabla13[[#This Row],[ID]],[1]!Estilo_Conduccion[[#All],[Placa]:[Puntuacion]],15,FALSE)),0)</f>
        <v>3.7</v>
      </c>
      <c r="AQ593" s="15" t="s">
        <v>1442</v>
      </c>
      <c r="AR593" s="15" t="s">
        <v>1443</v>
      </c>
      <c r="AS593" s="20">
        <v>1575</v>
      </c>
      <c r="AT593" s="21">
        <v>9275.25</v>
      </c>
      <c r="AU593" s="21">
        <f>(Tabla13[[#This Row],[Cap Vh]]*$AX$2)*0.56</f>
        <v>0</v>
      </c>
      <c r="AV593" s="36" t="e">
        <f>(Tabla13[[#This Row],[Cap Util (kg)]]/(Tabla13[[#This Row],[Cap Inst (Kg)]]))</f>
        <v>#DIV/0!</v>
      </c>
    </row>
    <row r="594" spans="1:48" x14ac:dyDescent="0.25">
      <c r="A594" s="13" t="s">
        <v>1068</v>
      </c>
      <c r="B594" s="14" t="s">
        <v>813</v>
      </c>
      <c r="C594" s="14" t="s">
        <v>749</v>
      </c>
      <c r="D594" s="14" t="s">
        <v>750</v>
      </c>
      <c r="E594" s="14" t="s">
        <v>770</v>
      </c>
      <c r="F594" s="14" t="s">
        <v>64</v>
      </c>
      <c r="G594" s="15" t="s">
        <v>119</v>
      </c>
      <c r="H594" s="16" t="s">
        <v>120</v>
      </c>
      <c r="I594" s="14" t="s">
        <v>49</v>
      </c>
      <c r="J594" s="14">
        <v>900335279</v>
      </c>
      <c r="K594" s="14" t="s">
        <v>77</v>
      </c>
      <c r="L594" s="14" t="s">
        <v>103</v>
      </c>
      <c r="M594" s="15" t="s">
        <v>153</v>
      </c>
      <c r="N594" s="14">
        <v>2011</v>
      </c>
      <c r="O594" s="14">
        <v>9</v>
      </c>
      <c r="P594" s="14" t="s">
        <v>53</v>
      </c>
      <c r="Q594" s="14">
        <v>1</v>
      </c>
      <c r="R594" s="14">
        <v>1</v>
      </c>
      <c r="S594" s="17">
        <v>44833.468043981477</v>
      </c>
      <c r="T594" s="18">
        <v>50</v>
      </c>
      <c r="U594" s="14">
        <v>30</v>
      </c>
      <c r="V594" s="19">
        <v>1</v>
      </c>
      <c r="W594" s="14">
        <v>0</v>
      </c>
      <c r="X594" s="14">
        <v>1</v>
      </c>
      <c r="Y594" s="14">
        <v>0</v>
      </c>
      <c r="Z594" s="14">
        <v>0</v>
      </c>
      <c r="AA594" s="14">
        <f>Tabla13[[#This Row],[CheckList App]]+Tabla13[[#This Row],[CheckList Fisc]]</f>
        <v>0</v>
      </c>
      <c r="AB594" s="19">
        <f t="shared" si="9"/>
        <v>0</v>
      </c>
      <c r="AC594" s="14">
        <v>24</v>
      </c>
      <c r="AD594" s="14" t="s">
        <v>70</v>
      </c>
      <c r="AE594" s="22" t="str">
        <f>IFERROR((VLOOKUP(Tabla13[[#This Row],[ID]],[1]!Mtto_Pesv[[#Headers],[#Data],[Placa]:[Rutina]],2,FALSE)),"-")</f>
        <v>-</v>
      </c>
      <c r="AF594" s="14">
        <v>1</v>
      </c>
      <c r="AG594" s="20">
        <f>IFERROR((VLOOKUP(Tabla13[[#This Row],[ID]],[1]!Mtto_Pesv[[#Headers],[#Data],[Placa]:[Rutina]],3,FALSE)),0)</f>
        <v>0</v>
      </c>
      <c r="AH594" s="20">
        <f>IFERROR((VLOOKUP(Tabla13[[#This Row],[ID]],[1]!Mtto_Pesv[[#Headers],[#Data],[Placa]:[Rutina]],7,FALSE)),0)</f>
        <v>0</v>
      </c>
      <c r="AI594" s="20">
        <f>IFERROR((VLOOKUP(Tabla13[[#This Row],[ID]],[1]!Mtto_Pesv[[#Headers],[#Data],[Placa]:[Rutina]],8,FALSE)),0)</f>
        <v>0</v>
      </c>
      <c r="AJ594" s="20" t="str">
        <f>IFERROR((VLOOKUP(Tabla13[[#This Row],[ID]],[1]!Mtto_Pesv[[#Headers],[#Data],[Placa]:[Rutina]],9,FALSE)),"-")</f>
        <v>-</v>
      </c>
      <c r="AK594" s="20">
        <f>IFERROR((VLOOKUP(Tabla13[[#This Row],[ID]],[1]!Mtto_Pesv[[#Headers],[#Data],[Placa]:[Rutina]],10,FALSE)),0)</f>
        <v>0</v>
      </c>
      <c r="AL594" s="20">
        <f>IF(Tabla13[[#This Row],[Km Anterior]]=0,0,Tabla13[[#This Row],[Km Ejecut]]-Tabla13[[#This Row],[Km Anterior]])</f>
        <v>0</v>
      </c>
      <c r="AM594" s="20">
        <f>IFERROR((VLOOKUP(Tabla13[[#This Row],[ID]],[1]!Mtto_Pesv[[#Headers],[#Data],[Placa]:[Rutina]],4,FALSE)),0)</f>
        <v>0</v>
      </c>
      <c r="AN594" s="21">
        <f>IFERROR((VLOOKUP(Tabla13[[#This Row],[ID]],[1]!Mtto_Pesv[[#Headers],[#Data],[Placa]:[Rutina]],5,FALSE)),0)</f>
        <v>0</v>
      </c>
      <c r="AO594" s="21">
        <f>+Tabla13[[#This Row],[Km Fin]]-Tabla13[[#This Row],[Km Ini]]</f>
        <v>0</v>
      </c>
      <c r="AP594" s="20">
        <f>IFERROR((VLOOKUP(Tabla13[[#This Row],[ID]],[1]!Estilo_Conduccion[[#All],[Placa]:[Puntuacion]],15,FALSE)),0)</f>
        <v>1725.4999999999998</v>
      </c>
      <c r="AQ594" s="15" t="s">
        <v>54</v>
      </c>
      <c r="AR594" s="15" t="s">
        <v>54</v>
      </c>
      <c r="AS594" s="20">
        <v>4135</v>
      </c>
      <c r="AT594" s="21">
        <v>0</v>
      </c>
      <c r="AU594" s="21">
        <f>(Tabla13[[#This Row],[Cap Vh]]*$AX$2)*0.56</f>
        <v>0</v>
      </c>
      <c r="AV594" s="36" t="e">
        <f>(Tabla13[[#This Row],[Cap Util (kg)]]/(Tabla13[[#This Row],[Cap Inst (Kg)]]))</f>
        <v>#DIV/0!</v>
      </c>
    </row>
    <row r="595" spans="1:48" x14ac:dyDescent="0.25">
      <c r="A595" s="13" t="s">
        <v>1068</v>
      </c>
      <c r="B595" s="14" t="s">
        <v>814</v>
      </c>
      <c r="C595" s="14" t="s">
        <v>749</v>
      </c>
      <c r="D595" s="14" t="s">
        <v>750</v>
      </c>
      <c r="E595" s="14" t="s">
        <v>751</v>
      </c>
      <c r="F595" s="14" t="s">
        <v>76</v>
      </c>
      <c r="G595" s="15" t="s">
        <v>89</v>
      </c>
      <c r="H595" s="16" t="s">
        <v>90</v>
      </c>
      <c r="I595" s="14" t="s">
        <v>49</v>
      </c>
      <c r="J595" s="14">
        <v>890300279</v>
      </c>
      <c r="K595" s="14" t="s">
        <v>282</v>
      </c>
      <c r="L595" s="14" t="s">
        <v>103</v>
      </c>
      <c r="M595" s="14" t="s">
        <v>153</v>
      </c>
      <c r="N595" s="14">
        <v>2011</v>
      </c>
      <c r="O595" s="14">
        <v>9</v>
      </c>
      <c r="P595" s="14" t="s">
        <v>53</v>
      </c>
      <c r="Q595" s="14">
        <v>1</v>
      </c>
      <c r="R595" s="14">
        <v>0</v>
      </c>
      <c r="S595" s="17" t="s">
        <v>54</v>
      </c>
      <c r="T595" s="18">
        <v>0</v>
      </c>
      <c r="U595" s="14">
        <v>30</v>
      </c>
      <c r="V595" s="19">
        <v>1</v>
      </c>
      <c r="W595" s="14">
        <v>0</v>
      </c>
      <c r="X595" s="14">
        <v>0</v>
      </c>
      <c r="Y595" s="14">
        <v>0</v>
      </c>
      <c r="Z595" s="14">
        <v>0</v>
      </c>
      <c r="AA595" s="14">
        <f>Tabla13[[#This Row],[CheckList App]]+Tabla13[[#This Row],[CheckList Fisc]]</f>
        <v>0</v>
      </c>
      <c r="AB595" s="19">
        <f t="shared" si="9"/>
        <v>0</v>
      </c>
      <c r="AC595" s="14">
        <v>0</v>
      </c>
      <c r="AD595" s="14" t="s">
        <v>55</v>
      </c>
      <c r="AE595" s="15" t="str">
        <f>IFERROR((VLOOKUP(Tabla13[[#This Row],[ID]],[1]!Mtto_Pesv[[#Headers],[#Data],[Placa]:[Rutina]],2,FALSE)),"-")</f>
        <v>-</v>
      </c>
      <c r="AF595" s="14">
        <v>0</v>
      </c>
      <c r="AG595" s="20">
        <f>IFERROR((VLOOKUP(Tabla13[[#This Row],[ID]],[1]!Mtto_Pesv[[#Headers],[#Data],[Placa]:[Rutina]],3,FALSE)),0)</f>
        <v>0</v>
      </c>
      <c r="AH595" s="20">
        <f>IFERROR((VLOOKUP(Tabla13[[#This Row],[ID]],[1]!Mtto_Pesv[[#Headers],[#Data],[Placa]:[Rutina]],7,FALSE)),0)</f>
        <v>0</v>
      </c>
      <c r="AI595" s="20">
        <f>IFERROR((VLOOKUP(Tabla13[[#This Row],[ID]],[1]!Mtto_Pesv[[#Headers],[#Data],[Placa]:[Rutina]],8,FALSE)),0)</f>
        <v>0</v>
      </c>
      <c r="AJ595" s="20" t="str">
        <f>IFERROR((VLOOKUP(Tabla13[[#This Row],[ID]],[1]!Mtto_Pesv[[#Headers],[#Data],[Placa]:[Rutina]],9,FALSE)),"-")</f>
        <v>-</v>
      </c>
      <c r="AK595" s="20">
        <f>IFERROR((VLOOKUP(Tabla13[[#This Row],[ID]],[1]!Mtto_Pesv[[#Headers],[#Data],[Placa]:[Rutina]],10,FALSE)),0)</f>
        <v>0</v>
      </c>
      <c r="AL595" s="20">
        <f>IF(Tabla13[[#This Row],[Km Anterior]]=0,0,Tabla13[[#This Row],[Km Ejecut]]-Tabla13[[#This Row],[Km Anterior]])</f>
        <v>0</v>
      </c>
      <c r="AM595" s="20">
        <f>IFERROR((VLOOKUP(Tabla13[[#This Row],[ID]],[1]!Mtto_Pesv[[#Headers],[#Data],[Placa]:[Rutina]],4,FALSE)),0)</f>
        <v>0</v>
      </c>
      <c r="AN595" s="21">
        <f>IFERROR((VLOOKUP(Tabla13[[#This Row],[ID]],[1]!Mtto_Pesv[[#Headers],[#Data],[Placa]:[Rutina]],5,FALSE)),0)</f>
        <v>0</v>
      </c>
      <c r="AO595" s="21">
        <f>+Tabla13[[#This Row],[Km Fin]]-Tabla13[[#This Row],[Km Ini]]</f>
        <v>0</v>
      </c>
      <c r="AP595" s="20">
        <f>IFERROR((VLOOKUP(Tabla13[[#This Row],[ID]],[1]!Estilo_Conduccion[[#All],[Placa]:[Puntuacion]],15,FALSE)),0)</f>
        <v>299.10000000000002</v>
      </c>
      <c r="AQ595" s="15" t="s">
        <v>1069</v>
      </c>
      <c r="AR595" s="15" t="s">
        <v>809</v>
      </c>
      <c r="AS595" s="20">
        <v>4135</v>
      </c>
      <c r="AT595" s="21">
        <v>0</v>
      </c>
      <c r="AU595" s="21">
        <f>(Tabla13[[#This Row],[Cap Vh]]*$AX$2)*0.56</f>
        <v>0</v>
      </c>
      <c r="AV595" s="36" t="e">
        <f>(Tabla13[[#This Row],[Cap Util (kg)]]/(Tabla13[[#This Row],[Cap Inst (Kg)]]))</f>
        <v>#DIV/0!</v>
      </c>
    </row>
    <row r="596" spans="1:48" x14ac:dyDescent="0.25">
      <c r="A596" s="13" t="s">
        <v>1068</v>
      </c>
      <c r="B596" s="14" t="s">
        <v>815</v>
      </c>
      <c r="C596" s="14" t="s">
        <v>749</v>
      </c>
      <c r="D596" s="14" t="s">
        <v>750</v>
      </c>
      <c r="E596" s="14" t="s">
        <v>763</v>
      </c>
      <c r="F596" s="14" t="s">
        <v>64</v>
      </c>
      <c r="G596" s="15" t="s">
        <v>119</v>
      </c>
      <c r="H596" s="16" t="s">
        <v>120</v>
      </c>
      <c r="I596" s="14" t="s">
        <v>49</v>
      </c>
      <c r="J596" s="14">
        <v>900335279</v>
      </c>
      <c r="K596" s="14" t="s">
        <v>77</v>
      </c>
      <c r="L596" s="14" t="s">
        <v>103</v>
      </c>
      <c r="M596" s="14" t="s">
        <v>153</v>
      </c>
      <c r="N596" s="14">
        <v>2012</v>
      </c>
      <c r="O596" s="14">
        <v>8</v>
      </c>
      <c r="P596" s="14" t="s">
        <v>53</v>
      </c>
      <c r="Q596" s="14">
        <v>1</v>
      </c>
      <c r="R596" s="14">
        <v>1</v>
      </c>
      <c r="S596" s="17">
        <v>44810.301898148151</v>
      </c>
      <c r="T596" s="18">
        <v>33.111999999999995</v>
      </c>
      <c r="U596" s="14">
        <v>7</v>
      </c>
      <c r="V596" s="19">
        <v>0.23333333333333334</v>
      </c>
      <c r="W596" s="14">
        <v>0</v>
      </c>
      <c r="X596" s="14">
        <v>4</v>
      </c>
      <c r="Y596" s="14">
        <v>3</v>
      </c>
      <c r="Z596" s="14">
        <v>0</v>
      </c>
      <c r="AA596" s="14">
        <f>Tabla13[[#This Row],[CheckList App]]+Tabla13[[#This Row],[CheckList Fisc]]</f>
        <v>3</v>
      </c>
      <c r="AB596" s="19">
        <f t="shared" si="9"/>
        <v>0.75</v>
      </c>
      <c r="AC596" s="14">
        <v>10</v>
      </c>
      <c r="AD596" s="14" t="s">
        <v>70</v>
      </c>
      <c r="AE596" s="22" t="str">
        <f>IFERROR((VLOOKUP(Tabla13[[#This Row],[ID]],[1]!Mtto_Pesv[[#Headers],[#Data],[Placa]:[Rutina]],2,FALSE)),"-")</f>
        <v>-</v>
      </c>
      <c r="AF596" s="14">
        <v>1</v>
      </c>
      <c r="AG596" s="20">
        <f>IFERROR((VLOOKUP(Tabla13[[#This Row],[ID]],[1]!Mtto_Pesv[[#Headers],[#Data],[Placa]:[Rutina]],3,FALSE)),0)</f>
        <v>0</v>
      </c>
      <c r="AH596" s="20">
        <f>IFERROR((VLOOKUP(Tabla13[[#This Row],[ID]],[1]!Mtto_Pesv[[#Headers],[#Data],[Placa]:[Rutina]],7,FALSE)),0)</f>
        <v>0</v>
      </c>
      <c r="AI596" s="20">
        <f>IFERROR((VLOOKUP(Tabla13[[#This Row],[ID]],[1]!Mtto_Pesv[[#Headers],[#Data],[Placa]:[Rutina]],8,FALSE)),0)</f>
        <v>0</v>
      </c>
      <c r="AJ596" s="20" t="str">
        <f>IFERROR((VLOOKUP(Tabla13[[#This Row],[ID]],[1]!Mtto_Pesv[[#Headers],[#Data],[Placa]:[Rutina]],9,FALSE)),"-")</f>
        <v>-</v>
      </c>
      <c r="AK596" s="20">
        <f>IFERROR((VLOOKUP(Tabla13[[#This Row],[ID]],[1]!Mtto_Pesv[[#Headers],[#Data],[Placa]:[Rutina]],10,FALSE)),0)</f>
        <v>0</v>
      </c>
      <c r="AL596" s="20">
        <f>IF(Tabla13[[#This Row],[Km Anterior]]=0,0,Tabla13[[#This Row],[Km Ejecut]]-Tabla13[[#This Row],[Km Anterior]])</f>
        <v>0</v>
      </c>
      <c r="AM596" s="20">
        <f>IFERROR((VLOOKUP(Tabla13[[#This Row],[ID]],[1]!Mtto_Pesv[[#Headers],[#Data],[Placa]:[Rutina]],4,FALSE)),0)</f>
        <v>0</v>
      </c>
      <c r="AN596" s="21">
        <f>IFERROR((VLOOKUP(Tabla13[[#This Row],[ID]],[1]!Mtto_Pesv[[#Headers],[#Data],[Placa]:[Rutina]],5,FALSE)),0)</f>
        <v>0</v>
      </c>
      <c r="AO596" s="21">
        <f>+Tabla13[[#This Row],[Km Fin]]-Tabla13[[#This Row],[Km Ini]]</f>
        <v>0</v>
      </c>
      <c r="AP596" s="20">
        <f>IFERROR((VLOOKUP(Tabla13[[#This Row],[ID]],[1]!Estilo_Conduccion[[#All],[Placa]:[Puntuacion]],15,FALSE)),0)</f>
        <v>0</v>
      </c>
      <c r="AQ596" s="15" t="s">
        <v>54</v>
      </c>
      <c r="AR596" s="15" t="s">
        <v>54</v>
      </c>
      <c r="AS596" s="20">
        <v>4135</v>
      </c>
      <c r="AT596" s="21">
        <v>0</v>
      </c>
      <c r="AU596" s="21">
        <f>(Tabla13[[#This Row],[Cap Vh]]*$AX$2)*0.56</f>
        <v>0</v>
      </c>
      <c r="AV596" s="36" t="e">
        <f>(Tabla13[[#This Row],[Cap Util (kg)]]/(Tabla13[[#This Row],[Cap Inst (Kg)]]))</f>
        <v>#DIV/0!</v>
      </c>
    </row>
    <row r="597" spans="1:48" x14ac:dyDescent="0.25">
      <c r="A597" s="13" t="s">
        <v>1068</v>
      </c>
      <c r="B597" s="14" t="s">
        <v>816</v>
      </c>
      <c r="C597" s="14" t="s">
        <v>749</v>
      </c>
      <c r="D597" s="14" t="s">
        <v>750</v>
      </c>
      <c r="E597" s="14" t="s">
        <v>770</v>
      </c>
      <c r="F597" s="14" t="s">
        <v>64</v>
      </c>
      <c r="G597" s="15" t="s">
        <v>119</v>
      </c>
      <c r="H597" s="16" t="s">
        <v>120</v>
      </c>
      <c r="I597" s="14" t="s">
        <v>49</v>
      </c>
      <c r="J597" s="14">
        <v>890300279</v>
      </c>
      <c r="K597" s="14" t="s">
        <v>282</v>
      </c>
      <c r="L597" s="14" t="s">
        <v>103</v>
      </c>
      <c r="M597" s="14" t="s">
        <v>104</v>
      </c>
      <c r="N597" s="14">
        <v>2012</v>
      </c>
      <c r="O597" s="14">
        <v>8</v>
      </c>
      <c r="P597" s="14" t="s">
        <v>53</v>
      </c>
      <c r="Q597" s="14">
        <v>1</v>
      </c>
      <c r="R597" s="14">
        <v>0</v>
      </c>
      <c r="S597" s="17" t="s">
        <v>54</v>
      </c>
      <c r="T597" s="18">
        <v>0</v>
      </c>
      <c r="U597" s="14">
        <v>30</v>
      </c>
      <c r="V597" s="19">
        <v>1</v>
      </c>
      <c r="W597" s="14">
        <v>0</v>
      </c>
      <c r="X597" s="14">
        <v>0</v>
      </c>
      <c r="Y597" s="14">
        <v>0</v>
      </c>
      <c r="Z597" s="14">
        <v>0</v>
      </c>
      <c r="AA597" s="14">
        <f>Tabla13[[#This Row],[CheckList App]]+Tabla13[[#This Row],[CheckList Fisc]]</f>
        <v>0</v>
      </c>
      <c r="AB597" s="19">
        <f t="shared" si="9"/>
        <v>0</v>
      </c>
      <c r="AC597" s="14">
        <v>2</v>
      </c>
      <c r="AD597" s="14" t="s">
        <v>70</v>
      </c>
      <c r="AE597" s="22" t="str">
        <f>IFERROR((VLOOKUP(Tabla13[[#This Row],[ID]],[1]!Mtto_Pesv[[#Headers],[#Data],[Placa]:[Rutina]],2,FALSE)),"-")</f>
        <v>-</v>
      </c>
      <c r="AF597" s="14">
        <v>1</v>
      </c>
      <c r="AG597" s="20">
        <f>IFERROR((VLOOKUP(Tabla13[[#This Row],[ID]],[1]!Mtto_Pesv[[#Headers],[#Data],[Placa]:[Rutina]],3,FALSE)),0)</f>
        <v>0</v>
      </c>
      <c r="AH597" s="20">
        <f>IFERROR((VLOOKUP(Tabla13[[#This Row],[ID]],[1]!Mtto_Pesv[[#Headers],[#Data],[Placa]:[Rutina]],7,FALSE)),0)</f>
        <v>0</v>
      </c>
      <c r="AI597" s="20">
        <f>IFERROR((VLOOKUP(Tabla13[[#This Row],[ID]],[1]!Mtto_Pesv[[#Headers],[#Data],[Placa]:[Rutina]],8,FALSE)),0)</f>
        <v>0</v>
      </c>
      <c r="AJ597" s="20" t="str">
        <f>IFERROR((VLOOKUP(Tabla13[[#This Row],[ID]],[1]!Mtto_Pesv[[#Headers],[#Data],[Placa]:[Rutina]],9,FALSE)),"-")</f>
        <v>-</v>
      </c>
      <c r="AK597" s="20">
        <f>IFERROR((VLOOKUP(Tabla13[[#This Row],[ID]],[1]!Mtto_Pesv[[#Headers],[#Data],[Placa]:[Rutina]],10,FALSE)),0)</f>
        <v>0</v>
      </c>
      <c r="AL597" s="20">
        <f>IF(Tabla13[[#This Row],[Km Anterior]]=0,0,Tabla13[[#This Row],[Km Ejecut]]-Tabla13[[#This Row],[Km Anterior]])</f>
        <v>0</v>
      </c>
      <c r="AM597" s="20">
        <f>IFERROR((VLOOKUP(Tabla13[[#This Row],[ID]],[1]!Mtto_Pesv[[#Headers],[#Data],[Placa]:[Rutina]],4,FALSE)),0)</f>
        <v>0</v>
      </c>
      <c r="AN597" s="21">
        <f>IFERROR((VLOOKUP(Tabla13[[#This Row],[ID]],[1]!Mtto_Pesv[[#Headers],[#Data],[Placa]:[Rutina]],5,FALSE)),0)</f>
        <v>0</v>
      </c>
      <c r="AO597" s="21">
        <f>+Tabla13[[#This Row],[Km Fin]]-Tabla13[[#This Row],[Km Ini]]</f>
        <v>0</v>
      </c>
      <c r="AP597" s="20">
        <f>IFERROR((VLOOKUP(Tabla13[[#This Row],[ID]],[1]!Estilo_Conduccion[[#All],[Placa]:[Puntuacion]],15,FALSE)),0)</f>
        <v>0</v>
      </c>
      <c r="AQ597" s="15" t="s">
        <v>54</v>
      </c>
      <c r="AR597" s="15" t="s">
        <v>54</v>
      </c>
      <c r="AS597" s="20">
        <v>1325</v>
      </c>
      <c r="AT597" s="21">
        <v>0</v>
      </c>
      <c r="AU597" s="21">
        <f>(Tabla13[[#This Row],[Cap Vh]]*$AX$2)*0.56</f>
        <v>0</v>
      </c>
      <c r="AV597" s="36" t="e">
        <f>(Tabla13[[#This Row],[Cap Util (kg)]]/(Tabla13[[#This Row],[Cap Inst (Kg)]]))</f>
        <v>#DIV/0!</v>
      </c>
    </row>
    <row r="598" spans="1:48" x14ac:dyDescent="0.25">
      <c r="A598" s="13" t="s">
        <v>1068</v>
      </c>
      <c r="B598" s="14" t="s">
        <v>817</v>
      </c>
      <c r="C598" s="14" t="s">
        <v>749</v>
      </c>
      <c r="D598" s="14" t="s">
        <v>750</v>
      </c>
      <c r="E598" s="14" t="s">
        <v>751</v>
      </c>
      <c r="F598" s="14" t="s">
        <v>64</v>
      </c>
      <c r="G598" s="15" t="s">
        <v>128</v>
      </c>
      <c r="H598" s="16" t="s">
        <v>143</v>
      </c>
      <c r="I598" s="14" t="s">
        <v>49</v>
      </c>
      <c r="J598" s="14">
        <v>890300279</v>
      </c>
      <c r="K598" s="14" t="s">
        <v>282</v>
      </c>
      <c r="L598" s="14" t="s">
        <v>103</v>
      </c>
      <c r="M598" s="14" t="s">
        <v>104</v>
      </c>
      <c r="N598" s="14">
        <v>2012</v>
      </c>
      <c r="O598" s="14">
        <v>8</v>
      </c>
      <c r="P598" s="14" t="s">
        <v>53</v>
      </c>
      <c r="Q598" s="14">
        <v>1</v>
      </c>
      <c r="R598" s="14">
        <v>1</v>
      </c>
      <c r="S598" s="17">
        <v>44834.43472222222</v>
      </c>
      <c r="T598" s="18">
        <v>100.18899999999999</v>
      </c>
      <c r="U598" s="14">
        <v>30</v>
      </c>
      <c r="V598" s="19">
        <v>1</v>
      </c>
      <c r="W598" s="14">
        <v>0</v>
      </c>
      <c r="X598" s="14">
        <v>25</v>
      </c>
      <c r="Y598" s="14">
        <v>0</v>
      </c>
      <c r="Z598" s="14">
        <v>21</v>
      </c>
      <c r="AA598" s="14">
        <f>Tabla13[[#This Row],[CheckList App]]+Tabla13[[#This Row],[CheckList Fisc]]</f>
        <v>21</v>
      </c>
      <c r="AB598" s="19">
        <f t="shared" si="9"/>
        <v>0.84</v>
      </c>
      <c r="AC598" s="14">
        <v>4</v>
      </c>
      <c r="AD598" s="14" t="s">
        <v>70</v>
      </c>
      <c r="AE598" s="15" t="str">
        <f>IFERROR((VLOOKUP(Tabla13[[#This Row],[ID]],[1]!Mtto_Pesv[[#Headers],[#Data],[Placa]:[Rutina]],2,FALSE)),"-")</f>
        <v>-</v>
      </c>
      <c r="AF598" s="14">
        <v>1</v>
      </c>
      <c r="AG598" s="20">
        <f>IFERROR((VLOOKUP(Tabla13[[#This Row],[ID]],[1]!Mtto_Pesv[[#Headers],[#Data],[Placa]:[Rutina]],3,FALSE)),0)</f>
        <v>0</v>
      </c>
      <c r="AH598" s="20">
        <f>IFERROR((VLOOKUP(Tabla13[[#This Row],[ID]],[1]!Mtto_Pesv[[#Headers],[#Data],[Placa]:[Rutina]],7,FALSE)),0)</f>
        <v>0</v>
      </c>
      <c r="AI598" s="20">
        <f>IFERROR((VLOOKUP(Tabla13[[#This Row],[ID]],[1]!Mtto_Pesv[[#Headers],[#Data],[Placa]:[Rutina]],8,FALSE)),0)</f>
        <v>0</v>
      </c>
      <c r="AJ598" s="20" t="str">
        <f>IFERROR((VLOOKUP(Tabla13[[#This Row],[ID]],[1]!Mtto_Pesv[[#Headers],[#Data],[Placa]:[Rutina]],9,FALSE)),"-")</f>
        <v>-</v>
      </c>
      <c r="AK598" s="20">
        <f>IFERROR((VLOOKUP(Tabla13[[#This Row],[ID]],[1]!Mtto_Pesv[[#Headers],[#Data],[Placa]:[Rutina]],10,FALSE)),0)</f>
        <v>0</v>
      </c>
      <c r="AL598" s="20">
        <f>IF(Tabla13[[#This Row],[Km Anterior]]=0,0,Tabla13[[#This Row],[Km Ejecut]]-Tabla13[[#This Row],[Km Anterior]])</f>
        <v>0</v>
      </c>
      <c r="AM598" s="20">
        <f>IFERROR((VLOOKUP(Tabla13[[#This Row],[ID]],[1]!Mtto_Pesv[[#Headers],[#Data],[Placa]:[Rutina]],4,FALSE)),0)</f>
        <v>0</v>
      </c>
      <c r="AN598" s="21">
        <f>IFERROR((VLOOKUP(Tabla13[[#This Row],[ID]],[1]!Mtto_Pesv[[#Headers],[#Data],[Placa]:[Rutina]],5,FALSE)),0)</f>
        <v>0</v>
      </c>
      <c r="AO598" s="21">
        <f>+Tabla13[[#This Row],[Km Fin]]-Tabla13[[#This Row],[Km Ini]]</f>
        <v>0</v>
      </c>
      <c r="AP598" s="20">
        <f>IFERROR((VLOOKUP(Tabla13[[#This Row],[ID]],[1]!Estilo_Conduccion[[#All],[Placa]:[Puntuacion]],15,FALSE)),0)</f>
        <v>13.700000000000003</v>
      </c>
      <c r="AQ598" s="15" t="s">
        <v>54</v>
      </c>
      <c r="AR598" s="15" t="s">
        <v>54</v>
      </c>
      <c r="AS598" s="20">
        <v>1325</v>
      </c>
      <c r="AT598" s="21">
        <v>0</v>
      </c>
      <c r="AU598" s="21">
        <f>(Tabla13[[#This Row],[Cap Vh]]*$AX$2)*0.56</f>
        <v>0</v>
      </c>
      <c r="AV598" s="36" t="e">
        <f>(Tabla13[[#This Row],[Cap Util (kg)]]/(Tabla13[[#This Row],[Cap Inst (Kg)]]))</f>
        <v>#DIV/0!</v>
      </c>
    </row>
    <row r="599" spans="1:48" x14ac:dyDescent="0.25">
      <c r="A599" s="13" t="s">
        <v>1068</v>
      </c>
      <c r="B599" s="14" t="s">
        <v>818</v>
      </c>
      <c r="C599" s="14" t="s">
        <v>749</v>
      </c>
      <c r="D599" s="14" t="s">
        <v>750</v>
      </c>
      <c r="E599" s="14" t="s">
        <v>751</v>
      </c>
      <c r="F599" s="14" t="s">
        <v>752</v>
      </c>
      <c r="G599" s="15" t="s">
        <v>47</v>
      </c>
      <c r="H599" s="16" t="s">
        <v>48</v>
      </c>
      <c r="I599" s="14" t="s">
        <v>49</v>
      </c>
      <c r="J599" s="14">
        <v>890300279</v>
      </c>
      <c r="K599" s="14" t="s">
        <v>282</v>
      </c>
      <c r="L599" s="14" t="s">
        <v>103</v>
      </c>
      <c r="M599" s="14" t="s">
        <v>104</v>
      </c>
      <c r="N599" s="14">
        <v>2012</v>
      </c>
      <c r="O599" s="14">
        <v>8</v>
      </c>
      <c r="P599" s="14" t="s">
        <v>53</v>
      </c>
      <c r="Q599" s="14">
        <v>1</v>
      </c>
      <c r="R599" s="14">
        <v>0</v>
      </c>
      <c r="S599" s="17" t="s">
        <v>54</v>
      </c>
      <c r="T599" s="18">
        <v>0</v>
      </c>
      <c r="U599" s="14">
        <v>30</v>
      </c>
      <c r="V599" s="19">
        <v>1</v>
      </c>
      <c r="W599" s="14">
        <v>0</v>
      </c>
      <c r="X599" s="14">
        <v>0</v>
      </c>
      <c r="Y599" s="14">
        <v>0</v>
      </c>
      <c r="Z599" s="14">
        <v>0</v>
      </c>
      <c r="AA599" s="14">
        <f>Tabla13[[#This Row],[CheckList App]]+Tabla13[[#This Row],[CheckList Fisc]]</f>
        <v>0</v>
      </c>
      <c r="AB599" s="19">
        <f t="shared" si="9"/>
        <v>0</v>
      </c>
      <c r="AC599" s="14">
        <v>0</v>
      </c>
      <c r="AD599" s="14" t="s">
        <v>55</v>
      </c>
      <c r="AE599" s="15" t="str">
        <f>IFERROR((VLOOKUP(Tabla13[[#This Row],[ID]],[1]!Mtto_Pesv[[#Headers],[#Data],[Placa]:[Rutina]],2,FALSE)),"-")</f>
        <v>-</v>
      </c>
      <c r="AF599" s="14">
        <v>0</v>
      </c>
      <c r="AG599" s="20">
        <f>IFERROR((VLOOKUP(Tabla13[[#This Row],[ID]],[1]!Mtto_Pesv[[#Headers],[#Data],[Placa]:[Rutina]],3,FALSE)),0)</f>
        <v>0</v>
      </c>
      <c r="AH599" s="20">
        <f>IFERROR((VLOOKUP(Tabla13[[#This Row],[ID]],[1]!Mtto_Pesv[[#Headers],[#Data],[Placa]:[Rutina]],7,FALSE)),0)</f>
        <v>0</v>
      </c>
      <c r="AI599" s="20">
        <f>IFERROR((VLOOKUP(Tabla13[[#This Row],[ID]],[1]!Mtto_Pesv[[#Headers],[#Data],[Placa]:[Rutina]],8,FALSE)),0)</f>
        <v>0</v>
      </c>
      <c r="AJ599" s="20" t="str">
        <f>IFERROR((VLOOKUP(Tabla13[[#This Row],[ID]],[1]!Mtto_Pesv[[#Headers],[#Data],[Placa]:[Rutina]],9,FALSE)),"-")</f>
        <v>-</v>
      </c>
      <c r="AK599" s="20">
        <f>IFERROR((VLOOKUP(Tabla13[[#This Row],[ID]],[1]!Mtto_Pesv[[#Headers],[#Data],[Placa]:[Rutina]],10,FALSE)),0)</f>
        <v>0</v>
      </c>
      <c r="AL599" s="20">
        <f>IF(Tabla13[[#This Row],[Km Anterior]]=0,0,Tabla13[[#This Row],[Km Ejecut]]-Tabla13[[#This Row],[Km Anterior]])</f>
        <v>0</v>
      </c>
      <c r="AM599" s="20">
        <f>IFERROR((VLOOKUP(Tabla13[[#This Row],[ID]],[1]!Mtto_Pesv[[#Headers],[#Data],[Placa]:[Rutina]],4,FALSE)),0)</f>
        <v>0</v>
      </c>
      <c r="AN599" s="21">
        <f>IFERROR((VLOOKUP(Tabla13[[#This Row],[ID]],[1]!Mtto_Pesv[[#Headers],[#Data],[Placa]:[Rutina]],5,FALSE)),0)</f>
        <v>0</v>
      </c>
      <c r="AO599" s="21">
        <f>+Tabla13[[#This Row],[Km Fin]]-Tabla13[[#This Row],[Km Ini]]</f>
        <v>0</v>
      </c>
      <c r="AP599" s="20">
        <f>IFERROR((VLOOKUP(Tabla13[[#This Row],[ID]],[1]!Estilo_Conduccion[[#All],[Placa]:[Puntuacion]],15,FALSE)),0)</f>
        <v>675.6</v>
      </c>
      <c r="AQ599" s="15" t="s">
        <v>1442</v>
      </c>
      <c r="AR599" s="15" t="s">
        <v>1443</v>
      </c>
      <c r="AS599" s="20">
        <v>1325</v>
      </c>
      <c r="AT599" s="21">
        <v>9275.25</v>
      </c>
      <c r="AU599" s="21">
        <f>(Tabla13[[#This Row],[Cap Vh]]*$AX$2)*0.56</f>
        <v>0</v>
      </c>
      <c r="AV599" s="36" t="e">
        <f>(Tabla13[[#This Row],[Cap Util (kg)]]/(Tabla13[[#This Row],[Cap Inst (Kg)]]))</f>
        <v>#DIV/0!</v>
      </c>
    </row>
    <row r="600" spans="1:48" x14ac:dyDescent="0.25">
      <c r="A600" s="13" t="s">
        <v>1068</v>
      </c>
      <c r="B600" s="14" t="s">
        <v>819</v>
      </c>
      <c r="C600" s="14" t="s">
        <v>749</v>
      </c>
      <c r="D600" s="14" t="s">
        <v>750</v>
      </c>
      <c r="E600" s="14" t="s">
        <v>751</v>
      </c>
      <c r="F600" s="14" t="s">
        <v>752</v>
      </c>
      <c r="G600" s="15" t="s">
        <v>128</v>
      </c>
      <c r="H600" s="16" t="s">
        <v>129</v>
      </c>
      <c r="I600" s="14" t="s">
        <v>49</v>
      </c>
      <c r="J600" s="14">
        <v>890300279</v>
      </c>
      <c r="K600" s="14" t="s">
        <v>282</v>
      </c>
      <c r="L600" s="14" t="s">
        <v>103</v>
      </c>
      <c r="M600" s="14" t="s">
        <v>104</v>
      </c>
      <c r="N600" s="14">
        <v>2012</v>
      </c>
      <c r="O600" s="14">
        <v>8</v>
      </c>
      <c r="P600" s="14" t="s">
        <v>53</v>
      </c>
      <c r="Q600" s="14">
        <v>1</v>
      </c>
      <c r="R600" s="14">
        <v>0</v>
      </c>
      <c r="S600" s="17" t="s">
        <v>54</v>
      </c>
      <c r="T600" s="18">
        <v>0</v>
      </c>
      <c r="U600" s="14">
        <v>30</v>
      </c>
      <c r="V600" s="19">
        <v>1</v>
      </c>
      <c r="W600" s="14">
        <v>0</v>
      </c>
      <c r="X600" s="14">
        <v>8</v>
      </c>
      <c r="Y600" s="14">
        <v>0</v>
      </c>
      <c r="Z600" s="14">
        <v>1</v>
      </c>
      <c r="AA600" s="14">
        <f>Tabla13[[#This Row],[CheckList App]]+Tabla13[[#This Row],[CheckList Fisc]]</f>
        <v>1</v>
      </c>
      <c r="AB600" s="19">
        <f t="shared" si="9"/>
        <v>0.125</v>
      </c>
      <c r="AC600" s="14">
        <v>0</v>
      </c>
      <c r="AD600" s="14" t="s">
        <v>70</v>
      </c>
      <c r="AE600" s="15" t="str">
        <f>IFERROR((VLOOKUP(Tabla13[[#This Row],[ID]],[1]!Mtto_Pesv[[#Headers],[#Data],[Placa]:[Rutina]],2,FALSE)),"-")</f>
        <v>-</v>
      </c>
      <c r="AF600" s="14">
        <v>1</v>
      </c>
      <c r="AG600" s="20">
        <f>IFERROR((VLOOKUP(Tabla13[[#This Row],[ID]],[1]!Mtto_Pesv[[#Headers],[#Data],[Placa]:[Rutina]],3,FALSE)),0)</f>
        <v>0</v>
      </c>
      <c r="AH600" s="20">
        <f>IFERROR((VLOOKUP(Tabla13[[#This Row],[ID]],[1]!Mtto_Pesv[[#Headers],[#Data],[Placa]:[Rutina]],7,FALSE)),0)</f>
        <v>0</v>
      </c>
      <c r="AI600" s="20">
        <f>IFERROR((VLOOKUP(Tabla13[[#This Row],[ID]],[1]!Mtto_Pesv[[#Headers],[#Data],[Placa]:[Rutina]],8,FALSE)),0)</f>
        <v>0</v>
      </c>
      <c r="AJ600" s="20" t="str">
        <f>IFERROR((VLOOKUP(Tabla13[[#This Row],[ID]],[1]!Mtto_Pesv[[#Headers],[#Data],[Placa]:[Rutina]],9,FALSE)),"-")</f>
        <v>-</v>
      </c>
      <c r="AK600" s="20">
        <f>IFERROR((VLOOKUP(Tabla13[[#This Row],[ID]],[1]!Mtto_Pesv[[#Headers],[#Data],[Placa]:[Rutina]],10,FALSE)),0)</f>
        <v>0</v>
      </c>
      <c r="AL600" s="20">
        <f>IF(Tabla13[[#This Row],[Km Anterior]]=0,0,Tabla13[[#This Row],[Km Ejecut]]-Tabla13[[#This Row],[Km Anterior]])</f>
        <v>0</v>
      </c>
      <c r="AM600" s="20">
        <f>IFERROR((VLOOKUP(Tabla13[[#This Row],[ID]],[1]!Mtto_Pesv[[#Headers],[#Data],[Placa]:[Rutina]],4,FALSE)),0)</f>
        <v>0</v>
      </c>
      <c r="AN600" s="21">
        <f>IFERROR((VLOOKUP(Tabla13[[#This Row],[ID]],[1]!Mtto_Pesv[[#Headers],[#Data],[Placa]:[Rutina]],5,FALSE)),0)</f>
        <v>0</v>
      </c>
      <c r="AO600" s="21">
        <f>+Tabla13[[#This Row],[Km Fin]]-Tabla13[[#This Row],[Km Ini]]</f>
        <v>0</v>
      </c>
      <c r="AP600" s="20">
        <f>IFERROR((VLOOKUP(Tabla13[[#This Row],[ID]],[1]!Estilo_Conduccion[[#All],[Placa]:[Puntuacion]],15,FALSE)),0)</f>
        <v>0</v>
      </c>
      <c r="AQ600" s="15" t="s">
        <v>1444</v>
      </c>
      <c r="AR600" s="15" t="s">
        <v>1445</v>
      </c>
      <c r="AS600" s="20">
        <v>1325</v>
      </c>
      <c r="AT600" s="21">
        <v>3260.25</v>
      </c>
      <c r="AU600" s="21">
        <f>(Tabla13[[#This Row],[Cap Vh]]*$AX$2)*0.56</f>
        <v>0</v>
      </c>
      <c r="AV600" s="36" t="e">
        <f>(Tabla13[[#This Row],[Cap Util (kg)]]/(Tabla13[[#This Row],[Cap Inst (Kg)]]))</f>
        <v>#DIV/0!</v>
      </c>
    </row>
    <row r="601" spans="1:48" x14ac:dyDescent="0.25">
      <c r="A601" s="13" t="s">
        <v>1068</v>
      </c>
      <c r="B601" s="14" t="s">
        <v>820</v>
      </c>
      <c r="C601" s="14" t="s">
        <v>749</v>
      </c>
      <c r="D601" s="14" t="s">
        <v>750</v>
      </c>
      <c r="E601" s="14" t="s">
        <v>751</v>
      </c>
      <c r="F601" s="14" t="s">
        <v>76</v>
      </c>
      <c r="G601" s="15" t="s">
        <v>89</v>
      </c>
      <c r="H601" s="16" t="s">
        <v>90</v>
      </c>
      <c r="I601" s="14" t="s">
        <v>49</v>
      </c>
      <c r="J601" s="14">
        <v>890300279</v>
      </c>
      <c r="K601" s="14" t="s">
        <v>282</v>
      </c>
      <c r="L601" s="14" t="s">
        <v>103</v>
      </c>
      <c r="M601" s="14" t="s">
        <v>104</v>
      </c>
      <c r="N601" s="14">
        <v>2012</v>
      </c>
      <c r="O601" s="14">
        <v>8</v>
      </c>
      <c r="P601" s="14" t="s">
        <v>53</v>
      </c>
      <c r="Q601" s="14">
        <v>0</v>
      </c>
      <c r="R601" s="14">
        <v>0</v>
      </c>
      <c r="S601" s="17" t="s">
        <v>54</v>
      </c>
      <c r="T601" s="18">
        <v>0</v>
      </c>
      <c r="U601" s="14">
        <v>0</v>
      </c>
      <c r="V601" s="19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f>Tabla13[[#This Row],[CheckList App]]+Tabla13[[#This Row],[CheckList Fisc]]</f>
        <v>0</v>
      </c>
      <c r="AB601" s="19" t="str">
        <f t="shared" si="9"/>
        <v/>
      </c>
      <c r="AC601" s="14">
        <v>0</v>
      </c>
      <c r="AD601" s="14" t="s">
        <v>55</v>
      </c>
      <c r="AE601" s="22" t="str">
        <f>IFERROR((VLOOKUP(Tabla13[[#This Row],[ID]],[1]!Mtto_Pesv[[#Headers],[#Data],[Placa]:[Rutina]],2,FALSE)),"-")</f>
        <v>-</v>
      </c>
      <c r="AF601" s="14">
        <v>0</v>
      </c>
      <c r="AG601" s="20">
        <f>IFERROR((VLOOKUP(Tabla13[[#This Row],[ID]],[1]!Mtto_Pesv[[#Headers],[#Data],[Placa]:[Rutina]],3,FALSE)),0)</f>
        <v>0</v>
      </c>
      <c r="AH601" s="20">
        <f>IFERROR((VLOOKUP(Tabla13[[#This Row],[ID]],[1]!Mtto_Pesv[[#Headers],[#Data],[Placa]:[Rutina]],7,FALSE)),0)</f>
        <v>0</v>
      </c>
      <c r="AI601" s="20">
        <f>IFERROR((VLOOKUP(Tabla13[[#This Row],[ID]],[1]!Mtto_Pesv[[#Headers],[#Data],[Placa]:[Rutina]],8,FALSE)),0)</f>
        <v>0</v>
      </c>
      <c r="AJ601" s="20" t="str">
        <f>IFERROR((VLOOKUP(Tabla13[[#This Row],[ID]],[1]!Mtto_Pesv[[#Headers],[#Data],[Placa]:[Rutina]],9,FALSE)),"-")</f>
        <v>-</v>
      </c>
      <c r="AK601" s="20">
        <f>IFERROR((VLOOKUP(Tabla13[[#This Row],[ID]],[1]!Mtto_Pesv[[#Headers],[#Data],[Placa]:[Rutina]],10,FALSE)),0)</f>
        <v>0</v>
      </c>
      <c r="AL601" s="20">
        <f>IF(Tabla13[[#This Row],[Km Anterior]]=0,0,Tabla13[[#This Row],[Km Ejecut]]-Tabla13[[#This Row],[Km Anterior]])</f>
        <v>0</v>
      </c>
      <c r="AM601" s="20">
        <f>IFERROR((VLOOKUP(Tabla13[[#This Row],[ID]],[1]!Mtto_Pesv[[#Headers],[#Data],[Placa]:[Rutina]],4,FALSE)),0)</f>
        <v>0</v>
      </c>
      <c r="AN601" s="21">
        <f>IFERROR((VLOOKUP(Tabla13[[#This Row],[ID]],[1]!Mtto_Pesv[[#Headers],[#Data],[Placa]:[Rutina]],5,FALSE)),0)</f>
        <v>0</v>
      </c>
      <c r="AO601" s="21">
        <f>+Tabla13[[#This Row],[Km Fin]]-Tabla13[[#This Row],[Km Ini]]</f>
        <v>0</v>
      </c>
      <c r="AP601" s="20">
        <f>IFERROR((VLOOKUP(Tabla13[[#This Row],[ID]],[1]!Estilo_Conduccion[[#All],[Placa]:[Puntuacion]],15,FALSE)),0)</f>
        <v>9</v>
      </c>
      <c r="AQ601" s="15" t="s">
        <v>1069</v>
      </c>
      <c r="AR601" s="15" t="s">
        <v>821</v>
      </c>
      <c r="AS601" s="20">
        <v>1325</v>
      </c>
      <c r="AT601" s="21">
        <v>0</v>
      </c>
      <c r="AU601" s="21">
        <f>(Tabla13[[#This Row],[Cap Vh]]*$AX$2)*0.56</f>
        <v>0</v>
      </c>
      <c r="AV601" s="36" t="e">
        <f>(Tabla13[[#This Row],[Cap Util (kg)]]/(Tabla13[[#This Row],[Cap Inst (Kg)]]))</f>
        <v>#DIV/0!</v>
      </c>
    </row>
    <row r="602" spans="1:48" x14ac:dyDescent="0.25">
      <c r="A602" s="13" t="s">
        <v>1068</v>
      </c>
      <c r="B602" s="14" t="s">
        <v>822</v>
      </c>
      <c r="C602" s="14" t="s">
        <v>749</v>
      </c>
      <c r="D602" s="14" t="s">
        <v>750</v>
      </c>
      <c r="E602" s="14" t="s">
        <v>770</v>
      </c>
      <c r="F602" s="14" t="s">
        <v>64</v>
      </c>
      <c r="G602" s="15" t="s">
        <v>128</v>
      </c>
      <c r="H602" s="16" t="s">
        <v>143</v>
      </c>
      <c r="I602" s="14" t="s">
        <v>49</v>
      </c>
      <c r="J602" s="14">
        <v>900335279</v>
      </c>
      <c r="K602" s="14" t="s">
        <v>77</v>
      </c>
      <c r="L602" s="14" t="s">
        <v>103</v>
      </c>
      <c r="M602" s="14" t="s">
        <v>104</v>
      </c>
      <c r="N602" s="14">
        <v>2012</v>
      </c>
      <c r="O602" s="14">
        <v>8</v>
      </c>
      <c r="P602" s="14" t="s">
        <v>53</v>
      </c>
      <c r="Q602" s="14">
        <v>1</v>
      </c>
      <c r="R602" s="14">
        <v>1</v>
      </c>
      <c r="S602" s="17">
        <v>44834.295914351853</v>
      </c>
      <c r="T602" s="18">
        <v>146.16599999999997</v>
      </c>
      <c r="U602" s="14">
        <v>30</v>
      </c>
      <c r="V602" s="19">
        <v>1</v>
      </c>
      <c r="W602" s="14">
        <v>0</v>
      </c>
      <c r="X602" s="14">
        <v>26</v>
      </c>
      <c r="Y602" s="14">
        <v>0</v>
      </c>
      <c r="Z602" s="14">
        <v>20</v>
      </c>
      <c r="AA602" s="14">
        <f>Tabla13[[#This Row],[CheckList App]]+Tabla13[[#This Row],[CheckList Fisc]]</f>
        <v>20</v>
      </c>
      <c r="AB602" s="19">
        <f t="shared" si="9"/>
        <v>0.76923076923076927</v>
      </c>
      <c r="AC602" s="14">
        <v>8</v>
      </c>
      <c r="AD602" s="14" t="s">
        <v>70</v>
      </c>
      <c r="AE602" s="15" t="str">
        <f>IFERROR((VLOOKUP(Tabla13[[#This Row],[ID]],[1]!Mtto_Pesv[[#Headers],[#Data],[Placa]:[Rutina]],2,FALSE)),"-")</f>
        <v>-</v>
      </c>
      <c r="AF602" s="14">
        <v>1</v>
      </c>
      <c r="AG602" s="20">
        <f>IFERROR((VLOOKUP(Tabla13[[#This Row],[ID]],[1]!Mtto_Pesv[[#Headers],[#Data],[Placa]:[Rutina]],3,FALSE)),0)</f>
        <v>0</v>
      </c>
      <c r="AH602" s="20">
        <f>IFERROR((VLOOKUP(Tabla13[[#This Row],[ID]],[1]!Mtto_Pesv[[#Headers],[#Data],[Placa]:[Rutina]],7,FALSE)),0)</f>
        <v>0</v>
      </c>
      <c r="AI602" s="20">
        <f>IFERROR((VLOOKUP(Tabla13[[#This Row],[ID]],[1]!Mtto_Pesv[[#Headers],[#Data],[Placa]:[Rutina]],8,FALSE)),0)</f>
        <v>0</v>
      </c>
      <c r="AJ602" s="20" t="str">
        <f>IFERROR((VLOOKUP(Tabla13[[#This Row],[ID]],[1]!Mtto_Pesv[[#Headers],[#Data],[Placa]:[Rutina]],9,FALSE)),"-")</f>
        <v>-</v>
      </c>
      <c r="AK602" s="20">
        <f>IFERROR((VLOOKUP(Tabla13[[#This Row],[ID]],[1]!Mtto_Pesv[[#Headers],[#Data],[Placa]:[Rutina]],10,FALSE)),0)</f>
        <v>0</v>
      </c>
      <c r="AL602" s="20">
        <f>IF(Tabla13[[#This Row],[Km Anterior]]=0,0,Tabla13[[#This Row],[Km Ejecut]]-Tabla13[[#This Row],[Km Anterior]])</f>
        <v>0</v>
      </c>
      <c r="AM602" s="20">
        <f>IFERROR((VLOOKUP(Tabla13[[#This Row],[ID]],[1]!Mtto_Pesv[[#Headers],[#Data],[Placa]:[Rutina]],4,FALSE)),0)</f>
        <v>0</v>
      </c>
      <c r="AN602" s="21">
        <f>IFERROR((VLOOKUP(Tabla13[[#This Row],[ID]],[1]!Mtto_Pesv[[#Headers],[#Data],[Placa]:[Rutina]],5,FALSE)),0)</f>
        <v>0</v>
      </c>
      <c r="AO602" s="21">
        <f>+Tabla13[[#This Row],[Km Fin]]-Tabla13[[#This Row],[Km Ini]]</f>
        <v>0</v>
      </c>
      <c r="AP602" s="20">
        <f>IFERROR((VLOOKUP(Tabla13[[#This Row],[ID]],[1]!Estilo_Conduccion[[#All],[Placa]:[Puntuacion]],15,FALSE)),0)</f>
        <v>15784.7</v>
      </c>
      <c r="AQ602" s="15" t="s">
        <v>54</v>
      </c>
      <c r="AR602" s="15" t="s">
        <v>54</v>
      </c>
      <c r="AS602" s="20">
        <v>1325</v>
      </c>
      <c r="AT602" s="21">
        <v>0</v>
      </c>
      <c r="AU602" s="21">
        <f>(Tabla13[[#This Row],[Cap Vh]]*$AX$2)*0.56</f>
        <v>0</v>
      </c>
      <c r="AV602" s="36" t="e">
        <f>(Tabla13[[#This Row],[Cap Util (kg)]]/(Tabla13[[#This Row],[Cap Inst (Kg)]]))</f>
        <v>#DIV/0!</v>
      </c>
    </row>
    <row r="603" spans="1:48" x14ac:dyDescent="0.25">
      <c r="A603" s="13" t="s">
        <v>1068</v>
      </c>
      <c r="B603" s="14" t="s">
        <v>823</v>
      </c>
      <c r="C603" s="14" t="s">
        <v>749</v>
      </c>
      <c r="D603" s="14" t="s">
        <v>750</v>
      </c>
      <c r="E603" s="14" t="s">
        <v>751</v>
      </c>
      <c r="F603" s="14" t="s">
        <v>752</v>
      </c>
      <c r="G603" s="15" t="s">
        <v>47</v>
      </c>
      <c r="H603" s="16" t="s">
        <v>48</v>
      </c>
      <c r="I603" s="14" t="s">
        <v>49</v>
      </c>
      <c r="J603" s="14">
        <v>890300279</v>
      </c>
      <c r="K603" s="14" t="s">
        <v>282</v>
      </c>
      <c r="L603" s="14" t="s">
        <v>103</v>
      </c>
      <c r="M603" s="14" t="s">
        <v>104</v>
      </c>
      <c r="N603" s="14">
        <v>2012</v>
      </c>
      <c r="O603" s="14">
        <v>8</v>
      </c>
      <c r="P603" s="14" t="s">
        <v>53</v>
      </c>
      <c r="Q603" s="14">
        <v>1</v>
      </c>
      <c r="R603" s="14">
        <v>0</v>
      </c>
      <c r="S603" s="17" t="s">
        <v>54</v>
      </c>
      <c r="T603" s="18">
        <v>0</v>
      </c>
      <c r="U603" s="14">
        <v>30</v>
      </c>
      <c r="V603" s="19">
        <v>1</v>
      </c>
      <c r="W603" s="14">
        <v>0</v>
      </c>
      <c r="X603" s="14">
        <v>0</v>
      </c>
      <c r="Y603" s="14">
        <v>0</v>
      </c>
      <c r="Z603" s="14">
        <v>0</v>
      </c>
      <c r="AA603" s="14">
        <f>Tabla13[[#This Row],[CheckList App]]+Tabla13[[#This Row],[CheckList Fisc]]</f>
        <v>0</v>
      </c>
      <c r="AB603" s="19">
        <f t="shared" si="9"/>
        <v>0</v>
      </c>
      <c r="AC603" s="14">
        <v>0</v>
      </c>
      <c r="AD603" s="14" t="s">
        <v>55</v>
      </c>
      <c r="AE603" s="15" t="str">
        <f>IFERROR((VLOOKUP(Tabla13[[#This Row],[ID]],[1]!Mtto_Pesv[[#Headers],[#Data],[Placa]:[Rutina]],2,FALSE)),"-")</f>
        <v>-</v>
      </c>
      <c r="AF603" s="14">
        <v>0</v>
      </c>
      <c r="AG603" s="20">
        <f>IFERROR((VLOOKUP(Tabla13[[#This Row],[ID]],[1]!Mtto_Pesv[[#Headers],[#Data],[Placa]:[Rutina]],3,FALSE)),0)</f>
        <v>0</v>
      </c>
      <c r="AH603" s="20">
        <f>IFERROR((VLOOKUP(Tabla13[[#This Row],[ID]],[1]!Mtto_Pesv[[#Headers],[#Data],[Placa]:[Rutina]],7,FALSE)),0)</f>
        <v>0</v>
      </c>
      <c r="AI603" s="20">
        <f>IFERROR((VLOOKUP(Tabla13[[#This Row],[ID]],[1]!Mtto_Pesv[[#Headers],[#Data],[Placa]:[Rutina]],8,FALSE)),0)</f>
        <v>0</v>
      </c>
      <c r="AJ603" s="20" t="str">
        <f>IFERROR((VLOOKUP(Tabla13[[#This Row],[ID]],[1]!Mtto_Pesv[[#Headers],[#Data],[Placa]:[Rutina]],9,FALSE)),"-")</f>
        <v>-</v>
      </c>
      <c r="AK603" s="20">
        <f>IFERROR((VLOOKUP(Tabla13[[#This Row],[ID]],[1]!Mtto_Pesv[[#Headers],[#Data],[Placa]:[Rutina]],10,FALSE)),0)</f>
        <v>0</v>
      </c>
      <c r="AL603" s="20">
        <f>IF(Tabla13[[#This Row],[Km Anterior]]=0,0,Tabla13[[#This Row],[Km Ejecut]]-Tabla13[[#This Row],[Km Anterior]])</f>
        <v>0</v>
      </c>
      <c r="AM603" s="20">
        <f>IFERROR((VLOOKUP(Tabla13[[#This Row],[ID]],[1]!Mtto_Pesv[[#Headers],[#Data],[Placa]:[Rutina]],4,FALSE)),0)</f>
        <v>0</v>
      </c>
      <c r="AN603" s="21">
        <f>IFERROR((VLOOKUP(Tabla13[[#This Row],[ID]],[1]!Mtto_Pesv[[#Headers],[#Data],[Placa]:[Rutina]],5,FALSE)),0)</f>
        <v>0</v>
      </c>
      <c r="AO603" s="21">
        <f>+Tabla13[[#This Row],[Km Fin]]-Tabla13[[#This Row],[Km Ini]]</f>
        <v>0</v>
      </c>
      <c r="AP603" s="20">
        <f>IFERROR((VLOOKUP(Tabla13[[#This Row],[ID]],[1]!Estilo_Conduccion[[#All],[Placa]:[Puntuacion]],15,FALSE)),0)</f>
        <v>0.5</v>
      </c>
      <c r="AQ603" s="15" t="s">
        <v>1444</v>
      </c>
      <c r="AR603" s="15" t="s">
        <v>1445</v>
      </c>
      <c r="AS603" s="20">
        <v>1325</v>
      </c>
      <c r="AT603" s="21">
        <v>3260.25</v>
      </c>
      <c r="AU603" s="21">
        <f>(Tabla13[[#This Row],[Cap Vh]]*$AX$2)*0.56</f>
        <v>0</v>
      </c>
      <c r="AV603" s="36" t="e">
        <f>(Tabla13[[#This Row],[Cap Util (kg)]]/(Tabla13[[#This Row],[Cap Inst (Kg)]]))</f>
        <v>#DIV/0!</v>
      </c>
    </row>
    <row r="604" spans="1:48" x14ac:dyDescent="0.25">
      <c r="A604" s="13" t="s">
        <v>1068</v>
      </c>
      <c r="B604" s="14" t="s">
        <v>824</v>
      </c>
      <c r="C604" s="14" t="s">
        <v>749</v>
      </c>
      <c r="D604" s="14" t="s">
        <v>750</v>
      </c>
      <c r="E604" s="14" t="s">
        <v>751</v>
      </c>
      <c r="F604" s="14" t="s">
        <v>64</v>
      </c>
      <c r="G604" s="15" t="s">
        <v>119</v>
      </c>
      <c r="H604" s="16" t="s">
        <v>120</v>
      </c>
      <c r="I604" s="14" t="s">
        <v>49</v>
      </c>
      <c r="J604" s="14">
        <v>900335279</v>
      </c>
      <c r="K604" s="14" t="s">
        <v>77</v>
      </c>
      <c r="L604" s="14" t="s">
        <v>103</v>
      </c>
      <c r="M604" s="14" t="s">
        <v>104</v>
      </c>
      <c r="N604" s="14">
        <v>2012</v>
      </c>
      <c r="O604" s="14">
        <v>8</v>
      </c>
      <c r="P604" s="14" t="s">
        <v>53</v>
      </c>
      <c r="Q604" s="14">
        <v>1</v>
      </c>
      <c r="R604" s="14">
        <v>1</v>
      </c>
      <c r="S604" s="17">
        <v>44833.436805555553</v>
      </c>
      <c r="T604" s="18">
        <v>107.07300000000001</v>
      </c>
      <c r="U604" s="14">
        <v>30</v>
      </c>
      <c r="V604" s="19">
        <v>1</v>
      </c>
      <c r="W604" s="14">
        <v>0</v>
      </c>
      <c r="X604" s="14">
        <v>24</v>
      </c>
      <c r="Y604" s="14">
        <v>24</v>
      </c>
      <c r="Z604" s="14">
        <v>0</v>
      </c>
      <c r="AA604" s="14">
        <f>Tabla13[[#This Row],[CheckList App]]+Tabla13[[#This Row],[CheckList Fisc]]</f>
        <v>24</v>
      </c>
      <c r="AB604" s="19">
        <f t="shared" si="9"/>
        <v>1</v>
      </c>
      <c r="AC604" s="14">
        <v>39</v>
      </c>
      <c r="AD604" s="14" t="s">
        <v>70</v>
      </c>
      <c r="AE604" s="22" t="str">
        <f>IFERROR((VLOOKUP(Tabla13[[#This Row],[ID]],[1]!Mtto_Pesv[[#Headers],[#Data],[Placa]:[Rutina]],2,FALSE)),"-")</f>
        <v>-</v>
      </c>
      <c r="AF604" s="14">
        <v>1</v>
      </c>
      <c r="AG604" s="20">
        <f>IFERROR((VLOOKUP(Tabla13[[#This Row],[ID]],[1]!Mtto_Pesv[[#Headers],[#Data],[Placa]:[Rutina]],3,FALSE)),0)</f>
        <v>0</v>
      </c>
      <c r="AH604" s="20">
        <f>IFERROR((VLOOKUP(Tabla13[[#This Row],[ID]],[1]!Mtto_Pesv[[#Headers],[#Data],[Placa]:[Rutina]],7,FALSE)),0)</f>
        <v>0</v>
      </c>
      <c r="AI604" s="20">
        <f>IFERROR((VLOOKUP(Tabla13[[#This Row],[ID]],[1]!Mtto_Pesv[[#Headers],[#Data],[Placa]:[Rutina]],8,FALSE)),0)</f>
        <v>0</v>
      </c>
      <c r="AJ604" s="20" t="str">
        <f>IFERROR((VLOOKUP(Tabla13[[#This Row],[ID]],[1]!Mtto_Pesv[[#Headers],[#Data],[Placa]:[Rutina]],9,FALSE)),"-")</f>
        <v>-</v>
      </c>
      <c r="AK604" s="20">
        <f>IFERROR((VLOOKUP(Tabla13[[#This Row],[ID]],[1]!Mtto_Pesv[[#Headers],[#Data],[Placa]:[Rutina]],10,FALSE)),0)</f>
        <v>0</v>
      </c>
      <c r="AL604" s="20">
        <f>IF(Tabla13[[#This Row],[Km Anterior]]=0,0,Tabla13[[#This Row],[Km Ejecut]]-Tabla13[[#This Row],[Km Anterior]])</f>
        <v>0</v>
      </c>
      <c r="AM604" s="20">
        <f>IFERROR((VLOOKUP(Tabla13[[#This Row],[ID]],[1]!Mtto_Pesv[[#Headers],[#Data],[Placa]:[Rutina]],4,FALSE)),0)</f>
        <v>0</v>
      </c>
      <c r="AN604" s="21">
        <f>IFERROR((VLOOKUP(Tabla13[[#This Row],[ID]],[1]!Mtto_Pesv[[#Headers],[#Data],[Placa]:[Rutina]],5,FALSE)),0)</f>
        <v>0</v>
      </c>
      <c r="AO604" s="21">
        <f>+Tabla13[[#This Row],[Km Fin]]-Tabla13[[#This Row],[Km Ini]]</f>
        <v>0</v>
      </c>
      <c r="AP604" s="20">
        <f>IFERROR((VLOOKUP(Tabla13[[#This Row],[ID]],[1]!Estilo_Conduccion[[#All],[Placa]:[Puntuacion]],15,FALSE)),0)</f>
        <v>764.90000000000009</v>
      </c>
      <c r="AQ604" s="15" t="s">
        <v>54</v>
      </c>
      <c r="AR604" s="15" t="s">
        <v>54</v>
      </c>
      <c r="AS604" s="20">
        <v>1325</v>
      </c>
      <c r="AT604" s="21">
        <v>0</v>
      </c>
      <c r="AU604" s="21">
        <f>(Tabla13[[#This Row],[Cap Vh]]*$AX$2)*0.56</f>
        <v>0</v>
      </c>
      <c r="AV604" s="36" t="e">
        <f>(Tabla13[[#This Row],[Cap Util (kg)]]/(Tabla13[[#This Row],[Cap Inst (Kg)]]))</f>
        <v>#DIV/0!</v>
      </c>
    </row>
    <row r="605" spans="1:48" x14ac:dyDescent="0.25">
      <c r="A605" s="13" t="s">
        <v>1068</v>
      </c>
      <c r="B605" s="14" t="s">
        <v>825</v>
      </c>
      <c r="C605" s="14" t="s">
        <v>749</v>
      </c>
      <c r="D605" s="14" t="s">
        <v>750</v>
      </c>
      <c r="E605" s="14" t="s">
        <v>770</v>
      </c>
      <c r="F605" s="14" t="s">
        <v>752</v>
      </c>
      <c r="G605" s="15" t="s">
        <v>47</v>
      </c>
      <c r="H605" s="16" t="s">
        <v>48</v>
      </c>
      <c r="I605" s="14" t="s">
        <v>49</v>
      </c>
      <c r="J605" s="14">
        <v>900335279</v>
      </c>
      <c r="K605" s="14" t="s">
        <v>77</v>
      </c>
      <c r="L605" s="14" t="s">
        <v>103</v>
      </c>
      <c r="M605" s="14" t="s">
        <v>104</v>
      </c>
      <c r="N605" s="14">
        <v>2012</v>
      </c>
      <c r="O605" s="14">
        <v>8</v>
      </c>
      <c r="P605" s="14" t="s">
        <v>53</v>
      </c>
      <c r="Q605" s="14">
        <v>1</v>
      </c>
      <c r="R605" s="14">
        <v>0</v>
      </c>
      <c r="S605" s="17" t="s">
        <v>54</v>
      </c>
      <c r="T605" s="18">
        <v>0</v>
      </c>
      <c r="U605" s="14">
        <v>30</v>
      </c>
      <c r="V605" s="19">
        <v>1</v>
      </c>
      <c r="W605" s="14">
        <v>0</v>
      </c>
      <c r="X605" s="14">
        <v>0</v>
      </c>
      <c r="Y605" s="14">
        <v>0</v>
      </c>
      <c r="Z605" s="14">
        <v>0</v>
      </c>
      <c r="AA605" s="14">
        <f>Tabla13[[#This Row],[CheckList App]]+Tabla13[[#This Row],[CheckList Fisc]]</f>
        <v>0</v>
      </c>
      <c r="AB605" s="19">
        <f t="shared" si="9"/>
        <v>0</v>
      </c>
      <c r="AC605" s="14">
        <v>89</v>
      </c>
      <c r="AD605" s="14" t="s">
        <v>70</v>
      </c>
      <c r="AE605" s="15" t="str">
        <f>IFERROR((VLOOKUP(Tabla13[[#This Row],[ID]],[1]!Mtto_Pesv[[#Headers],[#Data],[Placa]:[Rutina]],2,FALSE)),"-")</f>
        <v>-</v>
      </c>
      <c r="AF605" s="14">
        <v>1</v>
      </c>
      <c r="AG605" s="20">
        <f>IFERROR((VLOOKUP(Tabla13[[#This Row],[ID]],[1]!Mtto_Pesv[[#Headers],[#Data],[Placa]:[Rutina]],3,FALSE)),0)</f>
        <v>0</v>
      </c>
      <c r="AH605" s="20">
        <f>IFERROR((VLOOKUP(Tabla13[[#This Row],[ID]],[1]!Mtto_Pesv[[#Headers],[#Data],[Placa]:[Rutina]],7,FALSE)),0)</f>
        <v>0</v>
      </c>
      <c r="AI605" s="20">
        <f>IFERROR((VLOOKUP(Tabla13[[#This Row],[ID]],[1]!Mtto_Pesv[[#Headers],[#Data],[Placa]:[Rutina]],8,FALSE)),0)</f>
        <v>0</v>
      </c>
      <c r="AJ605" s="20" t="str">
        <f>IFERROR((VLOOKUP(Tabla13[[#This Row],[ID]],[1]!Mtto_Pesv[[#Headers],[#Data],[Placa]:[Rutina]],9,FALSE)),"-")</f>
        <v>-</v>
      </c>
      <c r="AK605" s="20">
        <f>IFERROR((VLOOKUP(Tabla13[[#This Row],[ID]],[1]!Mtto_Pesv[[#Headers],[#Data],[Placa]:[Rutina]],10,FALSE)),0)</f>
        <v>0</v>
      </c>
      <c r="AL605" s="20">
        <f>IF(Tabla13[[#This Row],[Km Anterior]]=0,0,Tabla13[[#This Row],[Km Ejecut]]-Tabla13[[#This Row],[Km Anterior]])</f>
        <v>0</v>
      </c>
      <c r="AM605" s="20">
        <f>IFERROR((VLOOKUP(Tabla13[[#This Row],[ID]],[1]!Mtto_Pesv[[#Headers],[#Data],[Placa]:[Rutina]],4,FALSE)),0)</f>
        <v>0</v>
      </c>
      <c r="AN605" s="21">
        <f>IFERROR((VLOOKUP(Tabla13[[#This Row],[ID]],[1]!Mtto_Pesv[[#Headers],[#Data],[Placa]:[Rutina]],5,FALSE)),0)</f>
        <v>0</v>
      </c>
      <c r="AO605" s="21">
        <f>+Tabla13[[#This Row],[Km Fin]]-Tabla13[[#This Row],[Km Ini]]</f>
        <v>0</v>
      </c>
      <c r="AP605" s="20">
        <f>IFERROR((VLOOKUP(Tabla13[[#This Row],[ID]],[1]!Estilo_Conduccion[[#All],[Placa]:[Puntuacion]],15,FALSE)),0)</f>
        <v>1496.7</v>
      </c>
      <c r="AQ605" s="15" t="s">
        <v>1446</v>
      </c>
      <c r="AR605" s="15" t="s">
        <v>1447</v>
      </c>
      <c r="AS605" s="20">
        <v>1325</v>
      </c>
      <c r="AT605" s="21">
        <v>9394.5</v>
      </c>
      <c r="AU605" s="21">
        <f>(Tabla13[[#This Row],[Cap Vh]]*$AX$2)*0.56</f>
        <v>0</v>
      </c>
      <c r="AV605" s="36" t="e">
        <f>(Tabla13[[#This Row],[Cap Util (kg)]]/(Tabla13[[#This Row],[Cap Inst (Kg)]]))</f>
        <v>#DIV/0!</v>
      </c>
    </row>
    <row r="606" spans="1:48" x14ac:dyDescent="0.25">
      <c r="A606" s="13" t="s">
        <v>1068</v>
      </c>
      <c r="B606" s="14" t="s">
        <v>826</v>
      </c>
      <c r="C606" s="14" t="s">
        <v>749</v>
      </c>
      <c r="D606" s="14" t="s">
        <v>750</v>
      </c>
      <c r="E606" s="14" t="s">
        <v>751</v>
      </c>
      <c r="F606" s="14" t="s">
        <v>752</v>
      </c>
      <c r="G606" s="15" t="s">
        <v>47</v>
      </c>
      <c r="H606" s="16" t="s">
        <v>48</v>
      </c>
      <c r="I606" s="14" t="s">
        <v>49</v>
      </c>
      <c r="J606" s="14">
        <v>890300279</v>
      </c>
      <c r="K606" s="14" t="s">
        <v>282</v>
      </c>
      <c r="L606" s="14" t="s">
        <v>103</v>
      </c>
      <c r="M606" s="14" t="s">
        <v>104</v>
      </c>
      <c r="N606" s="14">
        <v>2012</v>
      </c>
      <c r="O606" s="14">
        <v>8</v>
      </c>
      <c r="P606" s="14" t="s">
        <v>53</v>
      </c>
      <c r="Q606" s="14">
        <v>0</v>
      </c>
      <c r="R606" s="14">
        <v>0</v>
      </c>
      <c r="S606" s="17" t="s">
        <v>54</v>
      </c>
      <c r="T606" s="18">
        <v>0</v>
      </c>
      <c r="U606" s="14">
        <v>30</v>
      </c>
      <c r="V606" s="19">
        <v>1</v>
      </c>
      <c r="W606" s="14">
        <v>0</v>
      </c>
      <c r="X606" s="14">
        <v>0</v>
      </c>
      <c r="Y606" s="14">
        <v>0</v>
      </c>
      <c r="Z606" s="14">
        <v>0</v>
      </c>
      <c r="AA606" s="14">
        <f>Tabla13[[#This Row],[CheckList App]]+Tabla13[[#This Row],[CheckList Fisc]]</f>
        <v>0</v>
      </c>
      <c r="AB606" s="19">
        <f t="shared" si="9"/>
        <v>0</v>
      </c>
      <c r="AC606" s="14">
        <v>0</v>
      </c>
      <c r="AD606" s="14" t="s">
        <v>55</v>
      </c>
      <c r="AE606" s="15" t="str">
        <f>IFERROR((VLOOKUP(Tabla13[[#This Row],[ID]],[1]!Mtto_Pesv[[#Headers],[#Data],[Placa]:[Rutina]],2,FALSE)),"-")</f>
        <v>-</v>
      </c>
      <c r="AF606" s="14">
        <v>0</v>
      </c>
      <c r="AG606" s="20">
        <f>IFERROR((VLOOKUP(Tabla13[[#This Row],[ID]],[1]!Mtto_Pesv[[#Headers],[#Data],[Placa]:[Rutina]],3,FALSE)),0)</f>
        <v>0</v>
      </c>
      <c r="AH606" s="20">
        <f>IFERROR((VLOOKUP(Tabla13[[#This Row],[ID]],[1]!Mtto_Pesv[[#Headers],[#Data],[Placa]:[Rutina]],7,FALSE)),0)</f>
        <v>0</v>
      </c>
      <c r="AI606" s="20">
        <f>IFERROR((VLOOKUP(Tabla13[[#This Row],[ID]],[1]!Mtto_Pesv[[#Headers],[#Data],[Placa]:[Rutina]],8,FALSE)),0)</f>
        <v>0</v>
      </c>
      <c r="AJ606" s="20" t="str">
        <f>IFERROR((VLOOKUP(Tabla13[[#This Row],[ID]],[1]!Mtto_Pesv[[#Headers],[#Data],[Placa]:[Rutina]],9,FALSE)),"-")</f>
        <v>-</v>
      </c>
      <c r="AK606" s="20">
        <f>IFERROR((VLOOKUP(Tabla13[[#This Row],[ID]],[1]!Mtto_Pesv[[#Headers],[#Data],[Placa]:[Rutina]],10,FALSE)),0)</f>
        <v>0</v>
      </c>
      <c r="AL606" s="20">
        <f>IF(Tabla13[[#This Row],[Km Anterior]]=0,0,Tabla13[[#This Row],[Km Ejecut]]-Tabla13[[#This Row],[Km Anterior]])</f>
        <v>0</v>
      </c>
      <c r="AM606" s="20">
        <f>IFERROR((VLOOKUP(Tabla13[[#This Row],[ID]],[1]!Mtto_Pesv[[#Headers],[#Data],[Placa]:[Rutina]],4,FALSE)),0)</f>
        <v>0</v>
      </c>
      <c r="AN606" s="21">
        <f>IFERROR((VLOOKUP(Tabla13[[#This Row],[ID]],[1]!Mtto_Pesv[[#Headers],[#Data],[Placa]:[Rutina]],5,FALSE)),0)</f>
        <v>0</v>
      </c>
      <c r="AO606" s="21">
        <f>+Tabla13[[#This Row],[Km Fin]]-Tabla13[[#This Row],[Km Ini]]</f>
        <v>0</v>
      </c>
      <c r="AP606" s="20">
        <f>IFERROR((VLOOKUP(Tabla13[[#This Row],[ID]],[1]!Estilo_Conduccion[[#All],[Placa]:[Puntuacion]],15,FALSE)),0)</f>
        <v>0</v>
      </c>
      <c r="AQ606" s="15" t="s">
        <v>1436</v>
      </c>
      <c r="AR606" s="15" t="s">
        <v>1437</v>
      </c>
      <c r="AS606" s="20">
        <v>1325</v>
      </c>
      <c r="AT606" s="21">
        <v>11194.5</v>
      </c>
      <c r="AU606" s="21">
        <f>(Tabla13[[#This Row],[Cap Vh]]*$AX$2)*0.56</f>
        <v>0</v>
      </c>
      <c r="AV606" s="36" t="e">
        <f>(Tabla13[[#This Row],[Cap Util (kg)]]/(Tabla13[[#This Row],[Cap Inst (Kg)]]))</f>
        <v>#DIV/0!</v>
      </c>
    </row>
    <row r="607" spans="1:48" x14ac:dyDescent="0.25">
      <c r="A607" s="13" t="s">
        <v>1068</v>
      </c>
      <c r="B607" s="14" t="s">
        <v>827</v>
      </c>
      <c r="C607" s="14" t="s">
        <v>749</v>
      </c>
      <c r="D607" s="14" t="s">
        <v>750</v>
      </c>
      <c r="E607" s="14" t="s">
        <v>751</v>
      </c>
      <c r="F607" s="14" t="s">
        <v>752</v>
      </c>
      <c r="G607" s="15" t="s">
        <v>47</v>
      </c>
      <c r="H607" s="16" t="s">
        <v>48</v>
      </c>
      <c r="I607" s="14" t="s">
        <v>49</v>
      </c>
      <c r="J607" s="14">
        <v>900335279</v>
      </c>
      <c r="K607" s="14" t="s">
        <v>77</v>
      </c>
      <c r="L607" s="14" t="s">
        <v>103</v>
      </c>
      <c r="M607" s="14" t="s">
        <v>104</v>
      </c>
      <c r="N607" s="14">
        <v>2012</v>
      </c>
      <c r="O607" s="14">
        <v>8</v>
      </c>
      <c r="P607" s="14" t="s">
        <v>53</v>
      </c>
      <c r="Q607" s="14">
        <v>1</v>
      </c>
      <c r="R607" s="14">
        <v>0</v>
      </c>
      <c r="S607" s="17" t="s">
        <v>54</v>
      </c>
      <c r="T607" s="18">
        <v>0</v>
      </c>
      <c r="U607" s="14">
        <v>30</v>
      </c>
      <c r="V607" s="19">
        <v>1</v>
      </c>
      <c r="W607" s="14">
        <v>0</v>
      </c>
      <c r="X607" s="14">
        <v>0</v>
      </c>
      <c r="Y607" s="14">
        <v>0</v>
      </c>
      <c r="Z607" s="14">
        <v>0</v>
      </c>
      <c r="AA607" s="14">
        <f>Tabla13[[#This Row],[CheckList App]]+Tabla13[[#This Row],[CheckList Fisc]]</f>
        <v>0</v>
      </c>
      <c r="AB607" s="19">
        <f t="shared" si="9"/>
        <v>0</v>
      </c>
      <c r="AC607" s="14">
        <v>0</v>
      </c>
      <c r="AD607" s="14" t="s">
        <v>55</v>
      </c>
      <c r="AE607" s="15" t="str">
        <f>IFERROR((VLOOKUP(Tabla13[[#This Row],[ID]],[1]!Mtto_Pesv[[#Headers],[#Data],[Placa]:[Rutina]],2,FALSE)),"-")</f>
        <v>-</v>
      </c>
      <c r="AF607" s="14">
        <v>0</v>
      </c>
      <c r="AG607" s="20">
        <f>IFERROR((VLOOKUP(Tabla13[[#This Row],[ID]],[1]!Mtto_Pesv[[#Headers],[#Data],[Placa]:[Rutina]],3,FALSE)),0)</f>
        <v>0</v>
      </c>
      <c r="AH607" s="20">
        <f>IFERROR((VLOOKUP(Tabla13[[#This Row],[ID]],[1]!Mtto_Pesv[[#Headers],[#Data],[Placa]:[Rutina]],7,FALSE)),0)</f>
        <v>0</v>
      </c>
      <c r="AI607" s="20">
        <f>IFERROR((VLOOKUP(Tabla13[[#This Row],[ID]],[1]!Mtto_Pesv[[#Headers],[#Data],[Placa]:[Rutina]],8,FALSE)),0)</f>
        <v>0</v>
      </c>
      <c r="AJ607" s="20" t="str">
        <f>IFERROR((VLOOKUP(Tabla13[[#This Row],[ID]],[1]!Mtto_Pesv[[#Headers],[#Data],[Placa]:[Rutina]],9,FALSE)),"-")</f>
        <v>-</v>
      </c>
      <c r="AK607" s="20">
        <f>IFERROR((VLOOKUP(Tabla13[[#This Row],[ID]],[1]!Mtto_Pesv[[#Headers],[#Data],[Placa]:[Rutina]],10,FALSE)),0)</f>
        <v>0</v>
      </c>
      <c r="AL607" s="20">
        <f>IF(Tabla13[[#This Row],[Km Anterior]]=0,0,Tabla13[[#This Row],[Km Ejecut]]-Tabla13[[#This Row],[Km Anterior]])</f>
        <v>0</v>
      </c>
      <c r="AM607" s="20">
        <f>IFERROR((VLOOKUP(Tabla13[[#This Row],[ID]],[1]!Mtto_Pesv[[#Headers],[#Data],[Placa]:[Rutina]],4,FALSE)),0)</f>
        <v>0</v>
      </c>
      <c r="AN607" s="21">
        <f>IFERROR((VLOOKUP(Tabla13[[#This Row],[ID]],[1]!Mtto_Pesv[[#Headers],[#Data],[Placa]:[Rutina]],5,FALSE)),0)</f>
        <v>0</v>
      </c>
      <c r="AO607" s="21">
        <f>+Tabla13[[#This Row],[Km Fin]]-Tabla13[[#This Row],[Km Ini]]</f>
        <v>0</v>
      </c>
      <c r="AP607" s="20">
        <f>IFERROR((VLOOKUP(Tabla13[[#This Row],[ID]],[1]!Estilo_Conduccion[[#All],[Placa]:[Puntuacion]],15,FALSE)),0)</f>
        <v>2</v>
      </c>
      <c r="AQ607" s="15" t="s">
        <v>1448</v>
      </c>
      <c r="AR607" s="15" t="s">
        <v>1449</v>
      </c>
      <c r="AS607" s="20">
        <v>1325</v>
      </c>
      <c r="AT607" s="21">
        <v>3930</v>
      </c>
      <c r="AU607" s="21">
        <f>(Tabla13[[#This Row],[Cap Vh]]*$AX$2)*0.56</f>
        <v>0</v>
      </c>
      <c r="AV607" s="36" t="e">
        <f>(Tabla13[[#This Row],[Cap Util (kg)]]/(Tabla13[[#This Row],[Cap Inst (Kg)]]))</f>
        <v>#DIV/0!</v>
      </c>
    </row>
    <row r="608" spans="1:48" x14ac:dyDescent="0.25">
      <c r="A608" s="13" t="s">
        <v>1068</v>
      </c>
      <c r="B608" s="14" t="s">
        <v>828</v>
      </c>
      <c r="C608" s="14" t="s">
        <v>749</v>
      </c>
      <c r="D608" s="14" t="s">
        <v>750</v>
      </c>
      <c r="E608" s="14" t="s">
        <v>751</v>
      </c>
      <c r="F608" s="14" t="s">
        <v>64</v>
      </c>
      <c r="G608" s="15" t="s">
        <v>128</v>
      </c>
      <c r="H608" s="16" t="s">
        <v>143</v>
      </c>
      <c r="I608" s="14" t="s">
        <v>49</v>
      </c>
      <c r="J608" s="14">
        <v>900335279</v>
      </c>
      <c r="K608" s="14" t="s">
        <v>77</v>
      </c>
      <c r="L608" s="14" t="s">
        <v>103</v>
      </c>
      <c r="M608" s="14" t="s">
        <v>104</v>
      </c>
      <c r="N608" s="14">
        <v>2012</v>
      </c>
      <c r="O608" s="14">
        <v>8</v>
      </c>
      <c r="P608" s="14" t="s">
        <v>53</v>
      </c>
      <c r="Q608" s="14">
        <v>1</v>
      </c>
      <c r="R608" s="14">
        <v>1</v>
      </c>
      <c r="S608" s="17">
        <v>44832.450011574067</v>
      </c>
      <c r="T608" s="18">
        <v>108.033</v>
      </c>
      <c r="U608" s="14">
        <v>30</v>
      </c>
      <c r="V608" s="19">
        <v>1</v>
      </c>
      <c r="W608" s="14">
        <v>0</v>
      </c>
      <c r="X608" s="14">
        <v>23</v>
      </c>
      <c r="Y608" s="14">
        <v>1</v>
      </c>
      <c r="Z608" s="14">
        <v>14</v>
      </c>
      <c r="AA608" s="14">
        <f>Tabla13[[#This Row],[CheckList App]]+Tabla13[[#This Row],[CheckList Fisc]]</f>
        <v>15</v>
      </c>
      <c r="AB608" s="19">
        <f t="shared" si="9"/>
        <v>0.65217391304347827</v>
      </c>
      <c r="AC608" s="14">
        <v>0</v>
      </c>
      <c r="AD608" s="14" t="s">
        <v>70</v>
      </c>
      <c r="AE608" s="15" t="str">
        <f>IFERROR((VLOOKUP(Tabla13[[#This Row],[ID]],[1]!Mtto_Pesv[[#Headers],[#Data],[Placa]:[Rutina]],2,FALSE)),"-")</f>
        <v>-</v>
      </c>
      <c r="AF608" s="14">
        <v>1</v>
      </c>
      <c r="AG608" s="20">
        <f>IFERROR((VLOOKUP(Tabla13[[#This Row],[ID]],[1]!Mtto_Pesv[[#Headers],[#Data],[Placa]:[Rutina]],3,FALSE)),0)</f>
        <v>0</v>
      </c>
      <c r="AH608" s="20">
        <f>IFERROR((VLOOKUP(Tabla13[[#This Row],[ID]],[1]!Mtto_Pesv[[#Headers],[#Data],[Placa]:[Rutina]],7,FALSE)),0)</f>
        <v>0</v>
      </c>
      <c r="AI608" s="20">
        <f>IFERROR((VLOOKUP(Tabla13[[#This Row],[ID]],[1]!Mtto_Pesv[[#Headers],[#Data],[Placa]:[Rutina]],8,FALSE)),0)</f>
        <v>0</v>
      </c>
      <c r="AJ608" s="20" t="str">
        <f>IFERROR((VLOOKUP(Tabla13[[#This Row],[ID]],[1]!Mtto_Pesv[[#Headers],[#Data],[Placa]:[Rutina]],9,FALSE)),"-")</f>
        <v>-</v>
      </c>
      <c r="AK608" s="20">
        <f>IFERROR((VLOOKUP(Tabla13[[#This Row],[ID]],[1]!Mtto_Pesv[[#Headers],[#Data],[Placa]:[Rutina]],10,FALSE)),0)</f>
        <v>0</v>
      </c>
      <c r="AL608" s="20">
        <f>IF(Tabla13[[#This Row],[Km Anterior]]=0,0,Tabla13[[#This Row],[Km Ejecut]]-Tabla13[[#This Row],[Km Anterior]])</f>
        <v>0</v>
      </c>
      <c r="AM608" s="20">
        <f>IFERROR((VLOOKUP(Tabla13[[#This Row],[ID]],[1]!Mtto_Pesv[[#Headers],[#Data],[Placa]:[Rutina]],4,FALSE)),0)</f>
        <v>0</v>
      </c>
      <c r="AN608" s="21">
        <f>IFERROR((VLOOKUP(Tabla13[[#This Row],[ID]],[1]!Mtto_Pesv[[#Headers],[#Data],[Placa]:[Rutina]],5,FALSE)),0)</f>
        <v>0</v>
      </c>
      <c r="AO608" s="21">
        <f>+Tabla13[[#This Row],[Km Fin]]-Tabla13[[#This Row],[Km Ini]]</f>
        <v>0</v>
      </c>
      <c r="AP608" s="20">
        <f>IFERROR((VLOOKUP(Tabla13[[#This Row],[ID]],[1]!Estilo_Conduccion[[#All],[Placa]:[Puntuacion]],15,FALSE)),0)</f>
        <v>778.40000000000009</v>
      </c>
      <c r="AQ608" s="15" t="s">
        <v>54</v>
      </c>
      <c r="AR608" s="15" t="s">
        <v>54</v>
      </c>
      <c r="AS608" s="20">
        <v>1325</v>
      </c>
      <c r="AT608" s="21">
        <v>0</v>
      </c>
      <c r="AU608" s="21">
        <f>(Tabla13[[#This Row],[Cap Vh]]*$AX$2)*0.56</f>
        <v>0</v>
      </c>
      <c r="AV608" s="36" t="e">
        <f>(Tabla13[[#This Row],[Cap Util (kg)]]/(Tabla13[[#This Row],[Cap Inst (Kg)]]))</f>
        <v>#DIV/0!</v>
      </c>
    </row>
    <row r="609" spans="1:48" x14ac:dyDescent="0.25">
      <c r="A609" s="13" t="s">
        <v>1068</v>
      </c>
      <c r="B609" s="14" t="s">
        <v>829</v>
      </c>
      <c r="C609" s="14" t="s">
        <v>749</v>
      </c>
      <c r="D609" s="14" t="s">
        <v>750</v>
      </c>
      <c r="E609" s="14" t="s">
        <v>751</v>
      </c>
      <c r="F609" s="14" t="s">
        <v>64</v>
      </c>
      <c r="G609" s="15" t="s">
        <v>119</v>
      </c>
      <c r="H609" s="16" t="s">
        <v>120</v>
      </c>
      <c r="I609" s="14" t="s">
        <v>177</v>
      </c>
      <c r="J609" s="14">
        <v>890300279</v>
      </c>
      <c r="K609" s="14" t="s">
        <v>282</v>
      </c>
      <c r="L609" s="14" t="s">
        <v>103</v>
      </c>
      <c r="M609" s="14" t="s">
        <v>132</v>
      </c>
      <c r="N609" s="14">
        <v>2012</v>
      </c>
      <c r="O609" s="14">
        <v>8</v>
      </c>
      <c r="P609" s="14" t="s">
        <v>53</v>
      </c>
      <c r="Q609" s="14">
        <v>1</v>
      </c>
      <c r="R609" s="14">
        <v>1</v>
      </c>
      <c r="S609" s="17">
        <v>44834.695057870369</v>
      </c>
      <c r="T609" s="18">
        <v>425.25300000000004</v>
      </c>
      <c r="U609" s="14">
        <v>30</v>
      </c>
      <c r="V609" s="19">
        <v>1</v>
      </c>
      <c r="W609" s="14">
        <v>0</v>
      </c>
      <c r="X609" s="14">
        <v>23</v>
      </c>
      <c r="Y609" s="14">
        <v>23</v>
      </c>
      <c r="Z609" s="14">
        <v>0</v>
      </c>
      <c r="AA609" s="14">
        <f>Tabla13[[#This Row],[CheckList App]]+Tabla13[[#This Row],[CheckList Fisc]]</f>
        <v>23</v>
      </c>
      <c r="AB609" s="19">
        <f t="shared" si="9"/>
        <v>1</v>
      </c>
      <c r="AC609" s="14">
        <v>30</v>
      </c>
      <c r="AD609" s="14" t="s">
        <v>70</v>
      </c>
      <c r="AE609" s="22" t="str">
        <f>IFERROR((VLOOKUP(Tabla13[[#This Row],[ID]],[1]!Mtto_Pesv[[#Headers],[#Data],[Placa]:[Rutina]],2,FALSE)),"-")</f>
        <v>-</v>
      </c>
      <c r="AF609" s="14">
        <v>1</v>
      </c>
      <c r="AG609" s="20">
        <f>IFERROR((VLOOKUP(Tabla13[[#This Row],[ID]],[1]!Mtto_Pesv[[#Headers],[#Data],[Placa]:[Rutina]],3,FALSE)),0)</f>
        <v>0</v>
      </c>
      <c r="AH609" s="20">
        <f>IFERROR((VLOOKUP(Tabla13[[#This Row],[ID]],[1]!Mtto_Pesv[[#Headers],[#Data],[Placa]:[Rutina]],7,FALSE)),0)</f>
        <v>0</v>
      </c>
      <c r="AI609" s="20">
        <f>IFERROR((VLOOKUP(Tabla13[[#This Row],[ID]],[1]!Mtto_Pesv[[#Headers],[#Data],[Placa]:[Rutina]],8,FALSE)),0)</f>
        <v>0</v>
      </c>
      <c r="AJ609" s="20" t="str">
        <f>IFERROR((VLOOKUP(Tabla13[[#This Row],[ID]],[1]!Mtto_Pesv[[#Headers],[#Data],[Placa]:[Rutina]],9,FALSE)),"-")</f>
        <v>-</v>
      </c>
      <c r="AK609" s="20">
        <f>IFERROR((VLOOKUP(Tabla13[[#This Row],[ID]],[1]!Mtto_Pesv[[#Headers],[#Data],[Placa]:[Rutina]],10,FALSE)),0)</f>
        <v>0</v>
      </c>
      <c r="AL609" s="20">
        <f>IF(Tabla13[[#This Row],[Km Anterior]]=0,0,Tabla13[[#This Row],[Km Ejecut]]-Tabla13[[#This Row],[Km Anterior]])</f>
        <v>0</v>
      </c>
      <c r="AM609" s="20">
        <f>IFERROR((VLOOKUP(Tabla13[[#This Row],[ID]],[1]!Mtto_Pesv[[#Headers],[#Data],[Placa]:[Rutina]],4,FALSE)),0)</f>
        <v>0</v>
      </c>
      <c r="AN609" s="21">
        <f>IFERROR((VLOOKUP(Tabla13[[#This Row],[ID]],[1]!Mtto_Pesv[[#Headers],[#Data],[Placa]:[Rutina]],5,FALSE)),0)</f>
        <v>0</v>
      </c>
      <c r="AO609" s="21">
        <f>+Tabla13[[#This Row],[Km Fin]]-Tabla13[[#This Row],[Km Ini]]</f>
        <v>0</v>
      </c>
      <c r="AP609" s="20">
        <f>IFERROR((VLOOKUP(Tabla13[[#This Row],[ID]],[1]!Estilo_Conduccion[[#All],[Placa]:[Puntuacion]],15,FALSE)),0)</f>
        <v>12.499999999999995</v>
      </c>
      <c r="AQ609" s="15" t="s">
        <v>54</v>
      </c>
      <c r="AR609" s="15" t="s">
        <v>54</v>
      </c>
      <c r="AS609" s="20">
        <v>9045</v>
      </c>
      <c r="AT609" s="21">
        <v>0</v>
      </c>
      <c r="AU609" s="21">
        <f>(Tabla13[[#This Row],[Cap Vh]]*$AX$2)*0.56</f>
        <v>0</v>
      </c>
      <c r="AV609" s="36" t="e">
        <f>(Tabla13[[#This Row],[Cap Util (kg)]]/(Tabla13[[#This Row],[Cap Inst (Kg)]]))</f>
        <v>#DIV/0!</v>
      </c>
    </row>
    <row r="610" spans="1:48" x14ac:dyDescent="0.25">
      <c r="A610" s="13" t="s">
        <v>1068</v>
      </c>
      <c r="B610" s="14" t="s">
        <v>830</v>
      </c>
      <c r="C610" s="14" t="s">
        <v>749</v>
      </c>
      <c r="D610" s="14" t="s">
        <v>750</v>
      </c>
      <c r="E610" s="14" t="s">
        <v>751</v>
      </c>
      <c r="F610" s="14" t="s">
        <v>752</v>
      </c>
      <c r="G610" s="15" t="s">
        <v>47</v>
      </c>
      <c r="H610" s="16" t="s">
        <v>48</v>
      </c>
      <c r="I610" s="14" t="s">
        <v>49</v>
      </c>
      <c r="J610" s="14">
        <v>900335279</v>
      </c>
      <c r="K610" s="14" t="s">
        <v>77</v>
      </c>
      <c r="L610" s="14" t="s">
        <v>405</v>
      </c>
      <c r="M610" s="14" t="s">
        <v>441</v>
      </c>
      <c r="N610" s="14">
        <v>2011</v>
      </c>
      <c r="O610" s="14">
        <v>9</v>
      </c>
      <c r="P610" s="14" t="s">
        <v>53</v>
      </c>
      <c r="Q610" s="14">
        <v>0</v>
      </c>
      <c r="R610" s="14">
        <v>0</v>
      </c>
      <c r="S610" s="17" t="s">
        <v>54</v>
      </c>
      <c r="T610" s="18">
        <v>0</v>
      </c>
      <c r="U610" s="14">
        <v>30</v>
      </c>
      <c r="V610" s="19">
        <v>1</v>
      </c>
      <c r="W610" s="14">
        <v>0</v>
      </c>
      <c r="X610" s="14">
        <v>0</v>
      </c>
      <c r="Y610" s="14">
        <v>0</v>
      </c>
      <c r="Z610" s="14">
        <v>0</v>
      </c>
      <c r="AA610" s="14">
        <f>Tabla13[[#This Row],[CheckList App]]+Tabla13[[#This Row],[CheckList Fisc]]</f>
        <v>0</v>
      </c>
      <c r="AB610" s="19">
        <f t="shared" si="9"/>
        <v>0</v>
      </c>
      <c r="AC610" s="14">
        <v>0</v>
      </c>
      <c r="AD610" s="14" t="s">
        <v>55</v>
      </c>
      <c r="AE610" s="15" t="str">
        <f>IFERROR((VLOOKUP(Tabla13[[#This Row],[ID]],[1]!Mtto_Pesv[[#Headers],[#Data],[Placa]:[Rutina]],2,FALSE)),"-")</f>
        <v>-</v>
      </c>
      <c r="AF610" s="14">
        <v>0</v>
      </c>
      <c r="AG610" s="20">
        <f>IFERROR((VLOOKUP(Tabla13[[#This Row],[ID]],[1]!Mtto_Pesv[[#Headers],[#Data],[Placa]:[Rutina]],3,FALSE)),0)</f>
        <v>0</v>
      </c>
      <c r="AH610" s="20">
        <f>IFERROR((VLOOKUP(Tabla13[[#This Row],[ID]],[1]!Mtto_Pesv[[#Headers],[#Data],[Placa]:[Rutina]],7,FALSE)),0)</f>
        <v>0</v>
      </c>
      <c r="AI610" s="20">
        <f>IFERROR((VLOOKUP(Tabla13[[#This Row],[ID]],[1]!Mtto_Pesv[[#Headers],[#Data],[Placa]:[Rutina]],8,FALSE)),0)</f>
        <v>0</v>
      </c>
      <c r="AJ610" s="20" t="str">
        <f>IFERROR((VLOOKUP(Tabla13[[#This Row],[ID]],[1]!Mtto_Pesv[[#Headers],[#Data],[Placa]:[Rutina]],9,FALSE)),"-")</f>
        <v>-</v>
      </c>
      <c r="AK610" s="20">
        <f>IFERROR((VLOOKUP(Tabla13[[#This Row],[ID]],[1]!Mtto_Pesv[[#Headers],[#Data],[Placa]:[Rutina]],10,FALSE)),0)</f>
        <v>0</v>
      </c>
      <c r="AL610" s="20">
        <f>IF(Tabla13[[#This Row],[Km Anterior]]=0,0,Tabla13[[#This Row],[Km Ejecut]]-Tabla13[[#This Row],[Km Anterior]])</f>
        <v>0</v>
      </c>
      <c r="AM610" s="20">
        <f>IFERROR((VLOOKUP(Tabla13[[#This Row],[ID]],[1]!Mtto_Pesv[[#Headers],[#Data],[Placa]:[Rutina]],4,FALSE)),0)</f>
        <v>0</v>
      </c>
      <c r="AN610" s="21">
        <f>IFERROR((VLOOKUP(Tabla13[[#This Row],[ID]],[1]!Mtto_Pesv[[#Headers],[#Data],[Placa]:[Rutina]],5,FALSE)),0)</f>
        <v>0</v>
      </c>
      <c r="AO610" s="21">
        <f>+Tabla13[[#This Row],[Km Fin]]-Tabla13[[#This Row],[Km Ini]]</f>
        <v>0</v>
      </c>
      <c r="AP610" s="20">
        <f>IFERROR((VLOOKUP(Tabla13[[#This Row],[ID]],[1]!Estilo_Conduccion[[#All],[Placa]:[Puntuacion]],15,FALSE)),0)</f>
        <v>0</v>
      </c>
      <c r="AQ610" s="15" t="s">
        <v>1434</v>
      </c>
      <c r="AR610" s="15" t="s">
        <v>1435</v>
      </c>
      <c r="AS610" s="20">
        <v>1013</v>
      </c>
      <c r="AT610" s="21">
        <v>9064.0714285714294</v>
      </c>
      <c r="AU610" s="21">
        <f>(Tabla13[[#This Row],[Cap Vh]]*$AX$2)*0.56</f>
        <v>0</v>
      </c>
      <c r="AV610" s="36" t="e">
        <f>(Tabla13[[#This Row],[Cap Util (kg)]]/(Tabla13[[#This Row],[Cap Inst (Kg)]]))</f>
        <v>#DIV/0!</v>
      </c>
    </row>
    <row r="611" spans="1:48" x14ac:dyDescent="0.25">
      <c r="A611" s="13" t="s">
        <v>1068</v>
      </c>
      <c r="B611" s="14" t="s">
        <v>831</v>
      </c>
      <c r="C611" s="14" t="s">
        <v>749</v>
      </c>
      <c r="D611" s="14" t="s">
        <v>750</v>
      </c>
      <c r="E611" s="14" t="s">
        <v>751</v>
      </c>
      <c r="F611" s="14" t="s">
        <v>64</v>
      </c>
      <c r="G611" s="15" t="s">
        <v>128</v>
      </c>
      <c r="H611" s="16" t="s">
        <v>143</v>
      </c>
      <c r="I611" s="14" t="s">
        <v>49</v>
      </c>
      <c r="J611" s="14">
        <v>900335279</v>
      </c>
      <c r="K611" s="14" t="s">
        <v>77</v>
      </c>
      <c r="L611" s="14" t="s">
        <v>103</v>
      </c>
      <c r="M611" s="14" t="s">
        <v>153</v>
      </c>
      <c r="N611" s="14">
        <v>2012</v>
      </c>
      <c r="O611" s="14">
        <v>8</v>
      </c>
      <c r="P611" s="14" t="s">
        <v>53</v>
      </c>
      <c r="Q611" s="14">
        <v>1</v>
      </c>
      <c r="R611" s="14">
        <v>1</v>
      </c>
      <c r="S611" s="17">
        <v>44834.20039351852</v>
      </c>
      <c r="T611" s="18">
        <v>256.24</v>
      </c>
      <c r="U611" s="14">
        <v>30</v>
      </c>
      <c r="V611" s="19">
        <v>1</v>
      </c>
      <c r="W611" s="14">
        <v>0</v>
      </c>
      <c r="X611" s="14">
        <v>23</v>
      </c>
      <c r="Y611" s="14">
        <v>0</v>
      </c>
      <c r="Z611" s="14">
        <v>22</v>
      </c>
      <c r="AA611" s="14">
        <f>Tabla13[[#This Row],[CheckList App]]+Tabla13[[#This Row],[CheckList Fisc]]</f>
        <v>22</v>
      </c>
      <c r="AB611" s="19">
        <f t="shared" si="9"/>
        <v>0.95652173913043481</v>
      </c>
      <c r="AC611" s="14">
        <v>0</v>
      </c>
      <c r="AD611" s="14" t="s">
        <v>70</v>
      </c>
      <c r="AE611" s="15" t="str">
        <f>IFERROR((VLOOKUP(Tabla13[[#This Row],[ID]],[1]!Mtto_Pesv[[#Headers],[#Data],[Placa]:[Rutina]],2,FALSE)),"-")</f>
        <v>-</v>
      </c>
      <c r="AF611" s="14">
        <v>1</v>
      </c>
      <c r="AG611" s="20">
        <f>IFERROR((VLOOKUP(Tabla13[[#This Row],[ID]],[1]!Mtto_Pesv[[#Headers],[#Data],[Placa]:[Rutina]],3,FALSE)),0)</f>
        <v>0</v>
      </c>
      <c r="AH611" s="20">
        <f>IFERROR((VLOOKUP(Tabla13[[#This Row],[ID]],[1]!Mtto_Pesv[[#Headers],[#Data],[Placa]:[Rutina]],7,FALSE)),0)</f>
        <v>0</v>
      </c>
      <c r="AI611" s="20">
        <f>IFERROR((VLOOKUP(Tabla13[[#This Row],[ID]],[1]!Mtto_Pesv[[#Headers],[#Data],[Placa]:[Rutina]],8,FALSE)),0)</f>
        <v>0</v>
      </c>
      <c r="AJ611" s="20" t="str">
        <f>IFERROR((VLOOKUP(Tabla13[[#This Row],[ID]],[1]!Mtto_Pesv[[#Headers],[#Data],[Placa]:[Rutina]],9,FALSE)),"-")</f>
        <v>-</v>
      </c>
      <c r="AK611" s="20">
        <f>IFERROR((VLOOKUP(Tabla13[[#This Row],[ID]],[1]!Mtto_Pesv[[#Headers],[#Data],[Placa]:[Rutina]],10,FALSE)),0)</f>
        <v>0</v>
      </c>
      <c r="AL611" s="20">
        <f>IF(Tabla13[[#This Row],[Km Anterior]]=0,0,Tabla13[[#This Row],[Km Ejecut]]-Tabla13[[#This Row],[Km Anterior]])</f>
        <v>0</v>
      </c>
      <c r="AM611" s="20">
        <f>IFERROR((VLOOKUP(Tabla13[[#This Row],[ID]],[1]!Mtto_Pesv[[#Headers],[#Data],[Placa]:[Rutina]],4,FALSE)),0)</f>
        <v>0</v>
      </c>
      <c r="AN611" s="21">
        <f>IFERROR((VLOOKUP(Tabla13[[#This Row],[ID]],[1]!Mtto_Pesv[[#Headers],[#Data],[Placa]:[Rutina]],5,FALSE)),0)</f>
        <v>0</v>
      </c>
      <c r="AO611" s="21">
        <f>+Tabla13[[#This Row],[Km Fin]]-Tabla13[[#This Row],[Km Ini]]</f>
        <v>0</v>
      </c>
      <c r="AP611" s="20">
        <f>IFERROR((VLOOKUP(Tabla13[[#This Row],[ID]],[1]!Estilo_Conduccion[[#All],[Placa]:[Puntuacion]],15,FALSE)),0)</f>
        <v>2336.6000000000004</v>
      </c>
      <c r="AQ611" s="15" t="s">
        <v>54</v>
      </c>
      <c r="AR611" s="15" t="s">
        <v>54</v>
      </c>
      <c r="AS611" s="20">
        <v>4195</v>
      </c>
      <c r="AT611" s="21">
        <v>0</v>
      </c>
      <c r="AU611" s="21">
        <f>(Tabla13[[#This Row],[Cap Vh]]*$AX$2)*0.56</f>
        <v>0</v>
      </c>
      <c r="AV611" s="36" t="e">
        <f>(Tabla13[[#This Row],[Cap Util (kg)]]/(Tabla13[[#This Row],[Cap Inst (Kg)]]))</f>
        <v>#DIV/0!</v>
      </c>
    </row>
    <row r="612" spans="1:48" x14ac:dyDescent="0.25">
      <c r="A612" s="13" t="s">
        <v>1068</v>
      </c>
      <c r="B612" s="14" t="s">
        <v>832</v>
      </c>
      <c r="C612" s="14" t="s">
        <v>749</v>
      </c>
      <c r="D612" s="14" t="s">
        <v>750</v>
      </c>
      <c r="E612" s="14" t="s">
        <v>759</v>
      </c>
      <c r="F612" s="14" t="s">
        <v>76</v>
      </c>
      <c r="G612" s="15" t="s">
        <v>89</v>
      </c>
      <c r="H612" s="16" t="s">
        <v>90</v>
      </c>
      <c r="I612" s="14" t="s">
        <v>49</v>
      </c>
      <c r="J612" s="14">
        <v>900335279</v>
      </c>
      <c r="K612" s="14" t="s">
        <v>77</v>
      </c>
      <c r="L612" s="14" t="s">
        <v>405</v>
      </c>
      <c r="M612" s="14" t="s">
        <v>651</v>
      </c>
      <c r="N612" s="14">
        <v>2011</v>
      </c>
      <c r="O612" s="14">
        <v>9</v>
      </c>
      <c r="P612" s="14" t="s">
        <v>53</v>
      </c>
      <c r="Q612" s="14">
        <v>1</v>
      </c>
      <c r="R612" s="14">
        <v>0</v>
      </c>
      <c r="S612" s="17" t="s">
        <v>54</v>
      </c>
      <c r="T612" s="18">
        <v>0</v>
      </c>
      <c r="U612" s="14">
        <v>30</v>
      </c>
      <c r="V612" s="19">
        <v>1</v>
      </c>
      <c r="W612" s="14">
        <v>0</v>
      </c>
      <c r="X612" s="14">
        <v>0</v>
      </c>
      <c r="Y612" s="14">
        <v>0</v>
      </c>
      <c r="Z612" s="14">
        <v>0</v>
      </c>
      <c r="AA612" s="14">
        <f>Tabla13[[#This Row],[CheckList App]]+Tabla13[[#This Row],[CheckList Fisc]]</f>
        <v>0</v>
      </c>
      <c r="AB612" s="19">
        <f t="shared" si="9"/>
        <v>0</v>
      </c>
      <c r="AC612" s="14">
        <v>0</v>
      </c>
      <c r="AD612" s="14" t="s">
        <v>70</v>
      </c>
      <c r="AE612" s="15" t="str">
        <f>IFERROR((VLOOKUP(Tabla13[[#This Row],[ID]],[1]!Mtto_Pesv[[#Headers],[#Data],[Placa]:[Rutina]],2,FALSE)),"-")</f>
        <v>-</v>
      </c>
      <c r="AF612" s="14">
        <v>1</v>
      </c>
      <c r="AG612" s="20">
        <f>IFERROR((VLOOKUP(Tabla13[[#This Row],[ID]],[1]!Mtto_Pesv[[#Headers],[#Data],[Placa]:[Rutina]],3,FALSE)),0)</f>
        <v>0</v>
      </c>
      <c r="AH612" s="20">
        <f>IFERROR((VLOOKUP(Tabla13[[#This Row],[ID]],[1]!Mtto_Pesv[[#Headers],[#Data],[Placa]:[Rutina]],7,FALSE)),0)</f>
        <v>0</v>
      </c>
      <c r="AI612" s="20">
        <f>IFERROR((VLOOKUP(Tabla13[[#This Row],[ID]],[1]!Mtto_Pesv[[#Headers],[#Data],[Placa]:[Rutina]],8,FALSE)),0)</f>
        <v>0</v>
      </c>
      <c r="AJ612" s="20" t="str">
        <f>IFERROR((VLOOKUP(Tabla13[[#This Row],[ID]],[1]!Mtto_Pesv[[#Headers],[#Data],[Placa]:[Rutina]],9,FALSE)),"-")</f>
        <v>-</v>
      </c>
      <c r="AK612" s="20">
        <f>IFERROR((VLOOKUP(Tabla13[[#This Row],[ID]],[1]!Mtto_Pesv[[#Headers],[#Data],[Placa]:[Rutina]],10,FALSE)),0)</f>
        <v>0</v>
      </c>
      <c r="AL612" s="20">
        <f>IF(Tabla13[[#This Row],[Km Anterior]]=0,0,Tabla13[[#This Row],[Km Ejecut]]-Tabla13[[#This Row],[Km Anterior]])</f>
        <v>0</v>
      </c>
      <c r="AM612" s="20">
        <f>IFERROR((VLOOKUP(Tabla13[[#This Row],[ID]],[1]!Mtto_Pesv[[#Headers],[#Data],[Placa]:[Rutina]],4,FALSE)),0)</f>
        <v>0</v>
      </c>
      <c r="AN612" s="21">
        <f>IFERROR((VLOOKUP(Tabla13[[#This Row],[ID]],[1]!Mtto_Pesv[[#Headers],[#Data],[Placa]:[Rutina]],5,FALSE)),0)</f>
        <v>0</v>
      </c>
      <c r="AO612" s="21">
        <f>+Tabla13[[#This Row],[Km Fin]]-Tabla13[[#This Row],[Km Ini]]</f>
        <v>0</v>
      </c>
      <c r="AP612" s="20">
        <f>IFERROR((VLOOKUP(Tabla13[[#This Row],[ID]],[1]!Estilo_Conduccion[[#All],[Placa]:[Puntuacion]],15,FALSE)),0)</f>
        <v>11751.699999999999</v>
      </c>
      <c r="AQ612" s="15" t="s">
        <v>1450</v>
      </c>
      <c r="AR612" s="15" t="s">
        <v>1451</v>
      </c>
      <c r="AS612" s="20">
        <v>3780</v>
      </c>
      <c r="AT612" s="21">
        <v>14058.75</v>
      </c>
      <c r="AU612" s="21">
        <f>(Tabla13[[#This Row],[Cap Vh]]*$AX$2)*0.56</f>
        <v>0</v>
      </c>
      <c r="AV612" s="36" t="e">
        <f>(Tabla13[[#This Row],[Cap Util (kg)]]/(Tabla13[[#This Row],[Cap Inst (Kg)]]))</f>
        <v>#DIV/0!</v>
      </c>
    </row>
    <row r="613" spans="1:48" x14ac:dyDescent="0.25">
      <c r="A613" s="13" t="s">
        <v>1068</v>
      </c>
      <c r="B613" s="14" t="s">
        <v>833</v>
      </c>
      <c r="C613" s="14" t="s">
        <v>749</v>
      </c>
      <c r="D613" s="14" t="s">
        <v>750</v>
      </c>
      <c r="E613" s="14" t="s">
        <v>751</v>
      </c>
      <c r="F613" s="14" t="s">
        <v>76</v>
      </c>
      <c r="G613" s="15" t="s">
        <v>128</v>
      </c>
      <c r="H613" s="16" t="s">
        <v>129</v>
      </c>
      <c r="I613" s="14" t="s">
        <v>49</v>
      </c>
      <c r="J613" s="14">
        <v>900335279</v>
      </c>
      <c r="K613" s="14" t="s">
        <v>77</v>
      </c>
      <c r="L613" s="14" t="s">
        <v>103</v>
      </c>
      <c r="M613" s="14" t="s">
        <v>153</v>
      </c>
      <c r="N613" s="14">
        <v>2012</v>
      </c>
      <c r="O613" s="14">
        <v>8</v>
      </c>
      <c r="P613" s="14" t="s">
        <v>53</v>
      </c>
      <c r="Q613" s="14">
        <v>0</v>
      </c>
      <c r="R613" s="14">
        <v>0</v>
      </c>
      <c r="S613" s="17" t="s">
        <v>54</v>
      </c>
      <c r="T613" s="18">
        <v>0</v>
      </c>
      <c r="U613" s="14">
        <v>30</v>
      </c>
      <c r="V613" s="19">
        <v>1</v>
      </c>
      <c r="W613" s="14">
        <v>0</v>
      </c>
      <c r="X613" s="14">
        <v>0</v>
      </c>
      <c r="Y613" s="14">
        <v>0</v>
      </c>
      <c r="Z613" s="14">
        <v>0</v>
      </c>
      <c r="AA613" s="14">
        <f>Tabla13[[#This Row],[CheckList App]]+Tabla13[[#This Row],[CheckList Fisc]]</f>
        <v>0</v>
      </c>
      <c r="AB613" s="19">
        <f t="shared" si="9"/>
        <v>0</v>
      </c>
      <c r="AC613" s="14">
        <v>0</v>
      </c>
      <c r="AD613" s="14" t="s">
        <v>70</v>
      </c>
      <c r="AE613" s="15" t="str">
        <f>IFERROR((VLOOKUP(Tabla13[[#This Row],[ID]],[1]!Mtto_Pesv[[#Headers],[#Data],[Placa]:[Rutina]],2,FALSE)),"-")</f>
        <v>-</v>
      </c>
      <c r="AF613" s="14">
        <v>0</v>
      </c>
      <c r="AG613" s="20">
        <f>IFERROR((VLOOKUP(Tabla13[[#This Row],[ID]],[1]!Mtto_Pesv[[#Headers],[#Data],[Placa]:[Rutina]],3,FALSE)),0)</f>
        <v>0</v>
      </c>
      <c r="AH613" s="20">
        <f>IFERROR((VLOOKUP(Tabla13[[#This Row],[ID]],[1]!Mtto_Pesv[[#Headers],[#Data],[Placa]:[Rutina]],7,FALSE)),0)</f>
        <v>0</v>
      </c>
      <c r="AI613" s="20">
        <f>IFERROR((VLOOKUP(Tabla13[[#This Row],[ID]],[1]!Mtto_Pesv[[#Headers],[#Data],[Placa]:[Rutina]],8,FALSE)),0)</f>
        <v>0</v>
      </c>
      <c r="AJ613" s="20" t="str">
        <f>IFERROR((VLOOKUP(Tabla13[[#This Row],[ID]],[1]!Mtto_Pesv[[#Headers],[#Data],[Placa]:[Rutina]],9,FALSE)),"-")</f>
        <v>-</v>
      </c>
      <c r="AK613" s="20">
        <f>IFERROR((VLOOKUP(Tabla13[[#This Row],[ID]],[1]!Mtto_Pesv[[#Headers],[#Data],[Placa]:[Rutina]],10,FALSE)),0)</f>
        <v>0</v>
      </c>
      <c r="AL613" s="20">
        <f>IF(Tabla13[[#This Row],[Km Anterior]]=0,0,Tabla13[[#This Row],[Km Ejecut]]-Tabla13[[#This Row],[Km Anterior]])</f>
        <v>0</v>
      </c>
      <c r="AM613" s="20">
        <f>IFERROR((VLOOKUP(Tabla13[[#This Row],[ID]],[1]!Mtto_Pesv[[#Headers],[#Data],[Placa]:[Rutina]],4,FALSE)),0)</f>
        <v>0</v>
      </c>
      <c r="AN613" s="21">
        <f>IFERROR((VLOOKUP(Tabla13[[#This Row],[ID]],[1]!Mtto_Pesv[[#Headers],[#Data],[Placa]:[Rutina]],5,FALSE)),0)</f>
        <v>0</v>
      </c>
      <c r="AO613" s="21">
        <f>+Tabla13[[#This Row],[Km Fin]]-Tabla13[[#This Row],[Km Ini]]</f>
        <v>0</v>
      </c>
      <c r="AP613" s="20">
        <f>IFERROR((VLOOKUP(Tabla13[[#This Row],[ID]],[1]!Estilo_Conduccion[[#All],[Placa]:[Puntuacion]],15,FALSE)),0)</f>
        <v>0</v>
      </c>
      <c r="AQ613" s="15" t="s">
        <v>1452</v>
      </c>
      <c r="AR613" s="15" t="s">
        <v>1453</v>
      </c>
      <c r="AS613" s="20">
        <v>4195</v>
      </c>
      <c r="AT613" s="21">
        <v>67704</v>
      </c>
      <c r="AU613" s="21">
        <f>(Tabla13[[#This Row],[Cap Vh]]*$AX$2)*0.56</f>
        <v>0</v>
      </c>
      <c r="AV613" s="36" t="e">
        <f>(Tabla13[[#This Row],[Cap Util (kg)]]/(Tabla13[[#This Row],[Cap Inst (Kg)]]))</f>
        <v>#DIV/0!</v>
      </c>
    </row>
    <row r="614" spans="1:48" x14ac:dyDescent="0.25">
      <c r="A614" s="13" t="s">
        <v>1068</v>
      </c>
      <c r="B614" s="14" t="s">
        <v>834</v>
      </c>
      <c r="C614" s="14" t="s">
        <v>749</v>
      </c>
      <c r="D614" s="14" t="s">
        <v>750</v>
      </c>
      <c r="E614" s="14" t="s">
        <v>759</v>
      </c>
      <c r="F614" s="14" t="s">
        <v>752</v>
      </c>
      <c r="G614" s="15" t="s">
        <v>128</v>
      </c>
      <c r="H614" s="16" t="s">
        <v>129</v>
      </c>
      <c r="I614" s="14" t="s">
        <v>49</v>
      </c>
      <c r="J614" s="14">
        <v>900335279</v>
      </c>
      <c r="K614" s="14" t="s">
        <v>77</v>
      </c>
      <c r="L614" s="14" t="s">
        <v>103</v>
      </c>
      <c r="M614" s="14" t="s">
        <v>153</v>
      </c>
      <c r="N614" s="14">
        <v>2012</v>
      </c>
      <c r="O614" s="14">
        <v>8</v>
      </c>
      <c r="P614" s="14" t="s">
        <v>53</v>
      </c>
      <c r="Q614" s="14">
        <v>1</v>
      </c>
      <c r="R614" s="14">
        <v>0</v>
      </c>
      <c r="S614" s="17" t="s">
        <v>54</v>
      </c>
      <c r="T614" s="18">
        <v>0</v>
      </c>
      <c r="U614" s="14">
        <v>30</v>
      </c>
      <c r="V614" s="19">
        <v>1</v>
      </c>
      <c r="W614" s="14">
        <v>0</v>
      </c>
      <c r="X614" s="14">
        <v>0</v>
      </c>
      <c r="Y614" s="14">
        <v>0</v>
      </c>
      <c r="Z614" s="14">
        <v>0</v>
      </c>
      <c r="AA614" s="14">
        <f>Tabla13[[#This Row],[CheckList App]]+Tabla13[[#This Row],[CheckList Fisc]]</f>
        <v>0</v>
      </c>
      <c r="AB614" s="19">
        <f t="shared" si="9"/>
        <v>0</v>
      </c>
      <c r="AC614" s="14">
        <v>0</v>
      </c>
      <c r="AD614" s="14" t="s">
        <v>70</v>
      </c>
      <c r="AE614" s="15" t="str">
        <f>IFERROR((VLOOKUP(Tabla13[[#This Row],[ID]],[1]!Mtto_Pesv[[#Headers],[#Data],[Placa]:[Rutina]],2,FALSE)),"-")</f>
        <v>-</v>
      </c>
      <c r="AF614" s="14">
        <v>1</v>
      </c>
      <c r="AG614" s="20">
        <f>IFERROR((VLOOKUP(Tabla13[[#This Row],[ID]],[1]!Mtto_Pesv[[#Headers],[#Data],[Placa]:[Rutina]],3,FALSE)),0)</f>
        <v>0</v>
      </c>
      <c r="AH614" s="20">
        <f>IFERROR((VLOOKUP(Tabla13[[#This Row],[ID]],[1]!Mtto_Pesv[[#Headers],[#Data],[Placa]:[Rutina]],7,FALSE)),0)</f>
        <v>0</v>
      </c>
      <c r="AI614" s="20">
        <f>IFERROR((VLOOKUP(Tabla13[[#This Row],[ID]],[1]!Mtto_Pesv[[#Headers],[#Data],[Placa]:[Rutina]],8,FALSE)),0)</f>
        <v>0</v>
      </c>
      <c r="AJ614" s="20" t="str">
        <f>IFERROR((VLOOKUP(Tabla13[[#This Row],[ID]],[1]!Mtto_Pesv[[#Headers],[#Data],[Placa]:[Rutina]],9,FALSE)),"-")</f>
        <v>-</v>
      </c>
      <c r="AK614" s="20">
        <f>IFERROR((VLOOKUP(Tabla13[[#This Row],[ID]],[1]!Mtto_Pesv[[#Headers],[#Data],[Placa]:[Rutina]],10,FALSE)),0)</f>
        <v>0</v>
      </c>
      <c r="AL614" s="20">
        <f>IF(Tabla13[[#This Row],[Km Anterior]]=0,0,Tabla13[[#This Row],[Km Ejecut]]-Tabla13[[#This Row],[Km Anterior]])</f>
        <v>0</v>
      </c>
      <c r="AM614" s="20">
        <f>IFERROR((VLOOKUP(Tabla13[[#This Row],[ID]],[1]!Mtto_Pesv[[#Headers],[#Data],[Placa]:[Rutina]],4,FALSE)),0)</f>
        <v>0</v>
      </c>
      <c r="AN614" s="21">
        <f>IFERROR((VLOOKUP(Tabla13[[#This Row],[ID]],[1]!Mtto_Pesv[[#Headers],[#Data],[Placa]:[Rutina]],5,FALSE)),0)</f>
        <v>0</v>
      </c>
      <c r="AO614" s="21">
        <f>+Tabla13[[#This Row],[Km Fin]]-Tabla13[[#This Row],[Km Ini]]</f>
        <v>0</v>
      </c>
      <c r="AP614" s="20">
        <f>IFERROR((VLOOKUP(Tabla13[[#This Row],[ID]],[1]!Estilo_Conduccion[[#All],[Placa]:[Puntuacion]],15,FALSE)),0)</f>
        <v>14333.5</v>
      </c>
      <c r="AQ614" s="15" t="s">
        <v>1428</v>
      </c>
      <c r="AR614" s="15" t="s">
        <v>1429</v>
      </c>
      <c r="AS614" s="20">
        <v>4195</v>
      </c>
      <c r="AT614" s="21">
        <v>17611.5</v>
      </c>
      <c r="AU614" s="21">
        <f>(Tabla13[[#This Row],[Cap Vh]]*$AX$2)*0.56</f>
        <v>0</v>
      </c>
      <c r="AV614" s="36" t="e">
        <f>(Tabla13[[#This Row],[Cap Util (kg)]]/(Tabla13[[#This Row],[Cap Inst (Kg)]]))</f>
        <v>#DIV/0!</v>
      </c>
    </row>
    <row r="615" spans="1:48" x14ac:dyDescent="0.25">
      <c r="A615" s="13" t="s">
        <v>1068</v>
      </c>
      <c r="B615" s="14" t="s">
        <v>835</v>
      </c>
      <c r="C615" s="14" t="s">
        <v>749</v>
      </c>
      <c r="D615" s="14" t="s">
        <v>750</v>
      </c>
      <c r="E615" s="14" t="s">
        <v>759</v>
      </c>
      <c r="F615" s="14" t="s">
        <v>752</v>
      </c>
      <c r="G615" s="15" t="s">
        <v>128</v>
      </c>
      <c r="H615" s="16" t="s">
        <v>143</v>
      </c>
      <c r="I615" s="14" t="s">
        <v>49</v>
      </c>
      <c r="J615" s="14">
        <v>900335279</v>
      </c>
      <c r="K615" s="14" t="s">
        <v>77</v>
      </c>
      <c r="L615" s="14" t="s">
        <v>103</v>
      </c>
      <c r="M615" s="14" t="s">
        <v>104</v>
      </c>
      <c r="N615" s="14">
        <v>2014</v>
      </c>
      <c r="O615" s="14">
        <v>6</v>
      </c>
      <c r="P615" s="14" t="s">
        <v>53</v>
      </c>
      <c r="Q615" s="14">
        <v>0</v>
      </c>
      <c r="R615" s="14">
        <v>0</v>
      </c>
      <c r="S615" s="17" t="s">
        <v>54</v>
      </c>
      <c r="T615" s="18">
        <v>0</v>
      </c>
      <c r="U615" s="14">
        <v>0</v>
      </c>
      <c r="V615" s="19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f>Tabla13[[#This Row],[CheckList App]]+Tabla13[[#This Row],[CheckList Fisc]]</f>
        <v>0</v>
      </c>
      <c r="AB615" s="19" t="str">
        <f t="shared" si="9"/>
        <v/>
      </c>
      <c r="AC615" s="14">
        <v>0</v>
      </c>
      <c r="AD615" s="14" t="s">
        <v>70</v>
      </c>
      <c r="AE615" s="15" t="str">
        <f>IFERROR((VLOOKUP(Tabla13[[#This Row],[ID]],[1]!Mtto_Pesv[[#Headers],[#Data],[Placa]:[Rutina]],2,FALSE)),"-")</f>
        <v>-</v>
      </c>
      <c r="AF615" s="14">
        <v>1</v>
      </c>
      <c r="AG615" s="20">
        <f>IFERROR((VLOOKUP(Tabla13[[#This Row],[ID]],[1]!Mtto_Pesv[[#Headers],[#Data],[Placa]:[Rutina]],3,FALSE)),0)</f>
        <v>0</v>
      </c>
      <c r="AH615" s="20">
        <f>IFERROR((VLOOKUP(Tabla13[[#This Row],[ID]],[1]!Mtto_Pesv[[#Headers],[#Data],[Placa]:[Rutina]],7,FALSE)),0)</f>
        <v>0</v>
      </c>
      <c r="AI615" s="20">
        <f>IFERROR((VLOOKUP(Tabla13[[#This Row],[ID]],[1]!Mtto_Pesv[[#Headers],[#Data],[Placa]:[Rutina]],8,FALSE)),0)</f>
        <v>0</v>
      </c>
      <c r="AJ615" s="20" t="str">
        <f>IFERROR((VLOOKUP(Tabla13[[#This Row],[ID]],[1]!Mtto_Pesv[[#Headers],[#Data],[Placa]:[Rutina]],9,FALSE)),"-")</f>
        <v>-</v>
      </c>
      <c r="AK615" s="20">
        <f>IFERROR((VLOOKUP(Tabla13[[#This Row],[ID]],[1]!Mtto_Pesv[[#Headers],[#Data],[Placa]:[Rutina]],10,FALSE)),0)</f>
        <v>0</v>
      </c>
      <c r="AL615" s="20">
        <f>IF(Tabla13[[#This Row],[Km Anterior]]=0,0,Tabla13[[#This Row],[Km Ejecut]]-Tabla13[[#This Row],[Km Anterior]])</f>
        <v>0</v>
      </c>
      <c r="AM615" s="20">
        <f>IFERROR((VLOOKUP(Tabla13[[#This Row],[ID]],[1]!Mtto_Pesv[[#Headers],[#Data],[Placa]:[Rutina]],4,FALSE)),0)</f>
        <v>0</v>
      </c>
      <c r="AN615" s="21">
        <f>IFERROR((VLOOKUP(Tabla13[[#This Row],[ID]],[1]!Mtto_Pesv[[#Headers],[#Data],[Placa]:[Rutina]],5,FALSE)),0)</f>
        <v>0</v>
      </c>
      <c r="AO615" s="21">
        <f>+Tabla13[[#This Row],[Km Fin]]-Tabla13[[#This Row],[Km Ini]]</f>
        <v>0</v>
      </c>
      <c r="AP615" s="20">
        <f>IFERROR((VLOOKUP(Tabla13[[#This Row],[ID]],[1]!Estilo_Conduccion[[#All],[Placa]:[Puntuacion]],15,FALSE)),0)</f>
        <v>0</v>
      </c>
      <c r="AQ615" s="15" t="s">
        <v>54</v>
      </c>
      <c r="AR615" s="15" t="s">
        <v>54</v>
      </c>
      <c r="AS615" s="20">
        <v>1300</v>
      </c>
      <c r="AT615" s="21">
        <v>0</v>
      </c>
      <c r="AU615" s="21">
        <f>(Tabla13[[#This Row],[Cap Vh]]*$AX$2)*0.56</f>
        <v>0</v>
      </c>
      <c r="AV615" s="36" t="e">
        <f>(Tabla13[[#This Row],[Cap Util (kg)]]/(Tabla13[[#This Row],[Cap Inst (Kg)]]))</f>
        <v>#DIV/0!</v>
      </c>
    </row>
    <row r="616" spans="1:48" x14ac:dyDescent="0.25">
      <c r="A616" s="13" t="s">
        <v>1068</v>
      </c>
      <c r="B616" s="14" t="s">
        <v>836</v>
      </c>
      <c r="C616" s="14" t="s">
        <v>749</v>
      </c>
      <c r="D616" s="14" t="s">
        <v>750</v>
      </c>
      <c r="E616" s="14" t="s">
        <v>763</v>
      </c>
      <c r="F616" s="14" t="s">
        <v>64</v>
      </c>
      <c r="G616" s="15" t="s">
        <v>128</v>
      </c>
      <c r="H616" s="16" t="s">
        <v>143</v>
      </c>
      <c r="I616" s="14" t="s">
        <v>49</v>
      </c>
      <c r="J616" s="14">
        <v>900335279</v>
      </c>
      <c r="K616" s="14" t="s">
        <v>77</v>
      </c>
      <c r="L616" s="14" t="s">
        <v>103</v>
      </c>
      <c r="M616" s="14" t="s">
        <v>104</v>
      </c>
      <c r="N616" s="14">
        <v>2015</v>
      </c>
      <c r="O616" s="14">
        <v>5</v>
      </c>
      <c r="P616" s="14" t="s">
        <v>53</v>
      </c>
      <c r="Q616" s="14">
        <v>1</v>
      </c>
      <c r="R616" s="14">
        <v>1</v>
      </c>
      <c r="S616" s="17">
        <v>44834.308449074073</v>
      </c>
      <c r="T616" s="18">
        <v>144.43299999999999</v>
      </c>
      <c r="U616" s="14">
        <v>30</v>
      </c>
      <c r="V616" s="19">
        <v>1</v>
      </c>
      <c r="W616" s="14">
        <v>0</v>
      </c>
      <c r="X616" s="14">
        <v>25</v>
      </c>
      <c r="Y616" s="14">
        <v>25</v>
      </c>
      <c r="Z616" s="14">
        <v>0</v>
      </c>
      <c r="AA616" s="14">
        <f>Tabla13[[#This Row],[CheckList App]]+Tabla13[[#This Row],[CheckList Fisc]]</f>
        <v>25</v>
      </c>
      <c r="AB616" s="19">
        <f t="shared" si="9"/>
        <v>1</v>
      </c>
      <c r="AC616" s="14">
        <v>0</v>
      </c>
      <c r="AD616" s="14" t="s">
        <v>70</v>
      </c>
      <c r="AE616" s="15" t="str">
        <f>IFERROR((VLOOKUP(Tabla13[[#This Row],[ID]],[1]!Mtto_Pesv[[#Headers],[#Data],[Placa]:[Rutina]],2,FALSE)),"-")</f>
        <v>-</v>
      </c>
      <c r="AF616" s="14">
        <v>1</v>
      </c>
      <c r="AG616" s="20">
        <f>IFERROR((VLOOKUP(Tabla13[[#This Row],[ID]],[1]!Mtto_Pesv[[#Headers],[#Data],[Placa]:[Rutina]],3,FALSE)),0)</f>
        <v>0</v>
      </c>
      <c r="AH616" s="20">
        <f>IFERROR((VLOOKUP(Tabla13[[#This Row],[ID]],[1]!Mtto_Pesv[[#Headers],[#Data],[Placa]:[Rutina]],7,FALSE)),0)</f>
        <v>0</v>
      </c>
      <c r="AI616" s="20">
        <f>IFERROR((VLOOKUP(Tabla13[[#This Row],[ID]],[1]!Mtto_Pesv[[#Headers],[#Data],[Placa]:[Rutina]],8,FALSE)),0)</f>
        <v>0</v>
      </c>
      <c r="AJ616" s="20" t="str">
        <f>IFERROR((VLOOKUP(Tabla13[[#This Row],[ID]],[1]!Mtto_Pesv[[#Headers],[#Data],[Placa]:[Rutina]],9,FALSE)),"-")</f>
        <v>-</v>
      </c>
      <c r="AK616" s="20">
        <f>IFERROR((VLOOKUP(Tabla13[[#This Row],[ID]],[1]!Mtto_Pesv[[#Headers],[#Data],[Placa]:[Rutina]],10,FALSE)),0)</f>
        <v>0</v>
      </c>
      <c r="AL616" s="20">
        <f>IF(Tabla13[[#This Row],[Km Anterior]]=0,0,Tabla13[[#This Row],[Km Ejecut]]-Tabla13[[#This Row],[Km Anterior]])</f>
        <v>0</v>
      </c>
      <c r="AM616" s="20">
        <f>IFERROR((VLOOKUP(Tabla13[[#This Row],[ID]],[1]!Mtto_Pesv[[#Headers],[#Data],[Placa]:[Rutina]],4,FALSE)),0)</f>
        <v>0</v>
      </c>
      <c r="AN616" s="21">
        <f>IFERROR((VLOOKUP(Tabla13[[#This Row],[ID]],[1]!Mtto_Pesv[[#Headers],[#Data],[Placa]:[Rutina]],5,FALSE)),0)</f>
        <v>0</v>
      </c>
      <c r="AO616" s="21">
        <f>+Tabla13[[#This Row],[Km Fin]]-Tabla13[[#This Row],[Km Ini]]</f>
        <v>0</v>
      </c>
      <c r="AP616" s="20">
        <f>IFERROR((VLOOKUP(Tabla13[[#This Row],[ID]],[1]!Estilo_Conduccion[[#All],[Placa]:[Puntuacion]],15,FALSE)),0)</f>
        <v>1264.7</v>
      </c>
      <c r="AQ616" s="15" t="s">
        <v>54</v>
      </c>
      <c r="AR616" s="15" t="s">
        <v>1123</v>
      </c>
      <c r="AS616" s="20">
        <v>1300</v>
      </c>
      <c r="AT616" s="21">
        <v>0</v>
      </c>
      <c r="AU616" s="21">
        <f>(Tabla13[[#This Row],[Cap Vh]]*$AX$2)*0.56</f>
        <v>0</v>
      </c>
      <c r="AV616" s="36" t="e">
        <f>(Tabla13[[#This Row],[Cap Util (kg)]]/(Tabla13[[#This Row],[Cap Inst (Kg)]]))</f>
        <v>#DIV/0!</v>
      </c>
    </row>
    <row r="617" spans="1:48" x14ac:dyDescent="0.25">
      <c r="A617" s="13" t="s">
        <v>1068</v>
      </c>
      <c r="B617" s="14" t="s">
        <v>837</v>
      </c>
      <c r="C617" s="14" t="s">
        <v>749</v>
      </c>
      <c r="D617" s="14" t="s">
        <v>750</v>
      </c>
      <c r="E617" s="14" t="s">
        <v>759</v>
      </c>
      <c r="F617" s="14" t="s">
        <v>752</v>
      </c>
      <c r="G617" s="15" t="s">
        <v>128</v>
      </c>
      <c r="H617" s="16" t="s">
        <v>129</v>
      </c>
      <c r="I617" s="14" t="s">
        <v>49</v>
      </c>
      <c r="J617" s="14">
        <v>890300279</v>
      </c>
      <c r="K617" s="14" t="s">
        <v>282</v>
      </c>
      <c r="L617" s="14" t="s">
        <v>103</v>
      </c>
      <c r="M617" s="14" t="s">
        <v>121</v>
      </c>
      <c r="N617" s="14">
        <v>2015</v>
      </c>
      <c r="O617" s="14">
        <v>5</v>
      </c>
      <c r="P617" s="14" t="s">
        <v>53</v>
      </c>
      <c r="Q617" s="14">
        <v>1</v>
      </c>
      <c r="R617" s="14">
        <v>0</v>
      </c>
      <c r="S617" s="17" t="s">
        <v>54</v>
      </c>
      <c r="T617" s="18">
        <v>0</v>
      </c>
      <c r="U617" s="14">
        <v>0</v>
      </c>
      <c r="V617" s="19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f>Tabla13[[#This Row],[CheckList App]]+Tabla13[[#This Row],[CheckList Fisc]]</f>
        <v>0</v>
      </c>
      <c r="AB617" s="19" t="str">
        <f t="shared" si="9"/>
        <v/>
      </c>
      <c r="AC617" s="14">
        <v>0</v>
      </c>
      <c r="AD617" s="14" t="s">
        <v>70</v>
      </c>
      <c r="AE617" s="15" t="str">
        <f>IFERROR((VLOOKUP(Tabla13[[#This Row],[ID]],[1]!Mtto_Pesv[[#Headers],[#Data],[Placa]:[Rutina]],2,FALSE)),"-")</f>
        <v>-</v>
      </c>
      <c r="AF617" s="14">
        <v>1</v>
      </c>
      <c r="AG617" s="20">
        <f>IFERROR((VLOOKUP(Tabla13[[#This Row],[ID]],[1]!Mtto_Pesv[[#Headers],[#Data],[Placa]:[Rutina]],3,FALSE)),0)</f>
        <v>0</v>
      </c>
      <c r="AH617" s="20">
        <f>IFERROR((VLOOKUP(Tabla13[[#This Row],[ID]],[1]!Mtto_Pesv[[#Headers],[#Data],[Placa]:[Rutina]],7,FALSE)),0)</f>
        <v>0</v>
      </c>
      <c r="AI617" s="20">
        <f>IFERROR((VLOOKUP(Tabla13[[#This Row],[ID]],[1]!Mtto_Pesv[[#Headers],[#Data],[Placa]:[Rutina]],8,FALSE)),0)</f>
        <v>0</v>
      </c>
      <c r="AJ617" s="20" t="str">
        <f>IFERROR((VLOOKUP(Tabla13[[#This Row],[ID]],[1]!Mtto_Pesv[[#Headers],[#Data],[Placa]:[Rutina]],9,FALSE)),"-")</f>
        <v>-</v>
      </c>
      <c r="AK617" s="20">
        <f>IFERROR((VLOOKUP(Tabla13[[#This Row],[ID]],[1]!Mtto_Pesv[[#Headers],[#Data],[Placa]:[Rutina]],10,FALSE)),0)</f>
        <v>0</v>
      </c>
      <c r="AL617" s="20">
        <f>IF(Tabla13[[#This Row],[Km Anterior]]=0,0,Tabla13[[#This Row],[Km Ejecut]]-Tabla13[[#This Row],[Km Anterior]])</f>
        <v>0</v>
      </c>
      <c r="AM617" s="20">
        <f>IFERROR((VLOOKUP(Tabla13[[#This Row],[ID]],[1]!Mtto_Pesv[[#Headers],[#Data],[Placa]:[Rutina]],4,FALSE)),0)</f>
        <v>0</v>
      </c>
      <c r="AN617" s="21">
        <f>IFERROR((VLOOKUP(Tabla13[[#This Row],[ID]],[1]!Mtto_Pesv[[#Headers],[#Data],[Placa]:[Rutina]],5,FALSE)),0)</f>
        <v>0</v>
      </c>
      <c r="AO617" s="21">
        <f>+Tabla13[[#This Row],[Km Fin]]-Tabla13[[#This Row],[Km Ini]]</f>
        <v>0</v>
      </c>
      <c r="AP617" s="20">
        <f>IFERROR((VLOOKUP(Tabla13[[#This Row],[ID]],[1]!Estilo_Conduccion[[#All],[Placa]:[Puntuacion]],15,FALSE)),0)</f>
        <v>7.7000000000000011</v>
      </c>
      <c r="AQ617" s="15" t="s">
        <v>1450</v>
      </c>
      <c r="AR617" s="15" t="s">
        <v>1451</v>
      </c>
      <c r="AS617" s="20">
        <v>2601</v>
      </c>
      <c r="AT617" s="21">
        <v>14058.75</v>
      </c>
      <c r="AU617" s="21">
        <f>(Tabla13[[#This Row],[Cap Vh]]*$AX$2)*0.56</f>
        <v>0</v>
      </c>
      <c r="AV617" s="36" t="e">
        <f>(Tabla13[[#This Row],[Cap Util (kg)]]/(Tabla13[[#This Row],[Cap Inst (Kg)]]))</f>
        <v>#DIV/0!</v>
      </c>
    </row>
    <row r="618" spans="1:48" x14ac:dyDescent="0.25">
      <c r="A618" s="13" t="s">
        <v>1068</v>
      </c>
      <c r="B618" s="14" t="s">
        <v>838</v>
      </c>
      <c r="C618" s="14" t="s">
        <v>749</v>
      </c>
      <c r="D618" s="14" t="s">
        <v>750</v>
      </c>
      <c r="E618" s="14" t="s">
        <v>751</v>
      </c>
      <c r="F618" s="14" t="s">
        <v>64</v>
      </c>
      <c r="G618" s="15" t="s">
        <v>119</v>
      </c>
      <c r="H618" s="16" t="s">
        <v>120</v>
      </c>
      <c r="I618" s="14" t="s">
        <v>177</v>
      </c>
      <c r="J618" s="14">
        <v>900335279</v>
      </c>
      <c r="K618" s="14" t="s">
        <v>77</v>
      </c>
      <c r="L618" s="14" t="s">
        <v>103</v>
      </c>
      <c r="M618" s="14" t="s">
        <v>132</v>
      </c>
      <c r="N618" s="14">
        <v>2012</v>
      </c>
      <c r="O618" s="14">
        <v>8</v>
      </c>
      <c r="P618" s="14" t="s">
        <v>53</v>
      </c>
      <c r="Q618" s="14">
        <v>1</v>
      </c>
      <c r="R618" s="14">
        <v>1</v>
      </c>
      <c r="S618" s="17">
        <v>44831.114016203697</v>
      </c>
      <c r="T618" s="18">
        <v>271.375</v>
      </c>
      <c r="U618" s="14">
        <v>28</v>
      </c>
      <c r="V618" s="19">
        <v>0.93333333333333335</v>
      </c>
      <c r="W618" s="14">
        <v>0</v>
      </c>
      <c r="X618" s="14">
        <v>18</v>
      </c>
      <c r="Y618" s="14">
        <v>18</v>
      </c>
      <c r="Z618" s="14">
        <v>0</v>
      </c>
      <c r="AA618" s="14">
        <f>Tabla13[[#This Row],[CheckList App]]+Tabla13[[#This Row],[CheckList Fisc]]</f>
        <v>18</v>
      </c>
      <c r="AB618" s="19">
        <f t="shared" si="9"/>
        <v>1</v>
      </c>
      <c r="AC618" s="14">
        <v>0</v>
      </c>
      <c r="AD618" s="14" t="s">
        <v>70</v>
      </c>
      <c r="AE618" s="22" t="str">
        <f>IFERROR((VLOOKUP(Tabla13[[#This Row],[ID]],[1]!Mtto_Pesv[[#Headers],[#Data],[Placa]:[Rutina]],2,FALSE)),"-")</f>
        <v>-</v>
      </c>
      <c r="AF618" s="14">
        <v>1</v>
      </c>
      <c r="AG618" s="20">
        <f>IFERROR((VLOOKUP(Tabla13[[#This Row],[ID]],[1]!Mtto_Pesv[[#Headers],[#Data],[Placa]:[Rutina]],3,FALSE)),0)</f>
        <v>0</v>
      </c>
      <c r="AH618" s="20">
        <f>IFERROR((VLOOKUP(Tabla13[[#This Row],[ID]],[1]!Mtto_Pesv[[#Headers],[#Data],[Placa]:[Rutina]],7,FALSE)),0)</f>
        <v>0</v>
      </c>
      <c r="AI618" s="20">
        <f>IFERROR((VLOOKUP(Tabla13[[#This Row],[ID]],[1]!Mtto_Pesv[[#Headers],[#Data],[Placa]:[Rutina]],8,FALSE)),0)</f>
        <v>0</v>
      </c>
      <c r="AJ618" s="20" t="str">
        <f>IFERROR((VLOOKUP(Tabla13[[#This Row],[ID]],[1]!Mtto_Pesv[[#Headers],[#Data],[Placa]:[Rutina]],9,FALSE)),"-")</f>
        <v>-</v>
      </c>
      <c r="AK618" s="20">
        <f>IFERROR((VLOOKUP(Tabla13[[#This Row],[ID]],[1]!Mtto_Pesv[[#Headers],[#Data],[Placa]:[Rutina]],10,FALSE)),0)</f>
        <v>0</v>
      </c>
      <c r="AL618" s="20">
        <f>IF(Tabla13[[#This Row],[Km Anterior]]=0,0,Tabla13[[#This Row],[Km Ejecut]]-Tabla13[[#This Row],[Km Anterior]])</f>
        <v>0</v>
      </c>
      <c r="AM618" s="20">
        <f>IFERROR((VLOOKUP(Tabla13[[#This Row],[ID]],[1]!Mtto_Pesv[[#Headers],[#Data],[Placa]:[Rutina]],4,FALSE)),0)</f>
        <v>0</v>
      </c>
      <c r="AN618" s="21">
        <f>IFERROR((VLOOKUP(Tabla13[[#This Row],[ID]],[1]!Mtto_Pesv[[#Headers],[#Data],[Placa]:[Rutina]],5,FALSE)),0)</f>
        <v>0</v>
      </c>
      <c r="AO618" s="21">
        <f>+Tabla13[[#This Row],[Km Fin]]-Tabla13[[#This Row],[Km Ini]]</f>
        <v>0</v>
      </c>
      <c r="AP618" s="20">
        <f>IFERROR((VLOOKUP(Tabla13[[#This Row],[ID]],[1]!Estilo_Conduccion[[#All],[Placa]:[Puntuacion]],15,FALSE)),0)</f>
        <v>1641.3</v>
      </c>
      <c r="AQ618" s="15" t="s">
        <v>54</v>
      </c>
      <c r="AR618" s="15" t="s">
        <v>54</v>
      </c>
      <c r="AS618" s="20">
        <v>7000</v>
      </c>
      <c r="AT618" s="21">
        <v>0</v>
      </c>
      <c r="AU618" s="21">
        <f>(Tabla13[[#This Row],[Cap Vh]]*$AX$2)*0.56</f>
        <v>0</v>
      </c>
      <c r="AV618" s="36" t="e">
        <f>(Tabla13[[#This Row],[Cap Util (kg)]]/(Tabla13[[#This Row],[Cap Inst (Kg)]]))</f>
        <v>#DIV/0!</v>
      </c>
    </row>
    <row r="619" spans="1:48" x14ac:dyDescent="0.25">
      <c r="A619" s="13" t="s">
        <v>1068</v>
      </c>
      <c r="B619" s="14" t="s">
        <v>839</v>
      </c>
      <c r="C619" s="14" t="s">
        <v>749</v>
      </c>
      <c r="D619" s="14" t="s">
        <v>749</v>
      </c>
      <c r="E619" s="14" t="s">
        <v>840</v>
      </c>
      <c r="F619" s="14" t="s">
        <v>64</v>
      </c>
      <c r="G619" s="15" t="s">
        <v>119</v>
      </c>
      <c r="H619" s="16" t="s">
        <v>120</v>
      </c>
      <c r="I619" s="14" t="s">
        <v>177</v>
      </c>
      <c r="J619" s="14">
        <v>900335279</v>
      </c>
      <c r="K619" s="14" t="s">
        <v>77</v>
      </c>
      <c r="L619" s="14" t="s">
        <v>103</v>
      </c>
      <c r="M619" s="14" t="s">
        <v>132</v>
      </c>
      <c r="N619" s="14">
        <v>2008</v>
      </c>
      <c r="O619" s="14">
        <v>12</v>
      </c>
      <c r="P619" s="14" t="s">
        <v>173</v>
      </c>
      <c r="Q619" s="14">
        <v>1</v>
      </c>
      <c r="R619" s="14">
        <v>1</v>
      </c>
      <c r="S619" s="17">
        <v>44832.865520833337</v>
      </c>
      <c r="T619" s="18">
        <v>449.13200000000006</v>
      </c>
      <c r="U619" s="14">
        <v>28</v>
      </c>
      <c r="V619" s="19">
        <v>0.93333333333333335</v>
      </c>
      <c r="W619" s="14">
        <v>0</v>
      </c>
      <c r="X619" s="14">
        <v>29</v>
      </c>
      <c r="Y619" s="14">
        <v>29</v>
      </c>
      <c r="Z619" s="14">
        <v>0</v>
      </c>
      <c r="AA619" s="14">
        <f>Tabla13[[#This Row],[CheckList App]]+Tabla13[[#This Row],[CheckList Fisc]]</f>
        <v>29</v>
      </c>
      <c r="AB619" s="19">
        <f t="shared" si="9"/>
        <v>1</v>
      </c>
      <c r="AC619" s="14">
        <v>0</v>
      </c>
      <c r="AD619" s="14" t="s">
        <v>70</v>
      </c>
      <c r="AE619" s="22" t="str">
        <f>IFERROR((VLOOKUP(Tabla13[[#This Row],[ID]],[1]!Mtto_Pesv[[#Headers],[#Data],[Placa]:[Rutina]],2,FALSE)),"-")</f>
        <v>-</v>
      </c>
      <c r="AF619" s="14">
        <v>1</v>
      </c>
      <c r="AG619" s="20">
        <f>IFERROR((VLOOKUP(Tabla13[[#This Row],[ID]],[1]!Mtto_Pesv[[#Headers],[#Data],[Placa]:[Rutina]],3,FALSE)),0)</f>
        <v>0</v>
      </c>
      <c r="AH619" s="20">
        <f>IFERROR((VLOOKUP(Tabla13[[#This Row],[ID]],[1]!Mtto_Pesv[[#Headers],[#Data],[Placa]:[Rutina]],7,FALSE)),0)</f>
        <v>0</v>
      </c>
      <c r="AI619" s="20">
        <f>IFERROR((VLOOKUP(Tabla13[[#This Row],[ID]],[1]!Mtto_Pesv[[#Headers],[#Data],[Placa]:[Rutina]],8,FALSE)),0)</f>
        <v>0</v>
      </c>
      <c r="AJ619" s="20" t="str">
        <f>IFERROR((VLOOKUP(Tabla13[[#This Row],[ID]],[1]!Mtto_Pesv[[#Headers],[#Data],[Placa]:[Rutina]],9,FALSE)),"-")</f>
        <v>-</v>
      </c>
      <c r="AK619" s="20">
        <f>IFERROR((VLOOKUP(Tabla13[[#This Row],[ID]],[1]!Mtto_Pesv[[#Headers],[#Data],[Placa]:[Rutina]],10,FALSE)),0)</f>
        <v>0</v>
      </c>
      <c r="AL619" s="20">
        <f>IF(Tabla13[[#This Row],[Km Anterior]]=0,0,Tabla13[[#This Row],[Km Ejecut]]-Tabla13[[#This Row],[Km Anterior]])</f>
        <v>0</v>
      </c>
      <c r="AM619" s="20">
        <f>IFERROR((VLOOKUP(Tabla13[[#This Row],[ID]],[1]!Mtto_Pesv[[#Headers],[#Data],[Placa]:[Rutina]],4,FALSE)),0)</f>
        <v>0</v>
      </c>
      <c r="AN619" s="21">
        <f>IFERROR((VLOOKUP(Tabla13[[#This Row],[ID]],[1]!Mtto_Pesv[[#Headers],[#Data],[Placa]:[Rutina]],5,FALSE)),0)</f>
        <v>0</v>
      </c>
      <c r="AO619" s="21">
        <f>+Tabla13[[#This Row],[Km Fin]]-Tabla13[[#This Row],[Km Ini]]</f>
        <v>0</v>
      </c>
      <c r="AP619" s="20">
        <f>IFERROR((VLOOKUP(Tabla13[[#This Row],[ID]],[1]!Estilo_Conduccion[[#All],[Placa]:[Puntuacion]],15,FALSE)),0)</f>
        <v>92.1</v>
      </c>
      <c r="AQ619" s="15" t="s">
        <v>54</v>
      </c>
      <c r="AR619" s="15" t="s">
        <v>1454</v>
      </c>
      <c r="AS619" s="20">
        <v>11000</v>
      </c>
      <c r="AT619" s="21">
        <v>0</v>
      </c>
      <c r="AU619" s="21">
        <f>(Tabla13[[#This Row],[Cap Vh]]*$AX$2)*0.56</f>
        <v>0</v>
      </c>
      <c r="AV619" s="36" t="e">
        <f>(Tabla13[[#This Row],[Cap Util (kg)]]/(Tabla13[[#This Row],[Cap Inst (Kg)]]))</f>
        <v>#DIV/0!</v>
      </c>
    </row>
    <row r="620" spans="1:48" x14ac:dyDescent="0.25">
      <c r="A620" s="13" t="s">
        <v>1068</v>
      </c>
      <c r="B620" s="13" t="s">
        <v>841</v>
      </c>
      <c r="C620" s="14" t="s">
        <v>749</v>
      </c>
      <c r="D620" s="14" t="s">
        <v>749</v>
      </c>
      <c r="E620" s="14" t="s">
        <v>842</v>
      </c>
      <c r="F620" s="14" t="s">
        <v>76</v>
      </c>
      <c r="G620" s="15" t="s">
        <v>89</v>
      </c>
      <c r="H620" s="16" t="s">
        <v>90</v>
      </c>
      <c r="I620" s="14" t="s">
        <v>49</v>
      </c>
      <c r="J620" s="14">
        <v>860002964</v>
      </c>
      <c r="K620" s="14" t="s">
        <v>102</v>
      </c>
      <c r="L620" s="14" t="s">
        <v>103</v>
      </c>
      <c r="M620" s="14" t="s">
        <v>104</v>
      </c>
      <c r="N620" s="14">
        <v>2018</v>
      </c>
      <c r="O620" s="14">
        <v>3</v>
      </c>
      <c r="P620" s="14" t="s">
        <v>105</v>
      </c>
      <c r="Q620" s="14">
        <v>0</v>
      </c>
      <c r="R620" s="14">
        <v>0</v>
      </c>
      <c r="S620" s="17" t="s">
        <v>54</v>
      </c>
      <c r="T620" s="18">
        <v>0</v>
      </c>
      <c r="U620" s="14">
        <v>30</v>
      </c>
      <c r="V620" s="19">
        <v>1</v>
      </c>
      <c r="W620" s="14">
        <v>0</v>
      </c>
      <c r="X620" s="14">
        <v>0</v>
      </c>
      <c r="Y620" s="14">
        <v>0</v>
      </c>
      <c r="Z620" s="14">
        <v>0</v>
      </c>
      <c r="AA620" s="14">
        <f>Tabla13[[#This Row],[CheckList App]]+Tabla13[[#This Row],[CheckList Fisc]]</f>
        <v>0</v>
      </c>
      <c r="AB620" s="19">
        <f t="shared" si="9"/>
        <v>0</v>
      </c>
      <c r="AC620" s="14">
        <v>0</v>
      </c>
      <c r="AD620" s="14" t="s">
        <v>54</v>
      </c>
      <c r="AE620" s="15" t="str">
        <f>IFERROR((VLOOKUP(Tabla13[[#This Row],[ID]],[1]!Mtto_Pesv[[#Headers],[#Data],[Placa]:[Rutina]],2,FALSE)),"-")</f>
        <v>-</v>
      </c>
      <c r="AF620" s="14">
        <v>0</v>
      </c>
      <c r="AG620" s="20">
        <f>IFERROR((VLOOKUP(Tabla13[[#This Row],[ID]],[1]!Mtto_Pesv[[#Headers],[#Data],[Placa]:[Rutina]],3,FALSE)),0)</f>
        <v>0</v>
      </c>
      <c r="AH620" s="20">
        <f>IFERROR((VLOOKUP(Tabla13[[#This Row],[ID]],[1]!Mtto_Pesv[[#Headers],[#Data],[Placa]:[Rutina]],7,FALSE)),0)</f>
        <v>0</v>
      </c>
      <c r="AI620" s="20">
        <f>IFERROR((VLOOKUP(Tabla13[[#This Row],[ID]],[1]!Mtto_Pesv[[#Headers],[#Data],[Placa]:[Rutina]],8,FALSE)),0)</f>
        <v>0</v>
      </c>
      <c r="AJ620" s="20" t="str">
        <f>IFERROR((VLOOKUP(Tabla13[[#This Row],[ID]],[1]!Mtto_Pesv[[#Headers],[#Data],[Placa]:[Rutina]],9,FALSE)),"-")</f>
        <v>-</v>
      </c>
      <c r="AK620" s="20">
        <f>IFERROR((VLOOKUP(Tabla13[[#This Row],[ID]],[1]!Mtto_Pesv[[#Headers],[#Data],[Placa]:[Rutina]],10,FALSE)),0)</f>
        <v>0</v>
      </c>
      <c r="AL620" s="20">
        <f>IF(Tabla13[[#This Row],[Km Anterior]]=0,0,Tabla13[[#This Row],[Km Ejecut]]-Tabla13[[#This Row],[Km Anterior]])</f>
        <v>0</v>
      </c>
      <c r="AM620" s="20">
        <f>IFERROR((VLOOKUP(Tabla13[[#This Row],[ID]],[1]!Mtto_Pesv[[#Headers],[#Data],[Placa]:[Rutina]],4,FALSE)),0)</f>
        <v>0</v>
      </c>
      <c r="AN620" s="21">
        <f>IFERROR((VLOOKUP(Tabla13[[#This Row],[ID]],[1]!Mtto_Pesv[[#Headers],[#Data],[Placa]:[Rutina]],5,FALSE)),0)</f>
        <v>0</v>
      </c>
      <c r="AO620" s="21">
        <f>+Tabla13[[#This Row],[Km Fin]]-Tabla13[[#This Row],[Km Ini]]</f>
        <v>0</v>
      </c>
      <c r="AP620" s="20">
        <f>IFERROR((VLOOKUP(Tabla13[[#This Row],[ID]],[1]!Estilo_Conduccion[[#All],[Placa]:[Puntuacion]],15,FALSE)),0)</f>
        <v>0</v>
      </c>
      <c r="AQ620" s="15" t="s">
        <v>1069</v>
      </c>
      <c r="AR620" s="15" t="s">
        <v>843</v>
      </c>
      <c r="AS620" s="20">
        <v>1650</v>
      </c>
      <c r="AT620" s="21">
        <v>0</v>
      </c>
      <c r="AU620" s="21">
        <f>(Tabla13[[#This Row],[Cap Vh]]*$AX$2)*0.56</f>
        <v>0</v>
      </c>
      <c r="AV620" s="36" t="e">
        <f>(Tabla13[[#This Row],[Cap Util (kg)]]/(Tabla13[[#This Row],[Cap Inst (Kg)]]))</f>
        <v>#DIV/0!</v>
      </c>
    </row>
    <row r="621" spans="1:48" x14ac:dyDescent="0.25">
      <c r="A621" s="13" t="s">
        <v>1068</v>
      </c>
      <c r="B621" s="14" t="s">
        <v>844</v>
      </c>
      <c r="C621" s="14" t="s">
        <v>749</v>
      </c>
      <c r="D621" s="14" t="s">
        <v>749</v>
      </c>
      <c r="E621" s="14" t="s">
        <v>845</v>
      </c>
      <c r="F621" s="14" t="s">
        <v>76</v>
      </c>
      <c r="G621" s="15" t="s">
        <v>89</v>
      </c>
      <c r="H621" s="16" t="s">
        <v>90</v>
      </c>
      <c r="I621" s="14" t="s">
        <v>49</v>
      </c>
      <c r="J621" s="14">
        <v>860002964</v>
      </c>
      <c r="K621" s="14" t="s">
        <v>102</v>
      </c>
      <c r="L621" s="14" t="s">
        <v>103</v>
      </c>
      <c r="M621" s="14" t="s">
        <v>104</v>
      </c>
      <c r="N621" s="14">
        <v>2018</v>
      </c>
      <c r="O621" s="14">
        <v>3</v>
      </c>
      <c r="P621" s="14" t="s">
        <v>105</v>
      </c>
      <c r="Q621" s="14">
        <v>0</v>
      </c>
      <c r="R621" s="14">
        <v>0</v>
      </c>
      <c r="S621" s="17" t="s">
        <v>54</v>
      </c>
      <c r="T621" s="18">
        <v>0</v>
      </c>
      <c r="U621" s="14">
        <v>30</v>
      </c>
      <c r="V621" s="19">
        <v>1</v>
      </c>
      <c r="W621" s="14">
        <v>0</v>
      </c>
      <c r="X621" s="14">
        <v>0</v>
      </c>
      <c r="Y621" s="14">
        <v>0</v>
      </c>
      <c r="Z621" s="14">
        <v>0</v>
      </c>
      <c r="AA621" s="14">
        <f>Tabla13[[#This Row],[CheckList App]]+Tabla13[[#This Row],[CheckList Fisc]]</f>
        <v>0</v>
      </c>
      <c r="AB621" s="19">
        <f t="shared" si="9"/>
        <v>0</v>
      </c>
      <c r="AC621" s="14">
        <v>0</v>
      </c>
      <c r="AD621" s="14" t="s">
        <v>54</v>
      </c>
      <c r="AE621" s="15" t="str">
        <f>IFERROR((VLOOKUP(Tabla13[[#This Row],[ID]],[1]!Mtto_Pesv[[#Headers],[#Data],[Placa]:[Rutina]],2,FALSE)),"-")</f>
        <v>-</v>
      </c>
      <c r="AF621" s="14">
        <v>0</v>
      </c>
      <c r="AG621" s="20">
        <f>IFERROR((VLOOKUP(Tabla13[[#This Row],[ID]],[1]!Mtto_Pesv[[#Headers],[#Data],[Placa]:[Rutina]],3,FALSE)),0)</f>
        <v>0</v>
      </c>
      <c r="AH621" s="20">
        <f>IFERROR((VLOOKUP(Tabla13[[#This Row],[ID]],[1]!Mtto_Pesv[[#Headers],[#Data],[Placa]:[Rutina]],7,FALSE)),0)</f>
        <v>0</v>
      </c>
      <c r="AI621" s="20">
        <f>IFERROR((VLOOKUP(Tabla13[[#This Row],[ID]],[1]!Mtto_Pesv[[#Headers],[#Data],[Placa]:[Rutina]],8,FALSE)),0)</f>
        <v>0</v>
      </c>
      <c r="AJ621" s="20" t="str">
        <f>IFERROR((VLOOKUP(Tabla13[[#This Row],[ID]],[1]!Mtto_Pesv[[#Headers],[#Data],[Placa]:[Rutina]],9,FALSE)),"-")</f>
        <v>-</v>
      </c>
      <c r="AK621" s="20">
        <f>IFERROR((VLOOKUP(Tabla13[[#This Row],[ID]],[1]!Mtto_Pesv[[#Headers],[#Data],[Placa]:[Rutina]],10,FALSE)),0)</f>
        <v>0</v>
      </c>
      <c r="AL621" s="20">
        <f>IF(Tabla13[[#This Row],[Km Anterior]]=0,0,Tabla13[[#This Row],[Km Ejecut]]-Tabla13[[#This Row],[Km Anterior]])</f>
        <v>0</v>
      </c>
      <c r="AM621" s="20">
        <f>IFERROR((VLOOKUP(Tabla13[[#This Row],[ID]],[1]!Mtto_Pesv[[#Headers],[#Data],[Placa]:[Rutina]],4,FALSE)),0)</f>
        <v>0</v>
      </c>
      <c r="AN621" s="21">
        <f>IFERROR((VLOOKUP(Tabla13[[#This Row],[ID]],[1]!Mtto_Pesv[[#Headers],[#Data],[Placa]:[Rutina]],5,FALSE)),0)</f>
        <v>0</v>
      </c>
      <c r="AO621" s="21">
        <f>+Tabla13[[#This Row],[Km Fin]]-Tabla13[[#This Row],[Km Ini]]</f>
        <v>0</v>
      </c>
      <c r="AP621" s="20">
        <f>IFERROR((VLOOKUP(Tabla13[[#This Row],[ID]],[1]!Estilo_Conduccion[[#All],[Placa]:[Puntuacion]],15,FALSE)),0)</f>
        <v>0</v>
      </c>
      <c r="AQ621" s="15" t="s">
        <v>1455</v>
      </c>
      <c r="AR621" s="15" t="s">
        <v>1456</v>
      </c>
      <c r="AS621" s="20">
        <v>1650</v>
      </c>
      <c r="AT621" s="21">
        <v>15874.5</v>
      </c>
      <c r="AU621" s="21">
        <f>(Tabla13[[#This Row],[Cap Vh]]*$AX$2)*0.56</f>
        <v>0</v>
      </c>
      <c r="AV621" s="36" t="e">
        <f>(Tabla13[[#This Row],[Cap Util (kg)]]/(Tabla13[[#This Row],[Cap Inst (Kg)]]))</f>
        <v>#DIV/0!</v>
      </c>
    </row>
    <row r="622" spans="1:48" x14ac:dyDescent="0.25">
      <c r="A622" s="13" t="s">
        <v>1068</v>
      </c>
      <c r="B622" s="14" t="s">
        <v>847</v>
      </c>
      <c r="C622" s="14" t="s">
        <v>749</v>
      </c>
      <c r="D622" s="14" t="s">
        <v>749</v>
      </c>
      <c r="E622" s="14" t="s">
        <v>848</v>
      </c>
      <c r="F622" s="14" t="s">
        <v>76</v>
      </c>
      <c r="G622" s="15" t="s">
        <v>89</v>
      </c>
      <c r="H622" s="16" t="s">
        <v>90</v>
      </c>
      <c r="I622" s="14" t="s">
        <v>49</v>
      </c>
      <c r="J622" s="14">
        <v>900335279</v>
      </c>
      <c r="K622" s="14" t="s">
        <v>77</v>
      </c>
      <c r="L622" s="14" t="s">
        <v>103</v>
      </c>
      <c r="M622" s="14" t="s">
        <v>104</v>
      </c>
      <c r="N622" s="14">
        <v>2018</v>
      </c>
      <c r="O622" s="14">
        <v>3</v>
      </c>
      <c r="P622" s="14" t="s">
        <v>105</v>
      </c>
      <c r="Q622" s="14">
        <v>0</v>
      </c>
      <c r="R622" s="14">
        <v>0</v>
      </c>
      <c r="S622" s="17" t="s">
        <v>54</v>
      </c>
      <c r="T622" s="18">
        <v>0</v>
      </c>
      <c r="U622" s="14">
        <v>30</v>
      </c>
      <c r="V622" s="19">
        <v>1</v>
      </c>
      <c r="W622" s="14">
        <v>0</v>
      </c>
      <c r="X622" s="14">
        <v>0</v>
      </c>
      <c r="Y622" s="14">
        <v>0</v>
      </c>
      <c r="Z622" s="14">
        <v>0</v>
      </c>
      <c r="AA622" s="14">
        <f>Tabla13[[#This Row],[CheckList App]]+Tabla13[[#This Row],[CheckList Fisc]]</f>
        <v>0</v>
      </c>
      <c r="AB622" s="19">
        <f t="shared" si="9"/>
        <v>0</v>
      </c>
      <c r="AC622" s="14">
        <v>0</v>
      </c>
      <c r="AD622" s="14" t="s">
        <v>54</v>
      </c>
      <c r="AE622" s="15" t="str">
        <f>IFERROR((VLOOKUP(Tabla13[[#This Row],[ID]],[1]!Mtto_Pesv[[#Headers],[#Data],[Placa]:[Rutina]],2,FALSE)),"-")</f>
        <v>-</v>
      </c>
      <c r="AF622" s="14">
        <v>0</v>
      </c>
      <c r="AG622" s="20">
        <f>IFERROR((VLOOKUP(Tabla13[[#This Row],[ID]],[1]!Mtto_Pesv[[#Headers],[#Data],[Placa]:[Rutina]],3,FALSE)),0)</f>
        <v>0</v>
      </c>
      <c r="AH622" s="20">
        <f>IFERROR((VLOOKUP(Tabla13[[#This Row],[ID]],[1]!Mtto_Pesv[[#Headers],[#Data],[Placa]:[Rutina]],7,FALSE)),0)</f>
        <v>0</v>
      </c>
      <c r="AI622" s="20">
        <f>IFERROR((VLOOKUP(Tabla13[[#This Row],[ID]],[1]!Mtto_Pesv[[#Headers],[#Data],[Placa]:[Rutina]],8,FALSE)),0)</f>
        <v>0</v>
      </c>
      <c r="AJ622" s="20" t="str">
        <f>IFERROR((VLOOKUP(Tabla13[[#This Row],[ID]],[1]!Mtto_Pesv[[#Headers],[#Data],[Placa]:[Rutina]],9,FALSE)),"-")</f>
        <v>-</v>
      </c>
      <c r="AK622" s="20">
        <f>IFERROR((VLOOKUP(Tabla13[[#This Row],[ID]],[1]!Mtto_Pesv[[#Headers],[#Data],[Placa]:[Rutina]],10,FALSE)),0)</f>
        <v>0</v>
      </c>
      <c r="AL622" s="20">
        <f>IF(Tabla13[[#This Row],[Km Anterior]]=0,0,Tabla13[[#This Row],[Km Ejecut]]-Tabla13[[#This Row],[Km Anterior]])</f>
        <v>0</v>
      </c>
      <c r="AM622" s="20">
        <f>IFERROR((VLOOKUP(Tabla13[[#This Row],[ID]],[1]!Mtto_Pesv[[#Headers],[#Data],[Placa]:[Rutina]],4,FALSE)),0)</f>
        <v>0</v>
      </c>
      <c r="AN622" s="21">
        <f>IFERROR((VLOOKUP(Tabla13[[#This Row],[ID]],[1]!Mtto_Pesv[[#Headers],[#Data],[Placa]:[Rutina]],5,FALSE)),0)</f>
        <v>0</v>
      </c>
      <c r="AO622" s="21">
        <f>+Tabla13[[#This Row],[Km Fin]]-Tabla13[[#This Row],[Km Ini]]</f>
        <v>0</v>
      </c>
      <c r="AP622" s="20">
        <f>IFERROR((VLOOKUP(Tabla13[[#This Row],[ID]],[1]!Estilo_Conduccion[[#All],[Placa]:[Puntuacion]],15,FALSE)),0)</f>
        <v>0</v>
      </c>
      <c r="AQ622" s="15" t="s">
        <v>1457</v>
      </c>
      <c r="AR622" s="15" t="s">
        <v>1458</v>
      </c>
      <c r="AS622" s="20">
        <v>1650</v>
      </c>
      <c r="AT622" s="21">
        <v>8189.25</v>
      </c>
      <c r="AU622" s="21">
        <f>(Tabla13[[#This Row],[Cap Vh]]*$AX$2)*0.56</f>
        <v>0</v>
      </c>
      <c r="AV622" s="36" t="e">
        <f>(Tabla13[[#This Row],[Cap Util (kg)]]/(Tabla13[[#This Row],[Cap Inst (Kg)]]))</f>
        <v>#DIV/0!</v>
      </c>
    </row>
    <row r="623" spans="1:48" x14ac:dyDescent="0.25">
      <c r="A623" s="13" t="s">
        <v>1068</v>
      </c>
      <c r="B623" s="14" t="s">
        <v>849</v>
      </c>
      <c r="C623" s="14" t="s">
        <v>749</v>
      </c>
      <c r="D623" s="14" t="s">
        <v>749</v>
      </c>
      <c r="E623" s="14" t="s">
        <v>840</v>
      </c>
      <c r="F623" s="14" t="s">
        <v>76</v>
      </c>
      <c r="G623" s="15" t="s">
        <v>89</v>
      </c>
      <c r="H623" s="16" t="s">
        <v>90</v>
      </c>
      <c r="I623" s="14" t="s">
        <v>49</v>
      </c>
      <c r="J623" s="14">
        <v>900335279</v>
      </c>
      <c r="K623" s="14" t="s">
        <v>77</v>
      </c>
      <c r="L623" s="14" t="s">
        <v>103</v>
      </c>
      <c r="M623" s="14" t="s">
        <v>104</v>
      </c>
      <c r="N623" s="14">
        <v>2018</v>
      </c>
      <c r="O623" s="14">
        <v>3</v>
      </c>
      <c r="P623" s="14" t="s">
        <v>105</v>
      </c>
      <c r="Q623" s="14">
        <v>1</v>
      </c>
      <c r="R623" s="14">
        <v>0</v>
      </c>
      <c r="S623" s="17" t="s">
        <v>54</v>
      </c>
      <c r="T623" s="18">
        <v>0</v>
      </c>
      <c r="U623" s="14">
        <v>30</v>
      </c>
      <c r="V623" s="19">
        <v>1</v>
      </c>
      <c r="W623" s="14">
        <v>0</v>
      </c>
      <c r="X623" s="14">
        <v>26</v>
      </c>
      <c r="Y623" s="14">
        <v>28</v>
      </c>
      <c r="Z623" s="14">
        <v>0</v>
      </c>
      <c r="AA623" s="14">
        <f>Tabla13[[#This Row],[CheckList App]]+Tabla13[[#This Row],[CheckList Fisc]]</f>
        <v>28</v>
      </c>
      <c r="AB623" s="19">
        <f t="shared" si="9"/>
        <v>1.0769230769230769</v>
      </c>
      <c r="AC623" s="14">
        <v>0</v>
      </c>
      <c r="AD623" s="14" t="s">
        <v>54</v>
      </c>
      <c r="AE623" s="15" t="str">
        <f>IFERROR((VLOOKUP(Tabla13[[#This Row],[ID]],[1]!Mtto_Pesv[[#Headers],[#Data],[Placa]:[Rutina]],2,FALSE)),"-")</f>
        <v>-</v>
      </c>
      <c r="AF623" s="14">
        <v>0</v>
      </c>
      <c r="AG623" s="20">
        <f>IFERROR((VLOOKUP(Tabla13[[#This Row],[ID]],[1]!Mtto_Pesv[[#Headers],[#Data],[Placa]:[Rutina]],3,FALSE)),0)</f>
        <v>0</v>
      </c>
      <c r="AH623" s="20">
        <f>IFERROR((VLOOKUP(Tabla13[[#This Row],[ID]],[1]!Mtto_Pesv[[#Headers],[#Data],[Placa]:[Rutina]],7,FALSE)),0)</f>
        <v>0</v>
      </c>
      <c r="AI623" s="20">
        <f>IFERROR((VLOOKUP(Tabla13[[#This Row],[ID]],[1]!Mtto_Pesv[[#Headers],[#Data],[Placa]:[Rutina]],8,FALSE)),0)</f>
        <v>0</v>
      </c>
      <c r="AJ623" s="20" t="str">
        <f>IFERROR((VLOOKUP(Tabla13[[#This Row],[ID]],[1]!Mtto_Pesv[[#Headers],[#Data],[Placa]:[Rutina]],9,FALSE)),"-")</f>
        <v>-</v>
      </c>
      <c r="AK623" s="20">
        <f>IFERROR((VLOOKUP(Tabla13[[#This Row],[ID]],[1]!Mtto_Pesv[[#Headers],[#Data],[Placa]:[Rutina]],10,FALSE)),0)</f>
        <v>0</v>
      </c>
      <c r="AL623" s="20">
        <f>IF(Tabla13[[#This Row],[Km Anterior]]=0,0,Tabla13[[#This Row],[Km Ejecut]]-Tabla13[[#This Row],[Km Anterior]])</f>
        <v>0</v>
      </c>
      <c r="AM623" s="20">
        <f>IFERROR((VLOOKUP(Tabla13[[#This Row],[ID]],[1]!Mtto_Pesv[[#Headers],[#Data],[Placa]:[Rutina]],4,FALSE)),0)</f>
        <v>0</v>
      </c>
      <c r="AN623" s="21">
        <f>IFERROR((VLOOKUP(Tabla13[[#This Row],[ID]],[1]!Mtto_Pesv[[#Headers],[#Data],[Placa]:[Rutina]],5,FALSE)),0)</f>
        <v>0</v>
      </c>
      <c r="AO623" s="21">
        <f>+Tabla13[[#This Row],[Km Fin]]-Tabla13[[#This Row],[Km Ini]]</f>
        <v>0</v>
      </c>
      <c r="AP623" s="20">
        <f>IFERROR((VLOOKUP(Tabla13[[#This Row],[ID]],[1]!Estilo_Conduccion[[#All],[Placa]:[Puntuacion]],15,FALSE)),0)</f>
        <v>588.6</v>
      </c>
      <c r="AQ623" s="15" t="s">
        <v>1459</v>
      </c>
      <c r="AR623" s="15" t="s">
        <v>1460</v>
      </c>
      <c r="AS623" s="20">
        <v>1650</v>
      </c>
      <c r="AT623" s="21">
        <v>9152.5</v>
      </c>
      <c r="AU623" s="21">
        <f>(Tabla13[[#This Row],[Cap Vh]]*$AX$2)*0.56</f>
        <v>0</v>
      </c>
      <c r="AV623" s="36" t="e">
        <f>(Tabla13[[#This Row],[Cap Util (kg)]]/(Tabla13[[#This Row],[Cap Inst (Kg)]]))</f>
        <v>#DIV/0!</v>
      </c>
    </row>
    <row r="624" spans="1:48" x14ac:dyDescent="0.25">
      <c r="A624" s="13" t="s">
        <v>1068</v>
      </c>
      <c r="B624" s="14" t="s">
        <v>851</v>
      </c>
      <c r="C624" s="14" t="s">
        <v>749</v>
      </c>
      <c r="D624" s="14" t="s">
        <v>749</v>
      </c>
      <c r="E624" s="14" t="s">
        <v>848</v>
      </c>
      <c r="F624" s="14" t="s">
        <v>76</v>
      </c>
      <c r="G624" s="15" t="s">
        <v>89</v>
      </c>
      <c r="H624" s="16" t="s">
        <v>90</v>
      </c>
      <c r="I624" s="14" t="s">
        <v>49</v>
      </c>
      <c r="J624" s="14">
        <v>900335279</v>
      </c>
      <c r="K624" s="14" t="s">
        <v>77</v>
      </c>
      <c r="L624" s="14" t="s">
        <v>103</v>
      </c>
      <c r="M624" s="14" t="s">
        <v>104</v>
      </c>
      <c r="N624" s="14">
        <v>2018</v>
      </c>
      <c r="O624" s="14">
        <v>3</v>
      </c>
      <c r="P624" s="14" t="s">
        <v>105</v>
      </c>
      <c r="Q624" s="14">
        <v>0</v>
      </c>
      <c r="R624" s="14">
        <v>0</v>
      </c>
      <c r="S624" s="17" t="s">
        <v>54</v>
      </c>
      <c r="T624" s="18">
        <v>0</v>
      </c>
      <c r="U624" s="14">
        <v>30</v>
      </c>
      <c r="V624" s="19">
        <v>1</v>
      </c>
      <c r="W624" s="14">
        <v>0</v>
      </c>
      <c r="X624" s="14">
        <v>0</v>
      </c>
      <c r="Y624" s="14">
        <v>0</v>
      </c>
      <c r="Z624" s="14">
        <v>0</v>
      </c>
      <c r="AA624" s="14">
        <f>Tabla13[[#This Row],[CheckList App]]+Tabla13[[#This Row],[CheckList Fisc]]</f>
        <v>0</v>
      </c>
      <c r="AB624" s="19">
        <f t="shared" si="9"/>
        <v>0</v>
      </c>
      <c r="AC624" s="14">
        <v>0</v>
      </c>
      <c r="AD624" s="14" t="s">
        <v>54</v>
      </c>
      <c r="AE624" s="15" t="str">
        <f>IFERROR((VLOOKUP(Tabla13[[#This Row],[ID]],[1]!Mtto_Pesv[[#Headers],[#Data],[Placa]:[Rutina]],2,FALSE)),"-")</f>
        <v>-</v>
      </c>
      <c r="AF624" s="14">
        <v>0</v>
      </c>
      <c r="AG624" s="20">
        <f>IFERROR((VLOOKUP(Tabla13[[#This Row],[ID]],[1]!Mtto_Pesv[[#Headers],[#Data],[Placa]:[Rutina]],3,FALSE)),0)</f>
        <v>0</v>
      </c>
      <c r="AH624" s="20">
        <f>IFERROR((VLOOKUP(Tabla13[[#This Row],[ID]],[1]!Mtto_Pesv[[#Headers],[#Data],[Placa]:[Rutina]],7,FALSE)),0)</f>
        <v>0</v>
      </c>
      <c r="AI624" s="20">
        <f>IFERROR((VLOOKUP(Tabla13[[#This Row],[ID]],[1]!Mtto_Pesv[[#Headers],[#Data],[Placa]:[Rutina]],8,FALSE)),0)</f>
        <v>0</v>
      </c>
      <c r="AJ624" s="20" t="str">
        <f>IFERROR((VLOOKUP(Tabla13[[#This Row],[ID]],[1]!Mtto_Pesv[[#Headers],[#Data],[Placa]:[Rutina]],9,FALSE)),"-")</f>
        <v>-</v>
      </c>
      <c r="AK624" s="20">
        <f>IFERROR((VLOOKUP(Tabla13[[#This Row],[ID]],[1]!Mtto_Pesv[[#Headers],[#Data],[Placa]:[Rutina]],10,FALSE)),0)</f>
        <v>0</v>
      </c>
      <c r="AL624" s="20">
        <f>IF(Tabla13[[#This Row],[Km Anterior]]=0,0,Tabla13[[#This Row],[Km Ejecut]]-Tabla13[[#This Row],[Km Anterior]])</f>
        <v>0</v>
      </c>
      <c r="AM624" s="20">
        <f>IFERROR((VLOOKUP(Tabla13[[#This Row],[ID]],[1]!Mtto_Pesv[[#Headers],[#Data],[Placa]:[Rutina]],4,FALSE)),0)</f>
        <v>0</v>
      </c>
      <c r="AN624" s="21">
        <f>IFERROR((VLOOKUP(Tabla13[[#This Row],[ID]],[1]!Mtto_Pesv[[#Headers],[#Data],[Placa]:[Rutina]],5,FALSE)),0)</f>
        <v>0</v>
      </c>
      <c r="AO624" s="21">
        <f>+Tabla13[[#This Row],[Km Fin]]-Tabla13[[#This Row],[Km Ini]]</f>
        <v>0</v>
      </c>
      <c r="AP624" s="20">
        <f>IFERROR((VLOOKUP(Tabla13[[#This Row],[ID]],[1]!Estilo_Conduccion[[#All],[Placa]:[Puntuacion]],15,FALSE)),0)</f>
        <v>0</v>
      </c>
      <c r="AQ624" s="15" t="s">
        <v>1461</v>
      </c>
      <c r="AR624" s="15" t="s">
        <v>1462</v>
      </c>
      <c r="AS624" s="20">
        <v>1650</v>
      </c>
      <c r="AT624" s="21">
        <v>30031.5</v>
      </c>
      <c r="AU624" s="21">
        <f>(Tabla13[[#This Row],[Cap Vh]]*$AX$2)*0.56</f>
        <v>0</v>
      </c>
      <c r="AV624" s="36" t="e">
        <f>(Tabla13[[#This Row],[Cap Util (kg)]]/(Tabla13[[#This Row],[Cap Inst (Kg)]]))</f>
        <v>#DIV/0!</v>
      </c>
    </row>
    <row r="625" spans="1:48" x14ac:dyDescent="0.25">
      <c r="A625" s="13" t="s">
        <v>1068</v>
      </c>
      <c r="B625" s="14" t="s">
        <v>852</v>
      </c>
      <c r="C625" s="14" t="s">
        <v>749</v>
      </c>
      <c r="D625" s="14" t="s">
        <v>749</v>
      </c>
      <c r="E625" s="14" t="s">
        <v>840</v>
      </c>
      <c r="F625" s="14" t="s">
        <v>64</v>
      </c>
      <c r="G625" s="15" t="s">
        <v>128</v>
      </c>
      <c r="H625" s="16" t="s">
        <v>143</v>
      </c>
      <c r="I625" s="14" t="s">
        <v>49</v>
      </c>
      <c r="J625" s="14">
        <v>890903937</v>
      </c>
      <c r="K625" s="14" t="s">
        <v>138</v>
      </c>
      <c r="L625" s="14" t="s">
        <v>103</v>
      </c>
      <c r="M625" s="14" t="s">
        <v>153</v>
      </c>
      <c r="N625" s="14">
        <v>2019</v>
      </c>
      <c r="O625" s="14">
        <v>1</v>
      </c>
      <c r="P625" s="14" t="s">
        <v>105</v>
      </c>
      <c r="Q625" s="14">
        <v>1</v>
      </c>
      <c r="R625" s="14">
        <v>1</v>
      </c>
      <c r="S625" s="17">
        <v>44834.29215277778</v>
      </c>
      <c r="T625" s="18">
        <v>243.411</v>
      </c>
      <c r="U625" s="14">
        <v>30</v>
      </c>
      <c r="V625" s="19">
        <v>1</v>
      </c>
      <c r="W625" s="14">
        <v>0</v>
      </c>
      <c r="X625" s="14">
        <v>26</v>
      </c>
      <c r="Y625" s="14">
        <v>0</v>
      </c>
      <c r="Z625" s="14">
        <v>26</v>
      </c>
      <c r="AA625" s="14">
        <f>Tabla13[[#This Row],[CheckList App]]+Tabla13[[#This Row],[CheckList Fisc]]</f>
        <v>26</v>
      </c>
      <c r="AB625" s="19">
        <f t="shared" si="9"/>
        <v>1</v>
      </c>
      <c r="AC625" s="14">
        <v>0</v>
      </c>
      <c r="AD625" s="14" t="s">
        <v>70</v>
      </c>
      <c r="AE625" s="15" t="str">
        <f>IFERROR((VLOOKUP(Tabla13[[#This Row],[ID]],[1]!Mtto_Pesv[[#Headers],[#Data],[Placa]:[Rutina]],2,FALSE)),"-")</f>
        <v>-</v>
      </c>
      <c r="AF625" s="14">
        <v>1</v>
      </c>
      <c r="AG625" s="20">
        <f>IFERROR((VLOOKUP(Tabla13[[#This Row],[ID]],[1]!Mtto_Pesv[[#Headers],[#Data],[Placa]:[Rutina]],3,FALSE)),0)</f>
        <v>0</v>
      </c>
      <c r="AH625" s="20">
        <f>IFERROR((VLOOKUP(Tabla13[[#This Row],[ID]],[1]!Mtto_Pesv[[#Headers],[#Data],[Placa]:[Rutina]],7,FALSE)),0)</f>
        <v>0</v>
      </c>
      <c r="AI625" s="20">
        <f>IFERROR((VLOOKUP(Tabla13[[#This Row],[ID]],[1]!Mtto_Pesv[[#Headers],[#Data],[Placa]:[Rutina]],8,FALSE)),0)</f>
        <v>0</v>
      </c>
      <c r="AJ625" s="20" t="str">
        <f>IFERROR((VLOOKUP(Tabla13[[#This Row],[ID]],[1]!Mtto_Pesv[[#Headers],[#Data],[Placa]:[Rutina]],9,FALSE)),"-")</f>
        <v>-</v>
      </c>
      <c r="AK625" s="20">
        <f>IFERROR((VLOOKUP(Tabla13[[#This Row],[ID]],[1]!Mtto_Pesv[[#Headers],[#Data],[Placa]:[Rutina]],10,FALSE)),0)</f>
        <v>0</v>
      </c>
      <c r="AL625" s="20">
        <f>IF(Tabla13[[#This Row],[Km Anterior]]=0,0,Tabla13[[#This Row],[Km Ejecut]]-Tabla13[[#This Row],[Km Anterior]])</f>
        <v>0</v>
      </c>
      <c r="AM625" s="20">
        <f>IFERROR((VLOOKUP(Tabla13[[#This Row],[ID]],[1]!Mtto_Pesv[[#Headers],[#Data],[Placa]:[Rutina]],4,FALSE)),0)</f>
        <v>0</v>
      </c>
      <c r="AN625" s="21">
        <f>IFERROR((VLOOKUP(Tabla13[[#This Row],[ID]],[1]!Mtto_Pesv[[#Headers],[#Data],[Placa]:[Rutina]],5,FALSE)),0)</f>
        <v>0</v>
      </c>
      <c r="AO625" s="21">
        <f>+Tabla13[[#This Row],[Km Fin]]-Tabla13[[#This Row],[Km Ini]]</f>
        <v>0</v>
      </c>
      <c r="AP625" s="20">
        <f>IFERROR((VLOOKUP(Tabla13[[#This Row],[ID]],[1]!Estilo_Conduccion[[#All],[Placa]:[Puntuacion]],15,FALSE)),0)</f>
        <v>319.99999999999994</v>
      </c>
      <c r="AQ625" s="15" t="s">
        <v>54</v>
      </c>
      <c r="AR625" s="15" t="s">
        <v>1463</v>
      </c>
      <c r="AS625" s="20">
        <v>3900</v>
      </c>
      <c r="AT625" s="21">
        <v>0</v>
      </c>
      <c r="AU625" s="21">
        <f>(Tabla13[[#This Row],[Cap Vh]]*$AX$2)*0.56</f>
        <v>0</v>
      </c>
      <c r="AV625" s="36" t="e">
        <f>(Tabla13[[#This Row],[Cap Util (kg)]]/(Tabla13[[#This Row],[Cap Inst (Kg)]]))</f>
        <v>#DIV/0!</v>
      </c>
    </row>
    <row r="626" spans="1:48" x14ac:dyDescent="0.25">
      <c r="A626" s="13" t="s">
        <v>1068</v>
      </c>
      <c r="B626" s="14" t="s">
        <v>853</v>
      </c>
      <c r="C626" s="14" t="s">
        <v>749</v>
      </c>
      <c r="D626" s="14" t="s">
        <v>749</v>
      </c>
      <c r="E626" s="14" t="s">
        <v>840</v>
      </c>
      <c r="F626" s="14" t="s">
        <v>64</v>
      </c>
      <c r="G626" s="15" t="s">
        <v>128</v>
      </c>
      <c r="H626" s="16" t="s">
        <v>143</v>
      </c>
      <c r="I626" s="14" t="s">
        <v>49</v>
      </c>
      <c r="J626" s="14">
        <v>890903937</v>
      </c>
      <c r="K626" s="14" t="s">
        <v>138</v>
      </c>
      <c r="L626" s="14" t="s">
        <v>103</v>
      </c>
      <c r="M626" s="14" t="s">
        <v>153</v>
      </c>
      <c r="N626" s="14">
        <v>2019</v>
      </c>
      <c r="O626" s="14">
        <v>1</v>
      </c>
      <c r="P626" s="14" t="s">
        <v>105</v>
      </c>
      <c r="Q626" s="14">
        <v>1</v>
      </c>
      <c r="R626" s="14">
        <v>1</v>
      </c>
      <c r="S626" s="17">
        <v>44832.276446759257</v>
      </c>
      <c r="T626" s="18">
        <v>146.75200000000001</v>
      </c>
      <c r="U626" s="14">
        <v>28</v>
      </c>
      <c r="V626" s="19">
        <v>0.93333333333333335</v>
      </c>
      <c r="W626" s="14">
        <v>0</v>
      </c>
      <c r="X626" s="14">
        <v>23</v>
      </c>
      <c r="Y626" s="14">
        <v>2</v>
      </c>
      <c r="Z626" s="14">
        <v>21</v>
      </c>
      <c r="AA626" s="14">
        <f>Tabla13[[#This Row],[CheckList App]]+Tabla13[[#This Row],[CheckList Fisc]]</f>
        <v>23</v>
      </c>
      <c r="AB626" s="19">
        <f t="shared" si="9"/>
        <v>1</v>
      </c>
      <c r="AC626" s="14">
        <v>0</v>
      </c>
      <c r="AD626" s="14" t="s">
        <v>70</v>
      </c>
      <c r="AE626" s="15" t="str">
        <f>IFERROR((VLOOKUP(Tabla13[[#This Row],[ID]],[1]!Mtto_Pesv[[#Headers],[#Data],[Placa]:[Rutina]],2,FALSE)),"-")</f>
        <v>-</v>
      </c>
      <c r="AF626" s="14">
        <v>1</v>
      </c>
      <c r="AG626" s="20">
        <f>IFERROR((VLOOKUP(Tabla13[[#This Row],[ID]],[1]!Mtto_Pesv[[#Headers],[#Data],[Placa]:[Rutina]],3,FALSE)),0)</f>
        <v>0</v>
      </c>
      <c r="AH626" s="20">
        <f>IFERROR((VLOOKUP(Tabla13[[#This Row],[ID]],[1]!Mtto_Pesv[[#Headers],[#Data],[Placa]:[Rutina]],7,FALSE)),0)</f>
        <v>0</v>
      </c>
      <c r="AI626" s="20">
        <f>IFERROR((VLOOKUP(Tabla13[[#This Row],[ID]],[1]!Mtto_Pesv[[#Headers],[#Data],[Placa]:[Rutina]],8,FALSE)),0)</f>
        <v>0</v>
      </c>
      <c r="AJ626" s="20" t="str">
        <f>IFERROR((VLOOKUP(Tabla13[[#This Row],[ID]],[1]!Mtto_Pesv[[#Headers],[#Data],[Placa]:[Rutina]],9,FALSE)),"-")</f>
        <v>-</v>
      </c>
      <c r="AK626" s="20">
        <f>IFERROR((VLOOKUP(Tabla13[[#This Row],[ID]],[1]!Mtto_Pesv[[#Headers],[#Data],[Placa]:[Rutina]],10,FALSE)),0)</f>
        <v>0</v>
      </c>
      <c r="AL626" s="20">
        <f>IF(Tabla13[[#This Row],[Km Anterior]]=0,0,Tabla13[[#This Row],[Km Ejecut]]-Tabla13[[#This Row],[Km Anterior]])</f>
        <v>0</v>
      </c>
      <c r="AM626" s="20">
        <f>IFERROR((VLOOKUP(Tabla13[[#This Row],[ID]],[1]!Mtto_Pesv[[#Headers],[#Data],[Placa]:[Rutina]],4,FALSE)),0)</f>
        <v>0</v>
      </c>
      <c r="AN626" s="21">
        <f>IFERROR((VLOOKUP(Tabla13[[#This Row],[ID]],[1]!Mtto_Pesv[[#Headers],[#Data],[Placa]:[Rutina]],5,FALSE)),0)</f>
        <v>0</v>
      </c>
      <c r="AO626" s="21">
        <f>+Tabla13[[#This Row],[Km Fin]]-Tabla13[[#This Row],[Km Ini]]</f>
        <v>0</v>
      </c>
      <c r="AP626" s="20">
        <f>IFERROR((VLOOKUP(Tabla13[[#This Row],[ID]],[1]!Estilo_Conduccion[[#All],[Placa]:[Puntuacion]],15,FALSE)),0)</f>
        <v>425.7</v>
      </c>
      <c r="AQ626" s="15" t="s">
        <v>54</v>
      </c>
      <c r="AR626" s="15" t="s">
        <v>1464</v>
      </c>
      <c r="AS626" s="20">
        <v>3900</v>
      </c>
      <c r="AT626" s="21">
        <v>0</v>
      </c>
      <c r="AU626" s="21">
        <f>(Tabla13[[#This Row],[Cap Vh]]*$AX$2)*0.56</f>
        <v>0</v>
      </c>
      <c r="AV626" s="36" t="e">
        <f>(Tabla13[[#This Row],[Cap Util (kg)]]/(Tabla13[[#This Row],[Cap Inst (Kg)]]))</f>
        <v>#DIV/0!</v>
      </c>
    </row>
    <row r="627" spans="1:48" x14ac:dyDescent="0.25">
      <c r="A627" s="13" t="s">
        <v>1068</v>
      </c>
      <c r="B627" s="14" t="s">
        <v>854</v>
      </c>
      <c r="C627" s="14" t="s">
        <v>749</v>
      </c>
      <c r="D627" s="14" t="s">
        <v>749</v>
      </c>
      <c r="E627" s="14" t="s">
        <v>840</v>
      </c>
      <c r="F627" s="14" t="s">
        <v>64</v>
      </c>
      <c r="G627" s="15" t="s">
        <v>128</v>
      </c>
      <c r="H627" s="16" t="s">
        <v>143</v>
      </c>
      <c r="I627" s="14" t="s">
        <v>49</v>
      </c>
      <c r="J627" s="14">
        <v>890903937</v>
      </c>
      <c r="K627" s="14" t="s">
        <v>138</v>
      </c>
      <c r="L627" s="14" t="s">
        <v>103</v>
      </c>
      <c r="M627" s="14" t="s">
        <v>104</v>
      </c>
      <c r="N627" s="14">
        <v>2019</v>
      </c>
      <c r="O627" s="14">
        <v>1</v>
      </c>
      <c r="P627" s="14" t="s">
        <v>105</v>
      </c>
      <c r="Q627" s="14">
        <v>1</v>
      </c>
      <c r="R627" s="14">
        <v>1</v>
      </c>
      <c r="S627" s="17">
        <v>44834.257777777777</v>
      </c>
      <c r="T627" s="18">
        <v>130.505</v>
      </c>
      <c r="U627" s="14">
        <v>30</v>
      </c>
      <c r="V627" s="19">
        <v>1</v>
      </c>
      <c r="W627" s="14">
        <v>0</v>
      </c>
      <c r="X627" s="14">
        <v>28</v>
      </c>
      <c r="Y627" s="14">
        <v>0</v>
      </c>
      <c r="Z627" s="14">
        <v>28</v>
      </c>
      <c r="AA627" s="14">
        <f>Tabla13[[#This Row],[CheckList App]]+Tabla13[[#This Row],[CheckList Fisc]]</f>
        <v>28</v>
      </c>
      <c r="AB627" s="19">
        <f t="shared" si="9"/>
        <v>1</v>
      </c>
      <c r="AC627" s="14">
        <v>0</v>
      </c>
      <c r="AD627" s="14" t="s">
        <v>70</v>
      </c>
      <c r="AE627" s="15" t="str">
        <f>IFERROR((VLOOKUP(Tabla13[[#This Row],[ID]],[1]!Mtto_Pesv[[#Headers],[#Data],[Placa]:[Rutina]],2,FALSE)),"-")</f>
        <v>-</v>
      </c>
      <c r="AF627" s="14">
        <v>1</v>
      </c>
      <c r="AG627" s="20">
        <f>IFERROR((VLOOKUP(Tabla13[[#This Row],[ID]],[1]!Mtto_Pesv[[#Headers],[#Data],[Placa]:[Rutina]],3,FALSE)),0)</f>
        <v>0</v>
      </c>
      <c r="AH627" s="20">
        <f>IFERROR((VLOOKUP(Tabla13[[#This Row],[ID]],[1]!Mtto_Pesv[[#Headers],[#Data],[Placa]:[Rutina]],7,FALSE)),0)</f>
        <v>0</v>
      </c>
      <c r="AI627" s="20">
        <f>IFERROR((VLOOKUP(Tabla13[[#This Row],[ID]],[1]!Mtto_Pesv[[#Headers],[#Data],[Placa]:[Rutina]],8,FALSE)),0)</f>
        <v>0</v>
      </c>
      <c r="AJ627" s="20" t="str">
        <f>IFERROR((VLOOKUP(Tabla13[[#This Row],[ID]],[1]!Mtto_Pesv[[#Headers],[#Data],[Placa]:[Rutina]],9,FALSE)),"-")</f>
        <v>-</v>
      </c>
      <c r="AK627" s="20">
        <f>IFERROR((VLOOKUP(Tabla13[[#This Row],[ID]],[1]!Mtto_Pesv[[#Headers],[#Data],[Placa]:[Rutina]],10,FALSE)),0)</f>
        <v>0</v>
      </c>
      <c r="AL627" s="20">
        <f>IF(Tabla13[[#This Row],[Km Anterior]]=0,0,Tabla13[[#This Row],[Km Ejecut]]-Tabla13[[#This Row],[Km Anterior]])</f>
        <v>0</v>
      </c>
      <c r="AM627" s="20">
        <f>IFERROR((VLOOKUP(Tabla13[[#This Row],[ID]],[1]!Mtto_Pesv[[#Headers],[#Data],[Placa]:[Rutina]],4,FALSE)),0)</f>
        <v>0</v>
      </c>
      <c r="AN627" s="21">
        <f>IFERROR((VLOOKUP(Tabla13[[#This Row],[ID]],[1]!Mtto_Pesv[[#Headers],[#Data],[Placa]:[Rutina]],5,FALSE)),0)</f>
        <v>0</v>
      </c>
      <c r="AO627" s="21">
        <f>+Tabla13[[#This Row],[Km Fin]]-Tabla13[[#This Row],[Km Ini]]</f>
        <v>0</v>
      </c>
      <c r="AP627" s="20">
        <f>IFERROR((VLOOKUP(Tabla13[[#This Row],[ID]],[1]!Estilo_Conduccion[[#All],[Placa]:[Puntuacion]],15,FALSE)),0)</f>
        <v>92.7</v>
      </c>
      <c r="AQ627" s="15" t="s">
        <v>54</v>
      </c>
      <c r="AR627" s="15" t="s">
        <v>1465</v>
      </c>
      <c r="AS627" s="20">
        <v>1650</v>
      </c>
      <c r="AT627" s="21">
        <v>0</v>
      </c>
      <c r="AU627" s="21">
        <f>(Tabla13[[#This Row],[Cap Vh]]*$AX$2)*0.56</f>
        <v>0</v>
      </c>
      <c r="AV627" s="36" t="e">
        <f>(Tabla13[[#This Row],[Cap Util (kg)]]/(Tabla13[[#This Row],[Cap Inst (Kg)]]))</f>
        <v>#DIV/0!</v>
      </c>
    </row>
    <row r="628" spans="1:48" x14ac:dyDescent="0.25">
      <c r="A628" s="13" t="s">
        <v>1068</v>
      </c>
      <c r="B628" s="14" t="s">
        <v>855</v>
      </c>
      <c r="C628" s="14" t="s">
        <v>749</v>
      </c>
      <c r="D628" s="14" t="s">
        <v>749</v>
      </c>
      <c r="E628" s="14" t="s">
        <v>842</v>
      </c>
      <c r="F628" s="14" t="s">
        <v>64</v>
      </c>
      <c r="G628" s="15" t="s">
        <v>128</v>
      </c>
      <c r="H628" s="16" t="s">
        <v>143</v>
      </c>
      <c r="I628" s="14" t="s">
        <v>49</v>
      </c>
      <c r="J628" s="14">
        <v>890903937</v>
      </c>
      <c r="K628" s="14" t="s">
        <v>138</v>
      </c>
      <c r="L628" s="14" t="s">
        <v>103</v>
      </c>
      <c r="M628" s="14" t="s">
        <v>104</v>
      </c>
      <c r="N628" s="14">
        <v>2019</v>
      </c>
      <c r="O628" s="14">
        <v>1</v>
      </c>
      <c r="P628" s="14" t="s">
        <v>105</v>
      </c>
      <c r="Q628" s="14">
        <v>1</v>
      </c>
      <c r="R628" s="14">
        <v>1</v>
      </c>
      <c r="S628" s="17">
        <v>44834.859664351847</v>
      </c>
      <c r="T628" s="18">
        <v>167.68</v>
      </c>
      <c r="U628" s="14">
        <v>30</v>
      </c>
      <c r="V628" s="19">
        <v>1</v>
      </c>
      <c r="W628" s="14">
        <v>0</v>
      </c>
      <c r="X628" s="14">
        <v>26</v>
      </c>
      <c r="Y628" s="14">
        <v>0</v>
      </c>
      <c r="Z628" s="14">
        <v>26</v>
      </c>
      <c r="AA628" s="14">
        <f>Tabla13[[#This Row],[CheckList App]]+Tabla13[[#This Row],[CheckList Fisc]]</f>
        <v>26</v>
      </c>
      <c r="AB628" s="19">
        <f t="shared" si="9"/>
        <v>1</v>
      </c>
      <c r="AC628" s="14">
        <v>0</v>
      </c>
      <c r="AD628" s="14" t="s">
        <v>70</v>
      </c>
      <c r="AE628" s="15" t="str">
        <f>IFERROR((VLOOKUP(Tabla13[[#This Row],[ID]],[1]!Mtto_Pesv[[#Headers],[#Data],[Placa]:[Rutina]],2,FALSE)),"-")</f>
        <v>-</v>
      </c>
      <c r="AF628" s="14">
        <v>1</v>
      </c>
      <c r="AG628" s="20">
        <f>IFERROR((VLOOKUP(Tabla13[[#This Row],[ID]],[1]!Mtto_Pesv[[#Headers],[#Data],[Placa]:[Rutina]],3,FALSE)),0)</f>
        <v>0</v>
      </c>
      <c r="AH628" s="20">
        <f>IFERROR((VLOOKUP(Tabla13[[#This Row],[ID]],[1]!Mtto_Pesv[[#Headers],[#Data],[Placa]:[Rutina]],7,FALSE)),0)</f>
        <v>0</v>
      </c>
      <c r="AI628" s="20">
        <f>IFERROR((VLOOKUP(Tabla13[[#This Row],[ID]],[1]!Mtto_Pesv[[#Headers],[#Data],[Placa]:[Rutina]],8,FALSE)),0)</f>
        <v>0</v>
      </c>
      <c r="AJ628" s="20" t="str">
        <f>IFERROR((VLOOKUP(Tabla13[[#This Row],[ID]],[1]!Mtto_Pesv[[#Headers],[#Data],[Placa]:[Rutina]],9,FALSE)),"-")</f>
        <v>-</v>
      </c>
      <c r="AK628" s="20">
        <f>IFERROR((VLOOKUP(Tabla13[[#This Row],[ID]],[1]!Mtto_Pesv[[#Headers],[#Data],[Placa]:[Rutina]],10,FALSE)),0)</f>
        <v>0</v>
      </c>
      <c r="AL628" s="20">
        <f>IF(Tabla13[[#This Row],[Km Anterior]]=0,0,Tabla13[[#This Row],[Km Ejecut]]-Tabla13[[#This Row],[Km Anterior]])</f>
        <v>0</v>
      </c>
      <c r="AM628" s="20">
        <f>IFERROR((VLOOKUP(Tabla13[[#This Row],[ID]],[1]!Mtto_Pesv[[#Headers],[#Data],[Placa]:[Rutina]],4,FALSE)),0)</f>
        <v>0</v>
      </c>
      <c r="AN628" s="21">
        <f>IFERROR((VLOOKUP(Tabla13[[#This Row],[ID]],[1]!Mtto_Pesv[[#Headers],[#Data],[Placa]:[Rutina]],5,FALSE)),0)</f>
        <v>0</v>
      </c>
      <c r="AO628" s="21">
        <f>+Tabla13[[#This Row],[Km Fin]]-Tabla13[[#This Row],[Km Ini]]</f>
        <v>0</v>
      </c>
      <c r="AP628" s="20">
        <f>IFERROR((VLOOKUP(Tabla13[[#This Row],[ID]],[1]!Estilo_Conduccion[[#All],[Placa]:[Puntuacion]],15,FALSE)),0)</f>
        <v>666.3</v>
      </c>
      <c r="AQ628" s="15" t="s">
        <v>54</v>
      </c>
      <c r="AR628" s="15" t="s">
        <v>1466</v>
      </c>
      <c r="AS628" s="20">
        <v>1650</v>
      </c>
      <c r="AT628" s="21">
        <v>0</v>
      </c>
      <c r="AU628" s="21">
        <f>(Tabla13[[#This Row],[Cap Vh]]*$AX$2)*0.56</f>
        <v>0</v>
      </c>
      <c r="AV628" s="36" t="e">
        <f>(Tabla13[[#This Row],[Cap Util (kg)]]/(Tabla13[[#This Row],[Cap Inst (Kg)]]))</f>
        <v>#DIV/0!</v>
      </c>
    </row>
    <row r="629" spans="1:48" x14ac:dyDescent="0.25">
      <c r="A629" s="13" t="s">
        <v>1068</v>
      </c>
      <c r="B629" s="14" t="s">
        <v>856</v>
      </c>
      <c r="C629" s="14" t="s">
        <v>749</v>
      </c>
      <c r="D629" s="14" t="s">
        <v>749</v>
      </c>
      <c r="E629" s="14" t="s">
        <v>842</v>
      </c>
      <c r="F629" s="14" t="s">
        <v>64</v>
      </c>
      <c r="G629" s="15" t="s">
        <v>128</v>
      </c>
      <c r="H629" s="16" t="s">
        <v>143</v>
      </c>
      <c r="I629" s="14" t="s">
        <v>177</v>
      </c>
      <c r="J629" s="14">
        <v>900335279</v>
      </c>
      <c r="K629" s="14" t="s">
        <v>77</v>
      </c>
      <c r="L629" s="14" t="s">
        <v>103</v>
      </c>
      <c r="M629" s="14" t="s">
        <v>132</v>
      </c>
      <c r="N629" s="14">
        <v>2020</v>
      </c>
      <c r="O629" s="14">
        <v>0</v>
      </c>
      <c r="P629" s="14" t="s">
        <v>105</v>
      </c>
      <c r="Q629" s="14">
        <v>1</v>
      </c>
      <c r="R629" s="14">
        <v>1</v>
      </c>
      <c r="S629" s="17">
        <v>44834.54241898148</v>
      </c>
      <c r="T629" s="18">
        <v>537.322</v>
      </c>
      <c r="U629" s="14">
        <v>30</v>
      </c>
      <c r="V629" s="19">
        <v>1</v>
      </c>
      <c r="W629" s="14">
        <v>0</v>
      </c>
      <c r="X629" s="14">
        <v>26</v>
      </c>
      <c r="Y629" s="14">
        <v>0</v>
      </c>
      <c r="Z629" s="14">
        <v>24</v>
      </c>
      <c r="AA629" s="14">
        <f>Tabla13[[#This Row],[CheckList App]]+Tabla13[[#This Row],[CheckList Fisc]]</f>
        <v>24</v>
      </c>
      <c r="AB629" s="19">
        <f t="shared" si="9"/>
        <v>0.92307692307692313</v>
      </c>
      <c r="AC629" s="14">
        <v>0</v>
      </c>
      <c r="AD629" s="14" t="s">
        <v>70</v>
      </c>
      <c r="AE629" s="15" t="str">
        <f>IFERROR((VLOOKUP(Tabla13[[#This Row],[ID]],[1]!Mtto_Pesv[[#Headers],[#Data],[Placa]:[Rutina]],2,FALSE)),"-")</f>
        <v>-</v>
      </c>
      <c r="AF629" s="14">
        <v>0</v>
      </c>
      <c r="AG629" s="20">
        <f>IFERROR((VLOOKUP(Tabla13[[#This Row],[ID]],[1]!Mtto_Pesv[[#Headers],[#Data],[Placa]:[Rutina]],3,FALSE)),0)</f>
        <v>0</v>
      </c>
      <c r="AH629" s="20">
        <f>IFERROR((VLOOKUP(Tabla13[[#This Row],[ID]],[1]!Mtto_Pesv[[#Headers],[#Data],[Placa]:[Rutina]],7,FALSE)),0)</f>
        <v>0</v>
      </c>
      <c r="AI629" s="20">
        <f>IFERROR((VLOOKUP(Tabla13[[#This Row],[ID]],[1]!Mtto_Pesv[[#Headers],[#Data],[Placa]:[Rutina]],8,FALSE)),0)</f>
        <v>0</v>
      </c>
      <c r="AJ629" s="20" t="str">
        <f>IFERROR((VLOOKUP(Tabla13[[#This Row],[ID]],[1]!Mtto_Pesv[[#Headers],[#Data],[Placa]:[Rutina]],9,FALSE)),"-")</f>
        <v>-</v>
      </c>
      <c r="AK629" s="20">
        <f>IFERROR((VLOOKUP(Tabla13[[#This Row],[ID]],[1]!Mtto_Pesv[[#Headers],[#Data],[Placa]:[Rutina]],10,FALSE)),0)</f>
        <v>0</v>
      </c>
      <c r="AL629" s="20">
        <f>IF(Tabla13[[#This Row],[Km Anterior]]=0,0,Tabla13[[#This Row],[Km Ejecut]]-Tabla13[[#This Row],[Km Anterior]])</f>
        <v>0</v>
      </c>
      <c r="AM629" s="20">
        <f>IFERROR((VLOOKUP(Tabla13[[#This Row],[ID]],[1]!Mtto_Pesv[[#Headers],[#Data],[Placa]:[Rutina]],4,FALSE)),0)</f>
        <v>0</v>
      </c>
      <c r="AN629" s="21">
        <f>IFERROR((VLOOKUP(Tabla13[[#This Row],[ID]],[1]!Mtto_Pesv[[#Headers],[#Data],[Placa]:[Rutina]],5,FALSE)),0)</f>
        <v>0</v>
      </c>
      <c r="AO629" s="21">
        <f>+Tabla13[[#This Row],[Km Fin]]-Tabla13[[#This Row],[Km Ini]]</f>
        <v>0</v>
      </c>
      <c r="AP629" s="20">
        <f>IFERROR((VLOOKUP(Tabla13[[#This Row],[ID]],[1]!Estilo_Conduccion[[#All],[Placa]:[Puntuacion]],15,FALSE)),0)</f>
        <v>672.4</v>
      </c>
      <c r="AQ629" s="15" t="s">
        <v>54</v>
      </c>
      <c r="AR629" s="15" t="s">
        <v>1467</v>
      </c>
      <c r="AS629" s="20">
        <v>10505</v>
      </c>
      <c r="AT629" s="21">
        <v>0</v>
      </c>
      <c r="AU629" s="21">
        <f>(Tabla13[[#This Row],[Cap Vh]]*$AX$2)*0.56</f>
        <v>0</v>
      </c>
      <c r="AV629" s="36" t="e">
        <f>(Tabla13[[#This Row],[Cap Util (kg)]]/(Tabla13[[#This Row],[Cap Inst (Kg)]]))</f>
        <v>#DIV/0!</v>
      </c>
    </row>
    <row r="630" spans="1:48" x14ac:dyDescent="0.25">
      <c r="A630" s="13" t="s">
        <v>1068</v>
      </c>
      <c r="B630" s="14" t="s">
        <v>857</v>
      </c>
      <c r="C630" s="14" t="s">
        <v>749</v>
      </c>
      <c r="D630" s="14" t="s">
        <v>749</v>
      </c>
      <c r="E630" s="14" t="s">
        <v>840</v>
      </c>
      <c r="F630" s="14" t="s">
        <v>64</v>
      </c>
      <c r="G630" s="15" t="s">
        <v>128</v>
      </c>
      <c r="H630" s="16" t="s">
        <v>143</v>
      </c>
      <c r="I630" s="14" t="s">
        <v>177</v>
      </c>
      <c r="J630" s="14">
        <v>900335279</v>
      </c>
      <c r="K630" s="14" t="s">
        <v>77</v>
      </c>
      <c r="L630" s="14" t="s">
        <v>103</v>
      </c>
      <c r="M630" s="14" t="s">
        <v>132</v>
      </c>
      <c r="N630" s="14">
        <v>2020</v>
      </c>
      <c r="O630" s="14">
        <v>0</v>
      </c>
      <c r="P630" s="14" t="s">
        <v>105</v>
      </c>
      <c r="Q630" s="14">
        <v>1</v>
      </c>
      <c r="R630" s="14">
        <v>1</v>
      </c>
      <c r="S630" s="17">
        <v>44834.593530092592</v>
      </c>
      <c r="T630" s="18">
        <v>444.09400000000005</v>
      </c>
      <c r="U630" s="14">
        <v>30</v>
      </c>
      <c r="V630" s="19">
        <v>1</v>
      </c>
      <c r="W630" s="14">
        <v>0</v>
      </c>
      <c r="X630" s="14">
        <v>25</v>
      </c>
      <c r="Y630" s="14">
        <v>0</v>
      </c>
      <c r="Z630" s="14">
        <v>23</v>
      </c>
      <c r="AA630" s="14">
        <f>Tabla13[[#This Row],[CheckList App]]+Tabla13[[#This Row],[CheckList Fisc]]</f>
        <v>23</v>
      </c>
      <c r="AB630" s="19">
        <f t="shared" si="9"/>
        <v>0.92</v>
      </c>
      <c r="AC630" s="14">
        <v>0</v>
      </c>
      <c r="AD630" s="14" t="s">
        <v>70</v>
      </c>
      <c r="AE630" s="15" t="str">
        <f>IFERROR((VLOOKUP(Tabla13[[#This Row],[ID]],[1]!Mtto_Pesv[[#Headers],[#Data],[Placa]:[Rutina]],2,FALSE)),"-")</f>
        <v>-</v>
      </c>
      <c r="AF630" s="14">
        <v>0</v>
      </c>
      <c r="AG630" s="20">
        <f>IFERROR((VLOOKUP(Tabla13[[#This Row],[ID]],[1]!Mtto_Pesv[[#Headers],[#Data],[Placa]:[Rutina]],3,FALSE)),0)</f>
        <v>0</v>
      </c>
      <c r="AH630" s="20">
        <f>IFERROR((VLOOKUP(Tabla13[[#This Row],[ID]],[1]!Mtto_Pesv[[#Headers],[#Data],[Placa]:[Rutina]],7,FALSE)),0)</f>
        <v>0</v>
      </c>
      <c r="AI630" s="20">
        <f>IFERROR((VLOOKUP(Tabla13[[#This Row],[ID]],[1]!Mtto_Pesv[[#Headers],[#Data],[Placa]:[Rutina]],8,FALSE)),0)</f>
        <v>0</v>
      </c>
      <c r="AJ630" s="20" t="str">
        <f>IFERROR((VLOOKUP(Tabla13[[#This Row],[ID]],[1]!Mtto_Pesv[[#Headers],[#Data],[Placa]:[Rutina]],9,FALSE)),"-")</f>
        <v>-</v>
      </c>
      <c r="AK630" s="20">
        <f>IFERROR((VLOOKUP(Tabla13[[#This Row],[ID]],[1]!Mtto_Pesv[[#Headers],[#Data],[Placa]:[Rutina]],10,FALSE)),0)</f>
        <v>0</v>
      </c>
      <c r="AL630" s="20">
        <f>IF(Tabla13[[#This Row],[Km Anterior]]=0,0,Tabla13[[#This Row],[Km Ejecut]]-Tabla13[[#This Row],[Km Anterior]])</f>
        <v>0</v>
      </c>
      <c r="AM630" s="20">
        <f>IFERROR((VLOOKUP(Tabla13[[#This Row],[ID]],[1]!Mtto_Pesv[[#Headers],[#Data],[Placa]:[Rutina]],4,FALSE)),0)</f>
        <v>0</v>
      </c>
      <c r="AN630" s="21">
        <f>IFERROR((VLOOKUP(Tabla13[[#This Row],[ID]],[1]!Mtto_Pesv[[#Headers],[#Data],[Placa]:[Rutina]],5,FALSE)),0)</f>
        <v>0</v>
      </c>
      <c r="AO630" s="21">
        <f>+Tabla13[[#This Row],[Km Fin]]-Tabla13[[#This Row],[Km Ini]]</f>
        <v>0</v>
      </c>
      <c r="AP630" s="20">
        <f>IFERROR((VLOOKUP(Tabla13[[#This Row],[ID]],[1]!Estilo_Conduccion[[#All],[Placa]:[Puntuacion]],15,FALSE)),0)</f>
        <v>902.8</v>
      </c>
      <c r="AQ630" s="15" t="s">
        <v>54</v>
      </c>
      <c r="AR630" s="15" t="s">
        <v>1468</v>
      </c>
      <c r="AS630" s="20">
        <v>10505</v>
      </c>
      <c r="AT630" s="21">
        <v>0</v>
      </c>
      <c r="AU630" s="21">
        <f>(Tabla13[[#This Row],[Cap Vh]]*$AX$2)*0.56</f>
        <v>0</v>
      </c>
      <c r="AV630" s="36" t="e">
        <f>(Tabla13[[#This Row],[Cap Util (kg)]]/(Tabla13[[#This Row],[Cap Inst (Kg)]]))</f>
        <v>#DIV/0!</v>
      </c>
    </row>
    <row r="631" spans="1:48" x14ac:dyDescent="0.25">
      <c r="A631" s="13" t="s">
        <v>1068</v>
      </c>
      <c r="B631" s="14" t="s">
        <v>858</v>
      </c>
      <c r="C631" s="14" t="s">
        <v>749</v>
      </c>
      <c r="D631" s="14" t="s">
        <v>749</v>
      </c>
      <c r="E631" s="14" t="s">
        <v>842</v>
      </c>
      <c r="F631" s="14" t="s">
        <v>64</v>
      </c>
      <c r="G631" s="15" t="s">
        <v>182</v>
      </c>
      <c r="H631" s="13" t="s">
        <v>183</v>
      </c>
      <c r="I631" s="14" t="s">
        <v>184</v>
      </c>
      <c r="J631" s="14">
        <v>901253015</v>
      </c>
      <c r="K631" s="14" t="s">
        <v>185</v>
      </c>
      <c r="L631" s="14" t="s">
        <v>186</v>
      </c>
      <c r="M631" s="14" t="s">
        <v>187</v>
      </c>
      <c r="N631" s="14">
        <v>2021</v>
      </c>
      <c r="O631" s="14">
        <v>0</v>
      </c>
      <c r="P631" s="14" t="s">
        <v>105</v>
      </c>
      <c r="Q631" s="14">
        <v>1</v>
      </c>
      <c r="R631" s="14">
        <v>1</v>
      </c>
      <c r="S631" s="17">
        <v>44834.687199074076</v>
      </c>
      <c r="T631" s="18">
        <v>85.640999999999991</v>
      </c>
      <c r="U631" s="37">
        <v>30</v>
      </c>
      <c r="V631" s="19">
        <v>1</v>
      </c>
      <c r="W631" s="14">
        <v>0</v>
      </c>
      <c r="X631" s="14">
        <v>26</v>
      </c>
      <c r="Y631" s="14">
        <v>26</v>
      </c>
      <c r="Z631" s="14">
        <v>0</v>
      </c>
      <c r="AA631" s="14">
        <f>Tabla13[[#This Row],[CheckList App]]+Tabla13[[#This Row],[CheckList Fisc]]</f>
        <v>26</v>
      </c>
      <c r="AB631" s="19">
        <f t="shared" si="9"/>
        <v>1</v>
      </c>
      <c r="AC631" s="14">
        <v>0</v>
      </c>
      <c r="AD631" s="14" t="s">
        <v>70</v>
      </c>
      <c r="AE631" s="15" t="str">
        <f>IFERROR((VLOOKUP(Tabla13[[#This Row],[ID]],[1]!Mtto_Pesv[[#Headers],[#Data],[Placa]:[Rutina]],2,FALSE)),"-")</f>
        <v>-</v>
      </c>
      <c r="AF631" s="14">
        <v>0</v>
      </c>
      <c r="AG631" s="20">
        <f>IFERROR((VLOOKUP(Tabla13[[#This Row],[ID]],[1]!Mtto_Pesv[[#Headers],[#Data],[Placa]:[Rutina]],3,FALSE)),0)</f>
        <v>0</v>
      </c>
      <c r="AH631" s="20">
        <f>IFERROR((VLOOKUP(Tabla13[[#This Row],[ID]],[1]!Mtto_Pesv[[#Headers],[#Data],[Placa]:[Rutina]],7,FALSE)),0)</f>
        <v>0</v>
      </c>
      <c r="AI631" s="20">
        <f>IFERROR((VLOOKUP(Tabla13[[#This Row],[ID]],[1]!Mtto_Pesv[[#Headers],[#Data],[Placa]:[Rutina]],8,FALSE)),0)</f>
        <v>0</v>
      </c>
      <c r="AJ631" s="20" t="str">
        <f>IFERROR((VLOOKUP(Tabla13[[#This Row],[ID]],[1]!Mtto_Pesv[[#Headers],[#Data],[Placa]:[Rutina]],9,FALSE)),"-")</f>
        <v>-</v>
      </c>
      <c r="AK631" s="20">
        <f>IFERROR((VLOOKUP(Tabla13[[#This Row],[ID]],[1]!Mtto_Pesv[[#Headers],[#Data],[Placa]:[Rutina]],10,FALSE)),0)</f>
        <v>0</v>
      </c>
      <c r="AL631" s="20">
        <f>IF(Tabla13[[#This Row],[Km Anterior]]=0,0,Tabla13[[#This Row],[Km Ejecut]]-Tabla13[[#This Row],[Km Anterior]])</f>
        <v>0</v>
      </c>
      <c r="AM631" s="20">
        <f>IFERROR((VLOOKUP(Tabla13[[#This Row],[ID]],[1]!Mtto_Pesv[[#Headers],[#Data],[Placa]:[Rutina]],4,FALSE)),0)</f>
        <v>0</v>
      </c>
      <c r="AN631" s="21">
        <f>IFERROR((VLOOKUP(Tabla13[[#This Row],[ID]],[1]!Mtto_Pesv[[#Headers],[#Data],[Placa]:[Rutina]],5,FALSE)),0)</f>
        <v>0</v>
      </c>
      <c r="AO631" s="21">
        <f>+Tabla13[[#This Row],[Km Fin]]-Tabla13[[#This Row],[Km Ini]]</f>
        <v>0</v>
      </c>
      <c r="AP631" s="20">
        <f>IFERROR((VLOOKUP(Tabla13[[#This Row],[ID]],[1]!Estilo_Conduccion[[#All],[Placa]:[Puntuacion]],15,FALSE)),0)</f>
        <v>275.10000000000002</v>
      </c>
      <c r="AQ631" s="15" t="s">
        <v>54</v>
      </c>
      <c r="AR631" s="15" t="s">
        <v>1469</v>
      </c>
      <c r="AS631" s="20">
        <v>1000</v>
      </c>
      <c r="AT631" s="21">
        <v>0</v>
      </c>
      <c r="AU631" s="21">
        <f>(Tabla13[[#This Row],[Cap Vh]]*$AX$2)*0.56</f>
        <v>0</v>
      </c>
      <c r="AV631" s="36" t="e">
        <f>(Tabla13[[#This Row],[Cap Util (kg)]]/(Tabla13[[#This Row],[Cap Inst (Kg)]]))</f>
        <v>#DIV/0!</v>
      </c>
    </row>
    <row r="632" spans="1:48" x14ac:dyDescent="0.25">
      <c r="A632" s="13" t="s">
        <v>1068</v>
      </c>
      <c r="B632" s="14" t="s">
        <v>859</v>
      </c>
      <c r="C632" s="14" t="s">
        <v>749</v>
      </c>
      <c r="D632" s="14" t="s">
        <v>749</v>
      </c>
      <c r="E632" s="14" t="s">
        <v>842</v>
      </c>
      <c r="F632" s="14" t="s">
        <v>64</v>
      </c>
      <c r="G632" s="15" t="s">
        <v>182</v>
      </c>
      <c r="H632" s="13" t="s">
        <v>183</v>
      </c>
      <c r="I632" s="14" t="s">
        <v>184</v>
      </c>
      <c r="J632" s="14">
        <v>901253015</v>
      </c>
      <c r="K632" s="14" t="s">
        <v>185</v>
      </c>
      <c r="L632" s="14" t="s">
        <v>186</v>
      </c>
      <c r="M632" s="15" t="s">
        <v>187</v>
      </c>
      <c r="N632" s="14">
        <v>2021</v>
      </c>
      <c r="O632" s="14">
        <v>0</v>
      </c>
      <c r="P632" s="14" t="s">
        <v>105</v>
      </c>
      <c r="Q632" s="14">
        <v>1</v>
      </c>
      <c r="R632" s="14">
        <v>1</v>
      </c>
      <c r="S632" s="17">
        <v>44833.57303240741</v>
      </c>
      <c r="T632" s="18">
        <v>64.225999999999999</v>
      </c>
      <c r="U632" s="37">
        <v>30</v>
      </c>
      <c r="V632" s="19">
        <v>1</v>
      </c>
      <c r="W632" s="14">
        <v>0</v>
      </c>
      <c r="X632" s="14">
        <v>25</v>
      </c>
      <c r="Y632" s="14">
        <v>25</v>
      </c>
      <c r="Z632" s="14">
        <v>0</v>
      </c>
      <c r="AA632" s="14">
        <f>Tabla13[[#This Row],[CheckList App]]+Tabla13[[#This Row],[CheckList Fisc]]</f>
        <v>25</v>
      </c>
      <c r="AB632" s="19">
        <f t="shared" si="9"/>
        <v>1</v>
      </c>
      <c r="AC632" s="14">
        <v>0</v>
      </c>
      <c r="AD632" s="14" t="s">
        <v>70</v>
      </c>
      <c r="AE632" s="15" t="str">
        <f>IFERROR((VLOOKUP(Tabla13[[#This Row],[ID]],[1]!Mtto_Pesv[[#Headers],[#Data],[Placa]:[Rutina]],2,FALSE)),"-")</f>
        <v>-</v>
      </c>
      <c r="AF632" s="14">
        <v>0</v>
      </c>
      <c r="AG632" s="20">
        <f>IFERROR((VLOOKUP(Tabla13[[#This Row],[ID]],[1]!Mtto_Pesv[[#Headers],[#Data],[Placa]:[Rutina]],3,FALSE)),0)</f>
        <v>0</v>
      </c>
      <c r="AH632" s="20">
        <f>IFERROR((VLOOKUP(Tabla13[[#This Row],[ID]],[1]!Mtto_Pesv[[#Headers],[#Data],[Placa]:[Rutina]],7,FALSE)),0)</f>
        <v>0</v>
      </c>
      <c r="AI632" s="20">
        <f>IFERROR((VLOOKUP(Tabla13[[#This Row],[ID]],[1]!Mtto_Pesv[[#Headers],[#Data],[Placa]:[Rutina]],8,FALSE)),0)</f>
        <v>0</v>
      </c>
      <c r="AJ632" s="20" t="str">
        <f>IFERROR((VLOOKUP(Tabla13[[#This Row],[ID]],[1]!Mtto_Pesv[[#Headers],[#Data],[Placa]:[Rutina]],9,FALSE)),"-")</f>
        <v>-</v>
      </c>
      <c r="AK632" s="20">
        <f>IFERROR((VLOOKUP(Tabla13[[#This Row],[ID]],[1]!Mtto_Pesv[[#Headers],[#Data],[Placa]:[Rutina]],10,FALSE)),0)</f>
        <v>0</v>
      </c>
      <c r="AL632" s="20">
        <f>IF(Tabla13[[#This Row],[Km Anterior]]=0,0,Tabla13[[#This Row],[Km Ejecut]]-Tabla13[[#This Row],[Km Anterior]])</f>
        <v>0</v>
      </c>
      <c r="AM632" s="20">
        <f>IFERROR((VLOOKUP(Tabla13[[#This Row],[ID]],[1]!Mtto_Pesv[[#Headers],[#Data],[Placa]:[Rutina]],4,FALSE)),0)</f>
        <v>0</v>
      </c>
      <c r="AN632" s="21">
        <f>IFERROR((VLOOKUP(Tabla13[[#This Row],[ID]],[1]!Mtto_Pesv[[#Headers],[#Data],[Placa]:[Rutina]],5,FALSE)),0)</f>
        <v>0</v>
      </c>
      <c r="AO632" s="21">
        <f>+Tabla13[[#This Row],[Km Fin]]-Tabla13[[#This Row],[Km Ini]]</f>
        <v>0</v>
      </c>
      <c r="AP632" s="20">
        <f>IFERROR((VLOOKUP(Tabla13[[#This Row],[ID]],[1]!Estilo_Conduccion[[#All],[Placa]:[Puntuacion]],15,FALSE)),0)</f>
        <v>220.6</v>
      </c>
      <c r="AQ632" s="15" t="s">
        <v>54</v>
      </c>
      <c r="AR632" s="15" t="s">
        <v>1470</v>
      </c>
      <c r="AS632" s="20">
        <v>1000</v>
      </c>
      <c r="AT632" s="21">
        <v>0</v>
      </c>
      <c r="AU632" s="21">
        <f>(Tabla13[[#This Row],[Cap Vh]]*$AX$2)*0.56</f>
        <v>0</v>
      </c>
      <c r="AV632" s="36" t="e">
        <f>(Tabla13[[#This Row],[Cap Util (kg)]]/(Tabla13[[#This Row],[Cap Inst (Kg)]]))</f>
        <v>#DIV/0!</v>
      </c>
    </row>
    <row r="633" spans="1:48" x14ac:dyDescent="0.25">
      <c r="A633" s="13" t="s">
        <v>1068</v>
      </c>
      <c r="B633" s="14" t="s">
        <v>860</v>
      </c>
      <c r="C633" s="14" t="s">
        <v>749</v>
      </c>
      <c r="D633" s="14" t="s">
        <v>749</v>
      </c>
      <c r="E633" s="14" t="s">
        <v>840</v>
      </c>
      <c r="F633" s="14" t="s">
        <v>64</v>
      </c>
      <c r="G633" s="15" t="s">
        <v>182</v>
      </c>
      <c r="H633" s="13" t="s">
        <v>183</v>
      </c>
      <c r="I633" s="14" t="s">
        <v>184</v>
      </c>
      <c r="J633" s="14">
        <v>901253015</v>
      </c>
      <c r="K633" s="14" t="s">
        <v>185</v>
      </c>
      <c r="L633" s="14" t="s">
        <v>186</v>
      </c>
      <c r="M633" s="14" t="s">
        <v>187</v>
      </c>
      <c r="N633" s="14">
        <v>2021</v>
      </c>
      <c r="O633" s="14">
        <v>0</v>
      </c>
      <c r="P633" s="14" t="s">
        <v>105</v>
      </c>
      <c r="Q633" s="14">
        <v>1</v>
      </c>
      <c r="R633" s="14">
        <v>1</v>
      </c>
      <c r="S633" s="17">
        <v>44817.485798611109</v>
      </c>
      <c r="T633" s="18">
        <v>21.7</v>
      </c>
      <c r="U633" s="37">
        <v>30</v>
      </c>
      <c r="V633" s="19">
        <v>1</v>
      </c>
      <c r="W633" s="14">
        <v>0</v>
      </c>
      <c r="X633" s="14">
        <v>24</v>
      </c>
      <c r="Y633" s="14">
        <v>24</v>
      </c>
      <c r="Z633" s="14">
        <v>0</v>
      </c>
      <c r="AA633" s="14">
        <f>Tabla13[[#This Row],[CheckList App]]+Tabla13[[#This Row],[CheckList Fisc]]</f>
        <v>24</v>
      </c>
      <c r="AB633" s="19">
        <f t="shared" si="9"/>
        <v>1</v>
      </c>
      <c r="AC633" s="14">
        <v>0</v>
      </c>
      <c r="AD633" s="14" t="s">
        <v>70</v>
      </c>
      <c r="AE633" s="15" t="str">
        <f>IFERROR((VLOOKUP(Tabla13[[#This Row],[ID]],[1]!Mtto_Pesv[[#Headers],[#Data],[Placa]:[Rutina]],2,FALSE)),"-")</f>
        <v>-</v>
      </c>
      <c r="AF633" s="14">
        <v>0</v>
      </c>
      <c r="AG633" s="20">
        <f>IFERROR((VLOOKUP(Tabla13[[#This Row],[ID]],[1]!Mtto_Pesv[[#Headers],[#Data],[Placa]:[Rutina]],3,FALSE)),0)</f>
        <v>0</v>
      </c>
      <c r="AH633" s="20">
        <f>IFERROR((VLOOKUP(Tabla13[[#This Row],[ID]],[1]!Mtto_Pesv[[#Headers],[#Data],[Placa]:[Rutina]],7,FALSE)),0)</f>
        <v>0</v>
      </c>
      <c r="AI633" s="20">
        <f>IFERROR((VLOOKUP(Tabla13[[#This Row],[ID]],[1]!Mtto_Pesv[[#Headers],[#Data],[Placa]:[Rutina]],8,FALSE)),0)</f>
        <v>0</v>
      </c>
      <c r="AJ633" s="20" t="str">
        <f>IFERROR((VLOOKUP(Tabla13[[#This Row],[ID]],[1]!Mtto_Pesv[[#Headers],[#Data],[Placa]:[Rutina]],9,FALSE)),"-")</f>
        <v>-</v>
      </c>
      <c r="AK633" s="20">
        <f>IFERROR((VLOOKUP(Tabla13[[#This Row],[ID]],[1]!Mtto_Pesv[[#Headers],[#Data],[Placa]:[Rutina]],10,FALSE)),0)</f>
        <v>0</v>
      </c>
      <c r="AL633" s="20">
        <f>IF(Tabla13[[#This Row],[Km Anterior]]=0,0,Tabla13[[#This Row],[Km Ejecut]]-Tabla13[[#This Row],[Km Anterior]])</f>
        <v>0</v>
      </c>
      <c r="AM633" s="20">
        <f>IFERROR((VLOOKUP(Tabla13[[#This Row],[ID]],[1]!Mtto_Pesv[[#Headers],[#Data],[Placa]:[Rutina]],4,FALSE)),0)</f>
        <v>0</v>
      </c>
      <c r="AN633" s="21">
        <f>IFERROR((VLOOKUP(Tabla13[[#This Row],[ID]],[1]!Mtto_Pesv[[#Headers],[#Data],[Placa]:[Rutina]],5,FALSE)),0)</f>
        <v>0</v>
      </c>
      <c r="AO633" s="21">
        <f>+Tabla13[[#This Row],[Km Fin]]-Tabla13[[#This Row],[Km Ini]]</f>
        <v>0</v>
      </c>
      <c r="AP633" s="20">
        <f>IFERROR((VLOOKUP(Tabla13[[#This Row],[ID]],[1]!Estilo_Conduccion[[#All],[Placa]:[Puntuacion]],15,FALSE)),0)</f>
        <v>88.5</v>
      </c>
      <c r="AQ633" s="15" t="s">
        <v>54</v>
      </c>
      <c r="AR633" s="15" t="s">
        <v>1471</v>
      </c>
      <c r="AS633" s="20">
        <v>1000</v>
      </c>
      <c r="AT633" s="21">
        <v>0</v>
      </c>
      <c r="AU633" s="21">
        <f>(Tabla13[[#This Row],[Cap Vh]]*$AX$2)*0.56</f>
        <v>0</v>
      </c>
      <c r="AV633" s="36" t="e">
        <f>(Tabla13[[#This Row],[Cap Util (kg)]]/(Tabla13[[#This Row],[Cap Inst (Kg)]]))</f>
        <v>#DIV/0!</v>
      </c>
    </row>
    <row r="634" spans="1:48" x14ac:dyDescent="0.25">
      <c r="A634" s="13" t="s">
        <v>1068</v>
      </c>
      <c r="B634" s="14" t="s">
        <v>861</v>
      </c>
      <c r="C634" s="14" t="s">
        <v>749</v>
      </c>
      <c r="D634" s="14" t="s">
        <v>749</v>
      </c>
      <c r="E634" s="14" t="s">
        <v>842</v>
      </c>
      <c r="F634" s="14" t="s">
        <v>64</v>
      </c>
      <c r="G634" s="15" t="s">
        <v>182</v>
      </c>
      <c r="H634" s="13" t="s">
        <v>183</v>
      </c>
      <c r="I634" s="14" t="s">
        <v>109</v>
      </c>
      <c r="J634" s="14">
        <v>901253015</v>
      </c>
      <c r="K634" s="14" t="s">
        <v>185</v>
      </c>
      <c r="L634" s="14" t="s">
        <v>103</v>
      </c>
      <c r="M634" s="14" t="s">
        <v>153</v>
      </c>
      <c r="N634" s="14">
        <v>2021</v>
      </c>
      <c r="O634" s="14">
        <v>0</v>
      </c>
      <c r="P634" s="14" t="s">
        <v>105</v>
      </c>
      <c r="Q634" s="14">
        <v>1</v>
      </c>
      <c r="R634" s="14">
        <v>1</v>
      </c>
      <c r="S634" s="17">
        <v>44833.250590277778</v>
      </c>
      <c r="T634" s="18">
        <v>379.69000000000005</v>
      </c>
      <c r="U634" s="37">
        <v>30</v>
      </c>
      <c r="V634" s="19">
        <v>1</v>
      </c>
      <c r="W634" s="14">
        <v>0</v>
      </c>
      <c r="X634" s="14">
        <v>27</v>
      </c>
      <c r="Y634" s="14">
        <v>27</v>
      </c>
      <c r="Z634" s="14">
        <v>0</v>
      </c>
      <c r="AA634" s="14">
        <f>Tabla13[[#This Row],[CheckList App]]+Tabla13[[#This Row],[CheckList Fisc]]</f>
        <v>27</v>
      </c>
      <c r="AB634" s="19">
        <f t="shared" si="9"/>
        <v>1</v>
      </c>
      <c r="AC634" s="14">
        <v>0</v>
      </c>
      <c r="AD634" s="14" t="s">
        <v>70</v>
      </c>
      <c r="AE634" s="15" t="str">
        <f>IFERROR((VLOOKUP(Tabla13[[#This Row],[ID]],[1]!Mtto_Pesv[[#Headers],[#Data],[Placa]:[Rutina]],2,FALSE)),"-")</f>
        <v>-</v>
      </c>
      <c r="AF634" s="14">
        <v>0</v>
      </c>
      <c r="AG634" s="20">
        <f>IFERROR((VLOOKUP(Tabla13[[#This Row],[ID]],[1]!Mtto_Pesv[[#Headers],[#Data],[Placa]:[Rutina]],3,FALSE)),0)</f>
        <v>0</v>
      </c>
      <c r="AH634" s="20">
        <f>IFERROR((VLOOKUP(Tabla13[[#This Row],[ID]],[1]!Mtto_Pesv[[#Headers],[#Data],[Placa]:[Rutina]],7,FALSE)),0)</f>
        <v>0</v>
      </c>
      <c r="AI634" s="20">
        <f>IFERROR((VLOOKUP(Tabla13[[#This Row],[ID]],[1]!Mtto_Pesv[[#Headers],[#Data],[Placa]:[Rutina]],8,FALSE)),0)</f>
        <v>0</v>
      </c>
      <c r="AJ634" s="20" t="str">
        <f>IFERROR((VLOOKUP(Tabla13[[#This Row],[ID]],[1]!Mtto_Pesv[[#Headers],[#Data],[Placa]:[Rutina]],9,FALSE)),"-")</f>
        <v>-</v>
      </c>
      <c r="AK634" s="20">
        <f>IFERROR((VLOOKUP(Tabla13[[#This Row],[ID]],[1]!Mtto_Pesv[[#Headers],[#Data],[Placa]:[Rutina]],10,FALSE)),0)</f>
        <v>0</v>
      </c>
      <c r="AL634" s="20">
        <f>IF(Tabla13[[#This Row],[Km Anterior]]=0,0,Tabla13[[#This Row],[Km Ejecut]]-Tabla13[[#This Row],[Km Anterior]])</f>
        <v>0</v>
      </c>
      <c r="AM634" s="20">
        <f>IFERROR((VLOOKUP(Tabla13[[#This Row],[ID]],[1]!Mtto_Pesv[[#Headers],[#Data],[Placa]:[Rutina]],4,FALSE)),0)</f>
        <v>0</v>
      </c>
      <c r="AN634" s="21">
        <f>IFERROR((VLOOKUP(Tabla13[[#This Row],[ID]],[1]!Mtto_Pesv[[#Headers],[#Data],[Placa]:[Rutina]],5,FALSE)),0)</f>
        <v>0</v>
      </c>
      <c r="AO634" s="21">
        <f>+Tabla13[[#This Row],[Km Fin]]-Tabla13[[#This Row],[Km Ini]]</f>
        <v>0</v>
      </c>
      <c r="AP634" s="20">
        <f>IFERROR((VLOOKUP(Tabla13[[#This Row],[ID]],[1]!Estilo_Conduccion[[#All],[Placa]:[Puntuacion]],15,FALSE)),0)</f>
        <v>688.19999999999993</v>
      </c>
      <c r="AQ634" s="15" t="s">
        <v>54</v>
      </c>
      <c r="AR634" s="15" t="s">
        <v>1472</v>
      </c>
      <c r="AS634" s="20">
        <v>3900</v>
      </c>
      <c r="AT634" s="21">
        <v>0</v>
      </c>
      <c r="AU634" s="21">
        <f>(Tabla13[[#This Row],[Cap Vh]]*$AX$2)*0.56</f>
        <v>0</v>
      </c>
      <c r="AV634" s="36" t="e">
        <f>(Tabla13[[#This Row],[Cap Util (kg)]]/(Tabla13[[#This Row],[Cap Inst (Kg)]]))</f>
        <v>#DIV/0!</v>
      </c>
    </row>
    <row r="635" spans="1:48" x14ac:dyDescent="0.25">
      <c r="A635" s="13" t="s">
        <v>1068</v>
      </c>
      <c r="B635" s="14" t="s">
        <v>862</v>
      </c>
      <c r="C635" s="14" t="s">
        <v>749</v>
      </c>
      <c r="D635" s="14" t="s">
        <v>749</v>
      </c>
      <c r="E635" s="14" t="s">
        <v>848</v>
      </c>
      <c r="F635" s="14" t="s">
        <v>64</v>
      </c>
      <c r="G635" s="15" t="s">
        <v>182</v>
      </c>
      <c r="H635" s="13" t="s">
        <v>183</v>
      </c>
      <c r="I635" s="14" t="s">
        <v>49</v>
      </c>
      <c r="J635" s="14">
        <v>901253015</v>
      </c>
      <c r="K635" s="14" t="s">
        <v>185</v>
      </c>
      <c r="L635" s="14" t="s">
        <v>103</v>
      </c>
      <c r="M635" s="14" t="s">
        <v>153</v>
      </c>
      <c r="N635" s="14">
        <v>2021</v>
      </c>
      <c r="O635" s="14">
        <v>0</v>
      </c>
      <c r="P635" s="14" t="s">
        <v>105</v>
      </c>
      <c r="Q635" s="14">
        <v>1</v>
      </c>
      <c r="R635" s="14">
        <v>1</v>
      </c>
      <c r="S635" s="17">
        <v>44834.372974537036</v>
      </c>
      <c r="T635" s="18">
        <v>102.437</v>
      </c>
      <c r="U635" s="37">
        <v>30</v>
      </c>
      <c r="V635" s="19">
        <v>1</v>
      </c>
      <c r="W635" s="14">
        <v>0</v>
      </c>
      <c r="X635" s="14">
        <v>24</v>
      </c>
      <c r="Y635" s="14">
        <v>24</v>
      </c>
      <c r="Z635" s="14">
        <v>0</v>
      </c>
      <c r="AA635" s="14">
        <f>Tabla13[[#This Row],[CheckList App]]+Tabla13[[#This Row],[CheckList Fisc]]</f>
        <v>24</v>
      </c>
      <c r="AB635" s="19">
        <f t="shared" si="9"/>
        <v>1</v>
      </c>
      <c r="AC635" s="14">
        <v>0</v>
      </c>
      <c r="AD635" s="14" t="s">
        <v>70</v>
      </c>
      <c r="AE635" s="15" t="str">
        <f>IFERROR((VLOOKUP(Tabla13[[#This Row],[ID]],[1]!Mtto_Pesv[[#Headers],[#Data],[Placa]:[Rutina]],2,FALSE)),"-")</f>
        <v>-</v>
      </c>
      <c r="AF635" s="14">
        <v>0</v>
      </c>
      <c r="AG635" s="20">
        <f>IFERROR((VLOOKUP(Tabla13[[#This Row],[ID]],[1]!Mtto_Pesv[[#Headers],[#Data],[Placa]:[Rutina]],3,FALSE)),0)</f>
        <v>0</v>
      </c>
      <c r="AH635" s="20">
        <f>IFERROR((VLOOKUP(Tabla13[[#This Row],[ID]],[1]!Mtto_Pesv[[#Headers],[#Data],[Placa]:[Rutina]],7,FALSE)),0)</f>
        <v>0</v>
      </c>
      <c r="AI635" s="20">
        <f>IFERROR((VLOOKUP(Tabla13[[#This Row],[ID]],[1]!Mtto_Pesv[[#Headers],[#Data],[Placa]:[Rutina]],8,FALSE)),0)</f>
        <v>0</v>
      </c>
      <c r="AJ635" s="20" t="str">
        <f>IFERROR((VLOOKUP(Tabla13[[#This Row],[ID]],[1]!Mtto_Pesv[[#Headers],[#Data],[Placa]:[Rutina]],9,FALSE)),"-")</f>
        <v>-</v>
      </c>
      <c r="AK635" s="20">
        <f>IFERROR((VLOOKUP(Tabla13[[#This Row],[ID]],[1]!Mtto_Pesv[[#Headers],[#Data],[Placa]:[Rutina]],10,FALSE)),0)</f>
        <v>0</v>
      </c>
      <c r="AL635" s="20">
        <f>IF(Tabla13[[#This Row],[Km Anterior]]=0,0,Tabla13[[#This Row],[Km Ejecut]]-Tabla13[[#This Row],[Km Anterior]])</f>
        <v>0</v>
      </c>
      <c r="AM635" s="20">
        <f>IFERROR((VLOOKUP(Tabla13[[#This Row],[ID]],[1]!Mtto_Pesv[[#Headers],[#Data],[Placa]:[Rutina]],4,FALSE)),0)</f>
        <v>0</v>
      </c>
      <c r="AN635" s="21">
        <f>IFERROR((VLOOKUP(Tabla13[[#This Row],[ID]],[1]!Mtto_Pesv[[#Headers],[#Data],[Placa]:[Rutina]],5,FALSE)),0)</f>
        <v>0</v>
      </c>
      <c r="AO635" s="21">
        <f>+Tabla13[[#This Row],[Km Fin]]-Tabla13[[#This Row],[Km Ini]]</f>
        <v>0</v>
      </c>
      <c r="AP635" s="20">
        <f>IFERROR((VLOOKUP(Tabla13[[#This Row],[ID]],[1]!Estilo_Conduccion[[#All],[Placa]:[Puntuacion]],15,FALSE)),0)</f>
        <v>120.4</v>
      </c>
      <c r="AQ635" s="15" t="s">
        <v>54</v>
      </c>
      <c r="AR635" s="15" t="s">
        <v>1473</v>
      </c>
      <c r="AS635" s="20">
        <v>3900</v>
      </c>
      <c r="AT635" s="21">
        <v>0</v>
      </c>
      <c r="AU635" s="21">
        <f>(Tabla13[[#This Row],[Cap Vh]]*$AX$2)*0.56</f>
        <v>0</v>
      </c>
      <c r="AV635" s="36" t="e">
        <f>(Tabla13[[#This Row],[Cap Util (kg)]]/(Tabla13[[#This Row],[Cap Inst (Kg)]]))</f>
        <v>#DIV/0!</v>
      </c>
    </row>
    <row r="636" spans="1:48" x14ac:dyDescent="0.25">
      <c r="A636" s="13" t="s">
        <v>1068</v>
      </c>
      <c r="B636" s="14" t="s">
        <v>863</v>
      </c>
      <c r="C636" s="14" t="s">
        <v>749</v>
      </c>
      <c r="D636" s="14" t="s">
        <v>749</v>
      </c>
      <c r="E636" s="14" t="s">
        <v>842</v>
      </c>
      <c r="F636" s="14" t="s">
        <v>64</v>
      </c>
      <c r="G636" s="15" t="s">
        <v>182</v>
      </c>
      <c r="H636" s="13" t="s">
        <v>199</v>
      </c>
      <c r="I636" s="14" t="s">
        <v>49</v>
      </c>
      <c r="J636" s="14">
        <v>901253015</v>
      </c>
      <c r="K636" s="14" t="s">
        <v>185</v>
      </c>
      <c r="L636" s="14" t="s">
        <v>103</v>
      </c>
      <c r="M636" s="14" t="s">
        <v>104</v>
      </c>
      <c r="N636" s="14">
        <v>2021</v>
      </c>
      <c r="O636" s="14">
        <v>0</v>
      </c>
      <c r="P636" s="14" t="s">
        <v>105</v>
      </c>
      <c r="Q636" s="14">
        <v>1</v>
      </c>
      <c r="R636" s="14">
        <v>0</v>
      </c>
      <c r="S636" s="17" t="s">
        <v>54</v>
      </c>
      <c r="T636" s="18">
        <v>0</v>
      </c>
      <c r="U636" s="37">
        <v>29</v>
      </c>
      <c r="V636" s="19">
        <v>0.96666666666666667</v>
      </c>
      <c r="W636" s="14">
        <v>0</v>
      </c>
      <c r="X636" s="14">
        <v>21</v>
      </c>
      <c r="Y636" s="14">
        <v>21</v>
      </c>
      <c r="Z636" s="14">
        <v>0</v>
      </c>
      <c r="AA636" s="14">
        <f>Tabla13[[#This Row],[CheckList App]]+Tabla13[[#This Row],[CheckList Fisc]]</f>
        <v>21</v>
      </c>
      <c r="AB636" s="19">
        <f t="shared" si="9"/>
        <v>1</v>
      </c>
      <c r="AC636" s="14">
        <v>0</v>
      </c>
      <c r="AD636" s="14" t="s">
        <v>70</v>
      </c>
      <c r="AE636" s="15" t="str">
        <f>IFERROR((VLOOKUP(Tabla13[[#This Row],[ID]],[1]!Mtto_Pesv[[#Headers],[#Data],[Placa]:[Rutina]],2,FALSE)),"-")</f>
        <v>-</v>
      </c>
      <c r="AF636" s="14">
        <v>0</v>
      </c>
      <c r="AG636" s="20">
        <f>IFERROR((VLOOKUP(Tabla13[[#This Row],[ID]],[1]!Mtto_Pesv[[#Headers],[#Data],[Placa]:[Rutina]],3,FALSE)),0)</f>
        <v>0</v>
      </c>
      <c r="AH636" s="20">
        <f>IFERROR((VLOOKUP(Tabla13[[#This Row],[ID]],[1]!Mtto_Pesv[[#Headers],[#Data],[Placa]:[Rutina]],7,FALSE)),0)</f>
        <v>0</v>
      </c>
      <c r="AI636" s="20">
        <f>IFERROR((VLOOKUP(Tabla13[[#This Row],[ID]],[1]!Mtto_Pesv[[#Headers],[#Data],[Placa]:[Rutina]],8,FALSE)),0)</f>
        <v>0</v>
      </c>
      <c r="AJ636" s="20" t="str">
        <f>IFERROR((VLOOKUP(Tabla13[[#This Row],[ID]],[1]!Mtto_Pesv[[#Headers],[#Data],[Placa]:[Rutina]],9,FALSE)),"-")</f>
        <v>-</v>
      </c>
      <c r="AK636" s="20">
        <f>IFERROR((VLOOKUP(Tabla13[[#This Row],[ID]],[1]!Mtto_Pesv[[#Headers],[#Data],[Placa]:[Rutina]],10,FALSE)),0)</f>
        <v>0</v>
      </c>
      <c r="AL636" s="20">
        <f>IF(Tabla13[[#This Row],[Km Anterior]]=0,0,Tabla13[[#This Row],[Km Ejecut]]-Tabla13[[#This Row],[Km Anterior]])</f>
        <v>0</v>
      </c>
      <c r="AM636" s="20">
        <f>IFERROR((VLOOKUP(Tabla13[[#This Row],[ID]],[1]!Mtto_Pesv[[#Headers],[#Data],[Placa]:[Rutina]],4,FALSE)),0)</f>
        <v>0</v>
      </c>
      <c r="AN636" s="21">
        <f>IFERROR((VLOOKUP(Tabla13[[#This Row],[ID]],[1]!Mtto_Pesv[[#Headers],[#Data],[Placa]:[Rutina]],5,FALSE)),0)</f>
        <v>0</v>
      </c>
      <c r="AO636" s="21">
        <f>+Tabla13[[#This Row],[Km Fin]]-Tabla13[[#This Row],[Km Ini]]</f>
        <v>0</v>
      </c>
      <c r="AP636" s="20">
        <f>IFERROR((VLOOKUP(Tabla13[[#This Row],[ID]],[1]!Estilo_Conduccion[[#All],[Placa]:[Puntuacion]],15,FALSE)),0)</f>
        <v>278.10000000000002</v>
      </c>
      <c r="AQ636" s="15" t="s">
        <v>1069</v>
      </c>
      <c r="AR636" s="15" t="s">
        <v>843</v>
      </c>
      <c r="AS636" s="20">
        <v>1650</v>
      </c>
      <c r="AT636" s="21">
        <v>0</v>
      </c>
      <c r="AU636" s="21">
        <f>(Tabla13[[#This Row],[Cap Vh]]*$AX$2)*0.56</f>
        <v>0</v>
      </c>
      <c r="AV636" s="36" t="e">
        <f>(Tabla13[[#This Row],[Cap Util (kg)]]/(Tabla13[[#This Row],[Cap Inst (Kg)]]))</f>
        <v>#DIV/0!</v>
      </c>
    </row>
    <row r="637" spans="1:48" x14ac:dyDescent="0.25">
      <c r="A637" s="13" t="s">
        <v>1068</v>
      </c>
      <c r="B637" s="14" t="s">
        <v>864</v>
      </c>
      <c r="C637" s="14" t="s">
        <v>749</v>
      </c>
      <c r="D637" s="14" t="s">
        <v>749</v>
      </c>
      <c r="E637" s="14" t="s">
        <v>842</v>
      </c>
      <c r="F637" s="14" t="s">
        <v>64</v>
      </c>
      <c r="G637" s="15" t="s">
        <v>182</v>
      </c>
      <c r="H637" s="13" t="s">
        <v>183</v>
      </c>
      <c r="I637" s="14" t="s">
        <v>49</v>
      </c>
      <c r="J637" s="14">
        <v>901253015</v>
      </c>
      <c r="K637" s="14" t="s">
        <v>185</v>
      </c>
      <c r="L637" s="14" t="s">
        <v>103</v>
      </c>
      <c r="M637" s="14" t="s">
        <v>104</v>
      </c>
      <c r="N637" s="14">
        <v>2021</v>
      </c>
      <c r="O637" s="14">
        <v>0</v>
      </c>
      <c r="P637" s="14" t="s">
        <v>105</v>
      </c>
      <c r="Q637" s="14">
        <v>1</v>
      </c>
      <c r="R637" s="14">
        <v>0</v>
      </c>
      <c r="S637" s="17" t="s">
        <v>54</v>
      </c>
      <c r="T637" s="18">
        <v>0</v>
      </c>
      <c r="U637" s="37">
        <v>30</v>
      </c>
      <c r="V637" s="19">
        <v>1</v>
      </c>
      <c r="W637" s="14">
        <v>0</v>
      </c>
      <c r="X637" s="14">
        <v>8</v>
      </c>
      <c r="Y637" s="14">
        <v>8</v>
      </c>
      <c r="Z637" s="14">
        <v>0</v>
      </c>
      <c r="AA637" s="14">
        <f>Tabla13[[#This Row],[CheckList App]]+Tabla13[[#This Row],[CheckList Fisc]]</f>
        <v>8</v>
      </c>
      <c r="AB637" s="19">
        <f t="shared" si="9"/>
        <v>1</v>
      </c>
      <c r="AC637" s="14">
        <v>0</v>
      </c>
      <c r="AD637" s="14" t="s">
        <v>70</v>
      </c>
      <c r="AE637" s="15" t="str">
        <f>IFERROR((VLOOKUP(Tabla13[[#This Row],[ID]],[1]!Mtto_Pesv[[#Headers],[#Data],[Placa]:[Rutina]],2,FALSE)),"-")</f>
        <v>-</v>
      </c>
      <c r="AF637" s="14">
        <v>0</v>
      </c>
      <c r="AG637" s="20">
        <f>IFERROR((VLOOKUP(Tabla13[[#This Row],[ID]],[1]!Mtto_Pesv[[#Headers],[#Data],[Placa]:[Rutina]],3,FALSE)),0)</f>
        <v>0</v>
      </c>
      <c r="AH637" s="20">
        <f>IFERROR((VLOOKUP(Tabla13[[#This Row],[ID]],[1]!Mtto_Pesv[[#Headers],[#Data],[Placa]:[Rutina]],7,FALSE)),0)</f>
        <v>0</v>
      </c>
      <c r="AI637" s="20">
        <f>IFERROR((VLOOKUP(Tabla13[[#This Row],[ID]],[1]!Mtto_Pesv[[#Headers],[#Data],[Placa]:[Rutina]],8,FALSE)),0)</f>
        <v>0</v>
      </c>
      <c r="AJ637" s="20" t="str">
        <f>IFERROR((VLOOKUP(Tabla13[[#This Row],[ID]],[1]!Mtto_Pesv[[#Headers],[#Data],[Placa]:[Rutina]],9,FALSE)),"-")</f>
        <v>-</v>
      </c>
      <c r="AK637" s="20">
        <f>IFERROR((VLOOKUP(Tabla13[[#This Row],[ID]],[1]!Mtto_Pesv[[#Headers],[#Data],[Placa]:[Rutina]],10,FALSE)),0)</f>
        <v>0</v>
      </c>
      <c r="AL637" s="20">
        <f>IF(Tabla13[[#This Row],[Km Anterior]]=0,0,Tabla13[[#This Row],[Km Ejecut]]-Tabla13[[#This Row],[Km Anterior]])</f>
        <v>0</v>
      </c>
      <c r="AM637" s="20">
        <f>IFERROR((VLOOKUP(Tabla13[[#This Row],[ID]],[1]!Mtto_Pesv[[#Headers],[#Data],[Placa]:[Rutina]],4,FALSE)),0)</f>
        <v>0</v>
      </c>
      <c r="AN637" s="21">
        <f>IFERROR((VLOOKUP(Tabla13[[#This Row],[ID]],[1]!Mtto_Pesv[[#Headers],[#Data],[Placa]:[Rutina]],5,FALSE)),0)</f>
        <v>0</v>
      </c>
      <c r="AO637" s="21">
        <f>+Tabla13[[#This Row],[Km Fin]]-Tabla13[[#This Row],[Km Ini]]</f>
        <v>0</v>
      </c>
      <c r="AP637" s="20">
        <f>IFERROR((VLOOKUP(Tabla13[[#This Row],[ID]],[1]!Estilo_Conduccion[[#All],[Placa]:[Puntuacion]],15,FALSE)),0)</f>
        <v>37.6</v>
      </c>
      <c r="AQ637" s="15" t="s">
        <v>54</v>
      </c>
      <c r="AR637" s="15" t="s">
        <v>1474</v>
      </c>
      <c r="AS637" s="20">
        <v>1650</v>
      </c>
      <c r="AT637" s="21">
        <v>0</v>
      </c>
      <c r="AU637" s="21">
        <f>(Tabla13[[#This Row],[Cap Vh]]*$AX$2)*0.56</f>
        <v>0</v>
      </c>
      <c r="AV637" s="36" t="e">
        <f>(Tabla13[[#This Row],[Cap Util (kg)]]/(Tabla13[[#This Row],[Cap Inst (Kg)]]))</f>
        <v>#DIV/0!</v>
      </c>
    </row>
    <row r="638" spans="1:48" x14ac:dyDescent="0.25">
      <c r="A638" s="13" t="s">
        <v>1068</v>
      </c>
      <c r="B638" s="14" t="s">
        <v>865</v>
      </c>
      <c r="C638" s="14" t="s">
        <v>749</v>
      </c>
      <c r="D638" s="14" t="s">
        <v>749</v>
      </c>
      <c r="E638" s="14" t="s">
        <v>845</v>
      </c>
      <c r="F638" s="14" t="s">
        <v>64</v>
      </c>
      <c r="G638" s="15" t="s">
        <v>182</v>
      </c>
      <c r="H638" s="13" t="s">
        <v>183</v>
      </c>
      <c r="I638" s="14" t="s">
        <v>49</v>
      </c>
      <c r="J638" s="14">
        <v>901253015</v>
      </c>
      <c r="K638" s="14" t="s">
        <v>185</v>
      </c>
      <c r="L638" s="14" t="s">
        <v>103</v>
      </c>
      <c r="M638" s="14" t="s">
        <v>121</v>
      </c>
      <c r="N638" s="14">
        <v>2022</v>
      </c>
      <c r="O638" s="14">
        <v>1</v>
      </c>
      <c r="P638" s="14" t="s">
        <v>105</v>
      </c>
      <c r="Q638" s="14">
        <v>1</v>
      </c>
      <c r="R638" s="14">
        <v>0</v>
      </c>
      <c r="S638" s="17" t="s">
        <v>54</v>
      </c>
      <c r="T638" s="18">
        <v>0</v>
      </c>
      <c r="U638" s="37">
        <v>30</v>
      </c>
      <c r="V638" s="19">
        <v>1</v>
      </c>
      <c r="W638" s="14">
        <v>0</v>
      </c>
      <c r="X638" s="14">
        <v>29</v>
      </c>
      <c r="Y638" s="14">
        <v>29</v>
      </c>
      <c r="Z638" s="14">
        <v>0</v>
      </c>
      <c r="AA638" s="14">
        <f>Tabla13[[#This Row],[CheckList App]]+Tabla13[[#This Row],[CheckList Fisc]]</f>
        <v>29</v>
      </c>
      <c r="AB638" s="19">
        <f t="shared" si="9"/>
        <v>1</v>
      </c>
      <c r="AC638" s="14">
        <v>0</v>
      </c>
      <c r="AD638" s="14" t="s">
        <v>54</v>
      </c>
      <c r="AE638" s="15" t="str">
        <f>IFERROR((VLOOKUP(Tabla13[[#This Row],[ID]],[1]!Mtto_Pesv[[#Headers],[#Data],[Placa]:[Rutina]],2,FALSE)),"-")</f>
        <v>-</v>
      </c>
      <c r="AF638" s="14">
        <v>0</v>
      </c>
      <c r="AG638" s="20">
        <f>IFERROR((VLOOKUP(Tabla13[[#This Row],[ID]],[1]!Mtto_Pesv[[#Headers],[#Data],[Placa]:[Rutina]],3,FALSE)),0)</f>
        <v>0</v>
      </c>
      <c r="AH638" s="20">
        <f>IFERROR((VLOOKUP(Tabla13[[#This Row],[ID]],[1]!Mtto_Pesv[[#Headers],[#Data],[Placa]:[Rutina]],7,FALSE)),0)</f>
        <v>0</v>
      </c>
      <c r="AI638" s="20">
        <f>IFERROR((VLOOKUP(Tabla13[[#This Row],[ID]],[1]!Mtto_Pesv[[#Headers],[#Data],[Placa]:[Rutina]],8,FALSE)),0)</f>
        <v>0</v>
      </c>
      <c r="AJ638" s="20" t="str">
        <f>IFERROR((VLOOKUP(Tabla13[[#This Row],[ID]],[1]!Mtto_Pesv[[#Headers],[#Data],[Placa]:[Rutina]],9,FALSE)),"-")</f>
        <v>-</v>
      </c>
      <c r="AK638" s="20">
        <f>IFERROR((VLOOKUP(Tabla13[[#This Row],[ID]],[1]!Mtto_Pesv[[#Headers],[#Data],[Placa]:[Rutina]],10,FALSE)),0)</f>
        <v>0</v>
      </c>
      <c r="AL638" s="20">
        <f>IF(Tabla13[[#This Row],[Km Anterior]]=0,0,Tabla13[[#This Row],[Km Ejecut]]-Tabla13[[#This Row],[Km Anterior]])</f>
        <v>0</v>
      </c>
      <c r="AM638" s="20">
        <f>IFERROR((VLOOKUP(Tabla13[[#This Row],[ID]],[1]!Mtto_Pesv[[#Headers],[#Data],[Placa]:[Rutina]],4,FALSE)),0)</f>
        <v>0</v>
      </c>
      <c r="AN638" s="21">
        <f>IFERROR((VLOOKUP(Tabla13[[#This Row],[ID]],[1]!Mtto_Pesv[[#Headers],[#Data],[Placa]:[Rutina]],5,FALSE)),0)</f>
        <v>0</v>
      </c>
      <c r="AO638" s="21">
        <f>+Tabla13[[#This Row],[Km Fin]]-Tabla13[[#This Row],[Km Ini]]</f>
        <v>0</v>
      </c>
      <c r="AP638" s="20">
        <f>IFERROR((VLOOKUP(Tabla13[[#This Row],[ID]],[1]!Estilo_Conduccion[[#All],[Placa]:[Puntuacion]],15,FALSE)),0)</f>
        <v>1977.1</v>
      </c>
      <c r="AQ638" s="15" t="s">
        <v>54</v>
      </c>
      <c r="AR638" s="15" t="s">
        <v>846</v>
      </c>
      <c r="AS638" s="20">
        <v>2350</v>
      </c>
      <c r="AT638" s="21">
        <v>0</v>
      </c>
      <c r="AU638" s="21">
        <f>(Tabla13[[#This Row],[Cap Vh]]*$AX$2)*0.56</f>
        <v>0</v>
      </c>
      <c r="AV638" s="36" t="e">
        <f>(Tabla13[[#This Row],[Cap Util (kg)]]/(Tabla13[[#This Row],[Cap Inst (Kg)]]))</f>
        <v>#DIV/0!</v>
      </c>
    </row>
    <row r="639" spans="1:48" x14ac:dyDescent="0.25">
      <c r="A639" s="13" t="s">
        <v>1068</v>
      </c>
      <c r="B639" s="14" t="s">
        <v>866</v>
      </c>
      <c r="C639" s="14" t="s">
        <v>749</v>
      </c>
      <c r="D639" s="14" t="s">
        <v>749</v>
      </c>
      <c r="E639" s="14" t="s">
        <v>842</v>
      </c>
      <c r="F639" s="14" t="s">
        <v>64</v>
      </c>
      <c r="G639" s="15" t="s">
        <v>182</v>
      </c>
      <c r="H639" s="13" t="s">
        <v>183</v>
      </c>
      <c r="I639" s="14" t="s">
        <v>49</v>
      </c>
      <c r="J639" s="14">
        <v>901253015</v>
      </c>
      <c r="K639" s="14" t="s">
        <v>185</v>
      </c>
      <c r="L639" s="14" t="s">
        <v>103</v>
      </c>
      <c r="M639" s="14" t="s">
        <v>121</v>
      </c>
      <c r="N639" s="14">
        <v>2022</v>
      </c>
      <c r="O639" s="14">
        <v>1</v>
      </c>
      <c r="P639" s="14" t="s">
        <v>105</v>
      </c>
      <c r="Q639" s="14">
        <v>1</v>
      </c>
      <c r="R639" s="14">
        <v>1</v>
      </c>
      <c r="S639" s="17">
        <v>44830.43109953704</v>
      </c>
      <c r="T639" s="18">
        <v>25.795999999999999</v>
      </c>
      <c r="U639" s="37">
        <v>30</v>
      </c>
      <c r="V639" s="19">
        <v>1</v>
      </c>
      <c r="W639" s="14">
        <v>0</v>
      </c>
      <c r="X639" s="14">
        <v>6</v>
      </c>
      <c r="Y639" s="14">
        <v>6</v>
      </c>
      <c r="Z639" s="14">
        <v>0</v>
      </c>
      <c r="AA639" s="14">
        <f>Tabla13[[#This Row],[CheckList App]]+Tabla13[[#This Row],[CheckList Fisc]]</f>
        <v>6</v>
      </c>
      <c r="AB639" s="19">
        <f t="shared" si="9"/>
        <v>1</v>
      </c>
      <c r="AC639" s="14">
        <v>0</v>
      </c>
      <c r="AD639" s="14" t="s">
        <v>54</v>
      </c>
      <c r="AE639" s="15" t="str">
        <f>IFERROR((VLOOKUP(Tabla13[[#This Row],[ID]],[1]!Mtto_Pesv[[#Headers],[#Data],[Placa]:[Rutina]],2,FALSE)),"-")</f>
        <v>-</v>
      </c>
      <c r="AF639" s="14">
        <v>0</v>
      </c>
      <c r="AG639" s="20">
        <f>IFERROR((VLOOKUP(Tabla13[[#This Row],[ID]],[1]!Mtto_Pesv[[#Headers],[#Data],[Placa]:[Rutina]],3,FALSE)),0)</f>
        <v>0</v>
      </c>
      <c r="AH639" s="20">
        <f>IFERROR((VLOOKUP(Tabla13[[#This Row],[ID]],[1]!Mtto_Pesv[[#Headers],[#Data],[Placa]:[Rutina]],7,FALSE)),0)</f>
        <v>0</v>
      </c>
      <c r="AI639" s="20">
        <f>IFERROR((VLOOKUP(Tabla13[[#This Row],[ID]],[1]!Mtto_Pesv[[#Headers],[#Data],[Placa]:[Rutina]],8,FALSE)),0)</f>
        <v>0</v>
      </c>
      <c r="AJ639" s="20" t="str">
        <f>IFERROR((VLOOKUP(Tabla13[[#This Row],[ID]],[1]!Mtto_Pesv[[#Headers],[#Data],[Placa]:[Rutina]],9,FALSE)),"-")</f>
        <v>-</v>
      </c>
      <c r="AK639" s="20">
        <f>IFERROR((VLOOKUP(Tabla13[[#This Row],[ID]],[1]!Mtto_Pesv[[#Headers],[#Data],[Placa]:[Rutina]],10,FALSE)),0)</f>
        <v>0</v>
      </c>
      <c r="AL639" s="20">
        <f>IF(Tabla13[[#This Row],[Km Anterior]]=0,0,Tabla13[[#This Row],[Km Ejecut]]-Tabla13[[#This Row],[Km Anterior]])</f>
        <v>0</v>
      </c>
      <c r="AM639" s="20">
        <f>IFERROR((VLOOKUP(Tabla13[[#This Row],[ID]],[1]!Mtto_Pesv[[#Headers],[#Data],[Placa]:[Rutina]],4,FALSE)),0)</f>
        <v>0</v>
      </c>
      <c r="AN639" s="21">
        <f>IFERROR((VLOOKUP(Tabla13[[#This Row],[ID]],[1]!Mtto_Pesv[[#Headers],[#Data],[Placa]:[Rutina]],5,FALSE)),0)</f>
        <v>0</v>
      </c>
      <c r="AO639" s="21">
        <f>+Tabla13[[#This Row],[Km Fin]]-Tabla13[[#This Row],[Km Ini]]</f>
        <v>0</v>
      </c>
      <c r="AP639" s="20">
        <f>IFERROR((VLOOKUP(Tabla13[[#This Row],[ID]],[1]!Estilo_Conduccion[[#All],[Placa]:[Puntuacion]],15,FALSE)),0)</f>
        <v>7221.5</v>
      </c>
      <c r="AQ639" s="15" t="s">
        <v>54</v>
      </c>
      <c r="AR639" s="15" t="s">
        <v>1475</v>
      </c>
      <c r="AS639" s="20">
        <v>2350</v>
      </c>
      <c r="AT639" s="21">
        <v>0</v>
      </c>
      <c r="AU639" s="21">
        <f>(Tabla13[[#This Row],[Cap Vh]]*$AX$2)*0.56</f>
        <v>0</v>
      </c>
      <c r="AV639" s="36" t="e">
        <f>(Tabla13[[#This Row],[Cap Util (kg)]]/(Tabla13[[#This Row],[Cap Inst (Kg)]]))</f>
        <v>#DIV/0!</v>
      </c>
    </row>
    <row r="640" spans="1:48" x14ac:dyDescent="0.25">
      <c r="A640" s="13" t="s">
        <v>1068</v>
      </c>
      <c r="B640" s="14" t="s">
        <v>867</v>
      </c>
      <c r="C640" s="14" t="s">
        <v>749</v>
      </c>
      <c r="D640" s="14" t="s">
        <v>749</v>
      </c>
      <c r="E640" s="14" t="s">
        <v>840</v>
      </c>
      <c r="F640" s="14" t="s">
        <v>64</v>
      </c>
      <c r="G640" s="15" t="s">
        <v>182</v>
      </c>
      <c r="H640" s="13" t="s">
        <v>183</v>
      </c>
      <c r="I640" s="14" t="s">
        <v>49</v>
      </c>
      <c r="J640" s="14">
        <v>901253015</v>
      </c>
      <c r="K640" s="14" t="s">
        <v>185</v>
      </c>
      <c r="L640" s="14" t="s">
        <v>103</v>
      </c>
      <c r="M640" s="14" t="s">
        <v>121</v>
      </c>
      <c r="N640" s="14">
        <v>2021</v>
      </c>
      <c r="O640" s="14">
        <v>1</v>
      </c>
      <c r="P640" s="14" t="s">
        <v>105</v>
      </c>
      <c r="Q640" s="14">
        <v>1</v>
      </c>
      <c r="R640" s="14">
        <v>1</v>
      </c>
      <c r="S640" s="17">
        <v>44832.650011574071</v>
      </c>
      <c r="T640" s="18">
        <v>105.57100000000001</v>
      </c>
      <c r="U640" s="37">
        <v>30</v>
      </c>
      <c r="V640" s="19">
        <v>1</v>
      </c>
      <c r="W640" s="14">
        <v>0</v>
      </c>
      <c r="X640" s="14">
        <v>26</v>
      </c>
      <c r="Y640" s="14">
        <v>26</v>
      </c>
      <c r="Z640" s="14">
        <v>0</v>
      </c>
      <c r="AA640" s="14">
        <f>Tabla13[[#This Row],[CheckList App]]+Tabla13[[#This Row],[CheckList Fisc]]</f>
        <v>26</v>
      </c>
      <c r="AB640" s="19">
        <f t="shared" si="9"/>
        <v>1</v>
      </c>
      <c r="AC640" s="14">
        <v>0</v>
      </c>
      <c r="AD640" s="14" t="s">
        <v>70</v>
      </c>
      <c r="AE640" s="15" t="str">
        <f>IFERROR((VLOOKUP(Tabla13[[#This Row],[ID]],[1]!Mtto_Pesv[[#Headers],[#Data],[Placa]:[Rutina]],2,FALSE)),"-")</f>
        <v>-</v>
      </c>
      <c r="AF640" s="14">
        <v>0</v>
      </c>
      <c r="AG640" s="20">
        <f>IFERROR((VLOOKUP(Tabla13[[#This Row],[ID]],[1]!Mtto_Pesv[[#Headers],[#Data],[Placa]:[Rutina]],3,FALSE)),0)</f>
        <v>0</v>
      </c>
      <c r="AH640" s="20">
        <f>IFERROR((VLOOKUP(Tabla13[[#This Row],[ID]],[1]!Mtto_Pesv[[#Headers],[#Data],[Placa]:[Rutina]],7,FALSE)),0)</f>
        <v>0</v>
      </c>
      <c r="AI640" s="20">
        <f>IFERROR((VLOOKUP(Tabla13[[#This Row],[ID]],[1]!Mtto_Pesv[[#Headers],[#Data],[Placa]:[Rutina]],8,FALSE)),0)</f>
        <v>0</v>
      </c>
      <c r="AJ640" s="20" t="str">
        <f>IFERROR((VLOOKUP(Tabla13[[#This Row],[ID]],[1]!Mtto_Pesv[[#Headers],[#Data],[Placa]:[Rutina]],9,FALSE)),"-")</f>
        <v>-</v>
      </c>
      <c r="AK640" s="20">
        <f>IFERROR((VLOOKUP(Tabla13[[#This Row],[ID]],[1]!Mtto_Pesv[[#Headers],[#Data],[Placa]:[Rutina]],10,FALSE)),0)</f>
        <v>0</v>
      </c>
      <c r="AL640" s="20">
        <f>IF(Tabla13[[#This Row],[Km Anterior]]=0,0,Tabla13[[#This Row],[Km Ejecut]]-Tabla13[[#This Row],[Km Anterior]])</f>
        <v>0</v>
      </c>
      <c r="AM640" s="20">
        <f>IFERROR((VLOOKUP(Tabla13[[#This Row],[ID]],[1]!Mtto_Pesv[[#Headers],[#Data],[Placa]:[Rutina]],4,FALSE)),0)</f>
        <v>0</v>
      </c>
      <c r="AN640" s="21">
        <f>IFERROR((VLOOKUP(Tabla13[[#This Row],[ID]],[1]!Mtto_Pesv[[#Headers],[#Data],[Placa]:[Rutina]],5,FALSE)),0)</f>
        <v>0</v>
      </c>
      <c r="AO640" s="21">
        <f>+Tabla13[[#This Row],[Km Fin]]-Tabla13[[#This Row],[Km Ini]]</f>
        <v>0</v>
      </c>
      <c r="AP640" s="20">
        <f>IFERROR((VLOOKUP(Tabla13[[#This Row],[ID]],[1]!Estilo_Conduccion[[#All],[Placa]:[Puntuacion]],15,FALSE)),0)</f>
        <v>334.20000000000005</v>
      </c>
      <c r="AQ640" s="15" t="s">
        <v>54</v>
      </c>
      <c r="AR640" s="15" t="s">
        <v>1476</v>
      </c>
      <c r="AS640" s="20">
        <v>2350</v>
      </c>
      <c r="AT640" s="21">
        <v>0</v>
      </c>
      <c r="AU640" s="21">
        <f>(Tabla13[[#This Row],[Cap Vh]]*$AX$2)*0.56</f>
        <v>0</v>
      </c>
      <c r="AV640" s="36" t="e">
        <f>(Tabla13[[#This Row],[Cap Util (kg)]]/(Tabla13[[#This Row],[Cap Inst (Kg)]]))</f>
        <v>#DIV/0!</v>
      </c>
    </row>
    <row r="641" spans="1:48" x14ac:dyDescent="0.25">
      <c r="A641" s="13" t="s">
        <v>1068</v>
      </c>
      <c r="B641" s="14" t="s">
        <v>868</v>
      </c>
      <c r="C641" s="14" t="s">
        <v>749</v>
      </c>
      <c r="D641" s="14" t="s">
        <v>749</v>
      </c>
      <c r="E641" s="14" t="s">
        <v>840</v>
      </c>
      <c r="F641" s="14" t="s">
        <v>64</v>
      </c>
      <c r="G641" s="15" t="s">
        <v>182</v>
      </c>
      <c r="H641" s="13" t="s">
        <v>183</v>
      </c>
      <c r="I641" s="14" t="s">
        <v>49</v>
      </c>
      <c r="J641" s="14">
        <v>901253015</v>
      </c>
      <c r="K641" s="14" t="s">
        <v>185</v>
      </c>
      <c r="L641" s="14" t="s">
        <v>103</v>
      </c>
      <c r="M641" s="14" t="s">
        <v>121</v>
      </c>
      <c r="N641" s="14">
        <v>2021</v>
      </c>
      <c r="O641" s="14">
        <v>1</v>
      </c>
      <c r="P641" s="14" t="s">
        <v>105</v>
      </c>
      <c r="Q641" s="14">
        <v>1</v>
      </c>
      <c r="R641" s="14">
        <v>1</v>
      </c>
      <c r="S641" s="17">
        <v>44834.311342592591</v>
      </c>
      <c r="T641" s="18">
        <v>122.664</v>
      </c>
      <c r="U641" s="37">
        <v>30</v>
      </c>
      <c r="V641" s="19">
        <v>1</v>
      </c>
      <c r="W641" s="14">
        <v>0</v>
      </c>
      <c r="X641" s="14">
        <v>27</v>
      </c>
      <c r="Y641" s="14">
        <v>27</v>
      </c>
      <c r="Z641" s="14">
        <v>0</v>
      </c>
      <c r="AA641" s="14">
        <f>Tabla13[[#This Row],[CheckList App]]+Tabla13[[#This Row],[CheckList Fisc]]</f>
        <v>27</v>
      </c>
      <c r="AB641" s="19">
        <f t="shared" si="9"/>
        <v>1</v>
      </c>
      <c r="AC641" s="14">
        <v>0</v>
      </c>
      <c r="AD641" s="14" t="s">
        <v>70</v>
      </c>
      <c r="AE641" s="15" t="str">
        <f>IFERROR((VLOOKUP(Tabla13[[#This Row],[ID]],[1]!Mtto_Pesv[[#Headers],[#Data],[Placa]:[Rutina]],2,FALSE)),"-")</f>
        <v>-</v>
      </c>
      <c r="AF641" s="14">
        <v>0</v>
      </c>
      <c r="AG641" s="20">
        <f>IFERROR((VLOOKUP(Tabla13[[#This Row],[ID]],[1]!Mtto_Pesv[[#Headers],[#Data],[Placa]:[Rutina]],3,FALSE)),0)</f>
        <v>0</v>
      </c>
      <c r="AH641" s="20">
        <f>IFERROR((VLOOKUP(Tabla13[[#This Row],[ID]],[1]!Mtto_Pesv[[#Headers],[#Data],[Placa]:[Rutina]],7,FALSE)),0)</f>
        <v>0</v>
      </c>
      <c r="AI641" s="20">
        <f>IFERROR((VLOOKUP(Tabla13[[#This Row],[ID]],[1]!Mtto_Pesv[[#Headers],[#Data],[Placa]:[Rutina]],8,FALSE)),0)</f>
        <v>0</v>
      </c>
      <c r="AJ641" s="20" t="str">
        <f>IFERROR((VLOOKUP(Tabla13[[#This Row],[ID]],[1]!Mtto_Pesv[[#Headers],[#Data],[Placa]:[Rutina]],9,FALSE)),"-")</f>
        <v>-</v>
      </c>
      <c r="AK641" s="20">
        <f>IFERROR((VLOOKUP(Tabla13[[#This Row],[ID]],[1]!Mtto_Pesv[[#Headers],[#Data],[Placa]:[Rutina]],10,FALSE)),0)</f>
        <v>0</v>
      </c>
      <c r="AL641" s="20">
        <f>IF(Tabla13[[#This Row],[Km Anterior]]=0,0,Tabla13[[#This Row],[Km Ejecut]]-Tabla13[[#This Row],[Km Anterior]])</f>
        <v>0</v>
      </c>
      <c r="AM641" s="20">
        <f>IFERROR((VLOOKUP(Tabla13[[#This Row],[ID]],[1]!Mtto_Pesv[[#Headers],[#Data],[Placa]:[Rutina]],4,FALSE)),0)</f>
        <v>0</v>
      </c>
      <c r="AN641" s="21">
        <f>IFERROR((VLOOKUP(Tabla13[[#This Row],[ID]],[1]!Mtto_Pesv[[#Headers],[#Data],[Placa]:[Rutina]],5,FALSE)),0)</f>
        <v>0</v>
      </c>
      <c r="AO641" s="21">
        <f>+Tabla13[[#This Row],[Km Fin]]-Tabla13[[#This Row],[Km Ini]]</f>
        <v>0</v>
      </c>
      <c r="AP641" s="20">
        <f>IFERROR((VLOOKUP(Tabla13[[#This Row],[ID]],[1]!Estilo_Conduccion[[#All],[Placa]:[Puntuacion]],15,FALSE)),0)</f>
        <v>45.4</v>
      </c>
      <c r="AQ641" s="15" t="s">
        <v>54</v>
      </c>
      <c r="AR641" s="15" t="s">
        <v>1477</v>
      </c>
      <c r="AS641" s="20">
        <v>2350</v>
      </c>
      <c r="AT641" s="21">
        <v>0</v>
      </c>
      <c r="AU641" s="21">
        <f>(Tabla13[[#This Row],[Cap Vh]]*$AX$2)*0.56</f>
        <v>0</v>
      </c>
      <c r="AV641" s="36" t="e">
        <f>(Tabla13[[#This Row],[Cap Util (kg)]]/(Tabla13[[#This Row],[Cap Inst (Kg)]]))</f>
        <v>#DIV/0!</v>
      </c>
    </row>
    <row r="642" spans="1:48" x14ac:dyDescent="0.25">
      <c r="A642" s="13" t="s">
        <v>1068</v>
      </c>
      <c r="B642" s="14" t="s">
        <v>869</v>
      </c>
      <c r="C642" s="14" t="s">
        <v>749</v>
      </c>
      <c r="D642" s="14" t="s">
        <v>749</v>
      </c>
      <c r="E642" s="14" t="s">
        <v>842</v>
      </c>
      <c r="F642" s="14" t="s">
        <v>64</v>
      </c>
      <c r="G642" s="15" t="s">
        <v>182</v>
      </c>
      <c r="H642" s="13" t="s">
        <v>183</v>
      </c>
      <c r="I642" s="14" t="s">
        <v>184</v>
      </c>
      <c r="J642" s="14">
        <v>901253015</v>
      </c>
      <c r="K642" s="14" t="s">
        <v>185</v>
      </c>
      <c r="L642" s="14" t="s">
        <v>103</v>
      </c>
      <c r="M642" s="14" t="s">
        <v>104</v>
      </c>
      <c r="N642" s="14">
        <v>2021</v>
      </c>
      <c r="O642" s="14">
        <v>1</v>
      </c>
      <c r="P642" s="14" t="s">
        <v>105</v>
      </c>
      <c r="Q642" s="14">
        <v>1</v>
      </c>
      <c r="R642" s="14">
        <v>1</v>
      </c>
      <c r="S642" s="17">
        <v>44831.372835648152</v>
      </c>
      <c r="T642" s="18">
        <v>56.719000000000001</v>
      </c>
      <c r="U642" s="37">
        <v>30</v>
      </c>
      <c r="V642" s="19">
        <v>1</v>
      </c>
      <c r="W642" s="14">
        <v>0</v>
      </c>
      <c r="X642" s="14">
        <v>23</v>
      </c>
      <c r="Y642" s="14">
        <v>23</v>
      </c>
      <c r="Z642" s="14">
        <v>0</v>
      </c>
      <c r="AA642" s="14">
        <f>Tabla13[[#This Row],[CheckList App]]+Tabla13[[#This Row],[CheckList Fisc]]</f>
        <v>23</v>
      </c>
      <c r="AB642" s="19">
        <f t="shared" ref="AB642:AB705" si="10">IF(U642=0,"",(IFERROR((AA642/X642),0)))</f>
        <v>1</v>
      </c>
      <c r="AC642" s="14">
        <v>0</v>
      </c>
      <c r="AD642" s="14" t="s">
        <v>70</v>
      </c>
      <c r="AE642" s="15" t="str">
        <f>IFERROR((VLOOKUP(Tabla13[[#This Row],[ID]],[1]!Mtto_Pesv[[#Headers],[#Data],[Placa]:[Rutina]],2,FALSE)),"-")</f>
        <v>-</v>
      </c>
      <c r="AF642" s="14">
        <v>0</v>
      </c>
      <c r="AG642" s="20">
        <f>IFERROR((VLOOKUP(Tabla13[[#This Row],[ID]],[1]!Mtto_Pesv[[#Headers],[#Data],[Placa]:[Rutina]],3,FALSE)),0)</f>
        <v>0</v>
      </c>
      <c r="AH642" s="20">
        <f>IFERROR((VLOOKUP(Tabla13[[#This Row],[ID]],[1]!Mtto_Pesv[[#Headers],[#Data],[Placa]:[Rutina]],7,FALSE)),0)</f>
        <v>0</v>
      </c>
      <c r="AI642" s="20">
        <f>IFERROR((VLOOKUP(Tabla13[[#This Row],[ID]],[1]!Mtto_Pesv[[#Headers],[#Data],[Placa]:[Rutina]],8,FALSE)),0)</f>
        <v>0</v>
      </c>
      <c r="AJ642" s="20" t="str">
        <f>IFERROR((VLOOKUP(Tabla13[[#This Row],[ID]],[1]!Mtto_Pesv[[#Headers],[#Data],[Placa]:[Rutina]],9,FALSE)),"-")</f>
        <v>-</v>
      </c>
      <c r="AK642" s="20">
        <f>IFERROR((VLOOKUP(Tabla13[[#This Row],[ID]],[1]!Mtto_Pesv[[#Headers],[#Data],[Placa]:[Rutina]],10,FALSE)),0)</f>
        <v>0</v>
      </c>
      <c r="AL642" s="20">
        <f>IF(Tabla13[[#This Row],[Km Anterior]]=0,0,Tabla13[[#This Row],[Km Ejecut]]-Tabla13[[#This Row],[Km Anterior]])</f>
        <v>0</v>
      </c>
      <c r="AM642" s="20">
        <f>IFERROR((VLOOKUP(Tabla13[[#This Row],[ID]],[1]!Mtto_Pesv[[#Headers],[#Data],[Placa]:[Rutina]],4,FALSE)),0)</f>
        <v>0</v>
      </c>
      <c r="AN642" s="21">
        <f>IFERROR((VLOOKUP(Tabla13[[#This Row],[ID]],[1]!Mtto_Pesv[[#Headers],[#Data],[Placa]:[Rutina]],5,FALSE)),0)</f>
        <v>0</v>
      </c>
      <c r="AO642" s="21">
        <f>+Tabla13[[#This Row],[Km Fin]]-Tabla13[[#This Row],[Km Ini]]</f>
        <v>0</v>
      </c>
      <c r="AP642" s="20">
        <f>IFERROR((VLOOKUP(Tabla13[[#This Row],[ID]],[1]!Estilo_Conduccion[[#All],[Placa]:[Puntuacion]],15,FALSE)),0)</f>
        <v>16.399999999999999</v>
      </c>
      <c r="AQ642" s="15" t="s">
        <v>54</v>
      </c>
      <c r="AR642" s="15" t="s">
        <v>1478</v>
      </c>
      <c r="AS642" s="20">
        <v>1650</v>
      </c>
      <c r="AT642" s="21">
        <v>0</v>
      </c>
      <c r="AU642" s="21">
        <f>(Tabla13[[#This Row],[Cap Vh]]*$AX$2)*0.56</f>
        <v>0</v>
      </c>
      <c r="AV642" s="36" t="e">
        <f>(Tabla13[[#This Row],[Cap Util (kg)]]/(Tabla13[[#This Row],[Cap Inst (Kg)]]))</f>
        <v>#DIV/0!</v>
      </c>
    </row>
    <row r="643" spans="1:48" x14ac:dyDescent="0.25">
      <c r="A643" s="13" t="s">
        <v>1068</v>
      </c>
      <c r="B643" s="14" t="s">
        <v>870</v>
      </c>
      <c r="C643" s="14" t="s">
        <v>749</v>
      </c>
      <c r="D643" s="14" t="s">
        <v>749</v>
      </c>
      <c r="E643" s="14" t="s">
        <v>840</v>
      </c>
      <c r="F643" s="14" t="s">
        <v>64</v>
      </c>
      <c r="G643" s="15" t="s">
        <v>182</v>
      </c>
      <c r="H643" s="13" t="s">
        <v>183</v>
      </c>
      <c r="I643" s="14" t="s">
        <v>184</v>
      </c>
      <c r="J643" s="14">
        <v>901253015</v>
      </c>
      <c r="K643" s="14" t="s">
        <v>185</v>
      </c>
      <c r="L643" s="14" t="s">
        <v>103</v>
      </c>
      <c r="M643" s="14" t="s">
        <v>104</v>
      </c>
      <c r="N643" s="14">
        <v>2021</v>
      </c>
      <c r="O643" s="14">
        <v>1</v>
      </c>
      <c r="P643" s="14" t="s">
        <v>105</v>
      </c>
      <c r="Q643" s="14">
        <v>1</v>
      </c>
      <c r="R643" s="14">
        <v>1</v>
      </c>
      <c r="S643" s="17">
        <v>44834.393842592603</v>
      </c>
      <c r="T643" s="18">
        <v>98.617999999999981</v>
      </c>
      <c r="U643" s="37">
        <v>30</v>
      </c>
      <c r="V643" s="19">
        <v>1</v>
      </c>
      <c r="W643" s="14">
        <v>0</v>
      </c>
      <c r="X643" s="14">
        <v>27</v>
      </c>
      <c r="Y643" s="14">
        <v>27</v>
      </c>
      <c r="Z643" s="14">
        <v>0</v>
      </c>
      <c r="AA643" s="14">
        <f>Tabla13[[#This Row],[CheckList App]]+Tabla13[[#This Row],[CheckList Fisc]]</f>
        <v>27</v>
      </c>
      <c r="AB643" s="19">
        <f t="shared" si="10"/>
        <v>1</v>
      </c>
      <c r="AC643" s="14">
        <v>0</v>
      </c>
      <c r="AD643" s="14" t="s">
        <v>70</v>
      </c>
      <c r="AE643" s="15" t="str">
        <f>IFERROR((VLOOKUP(Tabla13[[#This Row],[ID]],[1]!Mtto_Pesv[[#Headers],[#Data],[Placa]:[Rutina]],2,FALSE)),"-")</f>
        <v>-</v>
      </c>
      <c r="AF643" s="14">
        <v>0</v>
      </c>
      <c r="AG643" s="20">
        <f>IFERROR((VLOOKUP(Tabla13[[#This Row],[ID]],[1]!Mtto_Pesv[[#Headers],[#Data],[Placa]:[Rutina]],3,FALSE)),0)</f>
        <v>0</v>
      </c>
      <c r="AH643" s="20">
        <f>IFERROR((VLOOKUP(Tabla13[[#This Row],[ID]],[1]!Mtto_Pesv[[#Headers],[#Data],[Placa]:[Rutina]],7,FALSE)),0)</f>
        <v>0</v>
      </c>
      <c r="AI643" s="20">
        <f>IFERROR((VLOOKUP(Tabla13[[#This Row],[ID]],[1]!Mtto_Pesv[[#Headers],[#Data],[Placa]:[Rutina]],8,FALSE)),0)</f>
        <v>0</v>
      </c>
      <c r="AJ643" s="20" t="str">
        <f>IFERROR((VLOOKUP(Tabla13[[#This Row],[ID]],[1]!Mtto_Pesv[[#Headers],[#Data],[Placa]:[Rutina]],9,FALSE)),"-")</f>
        <v>-</v>
      </c>
      <c r="AK643" s="20">
        <f>IFERROR((VLOOKUP(Tabla13[[#This Row],[ID]],[1]!Mtto_Pesv[[#Headers],[#Data],[Placa]:[Rutina]],10,FALSE)),0)</f>
        <v>0</v>
      </c>
      <c r="AL643" s="20">
        <f>IF(Tabla13[[#This Row],[Km Anterior]]=0,0,Tabla13[[#This Row],[Km Ejecut]]-Tabla13[[#This Row],[Km Anterior]])</f>
        <v>0</v>
      </c>
      <c r="AM643" s="20">
        <f>IFERROR((VLOOKUP(Tabla13[[#This Row],[ID]],[1]!Mtto_Pesv[[#Headers],[#Data],[Placa]:[Rutina]],4,FALSE)),0)</f>
        <v>0</v>
      </c>
      <c r="AN643" s="21">
        <f>IFERROR((VLOOKUP(Tabla13[[#This Row],[ID]],[1]!Mtto_Pesv[[#Headers],[#Data],[Placa]:[Rutina]],5,FALSE)),0)</f>
        <v>0</v>
      </c>
      <c r="AO643" s="21">
        <f>+Tabla13[[#This Row],[Km Fin]]-Tabla13[[#This Row],[Km Ini]]</f>
        <v>0</v>
      </c>
      <c r="AP643" s="20">
        <f>IFERROR((VLOOKUP(Tabla13[[#This Row],[ID]],[1]!Estilo_Conduccion[[#All],[Placa]:[Puntuacion]],15,FALSE)),0)</f>
        <v>12.4</v>
      </c>
      <c r="AQ643" s="15" t="s">
        <v>54</v>
      </c>
      <c r="AR643" s="15" t="s">
        <v>1479</v>
      </c>
      <c r="AS643" s="20">
        <v>1650</v>
      </c>
      <c r="AT643" s="21">
        <v>0</v>
      </c>
      <c r="AU643" s="21">
        <f>(Tabla13[[#This Row],[Cap Vh]]*$AX$2)*0.56</f>
        <v>0</v>
      </c>
      <c r="AV643" s="36" t="e">
        <f>(Tabla13[[#This Row],[Cap Util (kg)]]/(Tabla13[[#This Row],[Cap Inst (Kg)]]))</f>
        <v>#DIV/0!</v>
      </c>
    </row>
    <row r="644" spans="1:48" x14ac:dyDescent="0.25">
      <c r="A644" s="13" t="s">
        <v>1068</v>
      </c>
      <c r="B644" s="14" t="s">
        <v>871</v>
      </c>
      <c r="C644" s="14" t="s">
        <v>749</v>
      </c>
      <c r="D644" s="14" t="s">
        <v>749</v>
      </c>
      <c r="E644" s="14" t="s">
        <v>872</v>
      </c>
      <c r="F644" s="14" t="s">
        <v>64</v>
      </c>
      <c r="G644" s="15" t="s">
        <v>182</v>
      </c>
      <c r="H644" s="13" t="s">
        <v>183</v>
      </c>
      <c r="I644" s="14" t="s">
        <v>49</v>
      </c>
      <c r="J644" s="14">
        <v>901253015</v>
      </c>
      <c r="K644" s="14" t="s">
        <v>185</v>
      </c>
      <c r="L644" s="14" t="s">
        <v>103</v>
      </c>
      <c r="M644" s="14" t="s">
        <v>121</v>
      </c>
      <c r="N644" s="14">
        <v>2021</v>
      </c>
      <c r="O644" s="14">
        <v>1</v>
      </c>
      <c r="P644" s="14" t="s">
        <v>105</v>
      </c>
      <c r="Q644" s="14">
        <v>1</v>
      </c>
      <c r="R644" s="14">
        <v>1</v>
      </c>
      <c r="S644" s="17">
        <v>44832.359131944453</v>
      </c>
      <c r="T644" s="18">
        <v>56.269999999999996</v>
      </c>
      <c r="U644" s="37">
        <v>30</v>
      </c>
      <c r="V644" s="19">
        <v>1</v>
      </c>
      <c r="W644" s="14">
        <v>0</v>
      </c>
      <c r="X644" s="14">
        <v>25</v>
      </c>
      <c r="Y644" s="14">
        <v>25</v>
      </c>
      <c r="Z644" s="14">
        <v>0</v>
      </c>
      <c r="AA644" s="14">
        <f>Tabla13[[#This Row],[CheckList App]]+Tabla13[[#This Row],[CheckList Fisc]]</f>
        <v>25</v>
      </c>
      <c r="AB644" s="19">
        <f t="shared" si="10"/>
        <v>1</v>
      </c>
      <c r="AC644" s="14">
        <v>0</v>
      </c>
      <c r="AD644" s="14" t="s">
        <v>70</v>
      </c>
      <c r="AE644" s="15" t="str">
        <f>IFERROR((VLOOKUP(Tabla13[[#This Row],[ID]],[1]!Mtto_Pesv[[#Headers],[#Data],[Placa]:[Rutina]],2,FALSE)),"-")</f>
        <v>-</v>
      </c>
      <c r="AF644" s="14">
        <v>0</v>
      </c>
      <c r="AG644" s="20">
        <f>IFERROR((VLOOKUP(Tabla13[[#This Row],[ID]],[1]!Mtto_Pesv[[#Headers],[#Data],[Placa]:[Rutina]],3,FALSE)),0)</f>
        <v>0</v>
      </c>
      <c r="AH644" s="20">
        <f>IFERROR((VLOOKUP(Tabla13[[#This Row],[ID]],[1]!Mtto_Pesv[[#Headers],[#Data],[Placa]:[Rutina]],7,FALSE)),0)</f>
        <v>0</v>
      </c>
      <c r="AI644" s="20">
        <f>IFERROR((VLOOKUP(Tabla13[[#This Row],[ID]],[1]!Mtto_Pesv[[#Headers],[#Data],[Placa]:[Rutina]],8,FALSE)),0)</f>
        <v>0</v>
      </c>
      <c r="AJ644" s="20" t="str">
        <f>IFERROR((VLOOKUP(Tabla13[[#This Row],[ID]],[1]!Mtto_Pesv[[#Headers],[#Data],[Placa]:[Rutina]],9,FALSE)),"-")</f>
        <v>-</v>
      </c>
      <c r="AK644" s="20">
        <f>IFERROR((VLOOKUP(Tabla13[[#This Row],[ID]],[1]!Mtto_Pesv[[#Headers],[#Data],[Placa]:[Rutina]],10,FALSE)),0)</f>
        <v>0</v>
      </c>
      <c r="AL644" s="20">
        <f>IF(Tabla13[[#This Row],[Km Anterior]]=0,0,Tabla13[[#This Row],[Km Ejecut]]-Tabla13[[#This Row],[Km Anterior]])</f>
        <v>0</v>
      </c>
      <c r="AM644" s="20">
        <f>IFERROR((VLOOKUP(Tabla13[[#This Row],[ID]],[1]!Mtto_Pesv[[#Headers],[#Data],[Placa]:[Rutina]],4,FALSE)),0)</f>
        <v>0</v>
      </c>
      <c r="AN644" s="21">
        <f>IFERROR((VLOOKUP(Tabla13[[#This Row],[ID]],[1]!Mtto_Pesv[[#Headers],[#Data],[Placa]:[Rutina]],5,FALSE)),0)</f>
        <v>0</v>
      </c>
      <c r="AO644" s="21">
        <f>+Tabla13[[#This Row],[Km Fin]]-Tabla13[[#This Row],[Km Ini]]</f>
        <v>0</v>
      </c>
      <c r="AP644" s="20">
        <f>IFERROR((VLOOKUP(Tabla13[[#This Row],[ID]],[1]!Estilo_Conduccion[[#All],[Placa]:[Puntuacion]],15,FALSE)),0)</f>
        <v>193.6</v>
      </c>
      <c r="AQ644" s="15" t="s">
        <v>54</v>
      </c>
      <c r="AR644" s="15" t="s">
        <v>1480</v>
      </c>
      <c r="AS644" s="20">
        <v>2350</v>
      </c>
      <c r="AT644" s="21">
        <v>0</v>
      </c>
      <c r="AU644" s="21">
        <f>(Tabla13[[#This Row],[Cap Vh]]*$AX$2)*0.56</f>
        <v>0</v>
      </c>
      <c r="AV644" s="36" t="e">
        <f>(Tabla13[[#This Row],[Cap Util (kg)]]/(Tabla13[[#This Row],[Cap Inst (Kg)]]))</f>
        <v>#DIV/0!</v>
      </c>
    </row>
    <row r="645" spans="1:48" x14ac:dyDescent="0.25">
      <c r="A645" s="13" t="s">
        <v>1068</v>
      </c>
      <c r="B645" s="14" t="s">
        <v>873</v>
      </c>
      <c r="C645" s="14" t="s">
        <v>749</v>
      </c>
      <c r="D645" s="14" t="s">
        <v>749</v>
      </c>
      <c r="E645" s="14" t="s">
        <v>840</v>
      </c>
      <c r="F645" s="14" t="s">
        <v>64</v>
      </c>
      <c r="G645" s="15" t="s">
        <v>182</v>
      </c>
      <c r="H645" s="13" t="s">
        <v>183</v>
      </c>
      <c r="I645" s="14" t="s">
        <v>49</v>
      </c>
      <c r="J645" s="14">
        <v>901253015</v>
      </c>
      <c r="K645" s="14" t="s">
        <v>185</v>
      </c>
      <c r="L645" s="14" t="s">
        <v>103</v>
      </c>
      <c r="M645" s="14" t="s">
        <v>104</v>
      </c>
      <c r="N645" s="14">
        <v>2022</v>
      </c>
      <c r="O645" s="14">
        <v>1</v>
      </c>
      <c r="P645" s="14" t="s">
        <v>105</v>
      </c>
      <c r="Q645" s="14">
        <v>1</v>
      </c>
      <c r="R645" s="14">
        <v>1</v>
      </c>
      <c r="S645" s="17">
        <v>44825.681504629632</v>
      </c>
      <c r="T645" s="18">
        <v>10.297000000000001</v>
      </c>
      <c r="U645" s="37">
        <v>30</v>
      </c>
      <c r="V645" s="19">
        <v>1</v>
      </c>
      <c r="W645" s="14">
        <v>0</v>
      </c>
      <c r="X645" s="14">
        <v>5</v>
      </c>
      <c r="Y645" s="14">
        <v>5</v>
      </c>
      <c r="Z645" s="14">
        <v>0</v>
      </c>
      <c r="AA645" s="14">
        <f>Tabla13[[#This Row],[CheckList App]]+Tabla13[[#This Row],[CheckList Fisc]]</f>
        <v>5</v>
      </c>
      <c r="AB645" s="19">
        <f t="shared" si="10"/>
        <v>1</v>
      </c>
      <c r="AC645" s="14">
        <v>0</v>
      </c>
      <c r="AD645" s="14" t="s">
        <v>54</v>
      </c>
      <c r="AE645" s="15" t="str">
        <f>IFERROR((VLOOKUP(Tabla13[[#This Row],[ID]],[1]!Mtto_Pesv[[#Headers],[#Data],[Placa]:[Rutina]],2,FALSE)),"-")</f>
        <v>-</v>
      </c>
      <c r="AF645" s="14">
        <v>0</v>
      </c>
      <c r="AG645" s="20">
        <f>IFERROR((VLOOKUP(Tabla13[[#This Row],[ID]],[1]!Mtto_Pesv[[#Headers],[#Data],[Placa]:[Rutina]],3,FALSE)),0)</f>
        <v>0</v>
      </c>
      <c r="AH645" s="20">
        <f>IFERROR((VLOOKUP(Tabla13[[#This Row],[ID]],[1]!Mtto_Pesv[[#Headers],[#Data],[Placa]:[Rutina]],7,FALSE)),0)</f>
        <v>0</v>
      </c>
      <c r="AI645" s="20">
        <f>IFERROR((VLOOKUP(Tabla13[[#This Row],[ID]],[1]!Mtto_Pesv[[#Headers],[#Data],[Placa]:[Rutina]],8,FALSE)),0)</f>
        <v>0</v>
      </c>
      <c r="AJ645" s="20" t="str">
        <f>IFERROR((VLOOKUP(Tabla13[[#This Row],[ID]],[1]!Mtto_Pesv[[#Headers],[#Data],[Placa]:[Rutina]],9,FALSE)),"-")</f>
        <v>-</v>
      </c>
      <c r="AK645" s="20">
        <f>IFERROR((VLOOKUP(Tabla13[[#This Row],[ID]],[1]!Mtto_Pesv[[#Headers],[#Data],[Placa]:[Rutina]],10,FALSE)),0)</f>
        <v>0</v>
      </c>
      <c r="AL645" s="20">
        <f>IF(Tabla13[[#This Row],[Km Anterior]]=0,0,Tabla13[[#This Row],[Km Ejecut]]-Tabla13[[#This Row],[Km Anterior]])</f>
        <v>0</v>
      </c>
      <c r="AM645" s="20">
        <f>IFERROR((VLOOKUP(Tabla13[[#This Row],[ID]],[1]!Mtto_Pesv[[#Headers],[#Data],[Placa]:[Rutina]],4,FALSE)),0)</f>
        <v>0</v>
      </c>
      <c r="AN645" s="21">
        <f>IFERROR((VLOOKUP(Tabla13[[#This Row],[ID]],[1]!Mtto_Pesv[[#Headers],[#Data],[Placa]:[Rutina]],5,FALSE)),0)</f>
        <v>0</v>
      </c>
      <c r="AO645" s="21">
        <f>+Tabla13[[#This Row],[Km Fin]]-Tabla13[[#This Row],[Km Ini]]</f>
        <v>0</v>
      </c>
      <c r="AP645" s="20">
        <f>IFERROR((VLOOKUP(Tabla13[[#This Row],[ID]],[1]!Estilo_Conduccion[[#All],[Placa]:[Puntuacion]],15,FALSE)),0)</f>
        <v>32.5</v>
      </c>
      <c r="AQ645" s="15" t="s">
        <v>54</v>
      </c>
      <c r="AR645" s="15" t="s">
        <v>1475</v>
      </c>
      <c r="AS645" s="20">
        <v>1650</v>
      </c>
      <c r="AT645" s="21">
        <v>0</v>
      </c>
      <c r="AU645" s="21">
        <f>(Tabla13[[#This Row],[Cap Vh]]*$AX$2)*0.56</f>
        <v>0</v>
      </c>
      <c r="AV645" s="36" t="e">
        <f>(Tabla13[[#This Row],[Cap Util (kg)]]/(Tabla13[[#This Row],[Cap Inst (Kg)]]))</f>
        <v>#DIV/0!</v>
      </c>
    </row>
    <row r="646" spans="1:48" x14ac:dyDescent="0.25">
      <c r="A646" s="13" t="s">
        <v>1068</v>
      </c>
      <c r="B646" s="14" t="s">
        <v>874</v>
      </c>
      <c r="C646" s="14" t="s">
        <v>749</v>
      </c>
      <c r="D646" s="14" t="s">
        <v>749</v>
      </c>
      <c r="E646" s="14" t="s">
        <v>840</v>
      </c>
      <c r="F646" s="14" t="s">
        <v>64</v>
      </c>
      <c r="G646" s="15" t="s">
        <v>182</v>
      </c>
      <c r="H646" s="13" t="s">
        <v>183</v>
      </c>
      <c r="I646" s="14" t="s">
        <v>49</v>
      </c>
      <c r="J646" s="14">
        <v>901253015</v>
      </c>
      <c r="K646" s="14" t="s">
        <v>185</v>
      </c>
      <c r="L646" s="14" t="s">
        <v>103</v>
      </c>
      <c r="M646" s="14" t="s">
        <v>104</v>
      </c>
      <c r="N646" s="14">
        <v>2022</v>
      </c>
      <c r="O646" s="14">
        <v>1</v>
      </c>
      <c r="P646" s="14" t="s">
        <v>105</v>
      </c>
      <c r="Q646" s="14">
        <v>1</v>
      </c>
      <c r="R646" s="14">
        <v>0</v>
      </c>
      <c r="S646" s="17" t="s">
        <v>54</v>
      </c>
      <c r="T646" s="18">
        <v>0</v>
      </c>
      <c r="U646" s="37">
        <v>30</v>
      </c>
      <c r="V646" s="19">
        <v>1</v>
      </c>
      <c r="W646" s="14">
        <v>0</v>
      </c>
      <c r="X646" s="14">
        <v>29</v>
      </c>
      <c r="Y646" s="14">
        <v>29</v>
      </c>
      <c r="Z646" s="14">
        <v>0</v>
      </c>
      <c r="AA646" s="14">
        <f>Tabla13[[#This Row],[CheckList App]]+Tabla13[[#This Row],[CheckList Fisc]]</f>
        <v>29</v>
      </c>
      <c r="AB646" s="19">
        <f t="shared" si="10"/>
        <v>1</v>
      </c>
      <c r="AC646" s="14">
        <v>0</v>
      </c>
      <c r="AD646" s="14" t="s">
        <v>54</v>
      </c>
      <c r="AE646" s="15" t="str">
        <f>IFERROR((VLOOKUP(Tabla13[[#This Row],[ID]],[1]!Mtto_Pesv[[#Headers],[#Data],[Placa]:[Rutina]],2,FALSE)),"-")</f>
        <v>-</v>
      </c>
      <c r="AF646" s="14">
        <v>0</v>
      </c>
      <c r="AG646" s="20">
        <f>IFERROR((VLOOKUP(Tabla13[[#This Row],[ID]],[1]!Mtto_Pesv[[#Headers],[#Data],[Placa]:[Rutina]],3,FALSE)),0)</f>
        <v>0</v>
      </c>
      <c r="AH646" s="20">
        <f>IFERROR((VLOOKUP(Tabla13[[#This Row],[ID]],[1]!Mtto_Pesv[[#Headers],[#Data],[Placa]:[Rutina]],7,FALSE)),0)</f>
        <v>0</v>
      </c>
      <c r="AI646" s="20">
        <f>IFERROR((VLOOKUP(Tabla13[[#This Row],[ID]],[1]!Mtto_Pesv[[#Headers],[#Data],[Placa]:[Rutina]],8,FALSE)),0)</f>
        <v>0</v>
      </c>
      <c r="AJ646" s="20" t="str">
        <f>IFERROR((VLOOKUP(Tabla13[[#This Row],[ID]],[1]!Mtto_Pesv[[#Headers],[#Data],[Placa]:[Rutina]],9,FALSE)),"-")</f>
        <v>-</v>
      </c>
      <c r="AK646" s="20">
        <f>IFERROR((VLOOKUP(Tabla13[[#This Row],[ID]],[1]!Mtto_Pesv[[#Headers],[#Data],[Placa]:[Rutina]],10,FALSE)),0)</f>
        <v>0</v>
      </c>
      <c r="AL646" s="20">
        <f>IF(Tabla13[[#This Row],[Km Anterior]]=0,0,Tabla13[[#This Row],[Km Ejecut]]-Tabla13[[#This Row],[Km Anterior]])</f>
        <v>0</v>
      </c>
      <c r="AM646" s="20">
        <f>IFERROR((VLOOKUP(Tabla13[[#This Row],[ID]],[1]!Mtto_Pesv[[#Headers],[#Data],[Placa]:[Rutina]],4,FALSE)),0)</f>
        <v>0</v>
      </c>
      <c r="AN646" s="21">
        <f>IFERROR((VLOOKUP(Tabla13[[#This Row],[ID]],[1]!Mtto_Pesv[[#Headers],[#Data],[Placa]:[Rutina]],5,FALSE)),0)</f>
        <v>0</v>
      </c>
      <c r="AO646" s="21">
        <f>+Tabla13[[#This Row],[Km Fin]]-Tabla13[[#This Row],[Km Ini]]</f>
        <v>0</v>
      </c>
      <c r="AP646" s="20">
        <f>IFERROR((VLOOKUP(Tabla13[[#This Row],[ID]],[1]!Estilo_Conduccion[[#All],[Placa]:[Puntuacion]],15,FALSE)),0)</f>
        <v>549.6</v>
      </c>
      <c r="AQ646" s="15" t="s">
        <v>54</v>
      </c>
      <c r="AR646" s="15" t="s">
        <v>850</v>
      </c>
      <c r="AS646" s="20">
        <v>1650</v>
      </c>
      <c r="AT646" s="21">
        <v>0</v>
      </c>
      <c r="AU646" s="21">
        <f>(Tabla13[[#This Row],[Cap Vh]]*$AX$2)*0.56</f>
        <v>0</v>
      </c>
      <c r="AV646" s="36" t="e">
        <f>(Tabla13[[#This Row],[Cap Util (kg)]]/(Tabla13[[#This Row],[Cap Inst (Kg)]]))</f>
        <v>#DIV/0!</v>
      </c>
    </row>
    <row r="647" spans="1:48" x14ac:dyDescent="0.25">
      <c r="A647" s="13" t="s">
        <v>1068</v>
      </c>
      <c r="B647" s="14" t="s">
        <v>875</v>
      </c>
      <c r="C647" s="14" t="s">
        <v>749</v>
      </c>
      <c r="D647" s="14" t="s">
        <v>749</v>
      </c>
      <c r="E647" s="14" t="s">
        <v>842</v>
      </c>
      <c r="F647" s="14" t="s">
        <v>64</v>
      </c>
      <c r="G647" s="15" t="s">
        <v>182</v>
      </c>
      <c r="H647" s="13" t="s">
        <v>183</v>
      </c>
      <c r="I647" s="14" t="s">
        <v>49</v>
      </c>
      <c r="J647" s="14">
        <v>901253015</v>
      </c>
      <c r="K647" s="14" t="s">
        <v>185</v>
      </c>
      <c r="L647" s="14" t="s">
        <v>103</v>
      </c>
      <c r="M647" s="14" t="s">
        <v>104</v>
      </c>
      <c r="N647" s="14">
        <v>2022</v>
      </c>
      <c r="O647" s="14">
        <v>1</v>
      </c>
      <c r="P647" s="14" t="s">
        <v>105</v>
      </c>
      <c r="Q647" s="14">
        <v>1</v>
      </c>
      <c r="R647" s="14">
        <v>0</v>
      </c>
      <c r="S647" s="17" t="s">
        <v>54</v>
      </c>
      <c r="T647" s="18">
        <v>0</v>
      </c>
      <c r="U647" s="37">
        <v>30</v>
      </c>
      <c r="V647" s="19">
        <v>1</v>
      </c>
      <c r="W647" s="14">
        <v>0</v>
      </c>
      <c r="X647" s="14">
        <v>30</v>
      </c>
      <c r="Y647" s="14">
        <v>30</v>
      </c>
      <c r="Z647" s="14">
        <v>0</v>
      </c>
      <c r="AA647" s="14">
        <f>Tabla13[[#This Row],[CheckList App]]+Tabla13[[#This Row],[CheckList Fisc]]</f>
        <v>30</v>
      </c>
      <c r="AB647" s="19">
        <f t="shared" si="10"/>
        <v>1</v>
      </c>
      <c r="AC647" s="14">
        <v>0</v>
      </c>
      <c r="AD647" s="14" t="s">
        <v>54</v>
      </c>
      <c r="AE647" s="15" t="str">
        <f>IFERROR((VLOOKUP(Tabla13[[#This Row],[ID]],[1]!Mtto_Pesv[[#Headers],[#Data],[Placa]:[Rutina]],2,FALSE)),"-")</f>
        <v>-</v>
      </c>
      <c r="AF647" s="14">
        <v>0</v>
      </c>
      <c r="AG647" s="20">
        <f>IFERROR((VLOOKUP(Tabla13[[#This Row],[ID]],[1]!Mtto_Pesv[[#Headers],[#Data],[Placa]:[Rutina]],3,FALSE)),0)</f>
        <v>0</v>
      </c>
      <c r="AH647" s="20">
        <f>IFERROR((VLOOKUP(Tabla13[[#This Row],[ID]],[1]!Mtto_Pesv[[#Headers],[#Data],[Placa]:[Rutina]],7,FALSE)),0)</f>
        <v>0</v>
      </c>
      <c r="AI647" s="20">
        <f>IFERROR((VLOOKUP(Tabla13[[#This Row],[ID]],[1]!Mtto_Pesv[[#Headers],[#Data],[Placa]:[Rutina]],8,FALSE)),0)</f>
        <v>0</v>
      </c>
      <c r="AJ647" s="20" t="str">
        <f>IFERROR((VLOOKUP(Tabla13[[#This Row],[ID]],[1]!Mtto_Pesv[[#Headers],[#Data],[Placa]:[Rutina]],9,FALSE)),"-")</f>
        <v>-</v>
      </c>
      <c r="AK647" s="20">
        <f>IFERROR((VLOOKUP(Tabla13[[#This Row],[ID]],[1]!Mtto_Pesv[[#Headers],[#Data],[Placa]:[Rutina]],10,FALSE)),0)</f>
        <v>0</v>
      </c>
      <c r="AL647" s="20">
        <f>IF(Tabla13[[#This Row],[Km Anterior]]=0,0,Tabla13[[#This Row],[Km Ejecut]]-Tabla13[[#This Row],[Km Anterior]])</f>
        <v>0</v>
      </c>
      <c r="AM647" s="20">
        <f>IFERROR((VLOOKUP(Tabla13[[#This Row],[ID]],[1]!Mtto_Pesv[[#Headers],[#Data],[Placa]:[Rutina]],4,FALSE)),0)</f>
        <v>0</v>
      </c>
      <c r="AN647" s="21">
        <f>IFERROR((VLOOKUP(Tabla13[[#This Row],[ID]],[1]!Mtto_Pesv[[#Headers],[#Data],[Placa]:[Rutina]],5,FALSE)),0)</f>
        <v>0</v>
      </c>
      <c r="AO647" s="21">
        <f>+Tabla13[[#This Row],[Km Fin]]-Tabla13[[#This Row],[Km Ini]]</f>
        <v>0</v>
      </c>
      <c r="AP647" s="20">
        <f>IFERROR((VLOOKUP(Tabla13[[#This Row],[ID]],[1]!Estilo_Conduccion[[#All],[Placa]:[Puntuacion]],15,FALSE)),0)</f>
        <v>409</v>
      </c>
      <c r="AQ647" s="15" t="s">
        <v>54</v>
      </c>
      <c r="AR647" s="15" t="s">
        <v>1481</v>
      </c>
      <c r="AS647" s="20">
        <v>1650</v>
      </c>
      <c r="AT647" s="21">
        <v>0</v>
      </c>
      <c r="AU647" s="21">
        <f>(Tabla13[[#This Row],[Cap Vh]]*$AX$2)*0.56</f>
        <v>0</v>
      </c>
      <c r="AV647" s="36" t="e">
        <f>(Tabla13[[#This Row],[Cap Util (kg)]]/(Tabla13[[#This Row],[Cap Inst (Kg)]]))</f>
        <v>#DIV/0!</v>
      </c>
    </row>
    <row r="648" spans="1:48" x14ac:dyDescent="0.25">
      <c r="A648" s="13" t="s">
        <v>1068</v>
      </c>
      <c r="B648" s="14" t="s">
        <v>876</v>
      </c>
      <c r="C648" s="14" t="s">
        <v>749</v>
      </c>
      <c r="D648" s="14" t="s">
        <v>749</v>
      </c>
      <c r="E648" s="14" t="s">
        <v>840</v>
      </c>
      <c r="F648" s="14" t="s">
        <v>64</v>
      </c>
      <c r="G648" s="15" t="s">
        <v>182</v>
      </c>
      <c r="H648" s="13" t="s">
        <v>183</v>
      </c>
      <c r="I648" s="14" t="s">
        <v>49</v>
      </c>
      <c r="J648" s="14">
        <v>901253015</v>
      </c>
      <c r="K648" s="14" t="s">
        <v>185</v>
      </c>
      <c r="L648" s="14" t="s">
        <v>103</v>
      </c>
      <c r="M648" s="14" t="s">
        <v>121</v>
      </c>
      <c r="N648" s="14">
        <v>2022</v>
      </c>
      <c r="O648" s="14">
        <v>1</v>
      </c>
      <c r="P648" s="14" t="s">
        <v>105</v>
      </c>
      <c r="Q648" s="14">
        <v>1</v>
      </c>
      <c r="R648" s="14">
        <v>0</v>
      </c>
      <c r="S648" s="17" t="s">
        <v>54</v>
      </c>
      <c r="T648" s="18">
        <v>0</v>
      </c>
      <c r="U648" s="37">
        <v>30</v>
      </c>
      <c r="V648" s="19">
        <v>1</v>
      </c>
      <c r="W648" s="14">
        <v>0</v>
      </c>
      <c r="X648" s="14">
        <v>27</v>
      </c>
      <c r="Y648" s="14">
        <v>27</v>
      </c>
      <c r="Z648" s="14">
        <v>0</v>
      </c>
      <c r="AA648" s="14">
        <f>Tabla13[[#This Row],[CheckList App]]+Tabla13[[#This Row],[CheckList Fisc]]</f>
        <v>27</v>
      </c>
      <c r="AB648" s="19">
        <f t="shared" si="10"/>
        <v>1</v>
      </c>
      <c r="AC648" s="14">
        <v>0</v>
      </c>
      <c r="AD648" s="14" t="s">
        <v>54</v>
      </c>
      <c r="AE648" s="15" t="str">
        <f>IFERROR((VLOOKUP(Tabla13[[#This Row],[ID]],[1]!Mtto_Pesv[[#Headers],[#Data],[Placa]:[Rutina]],2,FALSE)),"-")</f>
        <v>-</v>
      </c>
      <c r="AF648" s="14">
        <v>0</v>
      </c>
      <c r="AG648" s="20">
        <f>IFERROR((VLOOKUP(Tabla13[[#This Row],[ID]],[1]!Mtto_Pesv[[#Headers],[#Data],[Placa]:[Rutina]],3,FALSE)),0)</f>
        <v>0</v>
      </c>
      <c r="AH648" s="20">
        <f>IFERROR((VLOOKUP(Tabla13[[#This Row],[ID]],[1]!Mtto_Pesv[[#Headers],[#Data],[Placa]:[Rutina]],7,FALSE)),0)</f>
        <v>0</v>
      </c>
      <c r="AI648" s="20">
        <f>IFERROR((VLOOKUP(Tabla13[[#This Row],[ID]],[1]!Mtto_Pesv[[#Headers],[#Data],[Placa]:[Rutina]],8,FALSE)),0)</f>
        <v>0</v>
      </c>
      <c r="AJ648" s="20" t="str">
        <f>IFERROR((VLOOKUP(Tabla13[[#This Row],[ID]],[1]!Mtto_Pesv[[#Headers],[#Data],[Placa]:[Rutina]],9,FALSE)),"-")</f>
        <v>-</v>
      </c>
      <c r="AK648" s="20">
        <f>IFERROR((VLOOKUP(Tabla13[[#This Row],[ID]],[1]!Mtto_Pesv[[#Headers],[#Data],[Placa]:[Rutina]],10,FALSE)),0)</f>
        <v>0</v>
      </c>
      <c r="AL648" s="20">
        <f>IF(Tabla13[[#This Row],[Km Anterior]]=0,0,Tabla13[[#This Row],[Km Ejecut]]-Tabla13[[#This Row],[Km Anterior]])</f>
        <v>0</v>
      </c>
      <c r="AM648" s="20">
        <f>IFERROR((VLOOKUP(Tabla13[[#This Row],[ID]],[1]!Mtto_Pesv[[#Headers],[#Data],[Placa]:[Rutina]],4,FALSE)),0)</f>
        <v>0</v>
      </c>
      <c r="AN648" s="21">
        <f>IFERROR((VLOOKUP(Tabla13[[#This Row],[ID]],[1]!Mtto_Pesv[[#Headers],[#Data],[Placa]:[Rutina]],5,FALSE)),0)</f>
        <v>0</v>
      </c>
      <c r="AO648" s="21">
        <f>+Tabla13[[#This Row],[Km Fin]]-Tabla13[[#This Row],[Km Ini]]</f>
        <v>0</v>
      </c>
      <c r="AP648" s="20">
        <f>IFERROR((VLOOKUP(Tabla13[[#This Row],[ID]],[1]!Estilo_Conduccion[[#All],[Placa]:[Puntuacion]],15,FALSE)),0)</f>
        <v>11404.1</v>
      </c>
      <c r="AQ648" s="15" t="s">
        <v>54</v>
      </c>
      <c r="AR648" s="15" t="s">
        <v>850</v>
      </c>
      <c r="AS648" s="20">
        <v>2350</v>
      </c>
      <c r="AT648" s="21">
        <v>0</v>
      </c>
      <c r="AU648" s="21">
        <f>(Tabla13[[#This Row],[Cap Vh]]*$AX$2)*0.56</f>
        <v>0</v>
      </c>
      <c r="AV648" s="36" t="e">
        <f>(Tabla13[[#This Row],[Cap Util (kg)]]/(Tabla13[[#This Row],[Cap Inst (Kg)]]))</f>
        <v>#DIV/0!</v>
      </c>
    </row>
    <row r="649" spans="1:48" x14ac:dyDescent="0.25">
      <c r="A649" s="13" t="s">
        <v>1068</v>
      </c>
      <c r="B649" s="14" t="s">
        <v>877</v>
      </c>
      <c r="C649" s="14" t="s">
        <v>749</v>
      </c>
      <c r="D649" s="14" t="s">
        <v>749</v>
      </c>
      <c r="E649" s="14" t="s">
        <v>840</v>
      </c>
      <c r="F649" s="14" t="s">
        <v>64</v>
      </c>
      <c r="G649" s="15" t="s">
        <v>182</v>
      </c>
      <c r="H649" s="13" t="s">
        <v>183</v>
      </c>
      <c r="I649" s="14" t="s">
        <v>49</v>
      </c>
      <c r="J649" s="14">
        <v>901253015</v>
      </c>
      <c r="K649" s="14" t="s">
        <v>185</v>
      </c>
      <c r="L649" s="14" t="s">
        <v>103</v>
      </c>
      <c r="M649" s="14" t="s">
        <v>104</v>
      </c>
      <c r="N649" s="14">
        <v>2022</v>
      </c>
      <c r="O649" s="14">
        <v>1</v>
      </c>
      <c r="P649" s="14" t="s">
        <v>105</v>
      </c>
      <c r="Q649" s="14">
        <v>1</v>
      </c>
      <c r="R649" s="14">
        <v>0</v>
      </c>
      <c r="S649" s="17" t="s">
        <v>54</v>
      </c>
      <c r="T649" s="18">
        <v>0</v>
      </c>
      <c r="U649" s="37">
        <v>30</v>
      </c>
      <c r="V649" s="19">
        <v>1</v>
      </c>
      <c r="W649" s="14">
        <v>0</v>
      </c>
      <c r="X649" s="14">
        <v>27</v>
      </c>
      <c r="Y649" s="14">
        <v>26</v>
      </c>
      <c r="Z649" s="14">
        <v>0</v>
      </c>
      <c r="AA649" s="14">
        <f>Tabla13[[#This Row],[CheckList App]]+Tabla13[[#This Row],[CheckList Fisc]]</f>
        <v>26</v>
      </c>
      <c r="AB649" s="19">
        <f t="shared" si="10"/>
        <v>0.96296296296296291</v>
      </c>
      <c r="AC649" s="14">
        <v>0</v>
      </c>
      <c r="AD649" s="14" t="s">
        <v>54</v>
      </c>
      <c r="AE649" s="15" t="str">
        <f>IFERROR((VLOOKUP(Tabla13[[#This Row],[ID]],[1]!Mtto_Pesv[[#Headers],[#Data],[Placa]:[Rutina]],2,FALSE)),"-")</f>
        <v>-</v>
      </c>
      <c r="AF649" s="14">
        <v>0</v>
      </c>
      <c r="AG649" s="20">
        <f>IFERROR((VLOOKUP(Tabla13[[#This Row],[ID]],[1]!Mtto_Pesv[[#Headers],[#Data],[Placa]:[Rutina]],3,FALSE)),0)</f>
        <v>0</v>
      </c>
      <c r="AH649" s="20">
        <f>IFERROR((VLOOKUP(Tabla13[[#This Row],[ID]],[1]!Mtto_Pesv[[#Headers],[#Data],[Placa]:[Rutina]],7,FALSE)),0)</f>
        <v>0</v>
      </c>
      <c r="AI649" s="20">
        <f>IFERROR((VLOOKUP(Tabla13[[#This Row],[ID]],[1]!Mtto_Pesv[[#Headers],[#Data],[Placa]:[Rutina]],8,FALSE)),0)</f>
        <v>0</v>
      </c>
      <c r="AJ649" s="20" t="str">
        <f>IFERROR((VLOOKUP(Tabla13[[#This Row],[ID]],[1]!Mtto_Pesv[[#Headers],[#Data],[Placa]:[Rutina]],9,FALSE)),"-")</f>
        <v>-</v>
      </c>
      <c r="AK649" s="20">
        <f>IFERROR((VLOOKUP(Tabla13[[#This Row],[ID]],[1]!Mtto_Pesv[[#Headers],[#Data],[Placa]:[Rutina]],10,FALSE)),0)</f>
        <v>0</v>
      </c>
      <c r="AL649" s="20">
        <f>IF(Tabla13[[#This Row],[Km Anterior]]=0,0,Tabla13[[#This Row],[Km Ejecut]]-Tabla13[[#This Row],[Km Anterior]])</f>
        <v>0</v>
      </c>
      <c r="AM649" s="20">
        <f>IFERROR((VLOOKUP(Tabla13[[#This Row],[ID]],[1]!Mtto_Pesv[[#Headers],[#Data],[Placa]:[Rutina]],4,FALSE)),0)</f>
        <v>0</v>
      </c>
      <c r="AN649" s="21">
        <f>IFERROR((VLOOKUP(Tabla13[[#This Row],[ID]],[1]!Mtto_Pesv[[#Headers],[#Data],[Placa]:[Rutina]],5,FALSE)),0)</f>
        <v>0</v>
      </c>
      <c r="AO649" s="21">
        <f>+Tabla13[[#This Row],[Km Fin]]-Tabla13[[#This Row],[Km Ini]]</f>
        <v>0</v>
      </c>
      <c r="AP649" s="20">
        <f>IFERROR((VLOOKUP(Tabla13[[#This Row],[ID]],[1]!Estilo_Conduccion[[#All],[Placa]:[Puntuacion]],15,FALSE)),0)</f>
        <v>1801.2</v>
      </c>
      <c r="AQ649" s="15" t="s">
        <v>54</v>
      </c>
      <c r="AR649" s="15" t="s">
        <v>910</v>
      </c>
      <c r="AS649" s="20">
        <v>1650</v>
      </c>
      <c r="AT649" s="21">
        <v>0</v>
      </c>
      <c r="AU649" s="21">
        <f>(Tabla13[[#This Row],[Cap Vh]]*$AX$2)*0.56</f>
        <v>0</v>
      </c>
      <c r="AV649" s="36" t="e">
        <f>(Tabla13[[#This Row],[Cap Util (kg)]]/(Tabla13[[#This Row],[Cap Inst (Kg)]]))</f>
        <v>#DIV/0!</v>
      </c>
    </row>
    <row r="650" spans="1:48" x14ac:dyDescent="0.25">
      <c r="A650" s="13" t="s">
        <v>1068</v>
      </c>
      <c r="B650" s="14" t="s">
        <v>878</v>
      </c>
      <c r="C650" s="14" t="s">
        <v>749</v>
      </c>
      <c r="D650" s="14" t="s">
        <v>749</v>
      </c>
      <c r="E650" s="14" t="s">
        <v>840</v>
      </c>
      <c r="F650" s="14" t="s">
        <v>64</v>
      </c>
      <c r="G650" s="15" t="s">
        <v>182</v>
      </c>
      <c r="H650" s="13" t="s">
        <v>183</v>
      </c>
      <c r="I650" s="14" t="s">
        <v>49</v>
      </c>
      <c r="J650" s="14">
        <v>901253015</v>
      </c>
      <c r="K650" s="14" t="s">
        <v>185</v>
      </c>
      <c r="L650" s="14" t="s">
        <v>103</v>
      </c>
      <c r="M650" s="14" t="s">
        <v>121</v>
      </c>
      <c r="N650" s="14">
        <v>2022</v>
      </c>
      <c r="O650" s="14">
        <v>1</v>
      </c>
      <c r="P650" s="14" t="s">
        <v>105</v>
      </c>
      <c r="Q650" s="14">
        <v>1</v>
      </c>
      <c r="R650" s="14">
        <v>1</v>
      </c>
      <c r="S650" s="17">
        <v>44833.436921296299</v>
      </c>
      <c r="T650" s="18">
        <v>122.85100000000001</v>
      </c>
      <c r="U650" s="37">
        <v>30</v>
      </c>
      <c r="V650" s="19">
        <v>1</v>
      </c>
      <c r="W650" s="14">
        <v>0</v>
      </c>
      <c r="X650" s="14">
        <v>26</v>
      </c>
      <c r="Y650" s="14">
        <v>26</v>
      </c>
      <c r="Z650" s="14">
        <v>0</v>
      </c>
      <c r="AA650" s="14">
        <f>Tabla13[[#This Row],[CheckList App]]+Tabla13[[#This Row],[CheckList Fisc]]</f>
        <v>26</v>
      </c>
      <c r="AB650" s="19">
        <f t="shared" si="10"/>
        <v>1</v>
      </c>
      <c r="AC650" s="14">
        <v>0</v>
      </c>
      <c r="AD650" s="14" t="s">
        <v>54</v>
      </c>
      <c r="AE650" s="15" t="str">
        <f>IFERROR((VLOOKUP(Tabla13[[#This Row],[ID]],[1]!Mtto_Pesv[[#Headers],[#Data],[Placa]:[Rutina]],2,FALSE)),"-")</f>
        <v>-</v>
      </c>
      <c r="AF650" s="14">
        <v>0</v>
      </c>
      <c r="AG650" s="20">
        <f>IFERROR((VLOOKUP(Tabla13[[#This Row],[ID]],[1]!Mtto_Pesv[[#Headers],[#Data],[Placa]:[Rutina]],3,FALSE)),0)</f>
        <v>0</v>
      </c>
      <c r="AH650" s="20">
        <f>IFERROR((VLOOKUP(Tabla13[[#This Row],[ID]],[1]!Mtto_Pesv[[#Headers],[#Data],[Placa]:[Rutina]],7,FALSE)),0)</f>
        <v>0</v>
      </c>
      <c r="AI650" s="20">
        <f>IFERROR((VLOOKUP(Tabla13[[#This Row],[ID]],[1]!Mtto_Pesv[[#Headers],[#Data],[Placa]:[Rutina]],8,FALSE)),0)</f>
        <v>0</v>
      </c>
      <c r="AJ650" s="20" t="str">
        <f>IFERROR((VLOOKUP(Tabla13[[#This Row],[ID]],[1]!Mtto_Pesv[[#Headers],[#Data],[Placa]:[Rutina]],9,FALSE)),"-")</f>
        <v>-</v>
      </c>
      <c r="AK650" s="20">
        <f>IFERROR((VLOOKUP(Tabla13[[#This Row],[ID]],[1]!Mtto_Pesv[[#Headers],[#Data],[Placa]:[Rutina]],10,FALSE)),0)</f>
        <v>0</v>
      </c>
      <c r="AL650" s="20">
        <f>IF(Tabla13[[#This Row],[Km Anterior]]=0,0,Tabla13[[#This Row],[Km Ejecut]]-Tabla13[[#This Row],[Km Anterior]])</f>
        <v>0</v>
      </c>
      <c r="AM650" s="20">
        <f>IFERROR((VLOOKUP(Tabla13[[#This Row],[ID]],[1]!Mtto_Pesv[[#Headers],[#Data],[Placa]:[Rutina]],4,FALSE)),0)</f>
        <v>0</v>
      </c>
      <c r="AN650" s="21">
        <f>IFERROR((VLOOKUP(Tabla13[[#This Row],[ID]],[1]!Mtto_Pesv[[#Headers],[#Data],[Placa]:[Rutina]],5,FALSE)),0)</f>
        <v>0</v>
      </c>
      <c r="AO650" s="21">
        <f>+Tabla13[[#This Row],[Km Fin]]-Tabla13[[#This Row],[Km Ini]]</f>
        <v>0</v>
      </c>
      <c r="AP650" s="20">
        <f>IFERROR((VLOOKUP(Tabla13[[#This Row],[ID]],[1]!Estilo_Conduccion[[#All],[Placa]:[Puntuacion]],15,FALSE)),0)</f>
        <v>12604.699999999999</v>
      </c>
      <c r="AQ650" s="15" t="s">
        <v>54</v>
      </c>
      <c r="AR650" s="15" t="s">
        <v>1482</v>
      </c>
      <c r="AS650" s="20">
        <v>2350</v>
      </c>
      <c r="AT650" s="21">
        <v>0</v>
      </c>
      <c r="AU650" s="21">
        <f>(Tabla13[[#This Row],[Cap Vh]]*$AX$2)*0.56</f>
        <v>0</v>
      </c>
      <c r="AV650" s="36" t="e">
        <f>(Tabla13[[#This Row],[Cap Util (kg)]]/(Tabla13[[#This Row],[Cap Inst (Kg)]]))</f>
        <v>#DIV/0!</v>
      </c>
    </row>
    <row r="651" spans="1:48" x14ac:dyDescent="0.25">
      <c r="A651" s="13" t="s">
        <v>1068</v>
      </c>
      <c r="B651" s="14" t="s">
        <v>879</v>
      </c>
      <c r="C651" s="14" t="s">
        <v>749</v>
      </c>
      <c r="D651" s="14" t="s">
        <v>749</v>
      </c>
      <c r="E651" s="14" t="s">
        <v>845</v>
      </c>
      <c r="F651" s="14" t="s">
        <v>64</v>
      </c>
      <c r="G651" s="15" t="s">
        <v>182</v>
      </c>
      <c r="H651" s="13" t="s">
        <v>183</v>
      </c>
      <c r="I651" s="14" t="s">
        <v>49</v>
      </c>
      <c r="J651" s="14">
        <v>901253015</v>
      </c>
      <c r="K651" s="14" t="s">
        <v>185</v>
      </c>
      <c r="L651" s="14" t="s">
        <v>103</v>
      </c>
      <c r="M651" s="14" t="s">
        <v>104</v>
      </c>
      <c r="N651" s="14">
        <v>2022</v>
      </c>
      <c r="O651" s="14">
        <v>1</v>
      </c>
      <c r="P651" s="14" t="s">
        <v>105</v>
      </c>
      <c r="Q651" s="14">
        <v>1</v>
      </c>
      <c r="R651" s="14">
        <v>0</v>
      </c>
      <c r="S651" s="17" t="s">
        <v>54</v>
      </c>
      <c r="T651" s="18">
        <v>0</v>
      </c>
      <c r="U651" s="37">
        <v>30</v>
      </c>
      <c r="V651" s="19">
        <v>1</v>
      </c>
      <c r="W651" s="14">
        <v>0</v>
      </c>
      <c r="X651" s="14">
        <v>26</v>
      </c>
      <c r="Y651" s="14">
        <v>26</v>
      </c>
      <c r="Z651" s="14">
        <v>0</v>
      </c>
      <c r="AA651" s="14">
        <f>Tabla13[[#This Row],[CheckList App]]+Tabla13[[#This Row],[CheckList Fisc]]</f>
        <v>26</v>
      </c>
      <c r="AB651" s="19">
        <f t="shared" si="10"/>
        <v>1</v>
      </c>
      <c r="AC651" s="14">
        <v>0</v>
      </c>
      <c r="AD651" s="14" t="s">
        <v>54</v>
      </c>
      <c r="AE651" s="15" t="str">
        <f>IFERROR((VLOOKUP(Tabla13[[#This Row],[ID]],[1]!Mtto_Pesv[[#Headers],[#Data],[Placa]:[Rutina]],2,FALSE)),"-")</f>
        <v>-</v>
      </c>
      <c r="AF651" s="14">
        <v>0</v>
      </c>
      <c r="AG651" s="20">
        <f>IFERROR((VLOOKUP(Tabla13[[#This Row],[ID]],[1]!Mtto_Pesv[[#Headers],[#Data],[Placa]:[Rutina]],3,FALSE)),0)</f>
        <v>0</v>
      </c>
      <c r="AH651" s="20">
        <f>IFERROR((VLOOKUP(Tabla13[[#This Row],[ID]],[1]!Mtto_Pesv[[#Headers],[#Data],[Placa]:[Rutina]],7,FALSE)),0)</f>
        <v>0</v>
      </c>
      <c r="AI651" s="20">
        <f>IFERROR((VLOOKUP(Tabla13[[#This Row],[ID]],[1]!Mtto_Pesv[[#Headers],[#Data],[Placa]:[Rutina]],8,FALSE)),0)</f>
        <v>0</v>
      </c>
      <c r="AJ651" s="20" t="str">
        <f>IFERROR((VLOOKUP(Tabla13[[#This Row],[ID]],[1]!Mtto_Pesv[[#Headers],[#Data],[Placa]:[Rutina]],9,FALSE)),"-")</f>
        <v>-</v>
      </c>
      <c r="AK651" s="20">
        <f>IFERROR((VLOOKUP(Tabla13[[#This Row],[ID]],[1]!Mtto_Pesv[[#Headers],[#Data],[Placa]:[Rutina]],10,FALSE)),0)</f>
        <v>0</v>
      </c>
      <c r="AL651" s="20">
        <f>IF(Tabla13[[#This Row],[Km Anterior]]=0,0,Tabla13[[#This Row],[Km Ejecut]]-Tabla13[[#This Row],[Km Anterior]])</f>
        <v>0</v>
      </c>
      <c r="AM651" s="20">
        <f>IFERROR((VLOOKUP(Tabla13[[#This Row],[ID]],[1]!Mtto_Pesv[[#Headers],[#Data],[Placa]:[Rutina]],4,FALSE)),0)</f>
        <v>0</v>
      </c>
      <c r="AN651" s="21">
        <f>IFERROR((VLOOKUP(Tabla13[[#This Row],[ID]],[1]!Mtto_Pesv[[#Headers],[#Data],[Placa]:[Rutina]],5,FALSE)),0)</f>
        <v>0</v>
      </c>
      <c r="AO651" s="21">
        <f>+Tabla13[[#This Row],[Km Fin]]-Tabla13[[#This Row],[Km Ini]]</f>
        <v>0</v>
      </c>
      <c r="AP651" s="20">
        <f>IFERROR((VLOOKUP(Tabla13[[#This Row],[ID]],[1]!Estilo_Conduccion[[#All],[Placa]:[Puntuacion]],15,FALSE)),0)</f>
        <v>1146.0999999999999</v>
      </c>
      <c r="AQ651" s="15" t="s">
        <v>54</v>
      </c>
      <c r="AR651" s="15" t="s">
        <v>965</v>
      </c>
      <c r="AS651" s="20">
        <v>1650</v>
      </c>
      <c r="AT651" s="21">
        <v>0</v>
      </c>
      <c r="AU651" s="21">
        <f>(Tabla13[[#This Row],[Cap Vh]]*$AX$2)*0.56</f>
        <v>0</v>
      </c>
      <c r="AV651" s="36" t="e">
        <f>(Tabla13[[#This Row],[Cap Util (kg)]]/(Tabla13[[#This Row],[Cap Inst (Kg)]]))</f>
        <v>#DIV/0!</v>
      </c>
    </row>
    <row r="652" spans="1:48" x14ac:dyDescent="0.25">
      <c r="A652" s="13" t="s">
        <v>1068</v>
      </c>
      <c r="B652" s="14" t="s">
        <v>880</v>
      </c>
      <c r="C652" s="14" t="s">
        <v>749</v>
      </c>
      <c r="D652" s="14" t="s">
        <v>749</v>
      </c>
      <c r="E652" s="13" t="s">
        <v>848</v>
      </c>
      <c r="F652" s="14" t="s">
        <v>64</v>
      </c>
      <c r="G652" s="15" t="s">
        <v>182</v>
      </c>
      <c r="H652" s="13" t="s">
        <v>183</v>
      </c>
      <c r="I652" s="14" t="s">
        <v>49</v>
      </c>
      <c r="J652" s="14">
        <v>901253015</v>
      </c>
      <c r="K652" s="14" t="s">
        <v>185</v>
      </c>
      <c r="L652" s="14" t="s">
        <v>103</v>
      </c>
      <c r="M652" s="14" t="s">
        <v>104</v>
      </c>
      <c r="N652" s="14">
        <v>2022</v>
      </c>
      <c r="O652" s="14">
        <v>1</v>
      </c>
      <c r="P652" s="14" t="s">
        <v>105</v>
      </c>
      <c r="Q652" s="14">
        <v>1</v>
      </c>
      <c r="R652" s="14">
        <v>0</v>
      </c>
      <c r="S652" s="17" t="s">
        <v>54</v>
      </c>
      <c r="T652" s="18">
        <v>0</v>
      </c>
      <c r="U652" s="37">
        <v>30</v>
      </c>
      <c r="V652" s="19">
        <v>1</v>
      </c>
      <c r="W652" s="14">
        <v>0</v>
      </c>
      <c r="X652" s="14">
        <v>30</v>
      </c>
      <c r="Y652" s="14">
        <v>29</v>
      </c>
      <c r="Z652" s="14">
        <v>0</v>
      </c>
      <c r="AA652" s="14">
        <f>Tabla13[[#This Row],[CheckList App]]+Tabla13[[#This Row],[CheckList Fisc]]</f>
        <v>29</v>
      </c>
      <c r="AB652" s="19">
        <f t="shared" si="10"/>
        <v>0.96666666666666667</v>
      </c>
      <c r="AC652" s="14">
        <v>0</v>
      </c>
      <c r="AD652" s="14" t="s">
        <v>54</v>
      </c>
      <c r="AE652" s="15" t="str">
        <f>IFERROR((VLOOKUP(Tabla13[[#This Row],[ID]],[1]!Mtto_Pesv[[#Headers],[#Data],[Placa]:[Rutina]],2,FALSE)),"-")</f>
        <v>-</v>
      </c>
      <c r="AF652" s="14">
        <v>0</v>
      </c>
      <c r="AG652" s="20">
        <f>IFERROR((VLOOKUP(Tabla13[[#This Row],[ID]],[1]!Mtto_Pesv[[#Headers],[#Data],[Placa]:[Rutina]],3,FALSE)),0)</f>
        <v>0</v>
      </c>
      <c r="AH652" s="20">
        <f>IFERROR((VLOOKUP(Tabla13[[#This Row],[ID]],[1]!Mtto_Pesv[[#Headers],[#Data],[Placa]:[Rutina]],7,FALSE)),0)</f>
        <v>0</v>
      </c>
      <c r="AI652" s="20">
        <f>IFERROR((VLOOKUP(Tabla13[[#This Row],[ID]],[1]!Mtto_Pesv[[#Headers],[#Data],[Placa]:[Rutina]],8,FALSE)),0)</f>
        <v>0</v>
      </c>
      <c r="AJ652" s="20" t="str">
        <f>IFERROR((VLOOKUP(Tabla13[[#This Row],[ID]],[1]!Mtto_Pesv[[#Headers],[#Data],[Placa]:[Rutina]],9,FALSE)),"-")</f>
        <v>-</v>
      </c>
      <c r="AK652" s="20">
        <f>IFERROR((VLOOKUP(Tabla13[[#This Row],[ID]],[1]!Mtto_Pesv[[#Headers],[#Data],[Placa]:[Rutina]],10,FALSE)),0)</f>
        <v>0</v>
      </c>
      <c r="AL652" s="20">
        <f>IF(Tabla13[[#This Row],[Km Anterior]]=0,0,Tabla13[[#This Row],[Km Ejecut]]-Tabla13[[#This Row],[Km Anterior]])</f>
        <v>0</v>
      </c>
      <c r="AM652" s="20">
        <f>IFERROR((VLOOKUP(Tabla13[[#This Row],[ID]],[1]!Mtto_Pesv[[#Headers],[#Data],[Placa]:[Rutina]],4,FALSE)),0)</f>
        <v>0</v>
      </c>
      <c r="AN652" s="21">
        <f>IFERROR((VLOOKUP(Tabla13[[#This Row],[ID]],[1]!Mtto_Pesv[[#Headers],[#Data],[Placa]:[Rutina]],5,FALSE)),0)</f>
        <v>0</v>
      </c>
      <c r="AO652" s="21">
        <f>+Tabla13[[#This Row],[Km Fin]]-Tabla13[[#This Row],[Km Ini]]</f>
        <v>0</v>
      </c>
      <c r="AP652" s="20">
        <f>IFERROR((VLOOKUP(Tabla13[[#This Row],[ID]],[1]!Estilo_Conduccion[[#All],[Placa]:[Puntuacion]],15,FALSE)),0)</f>
        <v>2090.6999999999998</v>
      </c>
      <c r="AQ652" s="15" t="s">
        <v>54</v>
      </c>
      <c r="AR652" s="15" t="s">
        <v>1009</v>
      </c>
      <c r="AS652" s="20">
        <v>1650</v>
      </c>
      <c r="AT652" s="21">
        <v>0</v>
      </c>
      <c r="AU652" s="21">
        <f>(Tabla13[[#This Row],[Cap Vh]]*$AX$2)*0.56</f>
        <v>0</v>
      </c>
      <c r="AV652" s="36" t="e">
        <f>(Tabla13[[#This Row],[Cap Util (kg)]]/(Tabla13[[#This Row],[Cap Inst (Kg)]]))</f>
        <v>#DIV/0!</v>
      </c>
    </row>
    <row r="653" spans="1:48" x14ac:dyDescent="0.25">
      <c r="A653" s="13" t="s">
        <v>1068</v>
      </c>
      <c r="B653" s="14" t="s">
        <v>881</v>
      </c>
      <c r="C653" s="14" t="s">
        <v>749</v>
      </c>
      <c r="D653" s="14" t="s">
        <v>749</v>
      </c>
      <c r="E653" s="14" t="s">
        <v>845</v>
      </c>
      <c r="F653" s="14" t="s">
        <v>64</v>
      </c>
      <c r="G653" s="15" t="s">
        <v>182</v>
      </c>
      <c r="H653" s="13" t="s">
        <v>183</v>
      </c>
      <c r="I653" s="14" t="s">
        <v>49</v>
      </c>
      <c r="J653" s="14">
        <v>901253015</v>
      </c>
      <c r="K653" s="14" t="s">
        <v>185</v>
      </c>
      <c r="L653" s="14" t="s">
        <v>103</v>
      </c>
      <c r="M653" s="14" t="s">
        <v>104</v>
      </c>
      <c r="N653" s="14">
        <v>2022</v>
      </c>
      <c r="O653" s="14">
        <v>1</v>
      </c>
      <c r="P653" s="14" t="s">
        <v>105</v>
      </c>
      <c r="Q653" s="14">
        <v>1</v>
      </c>
      <c r="R653" s="14">
        <v>0</v>
      </c>
      <c r="S653" s="17" t="s">
        <v>54</v>
      </c>
      <c r="T653" s="18">
        <v>0</v>
      </c>
      <c r="U653" s="37">
        <v>30</v>
      </c>
      <c r="V653" s="19">
        <v>1</v>
      </c>
      <c r="W653" s="14">
        <v>0</v>
      </c>
      <c r="X653" s="14">
        <v>30</v>
      </c>
      <c r="Y653" s="14">
        <v>26</v>
      </c>
      <c r="Z653" s="14">
        <v>0</v>
      </c>
      <c r="AA653" s="14">
        <f>Tabla13[[#This Row],[CheckList App]]+Tabla13[[#This Row],[CheckList Fisc]]</f>
        <v>26</v>
      </c>
      <c r="AB653" s="19">
        <f t="shared" si="10"/>
        <v>0.8666666666666667</v>
      </c>
      <c r="AC653" s="14">
        <v>0</v>
      </c>
      <c r="AD653" s="14" t="s">
        <v>54</v>
      </c>
      <c r="AE653" s="15" t="str">
        <f>IFERROR((VLOOKUP(Tabla13[[#This Row],[ID]],[1]!Mtto_Pesv[[#Headers],[#Data],[Placa]:[Rutina]],2,FALSE)),"-")</f>
        <v>-</v>
      </c>
      <c r="AF653" s="14">
        <v>0</v>
      </c>
      <c r="AG653" s="20">
        <f>IFERROR((VLOOKUP(Tabla13[[#This Row],[ID]],[1]!Mtto_Pesv[[#Headers],[#Data],[Placa]:[Rutina]],3,FALSE)),0)</f>
        <v>0</v>
      </c>
      <c r="AH653" s="20">
        <f>IFERROR((VLOOKUP(Tabla13[[#This Row],[ID]],[1]!Mtto_Pesv[[#Headers],[#Data],[Placa]:[Rutina]],7,FALSE)),0)</f>
        <v>0</v>
      </c>
      <c r="AI653" s="20">
        <f>IFERROR((VLOOKUP(Tabla13[[#This Row],[ID]],[1]!Mtto_Pesv[[#Headers],[#Data],[Placa]:[Rutina]],8,FALSE)),0)</f>
        <v>0</v>
      </c>
      <c r="AJ653" s="20" t="str">
        <f>IFERROR((VLOOKUP(Tabla13[[#This Row],[ID]],[1]!Mtto_Pesv[[#Headers],[#Data],[Placa]:[Rutina]],9,FALSE)),"-")</f>
        <v>-</v>
      </c>
      <c r="AK653" s="20">
        <f>IFERROR((VLOOKUP(Tabla13[[#This Row],[ID]],[1]!Mtto_Pesv[[#Headers],[#Data],[Placa]:[Rutina]],10,FALSE)),0)</f>
        <v>0</v>
      </c>
      <c r="AL653" s="20">
        <f>IF(Tabla13[[#This Row],[Km Anterior]]=0,0,Tabla13[[#This Row],[Km Ejecut]]-Tabla13[[#This Row],[Km Anterior]])</f>
        <v>0</v>
      </c>
      <c r="AM653" s="20">
        <f>IFERROR((VLOOKUP(Tabla13[[#This Row],[ID]],[1]!Mtto_Pesv[[#Headers],[#Data],[Placa]:[Rutina]],4,FALSE)),0)</f>
        <v>0</v>
      </c>
      <c r="AN653" s="21">
        <f>IFERROR((VLOOKUP(Tabla13[[#This Row],[ID]],[1]!Mtto_Pesv[[#Headers],[#Data],[Placa]:[Rutina]],5,FALSE)),0)</f>
        <v>0</v>
      </c>
      <c r="AO653" s="21">
        <f>+Tabla13[[#This Row],[Km Fin]]-Tabla13[[#This Row],[Km Ini]]</f>
        <v>0</v>
      </c>
      <c r="AP653" s="20">
        <f>IFERROR((VLOOKUP(Tabla13[[#This Row],[ID]],[1]!Estilo_Conduccion[[#All],[Placa]:[Puntuacion]],15,FALSE)),0)</f>
        <v>2006.3</v>
      </c>
      <c r="AQ653" s="15" t="s">
        <v>54</v>
      </c>
      <c r="AR653" s="15" t="s">
        <v>918</v>
      </c>
      <c r="AS653" s="20">
        <v>1650</v>
      </c>
      <c r="AT653" s="21">
        <v>0</v>
      </c>
      <c r="AU653" s="21">
        <f>(Tabla13[[#This Row],[Cap Vh]]*$AX$2)*0.56</f>
        <v>0</v>
      </c>
      <c r="AV653" s="36" t="e">
        <f>(Tabla13[[#This Row],[Cap Util (kg)]]/(Tabla13[[#This Row],[Cap Inst (Kg)]]))</f>
        <v>#DIV/0!</v>
      </c>
    </row>
    <row r="654" spans="1:48" x14ac:dyDescent="0.25">
      <c r="A654" s="13" t="s">
        <v>1068</v>
      </c>
      <c r="B654" s="14" t="s">
        <v>882</v>
      </c>
      <c r="C654" s="14" t="s">
        <v>749</v>
      </c>
      <c r="D654" s="14" t="s">
        <v>749</v>
      </c>
      <c r="E654" s="14" t="s">
        <v>872</v>
      </c>
      <c r="F654" s="14" t="s">
        <v>64</v>
      </c>
      <c r="G654" s="15" t="s">
        <v>182</v>
      </c>
      <c r="H654" s="13" t="s">
        <v>183</v>
      </c>
      <c r="I654" s="14" t="s">
        <v>49</v>
      </c>
      <c r="J654" s="14">
        <v>901253015</v>
      </c>
      <c r="K654" s="14" t="s">
        <v>185</v>
      </c>
      <c r="L654" s="14" t="s">
        <v>103</v>
      </c>
      <c r="M654" s="14" t="s">
        <v>104</v>
      </c>
      <c r="N654" s="14">
        <v>2022</v>
      </c>
      <c r="O654" s="14">
        <v>1</v>
      </c>
      <c r="P654" s="14" t="s">
        <v>105</v>
      </c>
      <c r="Q654" s="14">
        <v>1</v>
      </c>
      <c r="R654" s="14">
        <v>0</v>
      </c>
      <c r="S654" s="17" t="s">
        <v>54</v>
      </c>
      <c r="T654" s="18">
        <v>0</v>
      </c>
      <c r="U654" s="37">
        <v>30</v>
      </c>
      <c r="V654" s="19">
        <v>1</v>
      </c>
      <c r="W654" s="14">
        <v>0</v>
      </c>
      <c r="X654" s="14">
        <v>27</v>
      </c>
      <c r="Y654" s="14">
        <v>27</v>
      </c>
      <c r="Z654" s="14">
        <v>0</v>
      </c>
      <c r="AA654" s="14">
        <f>Tabla13[[#This Row],[CheckList App]]+Tabla13[[#This Row],[CheckList Fisc]]</f>
        <v>27</v>
      </c>
      <c r="AB654" s="19">
        <f t="shared" si="10"/>
        <v>1</v>
      </c>
      <c r="AC654" s="14">
        <v>0</v>
      </c>
      <c r="AD654" s="14" t="s">
        <v>54</v>
      </c>
      <c r="AE654" s="15" t="str">
        <f>IFERROR((VLOOKUP(Tabla13[[#This Row],[ID]],[1]!Mtto_Pesv[[#Headers],[#Data],[Placa]:[Rutina]],2,FALSE)),"-")</f>
        <v>-</v>
      </c>
      <c r="AF654" s="14">
        <v>0</v>
      </c>
      <c r="AG654" s="20">
        <f>IFERROR((VLOOKUP(Tabla13[[#This Row],[ID]],[1]!Mtto_Pesv[[#Headers],[#Data],[Placa]:[Rutina]],3,FALSE)),0)</f>
        <v>0</v>
      </c>
      <c r="AH654" s="20">
        <f>IFERROR((VLOOKUP(Tabla13[[#This Row],[ID]],[1]!Mtto_Pesv[[#Headers],[#Data],[Placa]:[Rutina]],7,FALSE)),0)</f>
        <v>0</v>
      </c>
      <c r="AI654" s="20">
        <f>IFERROR((VLOOKUP(Tabla13[[#This Row],[ID]],[1]!Mtto_Pesv[[#Headers],[#Data],[Placa]:[Rutina]],8,FALSE)),0)</f>
        <v>0</v>
      </c>
      <c r="AJ654" s="20" t="str">
        <f>IFERROR((VLOOKUP(Tabla13[[#This Row],[ID]],[1]!Mtto_Pesv[[#Headers],[#Data],[Placa]:[Rutina]],9,FALSE)),"-")</f>
        <v>-</v>
      </c>
      <c r="AK654" s="20">
        <f>IFERROR((VLOOKUP(Tabla13[[#This Row],[ID]],[1]!Mtto_Pesv[[#Headers],[#Data],[Placa]:[Rutina]],10,FALSE)),0)</f>
        <v>0</v>
      </c>
      <c r="AL654" s="20">
        <f>IF(Tabla13[[#This Row],[Km Anterior]]=0,0,Tabla13[[#This Row],[Km Ejecut]]-Tabla13[[#This Row],[Km Anterior]])</f>
        <v>0</v>
      </c>
      <c r="AM654" s="20">
        <f>IFERROR((VLOOKUP(Tabla13[[#This Row],[ID]],[1]!Mtto_Pesv[[#Headers],[#Data],[Placa]:[Rutina]],4,FALSE)),0)</f>
        <v>0</v>
      </c>
      <c r="AN654" s="21">
        <f>IFERROR((VLOOKUP(Tabla13[[#This Row],[ID]],[1]!Mtto_Pesv[[#Headers],[#Data],[Placa]:[Rutina]],5,FALSE)),0)</f>
        <v>0</v>
      </c>
      <c r="AO654" s="21">
        <f>+Tabla13[[#This Row],[Km Fin]]-Tabla13[[#This Row],[Km Ini]]</f>
        <v>0</v>
      </c>
      <c r="AP654" s="20">
        <f>IFERROR((VLOOKUP(Tabla13[[#This Row],[ID]],[1]!Estilo_Conduccion[[#All],[Placa]:[Puntuacion]],15,FALSE)),0)</f>
        <v>1061.3000000000002</v>
      </c>
      <c r="AQ654" s="15" t="s">
        <v>54</v>
      </c>
      <c r="AR654" s="15" t="s">
        <v>974</v>
      </c>
      <c r="AS654" s="20">
        <v>1650</v>
      </c>
      <c r="AT654" s="21">
        <v>0</v>
      </c>
      <c r="AU654" s="21">
        <f>(Tabla13[[#This Row],[Cap Vh]]*$AX$2)*0.56</f>
        <v>0</v>
      </c>
      <c r="AV654" s="36" t="e">
        <f>(Tabla13[[#This Row],[Cap Util (kg)]]/(Tabla13[[#This Row],[Cap Inst (Kg)]]))</f>
        <v>#DIV/0!</v>
      </c>
    </row>
    <row r="655" spans="1:48" x14ac:dyDescent="0.25">
      <c r="A655" s="13" t="s">
        <v>1068</v>
      </c>
      <c r="B655" s="14" t="s">
        <v>883</v>
      </c>
      <c r="C655" s="14" t="s">
        <v>749</v>
      </c>
      <c r="D655" s="14" t="s">
        <v>749</v>
      </c>
      <c r="E655" s="14" t="s">
        <v>840</v>
      </c>
      <c r="F655" s="14" t="s">
        <v>76</v>
      </c>
      <c r="G655" s="14" t="s">
        <v>65</v>
      </c>
      <c r="H655" s="16" t="s">
        <v>66</v>
      </c>
      <c r="I655" s="14" t="s">
        <v>109</v>
      </c>
      <c r="J655" s="14">
        <v>900335279</v>
      </c>
      <c r="K655" s="14" t="s">
        <v>77</v>
      </c>
      <c r="L655" s="14" t="s">
        <v>103</v>
      </c>
      <c r="M655" s="14" t="s">
        <v>618</v>
      </c>
      <c r="N655" s="14">
        <v>2010</v>
      </c>
      <c r="O655" s="14">
        <v>10</v>
      </c>
      <c r="P655" s="14" t="s">
        <v>53</v>
      </c>
      <c r="Q655" s="14">
        <v>0</v>
      </c>
      <c r="R655" s="14">
        <v>0</v>
      </c>
      <c r="S655" s="17" t="s">
        <v>54</v>
      </c>
      <c r="T655" s="18">
        <v>0</v>
      </c>
      <c r="U655" s="14">
        <v>0</v>
      </c>
      <c r="V655" s="19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f>Tabla13[[#This Row],[CheckList App]]+Tabla13[[#This Row],[CheckList Fisc]]</f>
        <v>0</v>
      </c>
      <c r="AB655" s="19" t="str">
        <f t="shared" si="10"/>
        <v/>
      </c>
      <c r="AC655" s="14">
        <v>0</v>
      </c>
      <c r="AD655" s="14" t="s">
        <v>70</v>
      </c>
      <c r="AE655" s="15" t="str">
        <f>IFERROR((VLOOKUP(Tabla13[[#This Row],[ID]],[1]!Mtto_Pesv[[#Headers],[#Data],[Placa]:[Rutina]],2,FALSE)),"-")</f>
        <v>-</v>
      </c>
      <c r="AF655" s="14">
        <v>1</v>
      </c>
      <c r="AG655" s="20">
        <f>IFERROR((VLOOKUP(Tabla13[[#This Row],[ID]],[1]!Mtto_Pesv[[#Headers],[#Data],[Placa]:[Rutina]],3,FALSE)),0)</f>
        <v>0</v>
      </c>
      <c r="AH655" s="20">
        <f>IFERROR((VLOOKUP(Tabla13[[#This Row],[ID]],[1]!Mtto_Pesv[[#Headers],[#Data],[Placa]:[Rutina]],7,FALSE)),0)</f>
        <v>0</v>
      </c>
      <c r="AI655" s="20">
        <f>IFERROR((VLOOKUP(Tabla13[[#This Row],[ID]],[1]!Mtto_Pesv[[#Headers],[#Data],[Placa]:[Rutina]],8,FALSE)),0)</f>
        <v>0</v>
      </c>
      <c r="AJ655" s="20" t="str">
        <f>IFERROR((VLOOKUP(Tabla13[[#This Row],[ID]],[1]!Mtto_Pesv[[#Headers],[#Data],[Placa]:[Rutina]],9,FALSE)),"-")</f>
        <v>-</v>
      </c>
      <c r="AK655" s="20">
        <f>IFERROR((VLOOKUP(Tabla13[[#This Row],[ID]],[1]!Mtto_Pesv[[#Headers],[#Data],[Placa]:[Rutina]],10,FALSE)),0)</f>
        <v>0</v>
      </c>
      <c r="AL655" s="20">
        <f>IF(Tabla13[[#This Row],[Km Anterior]]=0,0,Tabla13[[#This Row],[Km Ejecut]]-Tabla13[[#This Row],[Km Anterior]])</f>
        <v>0</v>
      </c>
      <c r="AM655" s="20">
        <f>IFERROR((VLOOKUP(Tabla13[[#This Row],[ID]],[1]!Mtto_Pesv[[#Headers],[#Data],[Placa]:[Rutina]],4,FALSE)),0)</f>
        <v>0</v>
      </c>
      <c r="AN655" s="21">
        <f>IFERROR((VLOOKUP(Tabla13[[#This Row],[ID]],[1]!Mtto_Pesv[[#Headers],[#Data],[Placa]:[Rutina]],5,FALSE)),0)</f>
        <v>0</v>
      </c>
      <c r="AO655" s="21">
        <f>+Tabla13[[#This Row],[Km Fin]]-Tabla13[[#This Row],[Km Ini]]</f>
        <v>0</v>
      </c>
      <c r="AP655" s="20">
        <f>IFERROR((VLOOKUP(Tabla13[[#This Row],[ID]],[1]!Estilo_Conduccion[[#All],[Placa]:[Puntuacion]],15,FALSE)),0)</f>
        <v>0</v>
      </c>
      <c r="AQ655" s="15" t="s">
        <v>54</v>
      </c>
      <c r="AR655" s="15" t="s">
        <v>54</v>
      </c>
      <c r="AS655" s="20">
        <v>4500</v>
      </c>
      <c r="AT655" s="21">
        <v>0</v>
      </c>
      <c r="AU655" s="21">
        <f>(Tabla13[[#This Row],[Cap Vh]]*$AX$2)*0.56</f>
        <v>0</v>
      </c>
      <c r="AV655" s="36" t="e">
        <f>(Tabla13[[#This Row],[Cap Util (kg)]]/(Tabla13[[#This Row],[Cap Inst (Kg)]]))</f>
        <v>#DIV/0!</v>
      </c>
    </row>
    <row r="656" spans="1:48" x14ac:dyDescent="0.25">
      <c r="A656" s="13" t="s">
        <v>1068</v>
      </c>
      <c r="B656" s="14" t="s">
        <v>884</v>
      </c>
      <c r="C656" s="14" t="s">
        <v>749</v>
      </c>
      <c r="D656" s="14" t="s">
        <v>749</v>
      </c>
      <c r="E656" s="14" t="s">
        <v>842</v>
      </c>
      <c r="F656" s="14" t="s">
        <v>76</v>
      </c>
      <c r="G656" s="15" t="s">
        <v>47</v>
      </c>
      <c r="H656" s="16" t="s">
        <v>48</v>
      </c>
      <c r="I656" s="14" t="s">
        <v>49</v>
      </c>
      <c r="J656" s="14">
        <v>900335279</v>
      </c>
      <c r="K656" s="14" t="s">
        <v>77</v>
      </c>
      <c r="L656" s="14" t="s">
        <v>103</v>
      </c>
      <c r="M656" s="14" t="s">
        <v>696</v>
      </c>
      <c r="N656" s="14">
        <v>2007</v>
      </c>
      <c r="O656" s="14">
        <v>13</v>
      </c>
      <c r="P656" s="14" t="s">
        <v>173</v>
      </c>
      <c r="Q656" s="14">
        <v>0</v>
      </c>
      <c r="R656" s="14">
        <v>0</v>
      </c>
      <c r="S656" s="17" t="s">
        <v>54</v>
      </c>
      <c r="T656" s="18">
        <v>0</v>
      </c>
      <c r="U656" s="14">
        <v>28</v>
      </c>
      <c r="V656" s="19">
        <v>0.93333333333333335</v>
      </c>
      <c r="W656" s="14">
        <v>0</v>
      </c>
      <c r="X656" s="14">
        <v>0</v>
      </c>
      <c r="Y656" s="14">
        <v>0</v>
      </c>
      <c r="Z656" s="14">
        <v>0</v>
      </c>
      <c r="AA656" s="14">
        <f>Tabla13[[#This Row],[CheckList App]]+Tabla13[[#This Row],[CheckList Fisc]]</f>
        <v>0</v>
      </c>
      <c r="AB656" s="19">
        <f t="shared" si="10"/>
        <v>0</v>
      </c>
      <c r="AC656" s="14">
        <v>0</v>
      </c>
      <c r="AD656" s="14" t="s">
        <v>70</v>
      </c>
      <c r="AE656" s="15" t="str">
        <f>IFERROR((VLOOKUP(Tabla13[[#This Row],[ID]],[1]!Mtto_Pesv[[#Headers],[#Data],[Placa]:[Rutina]],2,FALSE)),"-")</f>
        <v>-</v>
      </c>
      <c r="AF656" s="14">
        <v>1</v>
      </c>
      <c r="AG656" s="20">
        <f>IFERROR((VLOOKUP(Tabla13[[#This Row],[ID]],[1]!Mtto_Pesv[[#Headers],[#Data],[Placa]:[Rutina]],3,FALSE)),0)</f>
        <v>0</v>
      </c>
      <c r="AH656" s="20">
        <f>IFERROR((VLOOKUP(Tabla13[[#This Row],[ID]],[1]!Mtto_Pesv[[#Headers],[#Data],[Placa]:[Rutina]],7,FALSE)),0)</f>
        <v>0</v>
      </c>
      <c r="AI656" s="20">
        <f>IFERROR((VLOOKUP(Tabla13[[#This Row],[ID]],[1]!Mtto_Pesv[[#Headers],[#Data],[Placa]:[Rutina]],8,FALSE)),0)</f>
        <v>0</v>
      </c>
      <c r="AJ656" s="20" t="str">
        <f>IFERROR((VLOOKUP(Tabla13[[#This Row],[ID]],[1]!Mtto_Pesv[[#Headers],[#Data],[Placa]:[Rutina]],9,FALSE)),"-")</f>
        <v>-</v>
      </c>
      <c r="AK656" s="20">
        <f>IFERROR((VLOOKUP(Tabla13[[#This Row],[ID]],[1]!Mtto_Pesv[[#Headers],[#Data],[Placa]:[Rutina]],10,FALSE)),0)</f>
        <v>0</v>
      </c>
      <c r="AL656" s="20">
        <f>IF(Tabla13[[#This Row],[Km Anterior]]=0,0,Tabla13[[#This Row],[Km Ejecut]]-Tabla13[[#This Row],[Km Anterior]])</f>
        <v>0</v>
      </c>
      <c r="AM656" s="20">
        <f>IFERROR((VLOOKUP(Tabla13[[#This Row],[ID]],[1]!Mtto_Pesv[[#Headers],[#Data],[Placa]:[Rutina]],4,FALSE)),0)</f>
        <v>0</v>
      </c>
      <c r="AN656" s="21">
        <f>IFERROR((VLOOKUP(Tabla13[[#This Row],[ID]],[1]!Mtto_Pesv[[#Headers],[#Data],[Placa]:[Rutina]],5,FALSE)),0)</f>
        <v>0</v>
      </c>
      <c r="AO656" s="21">
        <f>+Tabla13[[#This Row],[Km Fin]]-Tabla13[[#This Row],[Km Ini]]</f>
        <v>0</v>
      </c>
      <c r="AP656" s="20">
        <f>IFERROR((VLOOKUP(Tabla13[[#This Row],[ID]],[1]!Estilo_Conduccion[[#All],[Placa]:[Puntuacion]],15,FALSE)),0)</f>
        <v>0</v>
      </c>
      <c r="AQ656" s="15" t="s">
        <v>54</v>
      </c>
      <c r="AR656" s="15" t="s">
        <v>1474</v>
      </c>
      <c r="AS656" s="20">
        <v>1545</v>
      </c>
      <c r="AT656" s="21">
        <v>0</v>
      </c>
      <c r="AU656" s="21">
        <f>(Tabla13[[#This Row],[Cap Vh]]*$AX$2)*0.56</f>
        <v>0</v>
      </c>
      <c r="AV656" s="36" t="e">
        <f>(Tabla13[[#This Row],[Cap Util (kg)]]/(Tabla13[[#This Row],[Cap Inst (Kg)]]))</f>
        <v>#DIV/0!</v>
      </c>
    </row>
    <row r="657" spans="1:48" x14ac:dyDescent="0.25">
      <c r="A657" s="13" t="s">
        <v>1068</v>
      </c>
      <c r="B657" s="14" t="s">
        <v>885</v>
      </c>
      <c r="C657" s="14" t="s">
        <v>749</v>
      </c>
      <c r="D657" s="14" t="s">
        <v>749</v>
      </c>
      <c r="E657" s="14" t="s">
        <v>842</v>
      </c>
      <c r="F657" s="14" t="s">
        <v>64</v>
      </c>
      <c r="G657" s="15" t="s">
        <v>47</v>
      </c>
      <c r="H657" s="16" t="s">
        <v>48</v>
      </c>
      <c r="I657" s="14" t="s">
        <v>49</v>
      </c>
      <c r="J657" s="14">
        <v>900335279</v>
      </c>
      <c r="K657" s="14" t="s">
        <v>77</v>
      </c>
      <c r="L657" s="14" t="s">
        <v>103</v>
      </c>
      <c r="M657" s="14" t="s">
        <v>121</v>
      </c>
      <c r="N657" s="14">
        <v>1999</v>
      </c>
      <c r="O657" s="14">
        <v>21</v>
      </c>
      <c r="P657" s="14" t="s">
        <v>173</v>
      </c>
      <c r="Q657" s="14">
        <v>0</v>
      </c>
      <c r="R657" s="14">
        <v>0</v>
      </c>
      <c r="S657" s="17" t="s">
        <v>54</v>
      </c>
      <c r="T657" s="18">
        <v>0</v>
      </c>
      <c r="U657" s="14">
        <v>30</v>
      </c>
      <c r="V657" s="19">
        <v>1</v>
      </c>
      <c r="W657" s="14">
        <v>0</v>
      </c>
      <c r="X657" s="14">
        <v>0</v>
      </c>
      <c r="Y657" s="14">
        <v>0</v>
      </c>
      <c r="Z657" s="14">
        <v>0</v>
      </c>
      <c r="AA657" s="14">
        <f>Tabla13[[#This Row],[CheckList App]]+Tabla13[[#This Row],[CheckList Fisc]]</f>
        <v>0</v>
      </c>
      <c r="AB657" s="19">
        <f t="shared" si="10"/>
        <v>0</v>
      </c>
      <c r="AC657" s="14">
        <v>0</v>
      </c>
      <c r="AD657" s="14" t="s">
        <v>70</v>
      </c>
      <c r="AE657" s="15" t="str">
        <f>IFERROR((VLOOKUP(Tabla13[[#This Row],[ID]],[1]!Mtto_Pesv[[#Headers],[#Data],[Placa]:[Rutina]],2,FALSE)),"-")</f>
        <v>-</v>
      </c>
      <c r="AF657" s="14">
        <v>1</v>
      </c>
      <c r="AG657" s="20">
        <f>IFERROR((VLOOKUP(Tabla13[[#This Row],[ID]],[1]!Mtto_Pesv[[#Headers],[#Data],[Placa]:[Rutina]],3,FALSE)),0)</f>
        <v>0</v>
      </c>
      <c r="AH657" s="20">
        <f>IFERROR((VLOOKUP(Tabla13[[#This Row],[ID]],[1]!Mtto_Pesv[[#Headers],[#Data],[Placa]:[Rutina]],7,FALSE)),0)</f>
        <v>0</v>
      </c>
      <c r="AI657" s="20">
        <f>IFERROR((VLOOKUP(Tabla13[[#This Row],[ID]],[1]!Mtto_Pesv[[#Headers],[#Data],[Placa]:[Rutina]],8,FALSE)),0)</f>
        <v>0</v>
      </c>
      <c r="AJ657" s="20" t="str">
        <f>IFERROR((VLOOKUP(Tabla13[[#This Row],[ID]],[1]!Mtto_Pesv[[#Headers],[#Data],[Placa]:[Rutina]],9,FALSE)),"-")</f>
        <v>-</v>
      </c>
      <c r="AK657" s="20">
        <f>IFERROR((VLOOKUP(Tabla13[[#This Row],[ID]],[1]!Mtto_Pesv[[#Headers],[#Data],[Placa]:[Rutina]],10,FALSE)),0)</f>
        <v>0</v>
      </c>
      <c r="AL657" s="20">
        <f>IF(Tabla13[[#This Row],[Km Anterior]]=0,0,Tabla13[[#This Row],[Km Ejecut]]-Tabla13[[#This Row],[Km Anterior]])</f>
        <v>0</v>
      </c>
      <c r="AM657" s="20">
        <f>IFERROR((VLOOKUP(Tabla13[[#This Row],[ID]],[1]!Mtto_Pesv[[#Headers],[#Data],[Placa]:[Rutina]],4,FALSE)),0)</f>
        <v>0</v>
      </c>
      <c r="AN657" s="21">
        <f>IFERROR((VLOOKUP(Tabla13[[#This Row],[ID]],[1]!Mtto_Pesv[[#Headers],[#Data],[Placa]:[Rutina]],5,FALSE)),0)</f>
        <v>0</v>
      </c>
      <c r="AO657" s="21">
        <f>+Tabla13[[#This Row],[Km Fin]]-Tabla13[[#This Row],[Km Ini]]</f>
        <v>0</v>
      </c>
      <c r="AP657" s="20">
        <f>IFERROR((VLOOKUP(Tabla13[[#This Row],[ID]],[1]!Estilo_Conduccion[[#All],[Placa]:[Puntuacion]],15,FALSE)),0)</f>
        <v>0</v>
      </c>
      <c r="AQ657" s="15" t="s">
        <v>1483</v>
      </c>
      <c r="AR657" s="15" t="s">
        <v>1484</v>
      </c>
      <c r="AS657" s="20">
        <v>3000</v>
      </c>
      <c r="AT657" s="21">
        <v>5472</v>
      </c>
      <c r="AU657" s="21">
        <f>(Tabla13[[#This Row],[Cap Vh]]*$AX$2)*0.56</f>
        <v>0</v>
      </c>
      <c r="AV657" s="36" t="e">
        <f>(Tabla13[[#This Row],[Cap Util (kg)]]/(Tabla13[[#This Row],[Cap Inst (Kg)]]))</f>
        <v>#DIV/0!</v>
      </c>
    </row>
    <row r="658" spans="1:48" x14ac:dyDescent="0.25">
      <c r="A658" s="13" t="s">
        <v>1068</v>
      </c>
      <c r="B658" s="14" t="s">
        <v>886</v>
      </c>
      <c r="C658" s="14" t="s">
        <v>749</v>
      </c>
      <c r="D658" s="14" t="s">
        <v>749</v>
      </c>
      <c r="E658" s="14" t="s">
        <v>845</v>
      </c>
      <c r="F658" s="14" t="s">
        <v>76</v>
      </c>
      <c r="G658" s="15" t="s">
        <v>89</v>
      </c>
      <c r="H658" s="16" t="s">
        <v>90</v>
      </c>
      <c r="I658" s="14" t="s">
        <v>49</v>
      </c>
      <c r="J658" s="14">
        <v>900335279</v>
      </c>
      <c r="K658" s="14" t="s">
        <v>77</v>
      </c>
      <c r="L658" s="14" t="s">
        <v>103</v>
      </c>
      <c r="M658" s="14" t="s">
        <v>104</v>
      </c>
      <c r="N658" s="14">
        <v>2002</v>
      </c>
      <c r="O658" s="14">
        <v>18</v>
      </c>
      <c r="P658" s="14" t="s">
        <v>173</v>
      </c>
      <c r="Q658" s="14">
        <v>0</v>
      </c>
      <c r="R658" s="14">
        <v>0</v>
      </c>
      <c r="S658" s="17" t="s">
        <v>54</v>
      </c>
      <c r="T658" s="18">
        <v>0</v>
      </c>
      <c r="U658" s="14">
        <v>30</v>
      </c>
      <c r="V658" s="19">
        <v>1</v>
      </c>
      <c r="W658" s="14">
        <v>0</v>
      </c>
      <c r="X658" s="14">
        <v>0</v>
      </c>
      <c r="Y658" s="14">
        <v>0</v>
      </c>
      <c r="Z658" s="14">
        <v>0</v>
      </c>
      <c r="AA658" s="14">
        <f>Tabla13[[#This Row],[CheckList App]]+Tabla13[[#This Row],[CheckList Fisc]]</f>
        <v>0</v>
      </c>
      <c r="AB658" s="19">
        <f t="shared" si="10"/>
        <v>0</v>
      </c>
      <c r="AC658" s="14">
        <v>0</v>
      </c>
      <c r="AD658" s="14" t="s">
        <v>70</v>
      </c>
      <c r="AE658" s="15" t="str">
        <f>IFERROR((VLOOKUP(Tabla13[[#This Row],[ID]],[1]!Mtto_Pesv[[#Headers],[#Data],[Placa]:[Rutina]],2,FALSE)),"-")</f>
        <v>-</v>
      </c>
      <c r="AF658" s="14">
        <v>1</v>
      </c>
      <c r="AG658" s="20">
        <f>IFERROR((VLOOKUP(Tabla13[[#This Row],[ID]],[1]!Mtto_Pesv[[#Headers],[#Data],[Placa]:[Rutina]],3,FALSE)),0)</f>
        <v>0</v>
      </c>
      <c r="AH658" s="20">
        <f>IFERROR((VLOOKUP(Tabla13[[#This Row],[ID]],[1]!Mtto_Pesv[[#Headers],[#Data],[Placa]:[Rutina]],7,FALSE)),0)</f>
        <v>0</v>
      </c>
      <c r="AI658" s="20">
        <f>IFERROR((VLOOKUP(Tabla13[[#This Row],[ID]],[1]!Mtto_Pesv[[#Headers],[#Data],[Placa]:[Rutina]],8,FALSE)),0)</f>
        <v>0</v>
      </c>
      <c r="AJ658" s="20" t="str">
        <f>IFERROR((VLOOKUP(Tabla13[[#This Row],[ID]],[1]!Mtto_Pesv[[#Headers],[#Data],[Placa]:[Rutina]],9,FALSE)),"-")</f>
        <v>-</v>
      </c>
      <c r="AK658" s="20">
        <f>IFERROR((VLOOKUP(Tabla13[[#This Row],[ID]],[1]!Mtto_Pesv[[#Headers],[#Data],[Placa]:[Rutina]],10,FALSE)),0)</f>
        <v>0</v>
      </c>
      <c r="AL658" s="20">
        <f>IF(Tabla13[[#This Row],[Km Anterior]]=0,0,Tabla13[[#This Row],[Km Ejecut]]-Tabla13[[#This Row],[Km Anterior]])</f>
        <v>0</v>
      </c>
      <c r="AM658" s="20">
        <f>IFERROR((VLOOKUP(Tabla13[[#This Row],[ID]],[1]!Mtto_Pesv[[#Headers],[#Data],[Placa]:[Rutina]],4,FALSE)),0)</f>
        <v>0</v>
      </c>
      <c r="AN658" s="21">
        <f>IFERROR((VLOOKUP(Tabla13[[#This Row],[ID]],[1]!Mtto_Pesv[[#Headers],[#Data],[Placa]:[Rutina]],5,FALSE)),0)</f>
        <v>0</v>
      </c>
      <c r="AO658" s="21">
        <f>+Tabla13[[#This Row],[Km Fin]]-Tabla13[[#This Row],[Km Ini]]</f>
        <v>0</v>
      </c>
      <c r="AP658" s="20">
        <f>IFERROR((VLOOKUP(Tabla13[[#This Row],[ID]],[1]!Estilo_Conduccion[[#All],[Placa]:[Puntuacion]],15,FALSE)),0)</f>
        <v>0</v>
      </c>
      <c r="AQ658" s="15" t="s">
        <v>1485</v>
      </c>
      <c r="AR658" s="23" t="s">
        <v>1486</v>
      </c>
      <c r="AS658" s="38">
        <v>2000</v>
      </c>
      <c r="AT658" s="21">
        <v>6912</v>
      </c>
      <c r="AU658" s="21">
        <f>(Tabla13[[#This Row],[Cap Vh]]*$AX$2)*0.56</f>
        <v>0</v>
      </c>
      <c r="AV658" s="36" t="e">
        <f>(Tabla13[[#This Row],[Cap Util (kg)]]/(Tabla13[[#This Row],[Cap Inst (Kg)]]))</f>
        <v>#DIV/0!</v>
      </c>
    </row>
    <row r="659" spans="1:48" x14ac:dyDescent="0.25">
      <c r="A659" s="13" t="s">
        <v>1068</v>
      </c>
      <c r="B659" s="14" t="s">
        <v>887</v>
      </c>
      <c r="C659" s="14" t="s">
        <v>749</v>
      </c>
      <c r="D659" s="14" t="s">
        <v>749</v>
      </c>
      <c r="E659" s="14" t="s">
        <v>842</v>
      </c>
      <c r="F659" s="14" t="s">
        <v>76</v>
      </c>
      <c r="G659" s="15" t="s">
        <v>89</v>
      </c>
      <c r="H659" s="16" t="s">
        <v>90</v>
      </c>
      <c r="I659" s="14" t="s">
        <v>49</v>
      </c>
      <c r="J659" s="14">
        <v>900335279</v>
      </c>
      <c r="K659" s="14" t="s">
        <v>77</v>
      </c>
      <c r="L659" s="14" t="s">
        <v>103</v>
      </c>
      <c r="M659" s="15" t="s">
        <v>104</v>
      </c>
      <c r="N659" s="14">
        <v>2002</v>
      </c>
      <c r="O659" s="14">
        <v>18</v>
      </c>
      <c r="P659" s="14" t="s">
        <v>173</v>
      </c>
      <c r="Q659" s="14">
        <v>0</v>
      </c>
      <c r="R659" s="14">
        <v>0</v>
      </c>
      <c r="S659" s="17" t="s">
        <v>54</v>
      </c>
      <c r="T659" s="18">
        <v>0</v>
      </c>
      <c r="U659" s="14">
        <v>30</v>
      </c>
      <c r="V659" s="19">
        <v>1</v>
      </c>
      <c r="W659" s="14">
        <v>0</v>
      </c>
      <c r="X659" s="14">
        <v>0</v>
      </c>
      <c r="Y659" s="14">
        <v>0</v>
      </c>
      <c r="Z659" s="14">
        <v>0</v>
      </c>
      <c r="AA659" s="14">
        <f>Tabla13[[#This Row],[CheckList App]]+Tabla13[[#This Row],[CheckList Fisc]]</f>
        <v>0</v>
      </c>
      <c r="AB659" s="19">
        <f t="shared" si="10"/>
        <v>0</v>
      </c>
      <c r="AC659" s="14">
        <v>0</v>
      </c>
      <c r="AD659" s="14" t="s">
        <v>70</v>
      </c>
      <c r="AE659" s="15" t="str">
        <f>IFERROR((VLOOKUP(Tabla13[[#This Row],[ID]],[1]!Mtto_Pesv[[#Headers],[#Data],[Placa]:[Rutina]],2,FALSE)),"-")</f>
        <v>-</v>
      </c>
      <c r="AF659" s="14">
        <v>1</v>
      </c>
      <c r="AG659" s="20">
        <f>IFERROR((VLOOKUP(Tabla13[[#This Row],[ID]],[1]!Mtto_Pesv[[#Headers],[#Data],[Placa]:[Rutina]],3,FALSE)),0)</f>
        <v>0</v>
      </c>
      <c r="AH659" s="20">
        <f>IFERROR((VLOOKUP(Tabla13[[#This Row],[ID]],[1]!Mtto_Pesv[[#Headers],[#Data],[Placa]:[Rutina]],7,FALSE)),0)</f>
        <v>0</v>
      </c>
      <c r="AI659" s="20">
        <f>IFERROR((VLOOKUP(Tabla13[[#This Row],[ID]],[1]!Mtto_Pesv[[#Headers],[#Data],[Placa]:[Rutina]],8,FALSE)),0)</f>
        <v>0</v>
      </c>
      <c r="AJ659" s="20" t="str">
        <f>IFERROR((VLOOKUP(Tabla13[[#This Row],[ID]],[1]!Mtto_Pesv[[#Headers],[#Data],[Placa]:[Rutina]],9,FALSE)),"-")</f>
        <v>-</v>
      </c>
      <c r="AK659" s="20">
        <f>IFERROR((VLOOKUP(Tabla13[[#This Row],[ID]],[1]!Mtto_Pesv[[#Headers],[#Data],[Placa]:[Rutina]],10,FALSE)),0)</f>
        <v>0</v>
      </c>
      <c r="AL659" s="20">
        <f>IF(Tabla13[[#This Row],[Km Anterior]]=0,0,Tabla13[[#This Row],[Km Ejecut]]-Tabla13[[#This Row],[Km Anterior]])</f>
        <v>0</v>
      </c>
      <c r="AM659" s="20">
        <f>IFERROR((VLOOKUP(Tabla13[[#This Row],[ID]],[1]!Mtto_Pesv[[#Headers],[#Data],[Placa]:[Rutina]],4,FALSE)),0)</f>
        <v>0</v>
      </c>
      <c r="AN659" s="21">
        <f>IFERROR((VLOOKUP(Tabla13[[#This Row],[ID]],[1]!Mtto_Pesv[[#Headers],[#Data],[Placa]:[Rutina]],5,FALSE)),0)</f>
        <v>0</v>
      </c>
      <c r="AO659" s="21">
        <f>+Tabla13[[#This Row],[Km Fin]]-Tabla13[[#This Row],[Km Ini]]</f>
        <v>0</v>
      </c>
      <c r="AP659" s="20">
        <f>IFERROR((VLOOKUP(Tabla13[[#This Row],[ID]],[1]!Estilo_Conduccion[[#All],[Placa]:[Puntuacion]],15,FALSE)),0)</f>
        <v>0</v>
      </c>
      <c r="AQ659" s="15" t="s">
        <v>1487</v>
      </c>
      <c r="AR659" s="15" t="s">
        <v>1488</v>
      </c>
      <c r="AS659" s="20">
        <v>2000</v>
      </c>
      <c r="AT659" s="21">
        <v>8179.5</v>
      </c>
      <c r="AU659" s="21">
        <f>(Tabla13[[#This Row],[Cap Vh]]*$AX$2)*0.56</f>
        <v>0</v>
      </c>
      <c r="AV659" s="36" t="e">
        <f>(Tabla13[[#This Row],[Cap Util (kg)]]/(Tabla13[[#This Row],[Cap Inst (Kg)]]))</f>
        <v>#DIV/0!</v>
      </c>
    </row>
    <row r="660" spans="1:48" x14ac:dyDescent="0.25">
      <c r="A660" s="13" t="s">
        <v>1068</v>
      </c>
      <c r="B660" s="14" t="s">
        <v>888</v>
      </c>
      <c r="C660" s="14" t="s">
        <v>749</v>
      </c>
      <c r="D660" s="14" t="s">
        <v>749</v>
      </c>
      <c r="E660" s="14" t="s">
        <v>842</v>
      </c>
      <c r="F660" s="14" t="s">
        <v>76</v>
      </c>
      <c r="G660" s="15" t="s">
        <v>89</v>
      </c>
      <c r="H660" s="16" t="s">
        <v>90</v>
      </c>
      <c r="I660" s="14" t="s">
        <v>49</v>
      </c>
      <c r="J660" s="14">
        <v>900335279</v>
      </c>
      <c r="K660" s="14" t="s">
        <v>77</v>
      </c>
      <c r="L660" s="14" t="s">
        <v>103</v>
      </c>
      <c r="M660" s="14" t="s">
        <v>104</v>
      </c>
      <c r="N660" s="14">
        <v>2003</v>
      </c>
      <c r="O660" s="14">
        <v>17</v>
      </c>
      <c r="P660" s="14" t="s">
        <v>173</v>
      </c>
      <c r="Q660" s="14">
        <v>0</v>
      </c>
      <c r="R660" s="14">
        <v>0</v>
      </c>
      <c r="S660" s="17" t="s">
        <v>54</v>
      </c>
      <c r="T660" s="18">
        <v>0</v>
      </c>
      <c r="U660" s="14">
        <v>30</v>
      </c>
      <c r="V660" s="19">
        <v>1</v>
      </c>
      <c r="W660" s="14">
        <v>0</v>
      </c>
      <c r="X660" s="14">
        <v>26</v>
      </c>
      <c r="Y660" s="14">
        <v>1</v>
      </c>
      <c r="Z660" s="14">
        <v>0</v>
      </c>
      <c r="AA660" s="14">
        <f>Tabla13[[#This Row],[CheckList App]]+Tabla13[[#This Row],[CheckList Fisc]]</f>
        <v>1</v>
      </c>
      <c r="AB660" s="19">
        <f t="shared" si="10"/>
        <v>3.8461538461538464E-2</v>
      </c>
      <c r="AC660" s="14">
        <v>0</v>
      </c>
      <c r="AD660" s="14" t="s">
        <v>70</v>
      </c>
      <c r="AE660" s="15" t="str">
        <f>IFERROR((VLOOKUP(Tabla13[[#This Row],[ID]],[1]!Mtto_Pesv[[#Headers],[#Data],[Placa]:[Rutina]],2,FALSE)),"-")</f>
        <v>-</v>
      </c>
      <c r="AF660" s="14">
        <v>1</v>
      </c>
      <c r="AG660" s="20">
        <f>IFERROR((VLOOKUP(Tabla13[[#This Row],[ID]],[1]!Mtto_Pesv[[#Headers],[#Data],[Placa]:[Rutina]],3,FALSE)),0)</f>
        <v>0</v>
      </c>
      <c r="AH660" s="20">
        <f>IFERROR((VLOOKUP(Tabla13[[#This Row],[ID]],[1]!Mtto_Pesv[[#Headers],[#Data],[Placa]:[Rutina]],7,FALSE)),0)</f>
        <v>0</v>
      </c>
      <c r="AI660" s="20">
        <f>IFERROR((VLOOKUP(Tabla13[[#This Row],[ID]],[1]!Mtto_Pesv[[#Headers],[#Data],[Placa]:[Rutina]],8,FALSE)),0)</f>
        <v>0</v>
      </c>
      <c r="AJ660" s="20" t="str">
        <f>IFERROR((VLOOKUP(Tabla13[[#This Row],[ID]],[1]!Mtto_Pesv[[#Headers],[#Data],[Placa]:[Rutina]],9,FALSE)),"-")</f>
        <v>-</v>
      </c>
      <c r="AK660" s="20">
        <f>IFERROR((VLOOKUP(Tabla13[[#This Row],[ID]],[1]!Mtto_Pesv[[#Headers],[#Data],[Placa]:[Rutina]],10,FALSE)),0)</f>
        <v>0</v>
      </c>
      <c r="AL660" s="20">
        <f>IF(Tabla13[[#This Row],[Km Anterior]]=0,0,Tabla13[[#This Row],[Km Ejecut]]-Tabla13[[#This Row],[Km Anterior]])</f>
        <v>0</v>
      </c>
      <c r="AM660" s="20">
        <f>IFERROR((VLOOKUP(Tabla13[[#This Row],[ID]],[1]!Mtto_Pesv[[#Headers],[#Data],[Placa]:[Rutina]],4,FALSE)),0)</f>
        <v>0</v>
      </c>
      <c r="AN660" s="21">
        <f>IFERROR((VLOOKUP(Tabla13[[#This Row],[ID]],[1]!Mtto_Pesv[[#Headers],[#Data],[Placa]:[Rutina]],5,FALSE)),0)</f>
        <v>0</v>
      </c>
      <c r="AO660" s="21">
        <f>+Tabla13[[#This Row],[Km Fin]]-Tabla13[[#This Row],[Km Ini]]</f>
        <v>0</v>
      </c>
      <c r="AP660" s="20">
        <f>IFERROR((VLOOKUP(Tabla13[[#This Row],[ID]],[1]!Estilo_Conduccion[[#All],[Placa]:[Puntuacion]],15,FALSE)),0)</f>
        <v>0</v>
      </c>
      <c r="AQ660" s="15" t="s">
        <v>1489</v>
      </c>
      <c r="AR660" s="15" t="s">
        <v>1490</v>
      </c>
      <c r="AS660" s="20">
        <v>2500</v>
      </c>
      <c r="AT660" s="21">
        <v>5445</v>
      </c>
      <c r="AU660" s="21">
        <f>(Tabla13[[#This Row],[Cap Vh]]*$AX$2)*0.56</f>
        <v>0</v>
      </c>
      <c r="AV660" s="36" t="e">
        <f>(Tabla13[[#This Row],[Cap Util (kg)]]/(Tabla13[[#This Row],[Cap Inst (Kg)]]))</f>
        <v>#DIV/0!</v>
      </c>
    </row>
    <row r="661" spans="1:48" x14ac:dyDescent="0.25">
      <c r="A661" s="13" t="s">
        <v>1068</v>
      </c>
      <c r="B661" s="14" t="s">
        <v>889</v>
      </c>
      <c r="C661" s="14" t="s">
        <v>749</v>
      </c>
      <c r="D661" s="14" t="s">
        <v>749</v>
      </c>
      <c r="E661" s="14" t="s">
        <v>842</v>
      </c>
      <c r="F661" s="14" t="s">
        <v>64</v>
      </c>
      <c r="G661" s="15" t="s">
        <v>47</v>
      </c>
      <c r="H661" s="16" t="s">
        <v>48</v>
      </c>
      <c r="I661" s="14" t="s">
        <v>49</v>
      </c>
      <c r="J661" s="14">
        <v>900335279</v>
      </c>
      <c r="K661" s="14" t="s">
        <v>77</v>
      </c>
      <c r="L661" s="14" t="s">
        <v>103</v>
      </c>
      <c r="M661" s="14" t="s">
        <v>121</v>
      </c>
      <c r="N661" s="14">
        <v>2005</v>
      </c>
      <c r="O661" s="14">
        <v>15</v>
      </c>
      <c r="P661" s="14" t="s">
        <v>173</v>
      </c>
      <c r="Q661" s="14">
        <v>0</v>
      </c>
      <c r="R661" s="14">
        <v>0</v>
      </c>
      <c r="S661" s="17" t="s">
        <v>54</v>
      </c>
      <c r="T661" s="18">
        <v>0</v>
      </c>
      <c r="U661" s="14">
        <v>30</v>
      </c>
      <c r="V661" s="19">
        <v>1</v>
      </c>
      <c r="W661" s="14">
        <v>0</v>
      </c>
      <c r="X661" s="14">
        <v>0</v>
      </c>
      <c r="Y661" s="14">
        <v>0</v>
      </c>
      <c r="Z661" s="14">
        <v>0</v>
      </c>
      <c r="AA661" s="14">
        <f>Tabla13[[#This Row],[CheckList App]]+Tabla13[[#This Row],[CheckList Fisc]]</f>
        <v>0</v>
      </c>
      <c r="AB661" s="19">
        <f t="shared" si="10"/>
        <v>0</v>
      </c>
      <c r="AC661" s="14">
        <v>0</v>
      </c>
      <c r="AD661" s="14" t="s">
        <v>70</v>
      </c>
      <c r="AE661" s="15" t="str">
        <f>IFERROR((VLOOKUP(Tabla13[[#This Row],[ID]],[1]!Mtto_Pesv[[#Headers],[#Data],[Placa]:[Rutina]],2,FALSE)),"-")</f>
        <v>-</v>
      </c>
      <c r="AF661" s="14">
        <v>1</v>
      </c>
      <c r="AG661" s="20">
        <f>IFERROR((VLOOKUP(Tabla13[[#This Row],[ID]],[1]!Mtto_Pesv[[#Headers],[#Data],[Placa]:[Rutina]],3,FALSE)),0)</f>
        <v>0</v>
      </c>
      <c r="AH661" s="20">
        <f>IFERROR((VLOOKUP(Tabla13[[#This Row],[ID]],[1]!Mtto_Pesv[[#Headers],[#Data],[Placa]:[Rutina]],7,FALSE)),0)</f>
        <v>0</v>
      </c>
      <c r="AI661" s="20">
        <f>IFERROR((VLOOKUP(Tabla13[[#This Row],[ID]],[1]!Mtto_Pesv[[#Headers],[#Data],[Placa]:[Rutina]],8,FALSE)),0)</f>
        <v>0</v>
      </c>
      <c r="AJ661" s="20" t="str">
        <f>IFERROR((VLOOKUP(Tabla13[[#This Row],[ID]],[1]!Mtto_Pesv[[#Headers],[#Data],[Placa]:[Rutina]],9,FALSE)),"-")</f>
        <v>-</v>
      </c>
      <c r="AK661" s="20">
        <f>IFERROR((VLOOKUP(Tabla13[[#This Row],[ID]],[1]!Mtto_Pesv[[#Headers],[#Data],[Placa]:[Rutina]],10,FALSE)),0)</f>
        <v>0</v>
      </c>
      <c r="AL661" s="20">
        <f>IF(Tabla13[[#This Row],[Km Anterior]]=0,0,Tabla13[[#This Row],[Km Ejecut]]-Tabla13[[#This Row],[Km Anterior]])</f>
        <v>0</v>
      </c>
      <c r="AM661" s="20">
        <f>IFERROR((VLOOKUP(Tabla13[[#This Row],[ID]],[1]!Mtto_Pesv[[#Headers],[#Data],[Placa]:[Rutina]],4,FALSE)),0)</f>
        <v>0</v>
      </c>
      <c r="AN661" s="21">
        <f>IFERROR((VLOOKUP(Tabla13[[#This Row],[ID]],[1]!Mtto_Pesv[[#Headers],[#Data],[Placa]:[Rutina]],5,FALSE)),0)</f>
        <v>0</v>
      </c>
      <c r="AO661" s="21">
        <f>+Tabla13[[#This Row],[Km Fin]]-Tabla13[[#This Row],[Km Ini]]</f>
        <v>0</v>
      </c>
      <c r="AP661" s="20">
        <f>IFERROR((VLOOKUP(Tabla13[[#This Row],[ID]],[1]!Estilo_Conduccion[[#All],[Placa]:[Puntuacion]],15,FALSE)),0)</f>
        <v>0</v>
      </c>
      <c r="AQ661" s="15" t="s">
        <v>1491</v>
      </c>
      <c r="AR661" s="15" t="s">
        <v>1492</v>
      </c>
      <c r="AS661" s="20">
        <v>3300</v>
      </c>
      <c r="AT661" s="21">
        <v>10845</v>
      </c>
      <c r="AU661" s="21">
        <f>(Tabla13[[#This Row],[Cap Vh]]*$AX$2)*0.56</f>
        <v>0</v>
      </c>
      <c r="AV661" s="36" t="e">
        <f>(Tabla13[[#This Row],[Cap Util (kg)]]/(Tabla13[[#This Row],[Cap Inst (Kg)]]))</f>
        <v>#DIV/0!</v>
      </c>
    </row>
    <row r="662" spans="1:48" x14ac:dyDescent="0.25">
      <c r="A662" s="13" t="s">
        <v>1068</v>
      </c>
      <c r="B662" s="14" t="s">
        <v>890</v>
      </c>
      <c r="C662" s="14" t="s">
        <v>749</v>
      </c>
      <c r="D662" s="14" t="s">
        <v>749</v>
      </c>
      <c r="E662" s="14" t="s">
        <v>845</v>
      </c>
      <c r="F662" s="14" t="s">
        <v>64</v>
      </c>
      <c r="G662" s="14" t="s">
        <v>65</v>
      </c>
      <c r="H662" s="16" t="s">
        <v>66</v>
      </c>
      <c r="I662" s="14" t="s">
        <v>49</v>
      </c>
      <c r="J662" s="14">
        <v>900335279</v>
      </c>
      <c r="K662" s="14" t="s">
        <v>77</v>
      </c>
      <c r="L662" s="14" t="s">
        <v>103</v>
      </c>
      <c r="M662" s="14" t="s">
        <v>269</v>
      </c>
      <c r="N662" s="14">
        <v>2006</v>
      </c>
      <c r="O662" s="14">
        <v>14</v>
      </c>
      <c r="P662" s="14" t="s">
        <v>173</v>
      </c>
      <c r="Q662" s="14">
        <v>0</v>
      </c>
      <c r="R662" s="14">
        <v>0</v>
      </c>
      <c r="S662" s="17" t="s">
        <v>54</v>
      </c>
      <c r="T662" s="18">
        <v>0</v>
      </c>
      <c r="U662" s="14">
        <v>0</v>
      </c>
      <c r="V662" s="19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f>Tabla13[[#This Row],[CheckList App]]+Tabla13[[#This Row],[CheckList Fisc]]</f>
        <v>0</v>
      </c>
      <c r="AB662" s="19" t="str">
        <f t="shared" si="10"/>
        <v/>
      </c>
      <c r="AC662" s="14">
        <v>0</v>
      </c>
      <c r="AD662" s="14" t="s">
        <v>70</v>
      </c>
      <c r="AE662" s="15" t="str">
        <f>IFERROR((VLOOKUP(Tabla13[[#This Row],[ID]],[1]!Mtto_Pesv[[#Headers],[#Data],[Placa]:[Rutina]],2,FALSE)),"-")</f>
        <v>-</v>
      </c>
      <c r="AF662" s="14">
        <v>1</v>
      </c>
      <c r="AG662" s="20">
        <f>IFERROR((VLOOKUP(Tabla13[[#This Row],[ID]],[1]!Mtto_Pesv[[#Headers],[#Data],[Placa]:[Rutina]],3,FALSE)),0)</f>
        <v>0</v>
      </c>
      <c r="AH662" s="20">
        <f>IFERROR((VLOOKUP(Tabla13[[#This Row],[ID]],[1]!Mtto_Pesv[[#Headers],[#Data],[Placa]:[Rutina]],7,FALSE)),0)</f>
        <v>0</v>
      </c>
      <c r="AI662" s="20">
        <f>IFERROR((VLOOKUP(Tabla13[[#This Row],[ID]],[1]!Mtto_Pesv[[#Headers],[#Data],[Placa]:[Rutina]],8,FALSE)),0)</f>
        <v>0</v>
      </c>
      <c r="AJ662" s="20" t="str">
        <f>IFERROR((VLOOKUP(Tabla13[[#This Row],[ID]],[1]!Mtto_Pesv[[#Headers],[#Data],[Placa]:[Rutina]],9,FALSE)),"-")</f>
        <v>-</v>
      </c>
      <c r="AK662" s="20">
        <f>IFERROR((VLOOKUP(Tabla13[[#This Row],[ID]],[1]!Mtto_Pesv[[#Headers],[#Data],[Placa]:[Rutina]],10,FALSE)),0)</f>
        <v>0</v>
      </c>
      <c r="AL662" s="20">
        <f>IF(Tabla13[[#This Row],[Km Anterior]]=0,0,Tabla13[[#This Row],[Km Ejecut]]-Tabla13[[#This Row],[Km Anterior]])</f>
        <v>0</v>
      </c>
      <c r="AM662" s="20">
        <f>IFERROR((VLOOKUP(Tabla13[[#This Row],[ID]],[1]!Mtto_Pesv[[#Headers],[#Data],[Placa]:[Rutina]],4,FALSE)),0)</f>
        <v>0</v>
      </c>
      <c r="AN662" s="21">
        <f>IFERROR((VLOOKUP(Tabla13[[#This Row],[ID]],[1]!Mtto_Pesv[[#Headers],[#Data],[Placa]:[Rutina]],5,FALSE)),0)</f>
        <v>0</v>
      </c>
      <c r="AO662" s="21">
        <f>+Tabla13[[#This Row],[Km Fin]]-Tabla13[[#This Row],[Km Ini]]</f>
        <v>0</v>
      </c>
      <c r="AP662" s="20">
        <f>IFERROR((VLOOKUP(Tabla13[[#This Row],[ID]],[1]!Estilo_Conduccion[[#All],[Placa]:[Puntuacion]],15,FALSE)),0)</f>
        <v>0</v>
      </c>
      <c r="AQ662" s="15" t="s">
        <v>54</v>
      </c>
      <c r="AR662" s="15" t="s">
        <v>54</v>
      </c>
      <c r="AS662" s="20">
        <v>1000</v>
      </c>
      <c r="AT662" s="21">
        <v>0</v>
      </c>
      <c r="AU662" s="21">
        <f>(Tabla13[[#This Row],[Cap Vh]]*$AX$2)*0.56</f>
        <v>0</v>
      </c>
      <c r="AV662" s="36" t="e">
        <f>(Tabla13[[#This Row],[Cap Util (kg)]]/(Tabla13[[#This Row],[Cap Inst (Kg)]]))</f>
        <v>#DIV/0!</v>
      </c>
    </row>
    <row r="663" spans="1:48" x14ac:dyDescent="0.25">
      <c r="A663" s="13" t="s">
        <v>1068</v>
      </c>
      <c r="B663" s="14" t="s">
        <v>891</v>
      </c>
      <c r="C663" s="14" t="s">
        <v>749</v>
      </c>
      <c r="D663" s="14" t="s">
        <v>749</v>
      </c>
      <c r="E663" s="14" t="s">
        <v>872</v>
      </c>
      <c r="F663" s="14" t="s">
        <v>64</v>
      </c>
      <c r="G663" s="15" t="s">
        <v>47</v>
      </c>
      <c r="H663" s="16" t="s">
        <v>48</v>
      </c>
      <c r="I663" s="14" t="s">
        <v>49</v>
      </c>
      <c r="J663" s="14">
        <v>900335279</v>
      </c>
      <c r="K663" s="14" t="s">
        <v>77</v>
      </c>
      <c r="L663" s="14" t="s">
        <v>103</v>
      </c>
      <c r="M663" s="14" t="s">
        <v>269</v>
      </c>
      <c r="N663" s="14">
        <v>2006</v>
      </c>
      <c r="O663" s="14">
        <v>14</v>
      </c>
      <c r="P663" s="14" t="s">
        <v>173</v>
      </c>
      <c r="Q663" s="14">
        <v>0</v>
      </c>
      <c r="R663" s="14">
        <v>0</v>
      </c>
      <c r="S663" s="17" t="s">
        <v>54</v>
      </c>
      <c r="T663" s="18">
        <v>0</v>
      </c>
      <c r="U663" s="14">
        <v>29</v>
      </c>
      <c r="V663" s="19">
        <v>0.96666666666666667</v>
      </c>
      <c r="W663" s="14">
        <v>0</v>
      </c>
      <c r="X663" s="14">
        <v>0</v>
      </c>
      <c r="Y663" s="14">
        <v>0</v>
      </c>
      <c r="Z663" s="14">
        <v>0</v>
      </c>
      <c r="AA663" s="14">
        <f>Tabla13[[#This Row],[CheckList App]]+Tabla13[[#This Row],[CheckList Fisc]]</f>
        <v>0</v>
      </c>
      <c r="AB663" s="19">
        <f t="shared" si="10"/>
        <v>0</v>
      </c>
      <c r="AC663" s="14">
        <v>0</v>
      </c>
      <c r="AD663" s="14" t="s">
        <v>70</v>
      </c>
      <c r="AE663" s="15" t="str">
        <f>IFERROR((VLOOKUP(Tabla13[[#This Row],[ID]],[1]!Mtto_Pesv[[#Headers],[#Data],[Placa]:[Rutina]],2,FALSE)),"-")</f>
        <v>-</v>
      </c>
      <c r="AF663" s="14">
        <v>1</v>
      </c>
      <c r="AG663" s="20">
        <f>IFERROR((VLOOKUP(Tabla13[[#This Row],[ID]],[1]!Mtto_Pesv[[#Headers],[#Data],[Placa]:[Rutina]],3,FALSE)),0)</f>
        <v>0</v>
      </c>
      <c r="AH663" s="20">
        <f>IFERROR((VLOOKUP(Tabla13[[#This Row],[ID]],[1]!Mtto_Pesv[[#Headers],[#Data],[Placa]:[Rutina]],7,FALSE)),0)</f>
        <v>0</v>
      </c>
      <c r="AI663" s="20">
        <f>IFERROR((VLOOKUP(Tabla13[[#This Row],[ID]],[1]!Mtto_Pesv[[#Headers],[#Data],[Placa]:[Rutina]],8,FALSE)),0)</f>
        <v>0</v>
      </c>
      <c r="AJ663" s="20" t="str">
        <f>IFERROR((VLOOKUP(Tabla13[[#This Row],[ID]],[1]!Mtto_Pesv[[#Headers],[#Data],[Placa]:[Rutina]],9,FALSE)),"-")</f>
        <v>-</v>
      </c>
      <c r="AK663" s="20">
        <f>IFERROR((VLOOKUP(Tabla13[[#This Row],[ID]],[1]!Mtto_Pesv[[#Headers],[#Data],[Placa]:[Rutina]],10,FALSE)),0)</f>
        <v>0</v>
      </c>
      <c r="AL663" s="20">
        <f>IF(Tabla13[[#This Row],[Km Anterior]]=0,0,Tabla13[[#This Row],[Km Ejecut]]-Tabla13[[#This Row],[Km Anterior]])</f>
        <v>0</v>
      </c>
      <c r="AM663" s="20">
        <f>IFERROR((VLOOKUP(Tabla13[[#This Row],[ID]],[1]!Mtto_Pesv[[#Headers],[#Data],[Placa]:[Rutina]],4,FALSE)),0)</f>
        <v>0</v>
      </c>
      <c r="AN663" s="21">
        <f>IFERROR((VLOOKUP(Tabla13[[#This Row],[ID]],[1]!Mtto_Pesv[[#Headers],[#Data],[Placa]:[Rutina]],5,FALSE)),0)</f>
        <v>0</v>
      </c>
      <c r="AO663" s="21">
        <f>+Tabla13[[#This Row],[Km Fin]]-Tabla13[[#This Row],[Km Ini]]</f>
        <v>0</v>
      </c>
      <c r="AP663" s="20">
        <f>IFERROR((VLOOKUP(Tabla13[[#This Row],[ID]],[1]!Estilo_Conduccion[[#All],[Placa]:[Puntuacion]],15,FALSE)),0)</f>
        <v>0</v>
      </c>
      <c r="AQ663" s="15" t="s">
        <v>1493</v>
      </c>
      <c r="AR663" s="15" t="s">
        <v>1494</v>
      </c>
      <c r="AS663" s="20">
        <v>550</v>
      </c>
      <c r="AT663" s="21">
        <v>2694</v>
      </c>
      <c r="AU663" s="21">
        <f>(Tabla13[[#This Row],[Cap Vh]]*$AX$2)*0.56</f>
        <v>0</v>
      </c>
      <c r="AV663" s="36" t="e">
        <f>(Tabla13[[#This Row],[Cap Util (kg)]]/(Tabla13[[#This Row],[Cap Inst (Kg)]]))</f>
        <v>#DIV/0!</v>
      </c>
    </row>
    <row r="664" spans="1:48" x14ac:dyDescent="0.25">
      <c r="A664" s="13" t="s">
        <v>1068</v>
      </c>
      <c r="B664" s="14" t="s">
        <v>892</v>
      </c>
      <c r="C664" s="14" t="s">
        <v>749</v>
      </c>
      <c r="D664" s="14" t="s">
        <v>749</v>
      </c>
      <c r="E664" s="14" t="s">
        <v>848</v>
      </c>
      <c r="F664" s="14" t="s">
        <v>76</v>
      </c>
      <c r="G664" s="15" t="s">
        <v>89</v>
      </c>
      <c r="H664" s="16" t="s">
        <v>90</v>
      </c>
      <c r="I664" s="14" t="s">
        <v>49</v>
      </c>
      <c r="J664" s="14">
        <v>900335279</v>
      </c>
      <c r="K664" s="14" t="s">
        <v>77</v>
      </c>
      <c r="L664" s="14" t="s">
        <v>103</v>
      </c>
      <c r="M664" s="14" t="s">
        <v>269</v>
      </c>
      <c r="N664" s="14">
        <v>2006</v>
      </c>
      <c r="O664" s="14">
        <v>14</v>
      </c>
      <c r="P664" s="14" t="s">
        <v>173</v>
      </c>
      <c r="Q664" s="14">
        <v>0</v>
      </c>
      <c r="R664" s="14">
        <v>0</v>
      </c>
      <c r="S664" s="17" t="s">
        <v>54</v>
      </c>
      <c r="T664" s="18">
        <v>0</v>
      </c>
      <c r="U664" s="14">
        <v>30</v>
      </c>
      <c r="V664" s="19">
        <v>1</v>
      </c>
      <c r="W664" s="14">
        <v>0</v>
      </c>
      <c r="X664" s="14">
        <v>0</v>
      </c>
      <c r="Y664" s="14">
        <v>0</v>
      </c>
      <c r="Z664" s="14">
        <v>0</v>
      </c>
      <c r="AA664" s="14">
        <f>Tabla13[[#This Row],[CheckList App]]+Tabla13[[#This Row],[CheckList Fisc]]</f>
        <v>0</v>
      </c>
      <c r="AB664" s="19">
        <f t="shared" si="10"/>
        <v>0</v>
      </c>
      <c r="AC664" s="14">
        <v>0</v>
      </c>
      <c r="AD664" s="14" t="s">
        <v>70</v>
      </c>
      <c r="AE664" s="15" t="str">
        <f>IFERROR((VLOOKUP(Tabla13[[#This Row],[ID]],[1]!Mtto_Pesv[[#Headers],[#Data],[Placa]:[Rutina]],2,FALSE)),"-")</f>
        <v>-</v>
      </c>
      <c r="AF664" s="14">
        <v>1</v>
      </c>
      <c r="AG664" s="20">
        <f>IFERROR((VLOOKUP(Tabla13[[#This Row],[ID]],[1]!Mtto_Pesv[[#Headers],[#Data],[Placa]:[Rutina]],3,FALSE)),0)</f>
        <v>0</v>
      </c>
      <c r="AH664" s="20">
        <f>IFERROR((VLOOKUP(Tabla13[[#This Row],[ID]],[1]!Mtto_Pesv[[#Headers],[#Data],[Placa]:[Rutina]],7,FALSE)),0)</f>
        <v>0</v>
      </c>
      <c r="AI664" s="20">
        <f>IFERROR((VLOOKUP(Tabla13[[#This Row],[ID]],[1]!Mtto_Pesv[[#Headers],[#Data],[Placa]:[Rutina]],8,FALSE)),0)</f>
        <v>0</v>
      </c>
      <c r="AJ664" s="20" t="str">
        <f>IFERROR((VLOOKUP(Tabla13[[#This Row],[ID]],[1]!Mtto_Pesv[[#Headers],[#Data],[Placa]:[Rutina]],9,FALSE)),"-")</f>
        <v>-</v>
      </c>
      <c r="AK664" s="20">
        <f>IFERROR((VLOOKUP(Tabla13[[#This Row],[ID]],[1]!Mtto_Pesv[[#Headers],[#Data],[Placa]:[Rutina]],10,FALSE)),0)</f>
        <v>0</v>
      </c>
      <c r="AL664" s="20">
        <f>IF(Tabla13[[#This Row],[Km Anterior]]=0,0,Tabla13[[#This Row],[Km Ejecut]]-Tabla13[[#This Row],[Km Anterior]])</f>
        <v>0</v>
      </c>
      <c r="AM664" s="20">
        <f>IFERROR((VLOOKUP(Tabla13[[#This Row],[ID]],[1]!Mtto_Pesv[[#Headers],[#Data],[Placa]:[Rutina]],4,FALSE)),0)</f>
        <v>0</v>
      </c>
      <c r="AN664" s="21">
        <f>IFERROR((VLOOKUP(Tabla13[[#This Row],[ID]],[1]!Mtto_Pesv[[#Headers],[#Data],[Placa]:[Rutina]],5,FALSE)),0)</f>
        <v>0</v>
      </c>
      <c r="AO664" s="21">
        <f>+Tabla13[[#This Row],[Km Fin]]-Tabla13[[#This Row],[Km Ini]]</f>
        <v>0</v>
      </c>
      <c r="AP664" s="20">
        <f>IFERROR((VLOOKUP(Tabla13[[#This Row],[ID]],[1]!Estilo_Conduccion[[#All],[Placa]:[Puntuacion]],15,FALSE)),0)</f>
        <v>0</v>
      </c>
      <c r="AQ664" s="15" t="s">
        <v>1457</v>
      </c>
      <c r="AR664" s="15" t="s">
        <v>1458</v>
      </c>
      <c r="AS664" s="20">
        <v>1000</v>
      </c>
      <c r="AT664" s="21">
        <v>8189.25</v>
      </c>
      <c r="AU664" s="21">
        <f>(Tabla13[[#This Row],[Cap Vh]]*$AX$2)*0.56</f>
        <v>0</v>
      </c>
      <c r="AV664" s="36" t="e">
        <f>(Tabla13[[#This Row],[Cap Util (kg)]]/(Tabla13[[#This Row],[Cap Inst (Kg)]]))</f>
        <v>#DIV/0!</v>
      </c>
    </row>
    <row r="665" spans="1:48" x14ac:dyDescent="0.25">
      <c r="A665" s="13" t="s">
        <v>1068</v>
      </c>
      <c r="B665" s="14" t="s">
        <v>893</v>
      </c>
      <c r="C665" s="14" t="s">
        <v>749</v>
      </c>
      <c r="D665" s="14" t="s">
        <v>749</v>
      </c>
      <c r="E665" s="14" t="s">
        <v>845</v>
      </c>
      <c r="F665" s="14" t="s">
        <v>64</v>
      </c>
      <c r="G665" s="15" t="s">
        <v>119</v>
      </c>
      <c r="H665" s="16" t="s">
        <v>120</v>
      </c>
      <c r="I665" s="14" t="s">
        <v>49</v>
      </c>
      <c r="J665" s="14">
        <v>900335279</v>
      </c>
      <c r="K665" s="14" t="s">
        <v>77</v>
      </c>
      <c r="L665" s="14" t="s">
        <v>103</v>
      </c>
      <c r="M665" s="14" t="s">
        <v>269</v>
      </c>
      <c r="N665" s="14">
        <v>2006</v>
      </c>
      <c r="O665" s="14">
        <v>14</v>
      </c>
      <c r="P665" s="14" t="s">
        <v>173</v>
      </c>
      <c r="Q665" s="14">
        <v>0</v>
      </c>
      <c r="R665" s="14">
        <v>1</v>
      </c>
      <c r="S665" s="17">
        <v>44824.734791666669</v>
      </c>
      <c r="T665" s="18">
        <v>7.4109999999999996</v>
      </c>
      <c r="U665" s="14">
        <v>30</v>
      </c>
      <c r="V665" s="19">
        <v>1</v>
      </c>
      <c r="W665" s="14">
        <v>0</v>
      </c>
      <c r="X665" s="14">
        <v>3</v>
      </c>
      <c r="Y665" s="14">
        <v>3</v>
      </c>
      <c r="Z665" s="14">
        <v>0</v>
      </c>
      <c r="AA665" s="14">
        <f>Tabla13[[#This Row],[CheckList App]]+Tabla13[[#This Row],[CheckList Fisc]]</f>
        <v>3</v>
      </c>
      <c r="AB665" s="19">
        <f t="shared" si="10"/>
        <v>1</v>
      </c>
      <c r="AC665" s="14">
        <v>0</v>
      </c>
      <c r="AD665" s="14" t="s">
        <v>70</v>
      </c>
      <c r="AE665" s="22" t="str">
        <f>IFERROR((VLOOKUP(Tabla13[[#This Row],[ID]],[1]!Mtto_Pesv[[#Headers],[#Data],[Placa]:[Rutina]],2,FALSE)),"-")</f>
        <v>-</v>
      </c>
      <c r="AF665" s="14">
        <v>1</v>
      </c>
      <c r="AG665" s="20">
        <f>IFERROR((VLOOKUP(Tabla13[[#This Row],[ID]],[1]!Mtto_Pesv[[#Headers],[#Data],[Placa]:[Rutina]],3,FALSE)),0)</f>
        <v>0</v>
      </c>
      <c r="AH665" s="20">
        <f>IFERROR((VLOOKUP(Tabla13[[#This Row],[ID]],[1]!Mtto_Pesv[[#Headers],[#Data],[Placa]:[Rutina]],7,FALSE)),0)</f>
        <v>0</v>
      </c>
      <c r="AI665" s="20">
        <f>IFERROR((VLOOKUP(Tabla13[[#This Row],[ID]],[1]!Mtto_Pesv[[#Headers],[#Data],[Placa]:[Rutina]],8,FALSE)),0)</f>
        <v>0</v>
      </c>
      <c r="AJ665" s="20" t="str">
        <f>IFERROR((VLOOKUP(Tabla13[[#This Row],[ID]],[1]!Mtto_Pesv[[#Headers],[#Data],[Placa]:[Rutina]],9,FALSE)),"-")</f>
        <v>-</v>
      </c>
      <c r="AK665" s="20">
        <f>IFERROR((VLOOKUP(Tabla13[[#This Row],[ID]],[1]!Mtto_Pesv[[#Headers],[#Data],[Placa]:[Rutina]],10,FALSE)),0)</f>
        <v>0</v>
      </c>
      <c r="AL665" s="20">
        <f>IF(Tabla13[[#This Row],[Km Anterior]]=0,0,Tabla13[[#This Row],[Km Ejecut]]-Tabla13[[#This Row],[Km Anterior]])</f>
        <v>0</v>
      </c>
      <c r="AM665" s="20">
        <f>IFERROR((VLOOKUP(Tabla13[[#This Row],[ID]],[1]!Mtto_Pesv[[#Headers],[#Data],[Placa]:[Rutina]],4,FALSE)),0)</f>
        <v>0</v>
      </c>
      <c r="AN665" s="21">
        <f>IFERROR((VLOOKUP(Tabla13[[#This Row],[ID]],[1]!Mtto_Pesv[[#Headers],[#Data],[Placa]:[Rutina]],5,FALSE)),0)</f>
        <v>0</v>
      </c>
      <c r="AO665" s="21">
        <f>+Tabla13[[#This Row],[Km Fin]]-Tabla13[[#This Row],[Km Ini]]</f>
        <v>0</v>
      </c>
      <c r="AP665" s="20">
        <f>IFERROR((VLOOKUP(Tabla13[[#This Row],[ID]],[1]!Estilo_Conduccion[[#All],[Placa]:[Puntuacion]],15,FALSE)),0)</f>
        <v>0</v>
      </c>
      <c r="AQ665" s="15" t="s">
        <v>54</v>
      </c>
      <c r="AR665" s="15" t="s">
        <v>1495</v>
      </c>
      <c r="AS665" s="20">
        <v>550</v>
      </c>
      <c r="AT665" s="21">
        <v>0</v>
      </c>
      <c r="AU665" s="21">
        <f>(Tabla13[[#This Row],[Cap Vh]]*$AX$2)*0.56</f>
        <v>0</v>
      </c>
      <c r="AV665" s="36" t="e">
        <f>(Tabla13[[#This Row],[Cap Util (kg)]]/(Tabla13[[#This Row],[Cap Inst (Kg)]]))</f>
        <v>#DIV/0!</v>
      </c>
    </row>
    <row r="666" spans="1:48" x14ac:dyDescent="0.25">
      <c r="A666" s="13" t="s">
        <v>1068</v>
      </c>
      <c r="B666" s="14" t="s">
        <v>894</v>
      </c>
      <c r="C666" s="14" t="s">
        <v>749</v>
      </c>
      <c r="D666" s="14" t="s">
        <v>749</v>
      </c>
      <c r="E666" s="14" t="s">
        <v>845</v>
      </c>
      <c r="F666" s="14" t="s">
        <v>64</v>
      </c>
      <c r="G666" s="15" t="s">
        <v>47</v>
      </c>
      <c r="H666" s="16" t="s">
        <v>48</v>
      </c>
      <c r="I666" s="14" t="s">
        <v>49</v>
      </c>
      <c r="J666" s="14">
        <v>900335279</v>
      </c>
      <c r="K666" s="14" t="s">
        <v>77</v>
      </c>
      <c r="L666" s="14" t="s">
        <v>103</v>
      </c>
      <c r="M666" s="14" t="s">
        <v>269</v>
      </c>
      <c r="N666" s="14">
        <v>2006</v>
      </c>
      <c r="O666" s="14">
        <v>14</v>
      </c>
      <c r="P666" s="14" t="s">
        <v>173</v>
      </c>
      <c r="Q666" s="14">
        <v>0</v>
      </c>
      <c r="R666" s="14">
        <v>0</v>
      </c>
      <c r="S666" s="17" t="s">
        <v>54</v>
      </c>
      <c r="T666" s="18">
        <v>0</v>
      </c>
      <c r="U666" s="14">
        <v>30</v>
      </c>
      <c r="V666" s="19">
        <v>1</v>
      </c>
      <c r="W666" s="14">
        <v>0</v>
      </c>
      <c r="X666" s="14">
        <v>0</v>
      </c>
      <c r="Y666" s="14">
        <v>0</v>
      </c>
      <c r="Z666" s="14">
        <v>0</v>
      </c>
      <c r="AA666" s="14">
        <f>Tabla13[[#This Row],[CheckList App]]+Tabla13[[#This Row],[CheckList Fisc]]</f>
        <v>0</v>
      </c>
      <c r="AB666" s="19">
        <f t="shared" si="10"/>
        <v>0</v>
      </c>
      <c r="AC666" s="14">
        <v>0</v>
      </c>
      <c r="AD666" s="14" t="s">
        <v>70</v>
      </c>
      <c r="AE666" s="15" t="str">
        <f>IFERROR((VLOOKUP(Tabla13[[#This Row],[ID]],[1]!Mtto_Pesv[[#Headers],[#Data],[Placa]:[Rutina]],2,FALSE)),"-")</f>
        <v>-</v>
      </c>
      <c r="AF666" s="14">
        <v>1</v>
      </c>
      <c r="AG666" s="20">
        <f>IFERROR((VLOOKUP(Tabla13[[#This Row],[ID]],[1]!Mtto_Pesv[[#Headers],[#Data],[Placa]:[Rutina]],3,FALSE)),0)</f>
        <v>0</v>
      </c>
      <c r="AH666" s="20">
        <f>IFERROR((VLOOKUP(Tabla13[[#This Row],[ID]],[1]!Mtto_Pesv[[#Headers],[#Data],[Placa]:[Rutina]],7,FALSE)),0)</f>
        <v>0</v>
      </c>
      <c r="AI666" s="20">
        <f>IFERROR((VLOOKUP(Tabla13[[#This Row],[ID]],[1]!Mtto_Pesv[[#Headers],[#Data],[Placa]:[Rutina]],8,FALSE)),0)</f>
        <v>0</v>
      </c>
      <c r="AJ666" s="20" t="str">
        <f>IFERROR((VLOOKUP(Tabla13[[#This Row],[ID]],[1]!Mtto_Pesv[[#Headers],[#Data],[Placa]:[Rutina]],9,FALSE)),"-")</f>
        <v>-</v>
      </c>
      <c r="AK666" s="20">
        <f>IFERROR((VLOOKUP(Tabla13[[#This Row],[ID]],[1]!Mtto_Pesv[[#Headers],[#Data],[Placa]:[Rutina]],10,FALSE)),0)</f>
        <v>0</v>
      </c>
      <c r="AL666" s="20">
        <f>IF(Tabla13[[#This Row],[Km Anterior]]=0,0,Tabla13[[#This Row],[Km Ejecut]]-Tabla13[[#This Row],[Km Anterior]])</f>
        <v>0</v>
      </c>
      <c r="AM666" s="20">
        <f>IFERROR((VLOOKUP(Tabla13[[#This Row],[ID]],[1]!Mtto_Pesv[[#Headers],[#Data],[Placa]:[Rutina]],4,FALSE)),0)</f>
        <v>0</v>
      </c>
      <c r="AN666" s="21">
        <f>IFERROR((VLOOKUP(Tabla13[[#This Row],[ID]],[1]!Mtto_Pesv[[#Headers],[#Data],[Placa]:[Rutina]],5,FALSE)),0)</f>
        <v>0</v>
      </c>
      <c r="AO666" s="21">
        <f>+Tabla13[[#This Row],[Km Fin]]-Tabla13[[#This Row],[Km Ini]]</f>
        <v>0</v>
      </c>
      <c r="AP666" s="20">
        <f>IFERROR((VLOOKUP(Tabla13[[#This Row],[ID]],[1]!Estilo_Conduccion[[#All],[Placa]:[Puntuacion]],15,FALSE)),0)</f>
        <v>0</v>
      </c>
      <c r="AQ666" s="15" t="s">
        <v>1496</v>
      </c>
      <c r="AR666" s="15" t="s">
        <v>1497</v>
      </c>
      <c r="AS666" s="20">
        <v>1000</v>
      </c>
      <c r="AT666" s="21">
        <v>3291</v>
      </c>
      <c r="AU666" s="21">
        <f>(Tabla13[[#This Row],[Cap Vh]]*$AX$2)*0.56</f>
        <v>0</v>
      </c>
      <c r="AV666" s="36" t="e">
        <f>(Tabla13[[#This Row],[Cap Util (kg)]]/(Tabla13[[#This Row],[Cap Inst (Kg)]]))</f>
        <v>#DIV/0!</v>
      </c>
    </row>
    <row r="667" spans="1:48" x14ac:dyDescent="0.25">
      <c r="A667" s="13" t="s">
        <v>1068</v>
      </c>
      <c r="B667" s="14" t="s">
        <v>895</v>
      </c>
      <c r="C667" s="14" t="s">
        <v>749</v>
      </c>
      <c r="D667" s="14" t="s">
        <v>749</v>
      </c>
      <c r="E667" s="14" t="s">
        <v>842</v>
      </c>
      <c r="F667" s="14" t="s">
        <v>64</v>
      </c>
      <c r="G667" s="14" t="s">
        <v>65</v>
      </c>
      <c r="H667" s="16" t="s">
        <v>66</v>
      </c>
      <c r="I667" s="14" t="s">
        <v>49</v>
      </c>
      <c r="J667" s="14">
        <v>900335279</v>
      </c>
      <c r="K667" s="14" t="s">
        <v>77</v>
      </c>
      <c r="L667" s="14" t="s">
        <v>103</v>
      </c>
      <c r="M667" s="14" t="s">
        <v>269</v>
      </c>
      <c r="N667" s="14">
        <v>2006</v>
      </c>
      <c r="O667" s="14">
        <v>14</v>
      </c>
      <c r="P667" s="14" t="s">
        <v>173</v>
      </c>
      <c r="Q667" s="14">
        <v>0</v>
      </c>
      <c r="R667" s="14">
        <v>0</v>
      </c>
      <c r="S667" s="17" t="s">
        <v>54</v>
      </c>
      <c r="T667" s="18">
        <v>0</v>
      </c>
      <c r="U667" s="14">
        <v>30</v>
      </c>
      <c r="V667" s="19">
        <v>1</v>
      </c>
      <c r="W667" s="14">
        <v>0</v>
      </c>
      <c r="X667" s="14">
        <v>0</v>
      </c>
      <c r="Y667" s="14">
        <v>0</v>
      </c>
      <c r="Z667" s="14">
        <v>0</v>
      </c>
      <c r="AA667" s="14">
        <f>Tabla13[[#This Row],[CheckList App]]+Tabla13[[#This Row],[CheckList Fisc]]</f>
        <v>0</v>
      </c>
      <c r="AB667" s="19">
        <f t="shared" si="10"/>
        <v>0</v>
      </c>
      <c r="AC667" s="14">
        <v>0</v>
      </c>
      <c r="AD667" s="14" t="s">
        <v>70</v>
      </c>
      <c r="AE667" s="15" t="str">
        <f>IFERROR((VLOOKUP(Tabla13[[#This Row],[ID]],[1]!Mtto_Pesv[[#Headers],[#Data],[Placa]:[Rutina]],2,FALSE)),"-")</f>
        <v>-</v>
      </c>
      <c r="AF667" s="14">
        <v>1</v>
      </c>
      <c r="AG667" s="20">
        <f>IFERROR((VLOOKUP(Tabla13[[#This Row],[ID]],[1]!Mtto_Pesv[[#Headers],[#Data],[Placa]:[Rutina]],3,FALSE)),0)</f>
        <v>0</v>
      </c>
      <c r="AH667" s="20">
        <f>IFERROR((VLOOKUP(Tabla13[[#This Row],[ID]],[1]!Mtto_Pesv[[#Headers],[#Data],[Placa]:[Rutina]],7,FALSE)),0)</f>
        <v>0</v>
      </c>
      <c r="AI667" s="20">
        <f>IFERROR((VLOOKUP(Tabla13[[#This Row],[ID]],[1]!Mtto_Pesv[[#Headers],[#Data],[Placa]:[Rutina]],8,FALSE)),0)</f>
        <v>0</v>
      </c>
      <c r="AJ667" s="20" t="str">
        <f>IFERROR((VLOOKUP(Tabla13[[#This Row],[ID]],[1]!Mtto_Pesv[[#Headers],[#Data],[Placa]:[Rutina]],9,FALSE)),"-")</f>
        <v>-</v>
      </c>
      <c r="AK667" s="20">
        <f>IFERROR((VLOOKUP(Tabla13[[#This Row],[ID]],[1]!Mtto_Pesv[[#Headers],[#Data],[Placa]:[Rutina]],10,FALSE)),0)</f>
        <v>0</v>
      </c>
      <c r="AL667" s="20">
        <f>IF(Tabla13[[#This Row],[Km Anterior]]=0,0,Tabla13[[#This Row],[Km Ejecut]]-Tabla13[[#This Row],[Km Anterior]])</f>
        <v>0</v>
      </c>
      <c r="AM667" s="20">
        <f>IFERROR((VLOOKUP(Tabla13[[#This Row],[ID]],[1]!Mtto_Pesv[[#Headers],[#Data],[Placa]:[Rutina]],4,FALSE)),0)</f>
        <v>0</v>
      </c>
      <c r="AN667" s="21">
        <f>IFERROR((VLOOKUP(Tabla13[[#This Row],[ID]],[1]!Mtto_Pesv[[#Headers],[#Data],[Placa]:[Rutina]],5,FALSE)),0)</f>
        <v>0</v>
      </c>
      <c r="AO667" s="21">
        <f>+Tabla13[[#This Row],[Km Fin]]-Tabla13[[#This Row],[Km Ini]]</f>
        <v>0</v>
      </c>
      <c r="AP667" s="20">
        <f>IFERROR((VLOOKUP(Tabla13[[#This Row],[ID]],[1]!Estilo_Conduccion[[#All],[Placa]:[Puntuacion]],15,FALSE)),0)</f>
        <v>0</v>
      </c>
      <c r="AQ667" s="15" t="s">
        <v>54</v>
      </c>
      <c r="AR667" s="15" t="s">
        <v>54</v>
      </c>
      <c r="AS667" s="20">
        <v>1000</v>
      </c>
      <c r="AT667" s="21">
        <v>0</v>
      </c>
      <c r="AU667" s="21">
        <f>(Tabla13[[#This Row],[Cap Vh]]*$AX$2)*0.56</f>
        <v>0</v>
      </c>
      <c r="AV667" s="36" t="e">
        <f>(Tabla13[[#This Row],[Cap Util (kg)]]/(Tabla13[[#This Row],[Cap Inst (Kg)]]))</f>
        <v>#DIV/0!</v>
      </c>
    </row>
    <row r="668" spans="1:48" x14ac:dyDescent="0.25">
      <c r="A668" s="13" t="s">
        <v>1068</v>
      </c>
      <c r="B668" s="14" t="s">
        <v>896</v>
      </c>
      <c r="C668" s="14" t="s">
        <v>749</v>
      </c>
      <c r="D668" s="14" t="s">
        <v>749</v>
      </c>
      <c r="E668" s="14" t="s">
        <v>897</v>
      </c>
      <c r="F668" s="14" t="s">
        <v>64</v>
      </c>
      <c r="G668" s="15" t="s">
        <v>47</v>
      </c>
      <c r="H668" s="16" t="s">
        <v>48</v>
      </c>
      <c r="I668" s="14" t="s">
        <v>49</v>
      </c>
      <c r="J668" s="14">
        <v>900335279</v>
      </c>
      <c r="K668" s="14" t="s">
        <v>77</v>
      </c>
      <c r="L668" s="14" t="s">
        <v>103</v>
      </c>
      <c r="M668" s="14" t="s">
        <v>269</v>
      </c>
      <c r="N668" s="14">
        <v>2007</v>
      </c>
      <c r="O668" s="14">
        <v>13</v>
      </c>
      <c r="P668" s="14" t="s">
        <v>173</v>
      </c>
      <c r="Q668" s="14">
        <v>0</v>
      </c>
      <c r="R668" s="14">
        <v>0</v>
      </c>
      <c r="S668" s="17" t="s">
        <v>54</v>
      </c>
      <c r="T668" s="18">
        <v>0</v>
      </c>
      <c r="U668" s="14">
        <v>30</v>
      </c>
      <c r="V668" s="19">
        <v>1</v>
      </c>
      <c r="W668" s="14">
        <v>0</v>
      </c>
      <c r="X668" s="14">
        <v>0</v>
      </c>
      <c r="Y668" s="14">
        <v>0</v>
      </c>
      <c r="Z668" s="14">
        <v>0</v>
      </c>
      <c r="AA668" s="14">
        <f>Tabla13[[#This Row],[CheckList App]]+Tabla13[[#This Row],[CheckList Fisc]]</f>
        <v>0</v>
      </c>
      <c r="AB668" s="19">
        <f t="shared" si="10"/>
        <v>0</v>
      </c>
      <c r="AC668" s="14">
        <v>0</v>
      </c>
      <c r="AD668" s="14" t="s">
        <v>70</v>
      </c>
      <c r="AE668" s="15" t="str">
        <f>IFERROR((VLOOKUP(Tabla13[[#This Row],[ID]],[1]!Mtto_Pesv[[#Headers],[#Data],[Placa]:[Rutina]],2,FALSE)),"-")</f>
        <v>-</v>
      </c>
      <c r="AF668" s="14">
        <v>1</v>
      </c>
      <c r="AG668" s="20">
        <f>IFERROR((VLOOKUP(Tabla13[[#This Row],[ID]],[1]!Mtto_Pesv[[#Headers],[#Data],[Placa]:[Rutina]],3,FALSE)),0)</f>
        <v>0</v>
      </c>
      <c r="AH668" s="20">
        <f>IFERROR((VLOOKUP(Tabla13[[#This Row],[ID]],[1]!Mtto_Pesv[[#Headers],[#Data],[Placa]:[Rutina]],7,FALSE)),0)</f>
        <v>0</v>
      </c>
      <c r="AI668" s="20">
        <f>IFERROR((VLOOKUP(Tabla13[[#This Row],[ID]],[1]!Mtto_Pesv[[#Headers],[#Data],[Placa]:[Rutina]],8,FALSE)),0)</f>
        <v>0</v>
      </c>
      <c r="AJ668" s="20" t="str">
        <f>IFERROR((VLOOKUP(Tabla13[[#This Row],[ID]],[1]!Mtto_Pesv[[#Headers],[#Data],[Placa]:[Rutina]],9,FALSE)),"-")</f>
        <v>-</v>
      </c>
      <c r="AK668" s="20">
        <f>IFERROR((VLOOKUP(Tabla13[[#This Row],[ID]],[1]!Mtto_Pesv[[#Headers],[#Data],[Placa]:[Rutina]],10,FALSE)),0)</f>
        <v>0</v>
      </c>
      <c r="AL668" s="20">
        <f>IF(Tabla13[[#This Row],[Km Anterior]]=0,0,Tabla13[[#This Row],[Km Ejecut]]-Tabla13[[#This Row],[Km Anterior]])</f>
        <v>0</v>
      </c>
      <c r="AM668" s="20">
        <f>IFERROR((VLOOKUP(Tabla13[[#This Row],[ID]],[1]!Mtto_Pesv[[#Headers],[#Data],[Placa]:[Rutina]],4,FALSE)),0)</f>
        <v>0</v>
      </c>
      <c r="AN668" s="21">
        <f>IFERROR((VLOOKUP(Tabla13[[#This Row],[ID]],[1]!Mtto_Pesv[[#Headers],[#Data],[Placa]:[Rutina]],5,FALSE)),0)</f>
        <v>0</v>
      </c>
      <c r="AO668" s="21">
        <f>+Tabla13[[#This Row],[Km Fin]]-Tabla13[[#This Row],[Km Ini]]</f>
        <v>0</v>
      </c>
      <c r="AP668" s="20">
        <f>IFERROR((VLOOKUP(Tabla13[[#This Row],[ID]],[1]!Estilo_Conduccion[[#All],[Placa]:[Puntuacion]],15,FALSE)),0)</f>
        <v>0</v>
      </c>
      <c r="AQ668" s="15" t="s">
        <v>1498</v>
      </c>
      <c r="AR668" s="15" t="s">
        <v>1499</v>
      </c>
      <c r="AS668" s="20">
        <v>500</v>
      </c>
      <c r="AT668" s="21">
        <v>8385</v>
      </c>
      <c r="AU668" s="21">
        <f>(Tabla13[[#This Row],[Cap Vh]]*$AX$2)*0.56</f>
        <v>0</v>
      </c>
      <c r="AV668" s="36" t="e">
        <f>(Tabla13[[#This Row],[Cap Util (kg)]]/(Tabla13[[#This Row],[Cap Inst (Kg)]]))</f>
        <v>#DIV/0!</v>
      </c>
    </row>
    <row r="669" spans="1:48" x14ac:dyDescent="0.25">
      <c r="A669" s="13" t="s">
        <v>1068</v>
      </c>
      <c r="B669" s="14" t="s">
        <v>898</v>
      </c>
      <c r="C669" s="14" t="s">
        <v>749</v>
      </c>
      <c r="D669" s="14" t="s">
        <v>749</v>
      </c>
      <c r="E669" s="14" t="s">
        <v>842</v>
      </c>
      <c r="F669" s="14" t="s">
        <v>76</v>
      </c>
      <c r="G669" s="15" t="s">
        <v>89</v>
      </c>
      <c r="H669" s="16" t="s">
        <v>90</v>
      </c>
      <c r="I669" s="14" t="s">
        <v>49</v>
      </c>
      <c r="J669" s="14">
        <v>900335279</v>
      </c>
      <c r="K669" s="14" t="s">
        <v>77</v>
      </c>
      <c r="L669" s="14" t="s">
        <v>103</v>
      </c>
      <c r="M669" s="14" t="s">
        <v>269</v>
      </c>
      <c r="N669" s="14">
        <v>2006</v>
      </c>
      <c r="O669" s="14">
        <v>14</v>
      </c>
      <c r="P669" s="14" t="s">
        <v>173</v>
      </c>
      <c r="Q669" s="14">
        <v>0</v>
      </c>
      <c r="R669" s="14">
        <v>0</v>
      </c>
      <c r="S669" s="17" t="s">
        <v>54</v>
      </c>
      <c r="T669" s="18">
        <v>0</v>
      </c>
      <c r="U669" s="14">
        <v>30</v>
      </c>
      <c r="V669" s="19">
        <v>1</v>
      </c>
      <c r="W669" s="14">
        <v>0</v>
      </c>
      <c r="X669" s="14">
        <v>0</v>
      </c>
      <c r="Y669" s="14">
        <v>0</v>
      </c>
      <c r="Z669" s="14">
        <v>0</v>
      </c>
      <c r="AA669" s="14">
        <f>Tabla13[[#This Row],[CheckList App]]+Tabla13[[#This Row],[CheckList Fisc]]</f>
        <v>0</v>
      </c>
      <c r="AB669" s="19">
        <f t="shared" si="10"/>
        <v>0</v>
      </c>
      <c r="AC669" s="14">
        <v>0</v>
      </c>
      <c r="AD669" s="14" t="s">
        <v>55</v>
      </c>
      <c r="AE669" s="15" t="str">
        <f>IFERROR((VLOOKUP(Tabla13[[#This Row],[ID]],[1]!Mtto_Pesv[[#Headers],[#Data],[Placa]:[Rutina]],2,FALSE)),"-")</f>
        <v>-</v>
      </c>
      <c r="AF669" s="14">
        <v>0</v>
      </c>
      <c r="AG669" s="20">
        <f>IFERROR((VLOOKUP(Tabla13[[#This Row],[ID]],[1]!Mtto_Pesv[[#Headers],[#Data],[Placa]:[Rutina]],3,FALSE)),0)</f>
        <v>0</v>
      </c>
      <c r="AH669" s="20">
        <f>IFERROR((VLOOKUP(Tabla13[[#This Row],[ID]],[1]!Mtto_Pesv[[#Headers],[#Data],[Placa]:[Rutina]],7,FALSE)),0)</f>
        <v>0</v>
      </c>
      <c r="AI669" s="20">
        <f>IFERROR((VLOOKUP(Tabla13[[#This Row],[ID]],[1]!Mtto_Pesv[[#Headers],[#Data],[Placa]:[Rutina]],8,FALSE)),0)</f>
        <v>0</v>
      </c>
      <c r="AJ669" s="20" t="str">
        <f>IFERROR((VLOOKUP(Tabla13[[#This Row],[ID]],[1]!Mtto_Pesv[[#Headers],[#Data],[Placa]:[Rutina]],9,FALSE)),"-")</f>
        <v>-</v>
      </c>
      <c r="AK669" s="20">
        <f>IFERROR((VLOOKUP(Tabla13[[#This Row],[ID]],[1]!Mtto_Pesv[[#Headers],[#Data],[Placa]:[Rutina]],10,FALSE)),0)</f>
        <v>0</v>
      </c>
      <c r="AL669" s="20">
        <f>IF(Tabla13[[#This Row],[Km Anterior]]=0,0,Tabla13[[#This Row],[Km Ejecut]]-Tabla13[[#This Row],[Km Anterior]])</f>
        <v>0</v>
      </c>
      <c r="AM669" s="20">
        <f>IFERROR((VLOOKUP(Tabla13[[#This Row],[ID]],[1]!Mtto_Pesv[[#Headers],[#Data],[Placa]:[Rutina]],4,FALSE)),0)</f>
        <v>0</v>
      </c>
      <c r="AN669" s="21">
        <f>IFERROR((VLOOKUP(Tabla13[[#This Row],[ID]],[1]!Mtto_Pesv[[#Headers],[#Data],[Placa]:[Rutina]],5,FALSE)),0)</f>
        <v>0</v>
      </c>
      <c r="AO669" s="21">
        <f>+Tabla13[[#This Row],[Km Fin]]-Tabla13[[#This Row],[Km Ini]]</f>
        <v>0</v>
      </c>
      <c r="AP669" s="20">
        <f>IFERROR((VLOOKUP(Tabla13[[#This Row],[ID]],[1]!Estilo_Conduccion[[#All],[Placa]:[Puntuacion]],15,FALSE)),0)</f>
        <v>0</v>
      </c>
      <c r="AQ669" s="15" t="s">
        <v>1500</v>
      </c>
      <c r="AR669" s="15" t="s">
        <v>1501</v>
      </c>
      <c r="AS669" s="20">
        <v>550</v>
      </c>
      <c r="AT669" s="21">
        <v>7888.7142857142853</v>
      </c>
      <c r="AU669" s="21">
        <f>(Tabla13[[#This Row],[Cap Vh]]*$AX$2)*0.56</f>
        <v>0</v>
      </c>
      <c r="AV669" s="36" t="e">
        <f>(Tabla13[[#This Row],[Cap Util (kg)]]/(Tabla13[[#This Row],[Cap Inst (Kg)]]))</f>
        <v>#DIV/0!</v>
      </c>
    </row>
    <row r="670" spans="1:48" x14ac:dyDescent="0.25">
      <c r="A670" s="13" t="s">
        <v>1068</v>
      </c>
      <c r="B670" s="14" t="s">
        <v>899</v>
      </c>
      <c r="C670" s="14" t="s">
        <v>749</v>
      </c>
      <c r="D670" s="14" t="s">
        <v>749</v>
      </c>
      <c r="E670" s="14" t="s">
        <v>900</v>
      </c>
      <c r="F670" s="14" t="s">
        <v>64</v>
      </c>
      <c r="G670" s="15" t="s">
        <v>47</v>
      </c>
      <c r="H670" s="16" t="s">
        <v>48</v>
      </c>
      <c r="I670" s="14" t="s">
        <v>49</v>
      </c>
      <c r="J670" s="14">
        <v>900335279</v>
      </c>
      <c r="K670" s="14" t="s">
        <v>77</v>
      </c>
      <c r="L670" s="14" t="s">
        <v>103</v>
      </c>
      <c r="M670" s="14" t="s">
        <v>121</v>
      </c>
      <c r="N670" s="14">
        <v>2007</v>
      </c>
      <c r="O670" s="14">
        <v>13</v>
      </c>
      <c r="P670" s="14" t="s">
        <v>173</v>
      </c>
      <c r="Q670" s="14">
        <v>0</v>
      </c>
      <c r="R670" s="14">
        <v>0</v>
      </c>
      <c r="S670" s="17" t="s">
        <v>54</v>
      </c>
      <c r="T670" s="18">
        <v>0</v>
      </c>
      <c r="U670" s="14">
        <v>30</v>
      </c>
      <c r="V670" s="19">
        <v>1</v>
      </c>
      <c r="W670" s="14">
        <v>0</v>
      </c>
      <c r="X670" s="14">
        <v>0</v>
      </c>
      <c r="Y670" s="14">
        <v>0</v>
      </c>
      <c r="Z670" s="14">
        <v>0</v>
      </c>
      <c r="AA670" s="14">
        <f>Tabla13[[#This Row],[CheckList App]]+Tabla13[[#This Row],[CheckList Fisc]]</f>
        <v>0</v>
      </c>
      <c r="AB670" s="19">
        <f t="shared" si="10"/>
        <v>0</v>
      </c>
      <c r="AC670" s="14">
        <v>0</v>
      </c>
      <c r="AD670" s="14" t="s">
        <v>70</v>
      </c>
      <c r="AE670" s="22" t="str">
        <f>IFERROR((VLOOKUP(Tabla13[[#This Row],[ID]],[1]!Mtto_Pesv[[#Headers],[#Data],[Placa]:[Rutina]],2,FALSE)),"-")</f>
        <v>-</v>
      </c>
      <c r="AF670" s="14">
        <v>1</v>
      </c>
      <c r="AG670" s="20">
        <f>IFERROR((VLOOKUP(Tabla13[[#This Row],[ID]],[1]!Mtto_Pesv[[#Headers],[#Data],[Placa]:[Rutina]],3,FALSE)),0)</f>
        <v>0</v>
      </c>
      <c r="AH670" s="20">
        <f>IFERROR((VLOOKUP(Tabla13[[#This Row],[ID]],[1]!Mtto_Pesv[[#Headers],[#Data],[Placa]:[Rutina]],7,FALSE)),0)</f>
        <v>0</v>
      </c>
      <c r="AI670" s="20">
        <f>IFERROR((VLOOKUP(Tabla13[[#This Row],[ID]],[1]!Mtto_Pesv[[#Headers],[#Data],[Placa]:[Rutina]],8,FALSE)),0)</f>
        <v>0</v>
      </c>
      <c r="AJ670" s="20" t="str">
        <f>IFERROR((VLOOKUP(Tabla13[[#This Row],[ID]],[1]!Mtto_Pesv[[#Headers],[#Data],[Placa]:[Rutina]],9,FALSE)),"-")</f>
        <v>-</v>
      </c>
      <c r="AK670" s="20">
        <f>IFERROR((VLOOKUP(Tabla13[[#This Row],[ID]],[1]!Mtto_Pesv[[#Headers],[#Data],[Placa]:[Rutina]],10,FALSE)),0)</f>
        <v>0</v>
      </c>
      <c r="AL670" s="20">
        <f>IF(Tabla13[[#This Row],[Km Anterior]]=0,0,Tabla13[[#This Row],[Km Ejecut]]-Tabla13[[#This Row],[Km Anterior]])</f>
        <v>0</v>
      </c>
      <c r="AM670" s="20">
        <f>IFERROR((VLOOKUP(Tabla13[[#This Row],[ID]],[1]!Mtto_Pesv[[#Headers],[#Data],[Placa]:[Rutina]],4,FALSE)),0)</f>
        <v>0</v>
      </c>
      <c r="AN670" s="21">
        <f>IFERROR((VLOOKUP(Tabla13[[#This Row],[ID]],[1]!Mtto_Pesv[[#Headers],[#Data],[Placa]:[Rutina]],5,FALSE)),0)</f>
        <v>0</v>
      </c>
      <c r="AO670" s="21">
        <f>+Tabla13[[#This Row],[Km Fin]]-Tabla13[[#This Row],[Km Ini]]</f>
        <v>0</v>
      </c>
      <c r="AP670" s="20">
        <f>IFERROR((VLOOKUP(Tabla13[[#This Row],[ID]],[1]!Estilo_Conduccion[[#All],[Placa]:[Puntuacion]],15,FALSE)),0)</f>
        <v>0</v>
      </c>
      <c r="AQ670" s="15" t="s">
        <v>1502</v>
      </c>
      <c r="AR670" s="15" t="s">
        <v>1503</v>
      </c>
      <c r="AS670" s="20">
        <v>3000</v>
      </c>
      <c r="AT670" s="21">
        <v>15355.5</v>
      </c>
      <c r="AU670" s="21">
        <f>(Tabla13[[#This Row],[Cap Vh]]*$AX$2)*0.56</f>
        <v>0</v>
      </c>
      <c r="AV670" s="36" t="e">
        <f>(Tabla13[[#This Row],[Cap Util (kg)]]/(Tabla13[[#This Row],[Cap Inst (Kg)]]))</f>
        <v>#DIV/0!</v>
      </c>
    </row>
    <row r="671" spans="1:48" x14ac:dyDescent="0.25">
      <c r="A671" s="13" t="s">
        <v>1068</v>
      </c>
      <c r="B671" s="14" t="s">
        <v>902</v>
      </c>
      <c r="C671" s="14" t="s">
        <v>749</v>
      </c>
      <c r="D671" s="14" t="s">
        <v>749</v>
      </c>
      <c r="E671" s="14" t="s">
        <v>842</v>
      </c>
      <c r="F671" s="14" t="s">
        <v>64</v>
      </c>
      <c r="G671" s="14" t="s">
        <v>65</v>
      </c>
      <c r="H671" s="16" t="s">
        <v>66</v>
      </c>
      <c r="I671" s="14" t="s">
        <v>49</v>
      </c>
      <c r="J671" s="14">
        <v>900335279</v>
      </c>
      <c r="K671" s="14" t="s">
        <v>77</v>
      </c>
      <c r="L671" s="14" t="s">
        <v>103</v>
      </c>
      <c r="M671" s="14" t="s">
        <v>121</v>
      </c>
      <c r="N671" s="14">
        <v>2007</v>
      </c>
      <c r="O671" s="14">
        <v>13</v>
      </c>
      <c r="P671" s="14" t="s">
        <v>173</v>
      </c>
      <c r="Q671" s="14">
        <v>0</v>
      </c>
      <c r="R671" s="14">
        <v>0</v>
      </c>
      <c r="S671" s="17" t="s">
        <v>54</v>
      </c>
      <c r="T671" s="18">
        <v>0</v>
      </c>
      <c r="U671" s="14">
        <v>0</v>
      </c>
      <c r="V671" s="19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f>Tabla13[[#This Row],[CheckList App]]+Tabla13[[#This Row],[CheckList Fisc]]</f>
        <v>0</v>
      </c>
      <c r="AB671" s="19" t="str">
        <f t="shared" si="10"/>
        <v/>
      </c>
      <c r="AC671" s="14">
        <v>0</v>
      </c>
      <c r="AD671" s="14" t="s">
        <v>70</v>
      </c>
      <c r="AE671" s="15" t="str">
        <f>IFERROR((VLOOKUP(Tabla13[[#This Row],[ID]],[1]!Mtto_Pesv[[#Headers],[#Data],[Placa]:[Rutina]],2,FALSE)),"-")</f>
        <v>-</v>
      </c>
      <c r="AF671" s="14">
        <v>1</v>
      </c>
      <c r="AG671" s="20">
        <f>IFERROR((VLOOKUP(Tabla13[[#This Row],[ID]],[1]!Mtto_Pesv[[#Headers],[#Data],[Placa]:[Rutina]],3,FALSE)),0)</f>
        <v>0</v>
      </c>
      <c r="AH671" s="20">
        <f>IFERROR((VLOOKUP(Tabla13[[#This Row],[ID]],[1]!Mtto_Pesv[[#Headers],[#Data],[Placa]:[Rutina]],7,FALSE)),0)</f>
        <v>0</v>
      </c>
      <c r="AI671" s="20">
        <f>IFERROR((VLOOKUP(Tabla13[[#This Row],[ID]],[1]!Mtto_Pesv[[#Headers],[#Data],[Placa]:[Rutina]],8,FALSE)),0)</f>
        <v>0</v>
      </c>
      <c r="AJ671" s="20" t="str">
        <f>IFERROR((VLOOKUP(Tabla13[[#This Row],[ID]],[1]!Mtto_Pesv[[#Headers],[#Data],[Placa]:[Rutina]],9,FALSE)),"-")</f>
        <v>-</v>
      </c>
      <c r="AK671" s="20">
        <f>IFERROR((VLOOKUP(Tabla13[[#This Row],[ID]],[1]!Mtto_Pesv[[#Headers],[#Data],[Placa]:[Rutina]],10,FALSE)),0)</f>
        <v>0</v>
      </c>
      <c r="AL671" s="20">
        <f>IF(Tabla13[[#This Row],[Km Anterior]]=0,0,Tabla13[[#This Row],[Km Ejecut]]-Tabla13[[#This Row],[Km Anterior]])</f>
        <v>0</v>
      </c>
      <c r="AM671" s="20">
        <f>IFERROR((VLOOKUP(Tabla13[[#This Row],[ID]],[1]!Mtto_Pesv[[#Headers],[#Data],[Placa]:[Rutina]],4,FALSE)),0)</f>
        <v>0</v>
      </c>
      <c r="AN671" s="21">
        <f>IFERROR((VLOOKUP(Tabla13[[#This Row],[ID]],[1]!Mtto_Pesv[[#Headers],[#Data],[Placa]:[Rutina]],5,FALSE)),0)</f>
        <v>0</v>
      </c>
      <c r="AO671" s="21">
        <f>+Tabla13[[#This Row],[Km Fin]]-Tabla13[[#This Row],[Km Ini]]</f>
        <v>0</v>
      </c>
      <c r="AP671" s="20">
        <f>IFERROR((VLOOKUP(Tabla13[[#This Row],[ID]],[1]!Estilo_Conduccion[[#All],[Placa]:[Puntuacion]],15,FALSE)),0)</f>
        <v>0</v>
      </c>
      <c r="AQ671" s="15" t="s">
        <v>54</v>
      </c>
      <c r="AR671" s="15" t="s">
        <v>54</v>
      </c>
      <c r="AS671" s="20">
        <v>2700</v>
      </c>
      <c r="AT671" s="21">
        <v>0</v>
      </c>
      <c r="AU671" s="21">
        <f>(Tabla13[[#This Row],[Cap Vh]]*$AX$2)*0.56</f>
        <v>0</v>
      </c>
      <c r="AV671" s="36" t="e">
        <f>(Tabla13[[#This Row],[Cap Util (kg)]]/(Tabla13[[#This Row],[Cap Inst (Kg)]]))</f>
        <v>#DIV/0!</v>
      </c>
    </row>
    <row r="672" spans="1:48" x14ac:dyDescent="0.25">
      <c r="A672" s="13" t="s">
        <v>1068</v>
      </c>
      <c r="B672" s="14" t="s">
        <v>904</v>
      </c>
      <c r="C672" s="14" t="s">
        <v>749</v>
      </c>
      <c r="D672" s="14" t="s">
        <v>749</v>
      </c>
      <c r="E672" s="14" t="s">
        <v>840</v>
      </c>
      <c r="F672" s="14" t="s">
        <v>76</v>
      </c>
      <c r="G672" s="15" t="s">
        <v>89</v>
      </c>
      <c r="H672" s="16" t="s">
        <v>90</v>
      </c>
      <c r="I672" s="14" t="s">
        <v>49</v>
      </c>
      <c r="J672" s="14">
        <v>900335279</v>
      </c>
      <c r="K672" s="14" t="s">
        <v>77</v>
      </c>
      <c r="L672" s="14" t="s">
        <v>103</v>
      </c>
      <c r="M672" s="14" t="s">
        <v>121</v>
      </c>
      <c r="N672" s="14">
        <v>2008</v>
      </c>
      <c r="O672" s="14">
        <v>12</v>
      </c>
      <c r="P672" s="14" t="s">
        <v>173</v>
      </c>
      <c r="Q672" s="14">
        <v>1</v>
      </c>
      <c r="R672" s="14">
        <v>0</v>
      </c>
      <c r="S672" s="17" t="s">
        <v>54</v>
      </c>
      <c r="T672" s="18">
        <v>0</v>
      </c>
      <c r="U672" s="14">
        <v>30</v>
      </c>
      <c r="V672" s="19">
        <v>1</v>
      </c>
      <c r="W672" s="14">
        <v>0</v>
      </c>
      <c r="X672" s="14">
        <v>0</v>
      </c>
      <c r="Y672" s="14">
        <v>0</v>
      </c>
      <c r="Z672" s="14">
        <v>0</v>
      </c>
      <c r="AA672" s="14">
        <f>Tabla13[[#This Row],[CheckList App]]+Tabla13[[#This Row],[CheckList Fisc]]</f>
        <v>0</v>
      </c>
      <c r="AB672" s="19">
        <f t="shared" si="10"/>
        <v>0</v>
      </c>
      <c r="AC672" s="14">
        <v>0</v>
      </c>
      <c r="AD672" s="14" t="s">
        <v>70</v>
      </c>
      <c r="AE672" s="15" t="str">
        <f>IFERROR((VLOOKUP(Tabla13[[#This Row],[ID]],[1]!Mtto_Pesv[[#Headers],[#Data],[Placa]:[Rutina]],2,FALSE)),"-")</f>
        <v>-</v>
      </c>
      <c r="AF672" s="14">
        <v>1</v>
      </c>
      <c r="AG672" s="20">
        <f>IFERROR((VLOOKUP(Tabla13[[#This Row],[ID]],[1]!Mtto_Pesv[[#Headers],[#Data],[Placa]:[Rutina]],3,FALSE)),0)</f>
        <v>0</v>
      </c>
      <c r="AH672" s="20">
        <f>IFERROR((VLOOKUP(Tabla13[[#This Row],[ID]],[1]!Mtto_Pesv[[#Headers],[#Data],[Placa]:[Rutina]],7,FALSE)),0)</f>
        <v>0</v>
      </c>
      <c r="AI672" s="20">
        <f>IFERROR((VLOOKUP(Tabla13[[#This Row],[ID]],[1]!Mtto_Pesv[[#Headers],[#Data],[Placa]:[Rutina]],8,FALSE)),0)</f>
        <v>0</v>
      </c>
      <c r="AJ672" s="20" t="str">
        <f>IFERROR((VLOOKUP(Tabla13[[#This Row],[ID]],[1]!Mtto_Pesv[[#Headers],[#Data],[Placa]:[Rutina]],9,FALSE)),"-")</f>
        <v>-</v>
      </c>
      <c r="AK672" s="20">
        <f>IFERROR((VLOOKUP(Tabla13[[#This Row],[ID]],[1]!Mtto_Pesv[[#Headers],[#Data],[Placa]:[Rutina]],10,FALSE)),0)</f>
        <v>0</v>
      </c>
      <c r="AL672" s="20">
        <f>IF(Tabla13[[#This Row],[Km Anterior]]=0,0,Tabla13[[#This Row],[Km Ejecut]]-Tabla13[[#This Row],[Km Anterior]])</f>
        <v>0</v>
      </c>
      <c r="AM672" s="20">
        <f>IFERROR((VLOOKUP(Tabla13[[#This Row],[ID]],[1]!Mtto_Pesv[[#Headers],[#Data],[Placa]:[Rutina]],4,FALSE)),0)</f>
        <v>0</v>
      </c>
      <c r="AN672" s="21">
        <f>IFERROR((VLOOKUP(Tabla13[[#This Row],[ID]],[1]!Mtto_Pesv[[#Headers],[#Data],[Placa]:[Rutina]],5,FALSE)),0)</f>
        <v>0</v>
      </c>
      <c r="AO672" s="21">
        <f>+Tabla13[[#This Row],[Km Fin]]-Tabla13[[#This Row],[Km Ini]]</f>
        <v>0</v>
      </c>
      <c r="AP672" s="20">
        <f>IFERROR((VLOOKUP(Tabla13[[#This Row],[ID]],[1]!Estilo_Conduccion[[#All],[Placa]:[Puntuacion]],15,FALSE)),0)</f>
        <v>0.70000000000000007</v>
      </c>
      <c r="AQ672" s="15" t="s">
        <v>1504</v>
      </c>
      <c r="AR672" s="15" t="s">
        <v>1505</v>
      </c>
      <c r="AS672" s="20">
        <v>3000</v>
      </c>
      <c r="AT672" s="21">
        <v>6003</v>
      </c>
      <c r="AU672" s="21">
        <f>(Tabla13[[#This Row],[Cap Vh]]*$AX$2)*0.56</f>
        <v>0</v>
      </c>
      <c r="AV672" s="36" t="e">
        <f>(Tabla13[[#This Row],[Cap Util (kg)]]/(Tabla13[[#This Row],[Cap Inst (Kg)]]))</f>
        <v>#DIV/0!</v>
      </c>
    </row>
    <row r="673" spans="1:48" x14ac:dyDescent="0.25">
      <c r="A673" s="13" t="s">
        <v>1068</v>
      </c>
      <c r="B673" s="14" t="s">
        <v>905</v>
      </c>
      <c r="C673" s="14" t="s">
        <v>749</v>
      </c>
      <c r="D673" s="14" t="s">
        <v>749</v>
      </c>
      <c r="E673" s="14" t="s">
        <v>845</v>
      </c>
      <c r="F673" s="14" t="s">
        <v>76</v>
      </c>
      <c r="G673" s="15" t="s">
        <v>89</v>
      </c>
      <c r="H673" s="16" t="s">
        <v>90</v>
      </c>
      <c r="I673" s="14" t="s">
        <v>49</v>
      </c>
      <c r="J673" s="14">
        <v>8605033701</v>
      </c>
      <c r="K673" s="14" t="s">
        <v>244</v>
      </c>
      <c r="L673" s="14" t="s">
        <v>103</v>
      </c>
      <c r="M673" s="14" t="s">
        <v>153</v>
      </c>
      <c r="N673" s="14">
        <v>2010</v>
      </c>
      <c r="O673" s="14">
        <v>10</v>
      </c>
      <c r="P673" s="14" t="s">
        <v>53</v>
      </c>
      <c r="Q673" s="14">
        <v>1</v>
      </c>
      <c r="R673" s="14">
        <v>0</v>
      </c>
      <c r="S673" s="17" t="s">
        <v>54</v>
      </c>
      <c r="T673" s="18">
        <v>0</v>
      </c>
      <c r="U673" s="14">
        <v>30</v>
      </c>
      <c r="V673" s="19">
        <v>1</v>
      </c>
      <c r="W673" s="14">
        <v>0</v>
      </c>
      <c r="X673" s="14">
        <v>0</v>
      </c>
      <c r="Y673" s="14">
        <v>0</v>
      </c>
      <c r="Z673" s="14">
        <v>0</v>
      </c>
      <c r="AA673" s="14">
        <f>Tabla13[[#This Row],[CheckList App]]+Tabla13[[#This Row],[CheckList Fisc]]</f>
        <v>0</v>
      </c>
      <c r="AB673" s="19">
        <f t="shared" si="10"/>
        <v>0</v>
      </c>
      <c r="AC673" s="14">
        <v>0</v>
      </c>
      <c r="AD673" s="14" t="s">
        <v>70</v>
      </c>
      <c r="AE673" s="15" t="str">
        <f>IFERROR((VLOOKUP(Tabla13[[#This Row],[ID]],[1]!Mtto_Pesv[[#Headers],[#Data],[Placa]:[Rutina]],2,FALSE)),"-")</f>
        <v>-</v>
      </c>
      <c r="AF673" s="14">
        <v>1</v>
      </c>
      <c r="AG673" s="20">
        <f>IFERROR((VLOOKUP(Tabla13[[#This Row],[ID]],[1]!Mtto_Pesv[[#Headers],[#Data],[Placa]:[Rutina]],3,FALSE)),0)</f>
        <v>0</v>
      </c>
      <c r="AH673" s="20">
        <f>IFERROR((VLOOKUP(Tabla13[[#This Row],[ID]],[1]!Mtto_Pesv[[#Headers],[#Data],[Placa]:[Rutina]],7,FALSE)),0)</f>
        <v>0</v>
      </c>
      <c r="AI673" s="20">
        <f>IFERROR((VLOOKUP(Tabla13[[#This Row],[ID]],[1]!Mtto_Pesv[[#Headers],[#Data],[Placa]:[Rutina]],8,FALSE)),0)</f>
        <v>0</v>
      </c>
      <c r="AJ673" s="20" t="str">
        <f>IFERROR((VLOOKUP(Tabla13[[#This Row],[ID]],[1]!Mtto_Pesv[[#Headers],[#Data],[Placa]:[Rutina]],9,FALSE)),"-")</f>
        <v>-</v>
      </c>
      <c r="AK673" s="20">
        <f>IFERROR((VLOOKUP(Tabla13[[#This Row],[ID]],[1]!Mtto_Pesv[[#Headers],[#Data],[Placa]:[Rutina]],10,FALSE)),0)</f>
        <v>0</v>
      </c>
      <c r="AL673" s="20">
        <f>IF(Tabla13[[#This Row],[Km Anterior]]=0,0,Tabla13[[#This Row],[Km Ejecut]]-Tabla13[[#This Row],[Km Anterior]])</f>
        <v>0</v>
      </c>
      <c r="AM673" s="20">
        <f>IFERROR((VLOOKUP(Tabla13[[#This Row],[ID]],[1]!Mtto_Pesv[[#Headers],[#Data],[Placa]:[Rutina]],4,FALSE)),0)</f>
        <v>0</v>
      </c>
      <c r="AN673" s="21">
        <f>IFERROR((VLOOKUP(Tabla13[[#This Row],[ID]],[1]!Mtto_Pesv[[#Headers],[#Data],[Placa]:[Rutina]],5,FALSE)),0)</f>
        <v>0</v>
      </c>
      <c r="AO673" s="21">
        <f>+Tabla13[[#This Row],[Km Fin]]-Tabla13[[#This Row],[Km Ini]]</f>
        <v>0</v>
      </c>
      <c r="AP673" s="20">
        <f>IFERROR((VLOOKUP(Tabla13[[#This Row],[ID]],[1]!Estilo_Conduccion[[#All],[Placa]:[Puntuacion]],15,FALSE)),0)</f>
        <v>683.99999999999989</v>
      </c>
      <c r="AQ673" s="15" t="s">
        <v>1506</v>
      </c>
      <c r="AR673" s="15" t="s">
        <v>1507</v>
      </c>
      <c r="AS673" s="20">
        <v>4500</v>
      </c>
      <c r="AT673" s="21">
        <v>9068.7000000000007</v>
      </c>
      <c r="AU673" s="21">
        <f>(Tabla13[[#This Row],[Cap Vh]]*$AX$2)*0.56</f>
        <v>0</v>
      </c>
      <c r="AV673" s="36" t="e">
        <f>(Tabla13[[#This Row],[Cap Util (kg)]]/(Tabla13[[#This Row],[Cap Inst (Kg)]]))</f>
        <v>#DIV/0!</v>
      </c>
    </row>
    <row r="674" spans="1:48" x14ac:dyDescent="0.25">
      <c r="A674" s="13" t="s">
        <v>1068</v>
      </c>
      <c r="B674" s="14" t="s">
        <v>906</v>
      </c>
      <c r="C674" s="14" t="s">
        <v>749</v>
      </c>
      <c r="D674" s="14" t="s">
        <v>749</v>
      </c>
      <c r="E674" s="14" t="s">
        <v>842</v>
      </c>
      <c r="F674" s="14" t="s">
        <v>64</v>
      </c>
      <c r="G674" s="15" t="s">
        <v>119</v>
      </c>
      <c r="H674" s="16" t="s">
        <v>120</v>
      </c>
      <c r="I674" s="14" t="s">
        <v>109</v>
      </c>
      <c r="J674" s="14">
        <v>900335279</v>
      </c>
      <c r="K674" s="14" t="s">
        <v>77</v>
      </c>
      <c r="L674" s="14" t="s">
        <v>103</v>
      </c>
      <c r="M674" s="14" t="s">
        <v>153</v>
      </c>
      <c r="N674" s="14">
        <v>2011</v>
      </c>
      <c r="O674" s="14">
        <v>9</v>
      </c>
      <c r="P674" s="14" t="s">
        <v>53</v>
      </c>
      <c r="Q674" s="14">
        <v>1</v>
      </c>
      <c r="R674" s="14">
        <v>1</v>
      </c>
      <c r="S674" s="17">
        <v>44833.423784722218</v>
      </c>
      <c r="T674" s="18">
        <v>98.375999999999991</v>
      </c>
      <c r="U674" s="14">
        <v>24</v>
      </c>
      <c r="V674" s="19">
        <v>0.8</v>
      </c>
      <c r="W674" s="14">
        <v>0</v>
      </c>
      <c r="X674" s="14">
        <v>14</v>
      </c>
      <c r="Y674" s="14">
        <v>14</v>
      </c>
      <c r="Z674" s="14">
        <v>0</v>
      </c>
      <c r="AA674" s="14">
        <f>Tabla13[[#This Row],[CheckList App]]+Tabla13[[#This Row],[CheckList Fisc]]</f>
        <v>14</v>
      </c>
      <c r="AB674" s="19">
        <f t="shared" si="10"/>
        <v>1</v>
      </c>
      <c r="AC674" s="14">
        <v>0</v>
      </c>
      <c r="AD674" s="14" t="s">
        <v>70</v>
      </c>
      <c r="AE674" s="22" t="str">
        <f>IFERROR((VLOOKUP(Tabla13[[#This Row],[ID]],[1]!Mtto_Pesv[[#Headers],[#Data],[Placa]:[Rutina]],2,FALSE)),"-")</f>
        <v>-</v>
      </c>
      <c r="AF674" s="14">
        <v>1</v>
      </c>
      <c r="AG674" s="20">
        <f>IFERROR((VLOOKUP(Tabla13[[#This Row],[ID]],[1]!Mtto_Pesv[[#Headers],[#Data],[Placa]:[Rutina]],3,FALSE)),0)</f>
        <v>0</v>
      </c>
      <c r="AH674" s="20">
        <f>IFERROR((VLOOKUP(Tabla13[[#This Row],[ID]],[1]!Mtto_Pesv[[#Headers],[#Data],[Placa]:[Rutina]],7,FALSE)),0)</f>
        <v>0</v>
      </c>
      <c r="AI674" s="20">
        <f>IFERROR((VLOOKUP(Tabla13[[#This Row],[ID]],[1]!Mtto_Pesv[[#Headers],[#Data],[Placa]:[Rutina]],8,FALSE)),0)</f>
        <v>0</v>
      </c>
      <c r="AJ674" s="20" t="str">
        <f>IFERROR((VLOOKUP(Tabla13[[#This Row],[ID]],[1]!Mtto_Pesv[[#Headers],[#Data],[Placa]:[Rutina]],9,FALSE)),"-")</f>
        <v>-</v>
      </c>
      <c r="AK674" s="20">
        <f>IFERROR((VLOOKUP(Tabla13[[#This Row],[ID]],[1]!Mtto_Pesv[[#Headers],[#Data],[Placa]:[Rutina]],10,FALSE)),0)</f>
        <v>0</v>
      </c>
      <c r="AL674" s="20">
        <f>IF(Tabla13[[#This Row],[Km Anterior]]=0,0,Tabla13[[#This Row],[Km Ejecut]]-Tabla13[[#This Row],[Km Anterior]])</f>
        <v>0</v>
      </c>
      <c r="AM674" s="20">
        <f>IFERROR((VLOOKUP(Tabla13[[#This Row],[ID]],[1]!Mtto_Pesv[[#Headers],[#Data],[Placa]:[Rutina]],4,FALSE)),0)</f>
        <v>0</v>
      </c>
      <c r="AN674" s="21">
        <f>IFERROR((VLOOKUP(Tabla13[[#This Row],[ID]],[1]!Mtto_Pesv[[#Headers],[#Data],[Placa]:[Rutina]],5,FALSE)),0)</f>
        <v>0</v>
      </c>
      <c r="AO674" s="21">
        <f>+Tabla13[[#This Row],[Km Fin]]-Tabla13[[#This Row],[Km Ini]]</f>
        <v>0</v>
      </c>
      <c r="AP674" s="20">
        <f>IFERROR((VLOOKUP(Tabla13[[#This Row],[ID]],[1]!Estilo_Conduccion[[#All],[Placa]:[Puntuacion]],15,FALSE)),0)</f>
        <v>288.3</v>
      </c>
      <c r="AQ674" s="15" t="s">
        <v>54</v>
      </c>
      <c r="AR674" s="15" t="s">
        <v>1474</v>
      </c>
      <c r="AS674" s="20">
        <v>4500</v>
      </c>
      <c r="AT674" s="21">
        <v>0</v>
      </c>
      <c r="AU674" s="21">
        <f>(Tabla13[[#This Row],[Cap Vh]]*$AX$2)*0.56</f>
        <v>0</v>
      </c>
      <c r="AV674" s="36" t="e">
        <f>(Tabla13[[#This Row],[Cap Util (kg)]]/(Tabla13[[#This Row],[Cap Inst (Kg)]]))</f>
        <v>#DIV/0!</v>
      </c>
    </row>
    <row r="675" spans="1:48" x14ac:dyDescent="0.25">
      <c r="A675" s="13" t="s">
        <v>1068</v>
      </c>
      <c r="B675" s="14" t="s">
        <v>907</v>
      </c>
      <c r="C675" s="14" t="s">
        <v>749</v>
      </c>
      <c r="D675" s="14" t="s">
        <v>749</v>
      </c>
      <c r="E675" s="14" t="s">
        <v>848</v>
      </c>
      <c r="F675" s="14" t="s">
        <v>64</v>
      </c>
      <c r="G675" s="15" t="s">
        <v>119</v>
      </c>
      <c r="H675" s="16" t="s">
        <v>120</v>
      </c>
      <c r="I675" s="14" t="s">
        <v>109</v>
      </c>
      <c r="J675" s="14">
        <v>900335279</v>
      </c>
      <c r="K675" s="14" t="s">
        <v>77</v>
      </c>
      <c r="L675" s="14" t="s">
        <v>103</v>
      </c>
      <c r="M675" s="14" t="s">
        <v>153</v>
      </c>
      <c r="N675" s="14">
        <v>2011</v>
      </c>
      <c r="O675" s="14">
        <v>9</v>
      </c>
      <c r="P675" s="14" t="s">
        <v>53</v>
      </c>
      <c r="Q675" s="14">
        <v>1</v>
      </c>
      <c r="R675" s="14">
        <v>1</v>
      </c>
      <c r="S675" s="17">
        <v>44833.670937499999</v>
      </c>
      <c r="T675" s="18">
        <v>108.258</v>
      </c>
      <c r="U675" s="14">
        <v>29</v>
      </c>
      <c r="V675" s="19">
        <v>0.96666666666666667</v>
      </c>
      <c r="W675" s="14">
        <v>0</v>
      </c>
      <c r="X675" s="14">
        <v>26</v>
      </c>
      <c r="Y675" s="14">
        <v>26</v>
      </c>
      <c r="Z675" s="14">
        <v>0</v>
      </c>
      <c r="AA675" s="14">
        <f>Tabla13[[#This Row],[CheckList App]]+Tabla13[[#This Row],[CheckList Fisc]]</f>
        <v>26</v>
      </c>
      <c r="AB675" s="19">
        <f t="shared" si="10"/>
        <v>1</v>
      </c>
      <c r="AC675" s="14">
        <v>0</v>
      </c>
      <c r="AD675" s="14" t="s">
        <v>70</v>
      </c>
      <c r="AE675" s="22" t="str">
        <f>IFERROR((VLOOKUP(Tabla13[[#This Row],[ID]],[1]!Mtto_Pesv[[#Headers],[#Data],[Placa]:[Rutina]],2,FALSE)),"-")</f>
        <v>-</v>
      </c>
      <c r="AF675" s="14">
        <v>1</v>
      </c>
      <c r="AG675" s="20">
        <f>IFERROR((VLOOKUP(Tabla13[[#This Row],[ID]],[1]!Mtto_Pesv[[#Headers],[#Data],[Placa]:[Rutina]],3,FALSE)),0)</f>
        <v>0</v>
      </c>
      <c r="AH675" s="20">
        <f>IFERROR((VLOOKUP(Tabla13[[#This Row],[ID]],[1]!Mtto_Pesv[[#Headers],[#Data],[Placa]:[Rutina]],7,FALSE)),0)</f>
        <v>0</v>
      </c>
      <c r="AI675" s="20">
        <f>IFERROR((VLOOKUP(Tabla13[[#This Row],[ID]],[1]!Mtto_Pesv[[#Headers],[#Data],[Placa]:[Rutina]],8,FALSE)),0)</f>
        <v>0</v>
      </c>
      <c r="AJ675" s="20" t="str">
        <f>IFERROR((VLOOKUP(Tabla13[[#This Row],[ID]],[1]!Mtto_Pesv[[#Headers],[#Data],[Placa]:[Rutina]],9,FALSE)),"-")</f>
        <v>-</v>
      </c>
      <c r="AK675" s="20">
        <f>IFERROR((VLOOKUP(Tabla13[[#This Row],[ID]],[1]!Mtto_Pesv[[#Headers],[#Data],[Placa]:[Rutina]],10,FALSE)),0)</f>
        <v>0</v>
      </c>
      <c r="AL675" s="20">
        <f>IF(Tabla13[[#This Row],[Km Anterior]]=0,0,Tabla13[[#This Row],[Km Ejecut]]-Tabla13[[#This Row],[Km Anterior]])</f>
        <v>0</v>
      </c>
      <c r="AM675" s="20">
        <f>IFERROR((VLOOKUP(Tabla13[[#This Row],[ID]],[1]!Mtto_Pesv[[#Headers],[#Data],[Placa]:[Rutina]],4,FALSE)),0)</f>
        <v>0</v>
      </c>
      <c r="AN675" s="21">
        <f>IFERROR((VLOOKUP(Tabla13[[#This Row],[ID]],[1]!Mtto_Pesv[[#Headers],[#Data],[Placa]:[Rutina]],5,FALSE)),0)</f>
        <v>0</v>
      </c>
      <c r="AO675" s="21">
        <f>+Tabla13[[#This Row],[Km Fin]]-Tabla13[[#This Row],[Km Ini]]</f>
        <v>0</v>
      </c>
      <c r="AP675" s="20">
        <f>IFERROR((VLOOKUP(Tabla13[[#This Row],[ID]],[1]!Estilo_Conduccion[[#All],[Placa]:[Puntuacion]],15,FALSE)),0)</f>
        <v>8071.4000000000005</v>
      </c>
      <c r="AQ675" s="15" t="s">
        <v>54</v>
      </c>
      <c r="AR675" s="15" t="s">
        <v>1508</v>
      </c>
      <c r="AS675" s="20">
        <v>4500</v>
      </c>
      <c r="AT675" s="21">
        <v>0</v>
      </c>
      <c r="AU675" s="21">
        <f>(Tabla13[[#This Row],[Cap Vh]]*$AX$2)*0.56</f>
        <v>0</v>
      </c>
      <c r="AV675" s="36" t="e">
        <f>(Tabla13[[#This Row],[Cap Util (kg)]]/(Tabla13[[#This Row],[Cap Inst (Kg)]]))</f>
        <v>#DIV/0!</v>
      </c>
    </row>
    <row r="676" spans="1:48" x14ac:dyDescent="0.25">
      <c r="A676" s="13" t="s">
        <v>1068</v>
      </c>
      <c r="B676" s="14" t="s">
        <v>908</v>
      </c>
      <c r="C676" s="14" t="s">
        <v>749</v>
      </c>
      <c r="D676" s="14" t="s">
        <v>749</v>
      </c>
      <c r="E676" s="14" t="s">
        <v>840</v>
      </c>
      <c r="F676" s="14" t="s">
        <v>76</v>
      </c>
      <c r="G676" s="15" t="s">
        <v>47</v>
      </c>
      <c r="H676" s="16" t="s">
        <v>48</v>
      </c>
      <c r="I676" s="14" t="s">
        <v>49</v>
      </c>
      <c r="J676" s="14">
        <v>900335279</v>
      </c>
      <c r="K676" s="14" t="s">
        <v>77</v>
      </c>
      <c r="L676" s="14" t="s">
        <v>103</v>
      </c>
      <c r="M676" s="14" t="s">
        <v>121</v>
      </c>
      <c r="N676" s="14">
        <v>2011</v>
      </c>
      <c r="O676" s="14">
        <v>9</v>
      </c>
      <c r="P676" s="14" t="s">
        <v>53</v>
      </c>
      <c r="Q676" s="14">
        <v>1</v>
      </c>
      <c r="R676" s="14">
        <v>0</v>
      </c>
      <c r="S676" s="17" t="s">
        <v>54</v>
      </c>
      <c r="T676" s="18">
        <v>0</v>
      </c>
      <c r="U676" s="14">
        <v>30</v>
      </c>
      <c r="V676" s="19">
        <v>1</v>
      </c>
      <c r="W676" s="14">
        <v>0</v>
      </c>
      <c r="X676" s="14">
        <v>26</v>
      </c>
      <c r="Y676" s="14">
        <v>26</v>
      </c>
      <c r="Z676" s="14">
        <v>0</v>
      </c>
      <c r="AA676" s="14">
        <f>Tabla13[[#This Row],[CheckList App]]+Tabla13[[#This Row],[CheckList Fisc]]</f>
        <v>26</v>
      </c>
      <c r="AB676" s="19">
        <f t="shared" si="10"/>
        <v>1</v>
      </c>
      <c r="AC676" s="14">
        <v>0</v>
      </c>
      <c r="AD676" s="14" t="s">
        <v>70</v>
      </c>
      <c r="AE676" s="15" t="str">
        <f>IFERROR((VLOOKUP(Tabla13[[#This Row],[ID]],[1]!Mtto_Pesv[[#Headers],[#Data],[Placa]:[Rutina]],2,FALSE)),"-")</f>
        <v>-</v>
      </c>
      <c r="AF676" s="14">
        <v>1</v>
      </c>
      <c r="AG676" s="20">
        <f>IFERROR((VLOOKUP(Tabla13[[#This Row],[ID]],[1]!Mtto_Pesv[[#Headers],[#Data],[Placa]:[Rutina]],3,FALSE)),0)</f>
        <v>0</v>
      </c>
      <c r="AH676" s="20">
        <f>IFERROR((VLOOKUP(Tabla13[[#This Row],[ID]],[1]!Mtto_Pesv[[#Headers],[#Data],[Placa]:[Rutina]],7,FALSE)),0)</f>
        <v>0</v>
      </c>
      <c r="AI676" s="20">
        <f>IFERROR((VLOOKUP(Tabla13[[#This Row],[ID]],[1]!Mtto_Pesv[[#Headers],[#Data],[Placa]:[Rutina]],8,FALSE)),0)</f>
        <v>0</v>
      </c>
      <c r="AJ676" s="20" t="str">
        <f>IFERROR((VLOOKUP(Tabla13[[#This Row],[ID]],[1]!Mtto_Pesv[[#Headers],[#Data],[Placa]:[Rutina]],9,FALSE)),"-")</f>
        <v>-</v>
      </c>
      <c r="AK676" s="20">
        <f>IFERROR((VLOOKUP(Tabla13[[#This Row],[ID]],[1]!Mtto_Pesv[[#Headers],[#Data],[Placa]:[Rutina]],10,FALSE)),0)</f>
        <v>0</v>
      </c>
      <c r="AL676" s="20">
        <f>IF(Tabla13[[#This Row],[Km Anterior]]=0,0,Tabla13[[#This Row],[Km Ejecut]]-Tabla13[[#This Row],[Km Anterior]])</f>
        <v>0</v>
      </c>
      <c r="AM676" s="20">
        <f>IFERROR((VLOOKUP(Tabla13[[#This Row],[ID]],[1]!Mtto_Pesv[[#Headers],[#Data],[Placa]:[Rutina]],4,FALSE)),0)</f>
        <v>0</v>
      </c>
      <c r="AN676" s="21">
        <f>IFERROR((VLOOKUP(Tabla13[[#This Row],[ID]],[1]!Mtto_Pesv[[#Headers],[#Data],[Placa]:[Rutina]],5,FALSE)),0)</f>
        <v>0</v>
      </c>
      <c r="AO676" s="21">
        <f>+Tabla13[[#This Row],[Km Fin]]-Tabla13[[#This Row],[Km Ini]]</f>
        <v>0</v>
      </c>
      <c r="AP676" s="20">
        <f>IFERROR((VLOOKUP(Tabla13[[#This Row],[ID]],[1]!Estilo_Conduccion[[#All],[Placa]:[Puntuacion]],15,FALSE)),0)</f>
        <v>198.9</v>
      </c>
      <c r="AQ676" s="15" t="s">
        <v>1459</v>
      </c>
      <c r="AR676" s="15" t="s">
        <v>1460</v>
      </c>
      <c r="AS676" s="20">
        <v>2970</v>
      </c>
      <c r="AT676" s="21">
        <v>9152.5</v>
      </c>
      <c r="AU676" s="21">
        <f>(Tabla13[[#This Row],[Cap Vh]]*$AX$2)*0.56</f>
        <v>0</v>
      </c>
      <c r="AV676" s="36" t="e">
        <f>(Tabla13[[#This Row],[Cap Util (kg)]]/(Tabla13[[#This Row],[Cap Inst (Kg)]]))</f>
        <v>#DIV/0!</v>
      </c>
    </row>
    <row r="677" spans="1:48" x14ac:dyDescent="0.25">
      <c r="A677" s="13" t="s">
        <v>1068</v>
      </c>
      <c r="B677" s="14" t="s">
        <v>909</v>
      </c>
      <c r="C677" s="14" t="s">
        <v>749</v>
      </c>
      <c r="D677" s="14" t="s">
        <v>749</v>
      </c>
      <c r="E677" s="14" t="s">
        <v>840</v>
      </c>
      <c r="F677" s="14" t="s">
        <v>76</v>
      </c>
      <c r="G677" s="14" t="s">
        <v>65</v>
      </c>
      <c r="H677" s="16" t="s">
        <v>66</v>
      </c>
      <c r="I677" s="14" t="s">
        <v>49</v>
      </c>
      <c r="J677" s="14">
        <v>900335279</v>
      </c>
      <c r="K677" s="14" t="s">
        <v>77</v>
      </c>
      <c r="L677" s="14" t="s">
        <v>103</v>
      </c>
      <c r="M677" s="14" t="s">
        <v>121</v>
      </c>
      <c r="N677" s="14">
        <v>2011</v>
      </c>
      <c r="O677" s="14">
        <v>9</v>
      </c>
      <c r="P677" s="14" t="s">
        <v>53</v>
      </c>
      <c r="Q677" s="14">
        <v>0</v>
      </c>
      <c r="R677" s="14">
        <v>0</v>
      </c>
      <c r="S677" s="17" t="s">
        <v>54</v>
      </c>
      <c r="T677" s="18">
        <v>0</v>
      </c>
      <c r="U677" s="14">
        <v>0</v>
      </c>
      <c r="V677" s="19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f>Tabla13[[#This Row],[CheckList App]]+Tabla13[[#This Row],[CheckList Fisc]]</f>
        <v>0</v>
      </c>
      <c r="AB677" s="19" t="str">
        <f t="shared" si="10"/>
        <v/>
      </c>
      <c r="AC677" s="14">
        <v>0</v>
      </c>
      <c r="AD677" s="14" t="s">
        <v>70</v>
      </c>
      <c r="AE677" s="15" t="str">
        <f>IFERROR((VLOOKUP(Tabla13[[#This Row],[ID]],[1]!Mtto_Pesv[[#Headers],[#Data],[Placa]:[Rutina]],2,FALSE)),"-")</f>
        <v>-</v>
      </c>
      <c r="AF677" s="14">
        <v>1</v>
      </c>
      <c r="AG677" s="20">
        <f>IFERROR((VLOOKUP(Tabla13[[#This Row],[ID]],[1]!Mtto_Pesv[[#Headers],[#Data],[Placa]:[Rutina]],3,FALSE)),0)</f>
        <v>0</v>
      </c>
      <c r="AH677" s="20">
        <f>IFERROR((VLOOKUP(Tabla13[[#This Row],[ID]],[1]!Mtto_Pesv[[#Headers],[#Data],[Placa]:[Rutina]],7,FALSE)),0)</f>
        <v>0</v>
      </c>
      <c r="AI677" s="20">
        <f>IFERROR((VLOOKUP(Tabla13[[#This Row],[ID]],[1]!Mtto_Pesv[[#Headers],[#Data],[Placa]:[Rutina]],8,FALSE)),0)</f>
        <v>0</v>
      </c>
      <c r="AJ677" s="20" t="str">
        <f>IFERROR((VLOOKUP(Tabla13[[#This Row],[ID]],[1]!Mtto_Pesv[[#Headers],[#Data],[Placa]:[Rutina]],9,FALSE)),"-")</f>
        <v>-</v>
      </c>
      <c r="AK677" s="20">
        <f>IFERROR((VLOOKUP(Tabla13[[#This Row],[ID]],[1]!Mtto_Pesv[[#Headers],[#Data],[Placa]:[Rutina]],10,FALSE)),0)</f>
        <v>0</v>
      </c>
      <c r="AL677" s="20">
        <f>IF(Tabla13[[#This Row],[Km Anterior]]=0,0,Tabla13[[#This Row],[Km Ejecut]]-Tabla13[[#This Row],[Km Anterior]])</f>
        <v>0</v>
      </c>
      <c r="AM677" s="20">
        <f>IFERROR((VLOOKUP(Tabla13[[#This Row],[ID]],[1]!Mtto_Pesv[[#Headers],[#Data],[Placa]:[Rutina]],4,FALSE)),0)</f>
        <v>0</v>
      </c>
      <c r="AN677" s="21">
        <f>IFERROR((VLOOKUP(Tabla13[[#This Row],[ID]],[1]!Mtto_Pesv[[#Headers],[#Data],[Placa]:[Rutina]],5,FALSE)),0)</f>
        <v>0</v>
      </c>
      <c r="AO677" s="21">
        <f>+Tabla13[[#This Row],[Km Fin]]-Tabla13[[#This Row],[Km Ini]]</f>
        <v>0</v>
      </c>
      <c r="AP677" s="20">
        <f>IFERROR((VLOOKUP(Tabla13[[#This Row],[ID]],[1]!Estilo_Conduccion[[#All],[Placa]:[Puntuacion]],15,FALSE)),0)</f>
        <v>0</v>
      </c>
      <c r="AQ677" s="15" t="s">
        <v>54</v>
      </c>
      <c r="AR677" s="15" t="s">
        <v>54</v>
      </c>
      <c r="AS677" s="20">
        <v>2970</v>
      </c>
      <c r="AT677" s="21">
        <v>0</v>
      </c>
      <c r="AU677" s="21">
        <f>(Tabla13[[#This Row],[Cap Vh]]*$AX$2)*0.56</f>
        <v>0</v>
      </c>
      <c r="AV677" s="36" t="e">
        <f>(Tabla13[[#This Row],[Cap Util (kg)]]/(Tabla13[[#This Row],[Cap Inst (Kg)]]))</f>
        <v>#DIV/0!</v>
      </c>
    </row>
    <row r="678" spans="1:48" x14ac:dyDescent="0.25">
      <c r="A678" s="13" t="s">
        <v>1068</v>
      </c>
      <c r="B678" s="14" t="s">
        <v>911</v>
      </c>
      <c r="C678" s="14" t="s">
        <v>749</v>
      </c>
      <c r="D678" s="14" t="s">
        <v>749</v>
      </c>
      <c r="E678" s="14" t="s">
        <v>872</v>
      </c>
      <c r="F678" s="14" t="s">
        <v>64</v>
      </c>
      <c r="G678" s="15" t="s">
        <v>47</v>
      </c>
      <c r="H678" s="16" t="s">
        <v>48</v>
      </c>
      <c r="I678" s="14" t="s">
        <v>49</v>
      </c>
      <c r="J678" s="14">
        <v>900335279</v>
      </c>
      <c r="K678" s="14" t="s">
        <v>77</v>
      </c>
      <c r="L678" s="14" t="s">
        <v>103</v>
      </c>
      <c r="M678" s="14" t="s">
        <v>121</v>
      </c>
      <c r="N678" s="14">
        <v>2011</v>
      </c>
      <c r="O678" s="14">
        <v>9</v>
      </c>
      <c r="P678" s="14" t="s">
        <v>53</v>
      </c>
      <c r="Q678" s="14">
        <v>1</v>
      </c>
      <c r="R678" s="14">
        <v>0</v>
      </c>
      <c r="S678" s="17" t="s">
        <v>54</v>
      </c>
      <c r="T678" s="18">
        <v>0</v>
      </c>
      <c r="U678" s="14">
        <v>29</v>
      </c>
      <c r="V678" s="19">
        <v>0.96666666666666667</v>
      </c>
      <c r="W678" s="14">
        <v>0</v>
      </c>
      <c r="X678" s="14">
        <v>0</v>
      </c>
      <c r="Y678" s="14">
        <v>0</v>
      </c>
      <c r="Z678" s="14">
        <v>0</v>
      </c>
      <c r="AA678" s="14">
        <f>Tabla13[[#This Row],[CheckList App]]+Tabla13[[#This Row],[CheckList Fisc]]</f>
        <v>0</v>
      </c>
      <c r="AB678" s="19">
        <f t="shared" si="10"/>
        <v>0</v>
      </c>
      <c r="AC678" s="14">
        <v>0</v>
      </c>
      <c r="AD678" s="14" t="s">
        <v>70</v>
      </c>
      <c r="AE678" s="15" t="str">
        <f>IFERROR((VLOOKUP(Tabla13[[#This Row],[ID]],[1]!Mtto_Pesv[[#Headers],[#Data],[Placa]:[Rutina]],2,FALSE)),"-")</f>
        <v>-</v>
      </c>
      <c r="AF678" s="14">
        <v>1</v>
      </c>
      <c r="AG678" s="20">
        <f>IFERROR((VLOOKUP(Tabla13[[#This Row],[ID]],[1]!Mtto_Pesv[[#Headers],[#Data],[Placa]:[Rutina]],3,FALSE)),0)</f>
        <v>0</v>
      </c>
      <c r="AH678" s="20">
        <f>IFERROR((VLOOKUP(Tabla13[[#This Row],[ID]],[1]!Mtto_Pesv[[#Headers],[#Data],[Placa]:[Rutina]],7,FALSE)),0)</f>
        <v>0</v>
      </c>
      <c r="AI678" s="20">
        <f>IFERROR((VLOOKUP(Tabla13[[#This Row],[ID]],[1]!Mtto_Pesv[[#Headers],[#Data],[Placa]:[Rutina]],8,FALSE)),0)</f>
        <v>0</v>
      </c>
      <c r="AJ678" s="20" t="str">
        <f>IFERROR((VLOOKUP(Tabla13[[#This Row],[ID]],[1]!Mtto_Pesv[[#Headers],[#Data],[Placa]:[Rutina]],9,FALSE)),"-")</f>
        <v>-</v>
      </c>
      <c r="AK678" s="20">
        <f>IFERROR((VLOOKUP(Tabla13[[#This Row],[ID]],[1]!Mtto_Pesv[[#Headers],[#Data],[Placa]:[Rutina]],10,FALSE)),0)</f>
        <v>0</v>
      </c>
      <c r="AL678" s="20">
        <f>IF(Tabla13[[#This Row],[Km Anterior]]=0,0,Tabla13[[#This Row],[Km Ejecut]]-Tabla13[[#This Row],[Km Anterior]])</f>
        <v>0</v>
      </c>
      <c r="AM678" s="20">
        <f>IFERROR((VLOOKUP(Tabla13[[#This Row],[ID]],[1]!Mtto_Pesv[[#Headers],[#Data],[Placa]:[Rutina]],4,FALSE)),0)</f>
        <v>0</v>
      </c>
      <c r="AN678" s="21">
        <f>IFERROR((VLOOKUP(Tabla13[[#This Row],[ID]],[1]!Mtto_Pesv[[#Headers],[#Data],[Placa]:[Rutina]],5,FALSE)),0)</f>
        <v>0</v>
      </c>
      <c r="AO678" s="21">
        <f>+Tabla13[[#This Row],[Km Fin]]-Tabla13[[#This Row],[Km Ini]]</f>
        <v>0</v>
      </c>
      <c r="AP678" s="20">
        <f>IFERROR((VLOOKUP(Tabla13[[#This Row],[ID]],[1]!Estilo_Conduccion[[#All],[Placa]:[Puntuacion]],15,FALSE)),0)</f>
        <v>147.1</v>
      </c>
      <c r="AQ678" s="15" t="s">
        <v>1509</v>
      </c>
      <c r="AR678" s="15" t="s">
        <v>1510</v>
      </c>
      <c r="AS678" s="20">
        <v>2970</v>
      </c>
      <c r="AT678" s="21">
        <v>10170</v>
      </c>
      <c r="AU678" s="21">
        <f>(Tabla13[[#This Row],[Cap Vh]]*$AX$2)*0.56</f>
        <v>0</v>
      </c>
      <c r="AV678" s="36" t="e">
        <f>(Tabla13[[#This Row],[Cap Util (kg)]]/(Tabla13[[#This Row],[Cap Inst (Kg)]]))</f>
        <v>#DIV/0!</v>
      </c>
    </row>
    <row r="679" spans="1:48" x14ac:dyDescent="0.25">
      <c r="A679" s="13" t="s">
        <v>1068</v>
      </c>
      <c r="B679" s="14" t="s">
        <v>912</v>
      </c>
      <c r="C679" s="14" t="s">
        <v>749</v>
      </c>
      <c r="D679" s="14" t="s">
        <v>749</v>
      </c>
      <c r="E679" s="14" t="s">
        <v>845</v>
      </c>
      <c r="F679" s="14" t="s">
        <v>64</v>
      </c>
      <c r="G679" s="15" t="s">
        <v>47</v>
      </c>
      <c r="H679" s="16" t="s">
        <v>48</v>
      </c>
      <c r="I679" s="14" t="s">
        <v>49</v>
      </c>
      <c r="J679" s="14">
        <v>900335279</v>
      </c>
      <c r="K679" s="14" t="s">
        <v>77</v>
      </c>
      <c r="L679" s="14" t="s">
        <v>186</v>
      </c>
      <c r="M679" s="14" t="s">
        <v>290</v>
      </c>
      <c r="N679" s="14">
        <v>2011</v>
      </c>
      <c r="O679" s="14">
        <v>9</v>
      </c>
      <c r="P679" s="14" t="s">
        <v>53</v>
      </c>
      <c r="Q679" s="14">
        <v>0</v>
      </c>
      <c r="R679" s="14">
        <v>0</v>
      </c>
      <c r="S679" s="17" t="s">
        <v>54</v>
      </c>
      <c r="T679" s="18">
        <v>0</v>
      </c>
      <c r="U679" s="14">
        <v>0</v>
      </c>
      <c r="V679" s="19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f>Tabla13[[#This Row],[CheckList App]]+Tabla13[[#This Row],[CheckList Fisc]]</f>
        <v>0</v>
      </c>
      <c r="AB679" s="19" t="str">
        <f t="shared" si="10"/>
        <v/>
      </c>
      <c r="AC679" s="14">
        <v>0</v>
      </c>
      <c r="AD679" s="14" t="s">
        <v>70</v>
      </c>
      <c r="AE679" s="15" t="str">
        <f>IFERROR((VLOOKUP(Tabla13[[#This Row],[ID]],[1]!Mtto_Pesv[[#Headers],[#Data],[Placa]:[Rutina]],2,FALSE)),"-")</f>
        <v>-</v>
      </c>
      <c r="AF679" s="14">
        <v>1</v>
      </c>
      <c r="AG679" s="20">
        <f>IFERROR((VLOOKUP(Tabla13[[#This Row],[ID]],[1]!Mtto_Pesv[[#Headers],[#Data],[Placa]:[Rutina]],3,FALSE)),0)</f>
        <v>0</v>
      </c>
      <c r="AH679" s="20">
        <f>IFERROR((VLOOKUP(Tabla13[[#This Row],[ID]],[1]!Mtto_Pesv[[#Headers],[#Data],[Placa]:[Rutina]],7,FALSE)),0)</f>
        <v>0</v>
      </c>
      <c r="AI679" s="20">
        <f>IFERROR((VLOOKUP(Tabla13[[#This Row],[ID]],[1]!Mtto_Pesv[[#Headers],[#Data],[Placa]:[Rutina]],8,FALSE)),0)</f>
        <v>0</v>
      </c>
      <c r="AJ679" s="20" t="str">
        <f>IFERROR((VLOOKUP(Tabla13[[#This Row],[ID]],[1]!Mtto_Pesv[[#Headers],[#Data],[Placa]:[Rutina]],9,FALSE)),"-")</f>
        <v>-</v>
      </c>
      <c r="AK679" s="20">
        <f>IFERROR((VLOOKUP(Tabla13[[#This Row],[ID]],[1]!Mtto_Pesv[[#Headers],[#Data],[Placa]:[Rutina]],10,FALSE)),0)</f>
        <v>0</v>
      </c>
      <c r="AL679" s="20">
        <f>IF(Tabla13[[#This Row],[Km Anterior]]=0,0,Tabla13[[#This Row],[Km Ejecut]]-Tabla13[[#This Row],[Km Anterior]])</f>
        <v>0</v>
      </c>
      <c r="AM679" s="20">
        <f>IFERROR((VLOOKUP(Tabla13[[#This Row],[ID]],[1]!Mtto_Pesv[[#Headers],[#Data],[Placa]:[Rutina]],4,FALSE)),0)</f>
        <v>0</v>
      </c>
      <c r="AN679" s="21">
        <f>IFERROR((VLOOKUP(Tabla13[[#This Row],[ID]],[1]!Mtto_Pesv[[#Headers],[#Data],[Placa]:[Rutina]],5,FALSE)),0)</f>
        <v>0</v>
      </c>
      <c r="AO679" s="21">
        <f>+Tabla13[[#This Row],[Km Fin]]-Tabla13[[#This Row],[Km Ini]]</f>
        <v>0</v>
      </c>
      <c r="AP679" s="20">
        <f>IFERROR((VLOOKUP(Tabla13[[#This Row],[ID]],[1]!Estilo_Conduccion[[#All],[Placa]:[Puntuacion]],15,FALSE)),0)</f>
        <v>0</v>
      </c>
      <c r="AQ679" s="15" t="s">
        <v>54</v>
      </c>
      <c r="AR679" s="15" t="s">
        <v>1474</v>
      </c>
      <c r="AS679" s="20">
        <v>1000</v>
      </c>
      <c r="AT679" s="21">
        <v>0</v>
      </c>
      <c r="AU679" s="21">
        <f>(Tabla13[[#This Row],[Cap Vh]]*$AX$2)*0.56</f>
        <v>0</v>
      </c>
      <c r="AV679" s="36" t="e">
        <f>(Tabla13[[#This Row],[Cap Util (kg)]]/(Tabla13[[#This Row],[Cap Inst (Kg)]]))</f>
        <v>#DIV/0!</v>
      </c>
    </row>
    <row r="680" spans="1:48" x14ac:dyDescent="0.25">
      <c r="A680" s="13" t="s">
        <v>1068</v>
      </c>
      <c r="B680" s="14" t="s">
        <v>913</v>
      </c>
      <c r="C680" s="14" t="s">
        <v>749</v>
      </c>
      <c r="D680" s="14" t="s">
        <v>749</v>
      </c>
      <c r="E680" s="14" t="s">
        <v>900</v>
      </c>
      <c r="F680" s="14" t="s">
        <v>64</v>
      </c>
      <c r="G680" s="15" t="s">
        <v>47</v>
      </c>
      <c r="H680" s="16" t="s">
        <v>48</v>
      </c>
      <c r="I680" s="14" t="s">
        <v>49</v>
      </c>
      <c r="J680" s="14">
        <v>900335279</v>
      </c>
      <c r="K680" s="14" t="s">
        <v>77</v>
      </c>
      <c r="L680" s="14" t="s">
        <v>186</v>
      </c>
      <c r="M680" s="14" t="s">
        <v>290</v>
      </c>
      <c r="N680" s="14">
        <v>2011</v>
      </c>
      <c r="O680" s="14">
        <v>9</v>
      </c>
      <c r="P680" s="14" t="s">
        <v>53</v>
      </c>
      <c r="Q680" s="14">
        <v>0</v>
      </c>
      <c r="R680" s="14">
        <v>0</v>
      </c>
      <c r="S680" s="17" t="s">
        <v>54</v>
      </c>
      <c r="T680" s="18">
        <v>0</v>
      </c>
      <c r="U680" s="14">
        <v>30</v>
      </c>
      <c r="V680" s="19">
        <v>1</v>
      </c>
      <c r="W680" s="14">
        <v>0</v>
      </c>
      <c r="X680" s="14">
        <v>0</v>
      </c>
      <c r="Y680" s="14">
        <v>0</v>
      </c>
      <c r="Z680" s="14">
        <v>0</v>
      </c>
      <c r="AA680" s="14">
        <f>Tabla13[[#This Row],[CheckList App]]+Tabla13[[#This Row],[CheckList Fisc]]</f>
        <v>0</v>
      </c>
      <c r="AB680" s="19">
        <f t="shared" si="10"/>
        <v>0</v>
      </c>
      <c r="AC680" s="14">
        <v>0</v>
      </c>
      <c r="AD680" s="14" t="s">
        <v>70</v>
      </c>
      <c r="AE680" s="15" t="str">
        <f>IFERROR((VLOOKUP(Tabla13[[#This Row],[ID]],[1]!Mtto_Pesv[[#Headers],[#Data],[Placa]:[Rutina]],2,FALSE)),"-")</f>
        <v>-</v>
      </c>
      <c r="AF680" s="14">
        <v>1</v>
      </c>
      <c r="AG680" s="20">
        <f>IFERROR((VLOOKUP(Tabla13[[#This Row],[ID]],[1]!Mtto_Pesv[[#Headers],[#Data],[Placa]:[Rutina]],3,FALSE)),0)</f>
        <v>0</v>
      </c>
      <c r="AH680" s="20">
        <f>IFERROR((VLOOKUP(Tabla13[[#This Row],[ID]],[1]!Mtto_Pesv[[#Headers],[#Data],[Placa]:[Rutina]],7,FALSE)),0)</f>
        <v>0</v>
      </c>
      <c r="AI680" s="20">
        <f>IFERROR((VLOOKUP(Tabla13[[#This Row],[ID]],[1]!Mtto_Pesv[[#Headers],[#Data],[Placa]:[Rutina]],8,FALSE)),0)</f>
        <v>0</v>
      </c>
      <c r="AJ680" s="20" t="str">
        <f>IFERROR((VLOOKUP(Tabla13[[#This Row],[ID]],[1]!Mtto_Pesv[[#Headers],[#Data],[Placa]:[Rutina]],9,FALSE)),"-")</f>
        <v>-</v>
      </c>
      <c r="AK680" s="20">
        <f>IFERROR((VLOOKUP(Tabla13[[#This Row],[ID]],[1]!Mtto_Pesv[[#Headers],[#Data],[Placa]:[Rutina]],10,FALSE)),0)</f>
        <v>0</v>
      </c>
      <c r="AL680" s="20">
        <f>IF(Tabla13[[#This Row],[Km Anterior]]=0,0,Tabla13[[#This Row],[Km Ejecut]]-Tabla13[[#This Row],[Km Anterior]])</f>
        <v>0</v>
      </c>
      <c r="AM680" s="20">
        <f>IFERROR((VLOOKUP(Tabla13[[#This Row],[ID]],[1]!Mtto_Pesv[[#Headers],[#Data],[Placa]:[Rutina]],4,FALSE)),0)</f>
        <v>0</v>
      </c>
      <c r="AN680" s="21">
        <f>IFERROR((VLOOKUP(Tabla13[[#This Row],[ID]],[1]!Mtto_Pesv[[#Headers],[#Data],[Placa]:[Rutina]],5,FALSE)),0)</f>
        <v>0</v>
      </c>
      <c r="AO680" s="21">
        <f>+Tabla13[[#This Row],[Km Fin]]-Tabla13[[#This Row],[Km Ini]]</f>
        <v>0</v>
      </c>
      <c r="AP680" s="20">
        <f>IFERROR((VLOOKUP(Tabla13[[#This Row],[ID]],[1]!Estilo_Conduccion[[#All],[Placa]:[Puntuacion]],15,FALSE)),0)</f>
        <v>0</v>
      </c>
      <c r="AQ680" s="15" t="s">
        <v>1511</v>
      </c>
      <c r="AR680" s="15" t="s">
        <v>1512</v>
      </c>
      <c r="AS680" s="20">
        <v>1000</v>
      </c>
      <c r="AT680" s="21">
        <v>14545.5</v>
      </c>
      <c r="AU680" s="21">
        <f>(Tabla13[[#This Row],[Cap Vh]]*$AX$2)*0.56</f>
        <v>0</v>
      </c>
      <c r="AV680" s="36" t="e">
        <f>(Tabla13[[#This Row],[Cap Util (kg)]]/(Tabla13[[#This Row],[Cap Inst (Kg)]]))</f>
        <v>#DIV/0!</v>
      </c>
    </row>
    <row r="681" spans="1:48" x14ac:dyDescent="0.25">
      <c r="A681" s="13" t="s">
        <v>1068</v>
      </c>
      <c r="B681" s="14" t="s">
        <v>914</v>
      </c>
      <c r="C681" s="14" t="s">
        <v>749</v>
      </c>
      <c r="D681" s="14" t="s">
        <v>749</v>
      </c>
      <c r="E681" s="14" t="s">
        <v>840</v>
      </c>
      <c r="F681" s="14" t="s">
        <v>76</v>
      </c>
      <c r="G681" s="15" t="s">
        <v>47</v>
      </c>
      <c r="H681" s="16" t="s">
        <v>48</v>
      </c>
      <c r="I681" s="14" t="s">
        <v>49</v>
      </c>
      <c r="J681" s="14">
        <v>900335279</v>
      </c>
      <c r="K681" s="14" t="s">
        <v>77</v>
      </c>
      <c r="L681" s="14" t="s">
        <v>186</v>
      </c>
      <c r="M681" s="14" t="s">
        <v>290</v>
      </c>
      <c r="N681" s="14">
        <v>2011</v>
      </c>
      <c r="O681" s="14">
        <v>9</v>
      </c>
      <c r="P681" s="14" t="s">
        <v>53</v>
      </c>
      <c r="Q681" s="14">
        <v>0</v>
      </c>
      <c r="R681" s="14">
        <v>0</v>
      </c>
      <c r="S681" s="17" t="s">
        <v>54</v>
      </c>
      <c r="T681" s="18">
        <v>0</v>
      </c>
      <c r="U681" s="14">
        <v>30</v>
      </c>
      <c r="V681" s="19">
        <v>1</v>
      </c>
      <c r="W681" s="14">
        <v>0</v>
      </c>
      <c r="X681" s="14">
        <v>0</v>
      </c>
      <c r="Y681" s="14">
        <v>0</v>
      </c>
      <c r="Z681" s="14">
        <v>0</v>
      </c>
      <c r="AA681" s="14">
        <f>Tabla13[[#This Row],[CheckList App]]+Tabla13[[#This Row],[CheckList Fisc]]</f>
        <v>0</v>
      </c>
      <c r="AB681" s="19">
        <f t="shared" si="10"/>
        <v>0</v>
      </c>
      <c r="AC681" s="14">
        <v>0</v>
      </c>
      <c r="AD681" s="14" t="s">
        <v>55</v>
      </c>
      <c r="AE681" s="15" t="str">
        <f>IFERROR((VLOOKUP(Tabla13[[#This Row],[ID]],[1]!Mtto_Pesv[[#Headers],[#Data],[Placa]:[Rutina]],2,FALSE)),"-")</f>
        <v>-</v>
      </c>
      <c r="AF681" s="14">
        <v>0</v>
      </c>
      <c r="AG681" s="20">
        <f>IFERROR((VLOOKUP(Tabla13[[#This Row],[ID]],[1]!Mtto_Pesv[[#Headers],[#Data],[Placa]:[Rutina]],3,FALSE)),0)</f>
        <v>0</v>
      </c>
      <c r="AH681" s="20">
        <f>IFERROR((VLOOKUP(Tabla13[[#This Row],[ID]],[1]!Mtto_Pesv[[#Headers],[#Data],[Placa]:[Rutina]],7,FALSE)),0)</f>
        <v>0</v>
      </c>
      <c r="AI681" s="20">
        <f>IFERROR((VLOOKUP(Tabla13[[#This Row],[ID]],[1]!Mtto_Pesv[[#Headers],[#Data],[Placa]:[Rutina]],8,FALSE)),0)</f>
        <v>0</v>
      </c>
      <c r="AJ681" s="20" t="str">
        <f>IFERROR((VLOOKUP(Tabla13[[#This Row],[ID]],[1]!Mtto_Pesv[[#Headers],[#Data],[Placa]:[Rutina]],9,FALSE)),"-")</f>
        <v>-</v>
      </c>
      <c r="AK681" s="20">
        <f>IFERROR((VLOOKUP(Tabla13[[#This Row],[ID]],[1]!Mtto_Pesv[[#Headers],[#Data],[Placa]:[Rutina]],10,FALSE)),0)</f>
        <v>0</v>
      </c>
      <c r="AL681" s="20">
        <f>IF(Tabla13[[#This Row],[Km Anterior]]=0,0,Tabla13[[#This Row],[Km Ejecut]]-Tabla13[[#This Row],[Km Anterior]])</f>
        <v>0</v>
      </c>
      <c r="AM681" s="20">
        <f>IFERROR((VLOOKUP(Tabla13[[#This Row],[ID]],[1]!Mtto_Pesv[[#Headers],[#Data],[Placa]:[Rutina]],4,FALSE)),0)</f>
        <v>0</v>
      </c>
      <c r="AN681" s="21">
        <f>IFERROR((VLOOKUP(Tabla13[[#This Row],[ID]],[1]!Mtto_Pesv[[#Headers],[#Data],[Placa]:[Rutina]],5,FALSE)),0)</f>
        <v>0</v>
      </c>
      <c r="AO681" s="21">
        <f>+Tabla13[[#This Row],[Km Fin]]-Tabla13[[#This Row],[Km Ini]]</f>
        <v>0</v>
      </c>
      <c r="AP681" s="20">
        <f>IFERROR((VLOOKUP(Tabla13[[#This Row],[ID]],[1]!Estilo_Conduccion[[#All],[Placa]:[Puntuacion]],15,FALSE)),0)</f>
        <v>0</v>
      </c>
      <c r="AQ681" s="15" t="s">
        <v>1513</v>
      </c>
      <c r="AR681" s="15" t="s">
        <v>1514</v>
      </c>
      <c r="AS681" s="20">
        <v>1000</v>
      </c>
      <c r="AT681" s="21">
        <v>9011.25</v>
      </c>
      <c r="AU681" s="21">
        <f>(Tabla13[[#This Row],[Cap Vh]]*$AX$2)*0.56</f>
        <v>0</v>
      </c>
      <c r="AV681" s="36" t="e">
        <f>(Tabla13[[#This Row],[Cap Util (kg)]]/(Tabla13[[#This Row],[Cap Inst (Kg)]]))</f>
        <v>#DIV/0!</v>
      </c>
    </row>
    <row r="682" spans="1:48" x14ac:dyDescent="0.25">
      <c r="A682" s="13" t="s">
        <v>1068</v>
      </c>
      <c r="B682" s="14" t="s">
        <v>915</v>
      </c>
      <c r="C682" s="14" t="s">
        <v>749</v>
      </c>
      <c r="D682" s="14" t="s">
        <v>749</v>
      </c>
      <c r="E682" s="14" t="s">
        <v>845</v>
      </c>
      <c r="F682" s="14" t="s">
        <v>64</v>
      </c>
      <c r="G682" s="15" t="s">
        <v>47</v>
      </c>
      <c r="H682" s="16" t="s">
        <v>48</v>
      </c>
      <c r="I682" s="14" t="s">
        <v>49</v>
      </c>
      <c r="J682" s="14">
        <v>900335279</v>
      </c>
      <c r="K682" s="14" t="s">
        <v>77</v>
      </c>
      <c r="L682" s="14" t="s">
        <v>186</v>
      </c>
      <c r="M682" s="14" t="s">
        <v>290</v>
      </c>
      <c r="N682" s="14">
        <v>2011</v>
      </c>
      <c r="O682" s="14">
        <v>9</v>
      </c>
      <c r="P682" s="14" t="s">
        <v>53</v>
      </c>
      <c r="Q682" s="14">
        <v>0</v>
      </c>
      <c r="R682" s="14">
        <v>0</v>
      </c>
      <c r="S682" s="17" t="s">
        <v>54</v>
      </c>
      <c r="T682" s="18">
        <v>0</v>
      </c>
      <c r="U682" s="14">
        <v>30</v>
      </c>
      <c r="V682" s="19">
        <v>1</v>
      </c>
      <c r="W682" s="14">
        <v>0</v>
      </c>
      <c r="X682" s="14">
        <v>0</v>
      </c>
      <c r="Y682" s="14">
        <v>0</v>
      </c>
      <c r="Z682" s="14">
        <v>0</v>
      </c>
      <c r="AA682" s="14">
        <f>Tabla13[[#This Row],[CheckList App]]+Tabla13[[#This Row],[CheckList Fisc]]</f>
        <v>0</v>
      </c>
      <c r="AB682" s="19">
        <f t="shared" si="10"/>
        <v>0</v>
      </c>
      <c r="AC682" s="14">
        <v>0</v>
      </c>
      <c r="AD682" s="14" t="s">
        <v>70</v>
      </c>
      <c r="AE682" s="15" t="str">
        <f>IFERROR((VLOOKUP(Tabla13[[#This Row],[ID]],[1]!Mtto_Pesv[[#Headers],[#Data],[Placa]:[Rutina]],2,FALSE)),"-")</f>
        <v>-</v>
      </c>
      <c r="AF682" s="14">
        <v>1</v>
      </c>
      <c r="AG682" s="20">
        <f>IFERROR((VLOOKUP(Tabla13[[#This Row],[ID]],[1]!Mtto_Pesv[[#Headers],[#Data],[Placa]:[Rutina]],3,FALSE)),0)</f>
        <v>0</v>
      </c>
      <c r="AH682" s="20">
        <f>IFERROR((VLOOKUP(Tabla13[[#This Row],[ID]],[1]!Mtto_Pesv[[#Headers],[#Data],[Placa]:[Rutina]],7,FALSE)),0)</f>
        <v>0</v>
      </c>
      <c r="AI682" s="20">
        <f>IFERROR((VLOOKUP(Tabla13[[#This Row],[ID]],[1]!Mtto_Pesv[[#Headers],[#Data],[Placa]:[Rutina]],8,FALSE)),0)</f>
        <v>0</v>
      </c>
      <c r="AJ682" s="20" t="str">
        <f>IFERROR((VLOOKUP(Tabla13[[#This Row],[ID]],[1]!Mtto_Pesv[[#Headers],[#Data],[Placa]:[Rutina]],9,FALSE)),"-")</f>
        <v>-</v>
      </c>
      <c r="AK682" s="20">
        <f>IFERROR((VLOOKUP(Tabla13[[#This Row],[ID]],[1]!Mtto_Pesv[[#Headers],[#Data],[Placa]:[Rutina]],10,FALSE)),0)</f>
        <v>0</v>
      </c>
      <c r="AL682" s="20">
        <f>IF(Tabla13[[#This Row],[Km Anterior]]=0,0,Tabla13[[#This Row],[Km Ejecut]]-Tabla13[[#This Row],[Km Anterior]])</f>
        <v>0</v>
      </c>
      <c r="AM682" s="20">
        <f>IFERROR((VLOOKUP(Tabla13[[#This Row],[ID]],[1]!Mtto_Pesv[[#Headers],[#Data],[Placa]:[Rutina]],4,FALSE)),0)</f>
        <v>0</v>
      </c>
      <c r="AN682" s="21">
        <f>IFERROR((VLOOKUP(Tabla13[[#This Row],[ID]],[1]!Mtto_Pesv[[#Headers],[#Data],[Placa]:[Rutina]],5,FALSE)),0)</f>
        <v>0</v>
      </c>
      <c r="AO682" s="21">
        <f>+Tabla13[[#This Row],[Km Fin]]-Tabla13[[#This Row],[Km Ini]]</f>
        <v>0</v>
      </c>
      <c r="AP682" s="20">
        <f>IFERROR((VLOOKUP(Tabla13[[#This Row],[ID]],[1]!Estilo_Conduccion[[#All],[Placa]:[Puntuacion]],15,FALSE)),0)</f>
        <v>0</v>
      </c>
      <c r="AQ682" s="15" t="s">
        <v>1515</v>
      </c>
      <c r="AR682" s="15" t="s">
        <v>1516</v>
      </c>
      <c r="AS682" s="20">
        <v>1000</v>
      </c>
      <c r="AT682" s="21">
        <v>4692</v>
      </c>
      <c r="AU682" s="21">
        <f>(Tabla13[[#This Row],[Cap Vh]]*$AX$2)*0.56</f>
        <v>0</v>
      </c>
      <c r="AV682" s="36" t="e">
        <f>(Tabla13[[#This Row],[Cap Util (kg)]]/(Tabla13[[#This Row],[Cap Inst (Kg)]]))</f>
        <v>#DIV/0!</v>
      </c>
    </row>
    <row r="683" spans="1:48" x14ac:dyDescent="0.25">
      <c r="A683" s="13" t="s">
        <v>1068</v>
      </c>
      <c r="B683" s="14" t="s">
        <v>916</v>
      </c>
      <c r="C683" s="14" t="s">
        <v>749</v>
      </c>
      <c r="D683" s="14" t="s">
        <v>749</v>
      </c>
      <c r="E683" s="14" t="s">
        <v>845</v>
      </c>
      <c r="F683" s="14" t="s">
        <v>64</v>
      </c>
      <c r="G683" s="15" t="s">
        <v>47</v>
      </c>
      <c r="H683" s="16" t="s">
        <v>48</v>
      </c>
      <c r="I683" s="14" t="s">
        <v>49</v>
      </c>
      <c r="J683" s="14">
        <v>900335279</v>
      </c>
      <c r="K683" s="14" t="s">
        <v>77</v>
      </c>
      <c r="L683" s="14" t="s">
        <v>186</v>
      </c>
      <c r="M683" s="14" t="s">
        <v>290</v>
      </c>
      <c r="N683" s="14">
        <v>2011</v>
      </c>
      <c r="O683" s="14">
        <v>9</v>
      </c>
      <c r="P683" s="14" t="s">
        <v>53</v>
      </c>
      <c r="Q683" s="14">
        <v>0</v>
      </c>
      <c r="R683" s="14">
        <v>0</v>
      </c>
      <c r="S683" s="17" t="s">
        <v>54</v>
      </c>
      <c r="T683" s="18">
        <v>0</v>
      </c>
      <c r="U683" s="14">
        <v>14</v>
      </c>
      <c r="V683" s="19">
        <v>0.46666666666666667</v>
      </c>
      <c r="W683" s="14">
        <v>0</v>
      </c>
      <c r="X683" s="14">
        <v>0</v>
      </c>
      <c r="Y683" s="14">
        <v>0</v>
      </c>
      <c r="Z683" s="14">
        <v>0</v>
      </c>
      <c r="AA683" s="14">
        <f>Tabla13[[#This Row],[CheckList App]]+Tabla13[[#This Row],[CheckList Fisc]]</f>
        <v>0</v>
      </c>
      <c r="AB683" s="19">
        <f t="shared" si="10"/>
        <v>0</v>
      </c>
      <c r="AC683" s="14">
        <v>0</v>
      </c>
      <c r="AD683" s="14" t="s">
        <v>70</v>
      </c>
      <c r="AE683" s="15" t="str">
        <f>IFERROR((VLOOKUP(Tabla13[[#This Row],[ID]],[1]!Mtto_Pesv[[#Headers],[#Data],[Placa]:[Rutina]],2,FALSE)),"-")</f>
        <v>-</v>
      </c>
      <c r="AF683" s="14">
        <v>1</v>
      </c>
      <c r="AG683" s="20">
        <f>IFERROR((VLOOKUP(Tabla13[[#This Row],[ID]],[1]!Mtto_Pesv[[#Headers],[#Data],[Placa]:[Rutina]],3,FALSE)),0)</f>
        <v>0</v>
      </c>
      <c r="AH683" s="20">
        <f>IFERROR((VLOOKUP(Tabla13[[#This Row],[ID]],[1]!Mtto_Pesv[[#Headers],[#Data],[Placa]:[Rutina]],7,FALSE)),0)</f>
        <v>0</v>
      </c>
      <c r="AI683" s="20">
        <f>IFERROR((VLOOKUP(Tabla13[[#This Row],[ID]],[1]!Mtto_Pesv[[#Headers],[#Data],[Placa]:[Rutina]],8,FALSE)),0)</f>
        <v>0</v>
      </c>
      <c r="AJ683" s="20" t="str">
        <f>IFERROR((VLOOKUP(Tabla13[[#This Row],[ID]],[1]!Mtto_Pesv[[#Headers],[#Data],[Placa]:[Rutina]],9,FALSE)),"-")</f>
        <v>-</v>
      </c>
      <c r="AK683" s="20">
        <f>IFERROR((VLOOKUP(Tabla13[[#This Row],[ID]],[1]!Mtto_Pesv[[#Headers],[#Data],[Placa]:[Rutina]],10,FALSE)),0)</f>
        <v>0</v>
      </c>
      <c r="AL683" s="20">
        <f>IF(Tabla13[[#This Row],[Km Anterior]]=0,0,Tabla13[[#This Row],[Km Ejecut]]-Tabla13[[#This Row],[Km Anterior]])</f>
        <v>0</v>
      </c>
      <c r="AM683" s="20">
        <f>IFERROR((VLOOKUP(Tabla13[[#This Row],[ID]],[1]!Mtto_Pesv[[#Headers],[#Data],[Placa]:[Rutina]],4,FALSE)),0)</f>
        <v>0</v>
      </c>
      <c r="AN683" s="21">
        <f>IFERROR((VLOOKUP(Tabla13[[#This Row],[ID]],[1]!Mtto_Pesv[[#Headers],[#Data],[Placa]:[Rutina]],5,FALSE)),0)</f>
        <v>0</v>
      </c>
      <c r="AO683" s="21">
        <f>+Tabla13[[#This Row],[Km Fin]]-Tabla13[[#This Row],[Km Ini]]</f>
        <v>0</v>
      </c>
      <c r="AP683" s="20">
        <f>IFERROR((VLOOKUP(Tabla13[[#This Row],[ID]],[1]!Estilo_Conduccion[[#All],[Placa]:[Puntuacion]],15,FALSE)),0)</f>
        <v>0</v>
      </c>
      <c r="AQ683" s="15" t="s">
        <v>1517</v>
      </c>
      <c r="AR683" s="15" t="s">
        <v>1518</v>
      </c>
      <c r="AS683" s="20">
        <v>1000</v>
      </c>
      <c r="AT683" s="21">
        <v>7026</v>
      </c>
      <c r="AU683" s="21">
        <f>(Tabla13[[#This Row],[Cap Vh]]*$AX$2)*0.56</f>
        <v>0</v>
      </c>
      <c r="AV683" s="36" t="e">
        <f>(Tabla13[[#This Row],[Cap Util (kg)]]/(Tabla13[[#This Row],[Cap Inst (Kg)]]))</f>
        <v>#DIV/0!</v>
      </c>
    </row>
    <row r="684" spans="1:48" x14ac:dyDescent="0.25">
      <c r="A684" s="13" t="s">
        <v>1068</v>
      </c>
      <c r="B684" s="14" t="s">
        <v>917</v>
      </c>
      <c r="C684" s="14" t="s">
        <v>749</v>
      </c>
      <c r="D684" s="14" t="s">
        <v>749</v>
      </c>
      <c r="E684" s="14" t="s">
        <v>845</v>
      </c>
      <c r="F684" s="14" t="s">
        <v>64</v>
      </c>
      <c r="G684" s="15" t="s">
        <v>47</v>
      </c>
      <c r="H684" s="16" t="s">
        <v>48</v>
      </c>
      <c r="I684" s="14" t="s">
        <v>49</v>
      </c>
      <c r="J684" s="14">
        <v>900335279</v>
      </c>
      <c r="K684" s="14" t="s">
        <v>77</v>
      </c>
      <c r="L684" s="14" t="s">
        <v>186</v>
      </c>
      <c r="M684" s="14" t="s">
        <v>290</v>
      </c>
      <c r="N684" s="14">
        <v>2011</v>
      </c>
      <c r="O684" s="14">
        <v>9</v>
      </c>
      <c r="P684" s="14" t="s">
        <v>53</v>
      </c>
      <c r="Q684" s="14">
        <v>0</v>
      </c>
      <c r="R684" s="14">
        <v>0</v>
      </c>
      <c r="S684" s="17" t="s">
        <v>54</v>
      </c>
      <c r="T684" s="18">
        <v>0</v>
      </c>
      <c r="U684" s="14">
        <v>30</v>
      </c>
      <c r="V684" s="19">
        <v>1</v>
      </c>
      <c r="W684" s="14">
        <v>0</v>
      </c>
      <c r="X684" s="14">
        <v>0</v>
      </c>
      <c r="Y684" s="14">
        <v>0</v>
      </c>
      <c r="Z684" s="14">
        <v>0</v>
      </c>
      <c r="AA684" s="14">
        <f>Tabla13[[#This Row],[CheckList App]]+Tabla13[[#This Row],[CheckList Fisc]]</f>
        <v>0</v>
      </c>
      <c r="AB684" s="19">
        <f t="shared" si="10"/>
        <v>0</v>
      </c>
      <c r="AC684" s="14">
        <v>0</v>
      </c>
      <c r="AD684" s="14" t="s">
        <v>70</v>
      </c>
      <c r="AE684" s="15" t="str">
        <f>IFERROR((VLOOKUP(Tabla13[[#This Row],[ID]],[1]!Mtto_Pesv[[#Headers],[#Data],[Placa]:[Rutina]],2,FALSE)),"-")</f>
        <v>-</v>
      </c>
      <c r="AF684" s="14">
        <v>1</v>
      </c>
      <c r="AG684" s="20">
        <f>IFERROR((VLOOKUP(Tabla13[[#This Row],[ID]],[1]!Mtto_Pesv[[#Headers],[#Data],[Placa]:[Rutina]],3,FALSE)),0)</f>
        <v>0</v>
      </c>
      <c r="AH684" s="20">
        <f>IFERROR((VLOOKUP(Tabla13[[#This Row],[ID]],[1]!Mtto_Pesv[[#Headers],[#Data],[Placa]:[Rutina]],7,FALSE)),0)</f>
        <v>0</v>
      </c>
      <c r="AI684" s="20">
        <f>IFERROR((VLOOKUP(Tabla13[[#This Row],[ID]],[1]!Mtto_Pesv[[#Headers],[#Data],[Placa]:[Rutina]],8,FALSE)),0)</f>
        <v>0</v>
      </c>
      <c r="AJ684" s="20" t="str">
        <f>IFERROR((VLOOKUP(Tabla13[[#This Row],[ID]],[1]!Mtto_Pesv[[#Headers],[#Data],[Placa]:[Rutina]],9,FALSE)),"-")</f>
        <v>-</v>
      </c>
      <c r="AK684" s="20">
        <f>IFERROR((VLOOKUP(Tabla13[[#This Row],[ID]],[1]!Mtto_Pesv[[#Headers],[#Data],[Placa]:[Rutina]],10,FALSE)),0)</f>
        <v>0</v>
      </c>
      <c r="AL684" s="20">
        <f>IF(Tabla13[[#This Row],[Km Anterior]]=0,0,Tabla13[[#This Row],[Km Ejecut]]-Tabla13[[#This Row],[Km Anterior]])</f>
        <v>0</v>
      </c>
      <c r="AM684" s="20">
        <f>IFERROR((VLOOKUP(Tabla13[[#This Row],[ID]],[1]!Mtto_Pesv[[#Headers],[#Data],[Placa]:[Rutina]],4,FALSE)),0)</f>
        <v>0</v>
      </c>
      <c r="AN684" s="21">
        <f>IFERROR((VLOOKUP(Tabla13[[#This Row],[ID]],[1]!Mtto_Pesv[[#Headers],[#Data],[Placa]:[Rutina]],5,FALSE)),0)</f>
        <v>0</v>
      </c>
      <c r="AO684" s="21">
        <f>+Tabla13[[#This Row],[Km Fin]]-Tabla13[[#This Row],[Km Ini]]</f>
        <v>0</v>
      </c>
      <c r="AP684" s="20">
        <f>IFERROR((VLOOKUP(Tabla13[[#This Row],[ID]],[1]!Estilo_Conduccion[[#All],[Placa]:[Puntuacion]],15,FALSE)),0)</f>
        <v>0</v>
      </c>
      <c r="AQ684" s="15" t="s">
        <v>1519</v>
      </c>
      <c r="AR684" s="15" t="s">
        <v>1520</v>
      </c>
      <c r="AS684" s="20">
        <v>1000</v>
      </c>
      <c r="AT684" s="21">
        <v>3696</v>
      </c>
      <c r="AU684" s="21">
        <f>(Tabla13[[#This Row],[Cap Vh]]*$AX$2)*0.56</f>
        <v>0</v>
      </c>
      <c r="AV684" s="36" t="e">
        <f>(Tabla13[[#This Row],[Cap Util (kg)]]/(Tabla13[[#This Row],[Cap Inst (Kg)]]))</f>
        <v>#DIV/0!</v>
      </c>
    </row>
    <row r="685" spans="1:48" x14ac:dyDescent="0.25">
      <c r="A685" s="13" t="s">
        <v>1068</v>
      </c>
      <c r="B685" s="14" t="s">
        <v>919</v>
      </c>
      <c r="C685" s="14" t="s">
        <v>749</v>
      </c>
      <c r="D685" s="14" t="s">
        <v>749</v>
      </c>
      <c r="E685" s="14" t="s">
        <v>840</v>
      </c>
      <c r="F685" s="14" t="s">
        <v>76</v>
      </c>
      <c r="G685" s="15" t="s">
        <v>89</v>
      </c>
      <c r="H685" s="16" t="s">
        <v>90</v>
      </c>
      <c r="I685" s="14" t="s">
        <v>49</v>
      </c>
      <c r="J685" s="14">
        <v>900335279</v>
      </c>
      <c r="K685" s="14" t="s">
        <v>77</v>
      </c>
      <c r="L685" s="14" t="s">
        <v>103</v>
      </c>
      <c r="M685" s="14" t="s">
        <v>121</v>
      </c>
      <c r="N685" s="14">
        <v>2011</v>
      </c>
      <c r="O685" s="14">
        <v>9</v>
      </c>
      <c r="P685" s="14" t="s">
        <v>53</v>
      </c>
      <c r="Q685" s="14">
        <v>0</v>
      </c>
      <c r="R685" s="14">
        <v>0</v>
      </c>
      <c r="S685" s="17" t="s">
        <v>54</v>
      </c>
      <c r="T685" s="18">
        <v>0</v>
      </c>
      <c r="U685" s="14">
        <v>30</v>
      </c>
      <c r="V685" s="19">
        <v>1</v>
      </c>
      <c r="W685" s="14">
        <v>0</v>
      </c>
      <c r="X685" s="14">
        <v>0</v>
      </c>
      <c r="Y685" s="14">
        <v>0</v>
      </c>
      <c r="Z685" s="14">
        <v>0</v>
      </c>
      <c r="AA685" s="14">
        <f>Tabla13[[#This Row],[CheckList App]]+Tabla13[[#This Row],[CheckList Fisc]]</f>
        <v>0</v>
      </c>
      <c r="AB685" s="19">
        <f t="shared" si="10"/>
        <v>0</v>
      </c>
      <c r="AC685" s="14">
        <v>0</v>
      </c>
      <c r="AD685" s="14" t="s">
        <v>55</v>
      </c>
      <c r="AE685" s="15" t="str">
        <f>IFERROR((VLOOKUP(Tabla13[[#This Row],[ID]],[1]!Mtto_Pesv[[#Headers],[#Data],[Placa]:[Rutina]],2,FALSE)),"-")</f>
        <v>-</v>
      </c>
      <c r="AF685" s="14">
        <v>0</v>
      </c>
      <c r="AG685" s="20">
        <f>IFERROR((VLOOKUP(Tabla13[[#This Row],[ID]],[1]!Mtto_Pesv[[#Headers],[#Data],[Placa]:[Rutina]],3,FALSE)),0)</f>
        <v>0</v>
      </c>
      <c r="AH685" s="20">
        <f>IFERROR((VLOOKUP(Tabla13[[#This Row],[ID]],[1]!Mtto_Pesv[[#Headers],[#Data],[Placa]:[Rutina]],7,FALSE)),0)</f>
        <v>0</v>
      </c>
      <c r="AI685" s="20">
        <f>IFERROR((VLOOKUP(Tabla13[[#This Row],[ID]],[1]!Mtto_Pesv[[#Headers],[#Data],[Placa]:[Rutina]],8,FALSE)),0)</f>
        <v>0</v>
      </c>
      <c r="AJ685" s="20" t="str">
        <f>IFERROR((VLOOKUP(Tabla13[[#This Row],[ID]],[1]!Mtto_Pesv[[#Headers],[#Data],[Placa]:[Rutina]],9,FALSE)),"-")</f>
        <v>-</v>
      </c>
      <c r="AK685" s="20">
        <f>IFERROR((VLOOKUP(Tabla13[[#This Row],[ID]],[1]!Mtto_Pesv[[#Headers],[#Data],[Placa]:[Rutina]],10,FALSE)),0)</f>
        <v>0</v>
      </c>
      <c r="AL685" s="20">
        <f>IF(Tabla13[[#This Row],[Km Anterior]]=0,0,Tabla13[[#This Row],[Km Ejecut]]-Tabla13[[#This Row],[Km Anterior]])</f>
        <v>0</v>
      </c>
      <c r="AM685" s="20">
        <f>IFERROR((VLOOKUP(Tabla13[[#This Row],[ID]],[1]!Mtto_Pesv[[#Headers],[#Data],[Placa]:[Rutina]],4,FALSE)),0)</f>
        <v>0</v>
      </c>
      <c r="AN685" s="21">
        <f>IFERROR((VLOOKUP(Tabla13[[#This Row],[ID]],[1]!Mtto_Pesv[[#Headers],[#Data],[Placa]:[Rutina]],5,FALSE)),0)</f>
        <v>0</v>
      </c>
      <c r="AO685" s="21">
        <f>+Tabla13[[#This Row],[Km Fin]]-Tabla13[[#This Row],[Km Ini]]</f>
        <v>0</v>
      </c>
      <c r="AP685" s="20">
        <f>IFERROR((VLOOKUP(Tabla13[[#This Row],[ID]],[1]!Estilo_Conduccion[[#All],[Placa]:[Puntuacion]],15,FALSE)),0)</f>
        <v>0</v>
      </c>
      <c r="AQ685" s="15" t="s">
        <v>1521</v>
      </c>
      <c r="AR685" s="15" t="s">
        <v>1522</v>
      </c>
      <c r="AS685" s="20">
        <v>2970</v>
      </c>
      <c r="AT685" s="21">
        <v>19364.4375</v>
      </c>
      <c r="AU685" s="21">
        <f>(Tabla13[[#This Row],[Cap Vh]]*$AX$2)*0.56</f>
        <v>0</v>
      </c>
      <c r="AV685" s="36" t="e">
        <f>(Tabla13[[#This Row],[Cap Util (kg)]]/(Tabla13[[#This Row],[Cap Inst (Kg)]]))</f>
        <v>#DIV/0!</v>
      </c>
    </row>
    <row r="686" spans="1:48" x14ac:dyDescent="0.25">
      <c r="A686" s="13" t="s">
        <v>1068</v>
      </c>
      <c r="B686" s="14" t="s">
        <v>920</v>
      </c>
      <c r="C686" s="14" t="s">
        <v>749</v>
      </c>
      <c r="D686" s="14" t="s">
        <v>749</v>
      </c>
      <c r="E686" s="14" t="s">
        <v>840</v>
      </c>
      <c r="F686" s="14" t="s">
        <v>64</v>
      </c>
      <c r="G686" s="15" t="s">
        <v>119</v>
      </c>
      <c r="H686" s="16" t="s">
        <v>120</v>
      </c>
      <c r="I686" s="14" t="s">
        <v>109</v>
      </c>
      <c r="J686" s="14">
        <v>900335279</v>
      </c>
      <c r="K686" s="14" t="s">
        <v>77</v>
      </c>
      <c r="L686" s="14" t="s">
        <v>405</v>
      </c>
      <c r="M686" s="14" t="s">
        <v>461</v>
      </c>
      <c r="N686" s="14">
        <v>2011</v>
      </c>
      <c r="O686" s="14">
        <v>9</v>
      </c>
      <c r="P686" s="14" t="s">
        <v>53</v>
      </c>
      <c r="Q686" s="14">
        <v>1</v>
      </c>
      <c r="R686" s="14">
        <v>1</v>
      </c>
      <c r="S686" s="17">
        <v>44834.588796296302</v>
      </c>
      <c r="T686" s="18">
        <v>86.471999999999994</v>
      </c>
      <c r="U686" s="14">
        <v>27</v>
      </c>
      <c r="V686" s="19">
        <v>0.9</v>
      </c>
      <c r="W686" s="14">
        <v>0</v>
      </c>
      <c r="X686" s="14">
        <v>22</v>
      </c>
      <c r="Y686" s="14">
        <v>22</v>
      </c>
      <c r="Z686" s="14">
        <v>0</v>
      </c>
      <c r="AA686" s="14">
        <f>Tabla13[[#This Row],[CheckList App]]+Tabla13[[#This Row],[CheckList Fisc]]</f>
        <v>22</v>
      </c>
      <c r="AB686" s="19">
        <f t="shared" si="10"/>
        <v>1</v>
      </c>
      <c r="AC686" s="14">
        <v>0</v>
      </c>
      <c r="AD686" s="14" t="s">
        <v>70</v>
      </c>
      <c r="AE686" s="22" t="str">
        <f>IFERROR((VLOOKUP(Tabla13[[#This Row],[ID]],[1]!Mtto_Pesv[[#Headers],[#Data],[Placa]:[Rutina]],2,FALSE)),"-")</f>
        <v>-</v>
      </c>
      <c r="AF686" s="14">
        <v>1</v>
      </c>
      <c r="AG686" s="20">
        <f>IFERROR((VLOOKUP(Tabla13[[#This Row],[ID]],[1]!Mtto_Pesv[[#Headers],[#Data],[Placa]:[Rutina]],3,FALSE)),0)</f>
        <v>0</v>
      </c>
      <c r="AH686" s="20">
        <f>IFERROR((VLOOKUP(Tabla13[[#This Row],[ID]],[1]!Mtto_Pesv[[#Headers],[#Data],[Placa]:[Rutina]],7,FALSE)),0)</f>
        <v>0</v>
      </c>
      <c r="AI686" s="20">
        <f>IFERROR((VLOOKUP(Tabla13[[#This Row],[ID]],[1]!Mtto_Pesv[[#Headers],[#Data],[Placa]:[Rutina]],8,FALSE)),0)</f>
        <v>0</v>
      </c>
      <c r="AJ686" s="20" t="str">
        <f>IFERROR((VLOOKUP(Tabla13[[#This Row],[ID]],[1]!Mtto_Pesv[[#Headers],[#Data],[Placa]:[Rutina]],9,FALSE)),"-")</f>
        <v>-</v>
      </c>
      <c r="AK686" s="20">
        <f>IFERROR((VLOOKUP(Tabla13[[#This Row],[ID]],[1]!Mtto_Pesv[[#Headers],[#Data],[Placa]:[Rutina]],10,FALSE)),0)</f>
        <v>0</v>
      </c>
      <c r="AL686" s="20">
        <f>IF(Tabla13[[#This Row],[Km Anterior]]=0,0,Tabla13[[#This Row],[Km Ejecut]]-Tabla13[[#This Row],[Km Anterior]])</f>
        <v>0</v>
      </c>
      <c r="AM686" s="20">
        <f>IFERROR((VLOOKUP(Tabla13[[#This Row],[ID]],[1]!Mtto_Pesv[[#Headers],[#Data],[Placa]:[Rutina]],4,FALSE)),0)</f>
        <v>0</v>
      </c>
      <c r="AN686" s="21">
        <f>IFERROR((VLOOKUP(Tabla13[[#This Row],[ID]],[1]!Mtto_Pesv[[#Headers],[#Data],[Placa]:[Rutina]],5,FALSE)),0)</f>
        <v>0</v>
      </c>
      <c r="AO686" s="21">
        <f>+Tabla13[[#This Row],[Km Fin]]-Tabla13[[#This Row],[Km Ini]]</f>
        <v>0</v>
      </c>
      <c r="AP686" s="20">
        <f>IFERROR((VLOOKUP(Tabla13[[#This Row],[ID]],[1]!Estilo_Conduccion[[#All],[Placa]:[Puntuacion]],15,FALSE)),0)</f>
        <v>55.5</v>
      </c>
      <c r="AQ686" s="15" t="s">
        <v>54</v>
      </c>
      <c r="AR686" s="15" t="s">
        <v>1523</v>
      </c>
      <c r="AS686" s="20">
        <v>2810</v>
      </c>
      <c r="AT686" s="21">
        <v>0</v>
      </c>
      <c r="AU686" s="21">
        <f>(Tabla13[[#This Row],[Cap Vh]]*$AX$2)*0.56</f>
        <v>0</v>
      </c>
      <c r="AV686" s="36" t="e">
        <f>(Tabla13[[#This Row],[Cap Util (kg)]]/(Tabla13[[#This Row],[Cap Inst (Kg)]]))</f>
        <v>#DIV/0!</v>
      </c>
    </row>
    <row r="687" spans="1:48" x14ac:dyDescent="0.25">
      <c r="A687" s="13" t="s">
        <v>1068</v>
      </c>
      <c r="B687" s="14" t="s">
        <v>921</v>
      </c>
      <c r="C687" s="14" t="s">
        <v>749</v>
      </c>
      <c r="D687" s="14" t="s">
        <v>749</v>
      </c>
      <c r="E687" s="14" t="s">
        <v>842</v>
      </c>
      <c r="F687" s="14" t="s">
        <v>64</v>
      </c>
      <c r="G687" s="15" t="s">
        <v>47</v>
      </c>
      <c r="H687" s="16" t="s">
        <v>48</v>
      </c>
      <c r="I687" s="14" t="s">
        <v>49</v>
      </c>
      <c r="J687" s="14">
        <v>900335279</v>
      </c>
      <c r="K687" s="14" t="s">
        <v>77</v>
      </c>
      <c r="L687" s="14" t="s">
        <v>405</v>
      </c>
      <c r="M687" s="14" t="s">
        <v>461</v>
      </c>
      <c r="N687" s="14">
        <v>2011</v>
      </c>
      <c r="O687" s="14">
        <v>9</v>
      </c>
      <c r="P687" s="14" t="s">
        <v>53</v>
      </c>
      <c r="Q687" s="14">
        <v>1</v>
      </c>
      <c r="R687" s="14">
        <v>0</v>
      </c>
      <c r="S687" s="17" t="s">
        <v>54</v>
      </c>
      <c r="T687" s="18">
        <v>0</v>
      </c>
      <c r="U687" s="14">
        <v>30</v>
      </c>
      <c r="V687" s="19">
        <v>1</v>
      </c>
      <c r="W687" s="14">
        <v>0</v>
      </c>
      <c r="X687" s="14">
        <v>0</v>
      </c>
      <c r="Y687" s="14">
        <v>0</v>
      </c>
      <c r="Z687" s="14">
        <v>0</v>
      </c>
      <c r="AA687" s="14">
        <f>Tabla13[[#This Row],[CheckList App]]+Tabla13[[#This Row],[CheckList Fisc]]</f>
        <v>0</v>
      </c>
      <c r="AB687" s="19">
        <f t="shared" si="10"/>
        <v>0</v>
      </c>
      <c r="AC687" s="14">
        <v>0</v>
      </c>
      <c r="AD687" s="14" t="s">
        <v>70</v>
      </c>
      <c r="AE687" s="15" t="str">
        <f>IFERROR((VLOOKUP(Tabla13[[#This Row],[ID]],[1]!Mtto_Pesv[[#Headers],[#Data],[Placa]:[Rutina]],2,FALSE)),"-")</f>
        <v>-</v>
      </c>
      <c r="AF687" s="14">
        <v>1</v>
      </c>
      <c r="AG687" s="20">
        <f>IFERROR((VLOOKUP(Tabla13[[#This Row],[ID]],[1]!Mtto_Pesv[[#Headers],[#Data],[Placa]:[Rutina]],3,FALSE)),0)</f>
        <v>0</v>
      </c>
      <c r="AH687" s="20">
        <f>IFERROR((VLOOKUP(Tabla13[[#This Row],[ID]],[1]!Mtto_Pesv[[#Headers],[#Data],[Placa]:[Rutina]],7,FALSE)),0)</f>
        <v>0</v>
      </c>
      <c r="AI687" s="20">
        <f>IFERROR((VLOOKUP(Tabla13[[#This Row],[ID]],[1]!Mtto_Pesv[[#Headers],[#Data],[Placa]:[Rutina]],8,FALSE)),0)</f>
        <v>0</v>
      </c>
      <c r="AJ687" s="20" t="str">
        <f>IFERROR((VLOOKUP(Tabla13[[#This Row],[ID]],[1]!Mtto_Pesv[[#Headers],[#Data],[Placa]:[Rutina]],9,FALSE)),"-")</f>
        <v>-</v>
      </c>
      <c r="AK687" s="20">
        <f>IFERROR((VLOOKUP(Tabla13[[#This Row],[ID]],[1]!Mtto_Pesv[[#Headers],[#Data],[Placa]:[Rutina]],10,FALSE)),0)</f>
        <v>0</v>
      </c>
      <c r="AL687" s="20">
        <f>IF(Tabla13[[#This Row],[Km Anterior]]=0,0,Tabla13[[#This Row],[Km Ejecut]]-Tabla13[[#This Row],[Km Anterior]])</f>
        <v>0</v>
      </c>
      <c r="AM687" s="20">
        <f>IFERROR((VLOOKUP(Tabla13[[#This Row],[ID]],[1]!Mtto_Pesv[[#Headers],[#Data],[Placa]:[Rutina]],4,FALSE)),0)</f>
        <v>0</v>
      </c>
      <c r="AN687" s="21">
        <f>IFERROR((VLOOKUP(Tabla13[[#This Row],[ID]],[1]!Mtto_Pesv[[#Headers],[#Data],[Placa]:[Rutina]],5,FALSE)),0)</f>
        <v>0</v>
      </c>
      <c r="AO687" s="21">
        <f>+Tabla13[[#This Row],[Km Fin]]-Tabla13[[#This Row],[Km Ini]]</f>
        <v>0</v>
      </c>
      <c r="AP687" s="20">
        <f>IFERROR((VLOOKUP(Tabla13[[#This Row],[ID]],[1]!Estilo_Conduccion[[#All],[Placa]:[Puntuacion]],15,FALSE)),0)</f>
        <v>0</v>
      </c>
      <c r="AQ687" s="15" t="s">
        <v>1524</v>
      </c>
      <c r="AR687" s="15" t="s">
        <v>1525</v>
      </c>
      <c r="AS687" s="20">
        <v>2810</v>
      </c>
      <c r="AT687" s="21">
        <v>9328.5</v>
      </c>
      <c r="AU687" s="21">
        <f>(Tabla13[[#This Row],[Cap Vh]]*$AX$2)*0.56</f>
        <v>0</v>
      </c>
      <c r="AV687" s="36" t="e">
        <f>(Tabla13[[#This Row],[Cap Util (kg)]]/(Tabla13[[#This Row],[Cap Inst (Kg)]]))</f>
        <v>#DIV/0!</v>
      </c>
    </row>
    <row r="688" spans="1:48" x14ac:dyDescent="0.25">
      <c r="A688" s="13" t="s">
        <v>1068</v>
      </c>
      <c r="B688" s="14" t="s">
        <v>922</v>
      </c>
      <c r="C688" s="14" t="s">
        <v>749</v>
      </c>
      <c r="D688" s="14" t="s">
        <v>749</v>
      </c>
      <c r="E688" s="14" t="s">
        <v>840</v>
      </c>
      <c r="F688" s="14" t="s">
        <v>76</v>
      </c>
      <c r="G688" s="15" t="s">
        <v>47</v>
      </c>
      <c r="H688" s="16" t="s">
        <v>48</v>
      </c>
      <c r="I688" s="14" t="s">
        <v>49</v>
      </c>
      <c r="J688" s="14">
        <v>900335279</v>
      </c>
      <c r="K688" s="14" t="s">
        <v>77</v>
      </c>
      <c r="L688" s="14" t="s">
        <v>405</v>
      </c>
      <c r="M688" s="14" t="s">
        <v>461</v>
      </c>
      <c r="N688" s="14">
        <v>2011</v>
      </c>
      <c r="O688" s="14">
        <v>9</v>
      </c>
      <c r="P688" s="14" t="s">
        <v>53</v>
      </c>
      <c r="Q688" s="14">
        <v>0</v>
      </c>
      <c r="R688" s="14">
        <v>0</v>
      </c>
      <c r="S688" s="17" t="s">
        <v>54</v>
      </c>
      <c r="T688" s="18">
        <v>0</v>
      </c>
      <c r="U688" s="14">
        <v>30</v>
      </c>
      <c r="V688" s="19">
        <v>1</v>
      </c>
      <c r="W688" s="14">
        <v>0</v>
      </c>
      <c r="X688" s="14">
        <v>0</v>
      </c>
      <c r="Y688" s="14">
        <v>0</v>
      </c>
      <c r="Z688" s="14">
        <v>0</v>
      </c>
      <c r="AA688" s="14">
        <f>Tabla13[[#This Row],[CheckList App]]+Tabla13[[#This Row],[CheckList Fisc]]</f>
        <v>0</v>
      </c>
      <c r="AB688" s="19">
        <f t="shared" si="10"/>
        <v>0</v>
      </c>
      <c r="AC688" s="14">
        <v>0</v>
      </c>
      <c r="AD688" s="14" t="s">
        <v>70</v>
      </c>
      <c r="AE688" s="15" t="str">
        <f>IFERROR((VLOOKUP(Tabla13[[#This Row],[ID]],[1]!Mtto_Pesv[[#Headers],[#Data],[Placa]:[Rutina]],2,FALSE)),"-")</f>
        <v>-</v>
      </c>
      <c r="AF688" s="14">
        <v>1</v>
      </c>
      <c r="AG688" s="20">
        <f>IFERROR((VLOOKUP(Tabla13[[#This Row],[ID]],[1]!Mtto_Pesv[[#Headers],[#Data],[Placa]:[Rutina]],3,FALSE)),0)</f>
        <v>0</v>
      </c>
      <c r="AH688" s="20">
        <f>IFERROR((VLOOKUP(Tabla13[[#This Row],[ID]],[1]!Mtto_Pesv[[#Headers],[#Data],[Placa]:[Rutina]],7,FALSE)),0)</f>
        <v>0</v>
      </c>
      <c r="AI688" s="20">
        <f>IFERROR((VLOOKUP(Tabla13[[#This Row],[ID]],[1]!Mtto_Pesv[[#Headers],[#Data],[Placa]:[Rutina]],8,FALSE)),0)</f>
        <v>0</v>
      </c>
      <c r="AJ688" s="20" t="str">
        <f>IFERROR((VLOOKUP(Tabla13[[#This Row],[ID]],[1]!Mtto_Pesv[[#Headers],[#Data],[Placa]:[Rutina]],9,FALSE)),"-")</f>
        <v>-</v>
      </c>
      <c r="AK688" s="20">
        <f>IFERROR((VLOOKUP(Tabla13[[#This Row],[ID]],[1]!Mtto_Pesv[[#Headers],[#Data],[Placa]:[Rutina]],10,FALSE)),0)</f>
        <v>0</v>
      </c>
      <c r="AL688" s="20">
        <f>IF(Tabla13[[#This Row],[Km Anterior]]=0,0,Tabla13[[#This Row],[Km Ejecut]]-Tabla13[[#This Row],[Km Anterior]])</f>
        <v>0</v>
      </c>
      <c r="AM688" s="20">
        <f>IFERROR((VLOOKUP(Tabla13[[#This Row],[ID]],[1]!Mtto_Pesv[[#Headers],[#Data],[Placa]:[Rutina]],4,FALSE)),0)</f>
        <v>0</v>
      </c>
      <c r="AN688" s="21">
        <f>IFERROR((VLOOKUP(Tabla13[[#This Row],[ID]],[1]!Mtto_Pesv[[#Headers],[#Data],[Placa]:[Rutina]],5,FALSE)),0)</f>
        <v>0</v>
      </c>
      <c r="AO688" s="21">
        <f>+Tabla13[[#This Row],[Km Fin]]-Tabla13[[#This Row],[Km Ini]]</f>
        <v>0</v>
      </c>
      <c r="AP688" s="20">
        <f>IFERROR((VLOOKUP(Tabla13[[#This Row],[ID]],[1]!Estilo_Conduccion[[#All],[Placa]:[Puntuacion]],15,FALSE)),0)</f>
        <v>0</v>
      </c>
      <c r="AQ688" s="15" t="s">
        <v>1526</v>
      </c>
      <c r="AR688" s="15" t="s">
        <v>1527</v>
      </c>
      <c r="AS688" s="20">
        <v>2810</v>
      </c>
      <c r="AT688" s="21">
        <v>4015.0714285714284</v>
      </c>
      <c r="AU688" s="21">
        <f>(Tabla13[[#This Row],[Cap Vh]]*$AX$2)*0.56</f>
        <v>0</v>
      </c>
      <c r="AV688" s="36" t="e">
        <f>(Tabla13[[#This Row],[Cap Util (kg)]]/(Tabla13[[#This Row],[Cap Inst (Kg)]]))</f>
        <v>#DIV/0!</v>
      </c>
    </row>
    <row r="689" spans="1:48" x14ac:dyDescent="0.25">
      <c r="A689" s="13" t="s">
        <v>1068</v>
      </c>
      <c r="B689" s="14" t="s">
        <v>923</v>
      </c>
      <c r="C689" s="14" t="s">
        <v>749</v>
      </c>
      <c r="D689" s="14" t="s">
        <v>749</v>
      </c>
      <c r="E689" s="14" t="s">
        <v>897</v>
      </c>
      <c r="F689" s="14" t="s">
        <v>64</v>
      </c>
      <c r="G689" s="15" t="s">
        <v>119</v>
      </c>
      <c r="H689" s="16" t="s">
        <v>120</v>
      </c>
      <c r="I689" s="14" t="s">
        <v>109</v>
      </c>
      <c r="J689" s="14">
        <v>900335279</v>
      </c>
      <c r="K689" s="14" t="s">
        <v>77</v>
      </c>
      <c r="L689" s="14" t="s">
        <v>405</v>
      </c>
      <c r="M689" s="14" t="s">
        <v>924</v>
      </c>
      <c r="N689" s="14">
        <v>2010</v>
      </c>
      <c r="O689" s="14">
        <v>10</v>
      </c>
      <c r="P689" s="14" t="s">
        <v>53</v>
      </c>
      <c r="Q689" s="14">
        <v>1</v>
      </c>
      <c r="R689" s="14">
        <v>1</v>
      </c>
      <c r="S689" s="17">
        <v>44831.527696759258</v>
      </c>
      <c r="T689" s="18">
        <v>104.714</v>
      </c>
      <c r="U689" s="14">
        <v>29</v>
      </c>
      <c r="V689" s="19">
        <v>0.96666666666666667</v>
      </c>
      <c r="W689" s="14">
        <v>0</v>
      </c>
      <c r="X689" s="14">
        <v>26</v>
      </c>
      <c r="Y689" s="14">
        <v>26</v>
      </c>
      <c r="Z689" s="14">
        <v>0</v>
      </c>
      <c r="AA689" s="14">
        <f>Tabla13[[#This Row],[CheckList App]]+Tabla13[[#This Row],[CheckList Fisc]]</f>
        <v>26</v>
      </c>
      <c r="AB689" s="19">
        <f t="shared" si="10"/>
        <v>1</v>
      </c>
      <c r="AC689" s="14">
        <v>0</v>
      </c>
      <c r="AD689" s="14" t="s">
        <v>70</v>
      </c>
      <c r="AE689" s="22" t="str">
        <f>IFERROR((VLOOKUP(Tabla13[[#This Row],[ID]],[1]!Mtto_Pesv[[#Headers],[#Data],[Placa]:[Rutina]],2,FALSE)),"-")</f>
        <v>-</v>
      </c>
      <c r="AF689" s="14">
        <v>1</v>
      </c>
      <c r="AG689" s="20">
        <f>IFERROR((VLOOKUP(Tabla13[[#This Row],[ID]],[1]!Mtto_Pesv[[#Headers],[#Data],[Placa]:[Rutina]],3,FALSE)),0)</f>
        <v>0</v>
      </c>
      <c r="AH689" s="20">
        <f>IFERROR((VLOOKUP(Tabla13[[#This Row],[ID]],[1]!Mtto_Pesv[[#Headers],[#Data],[Placa]:[Rutina]],7,FALSE)),0)</f>
        <v>0</v>
      </c>
      <c r="AI689" s="20">
        <f>IFERROR((VLOOKUP(Tabla13[[#This Row],[ID]],[1]!Mtto_Pesv[[#Headers],[#Data],[Placa]:[Rutina]],8,FALSE)),0)</f>
        <v>0</v>
      </c>
      <c r="AJ689" s="20" t="str">
        <f>IFERROR((VLOOKUP(Tabla13[[#This Row],[ID]],[1]!Mtto_Pesv[[#Headers],[#Data],[Placa]:[Rutina]],9,FALSE)),"-")</f>
        <v>-</v>
      </c>
      <c r="AK689" s="20">
        <f>IFERROR((VLOOKUP(Tabla13[[#This Row],[ID]],[1]!Mtto_Pesv[[#Headers],[#Data],[Placa]:[Rutina]],10,FALSE)),0)</f>
        <v>0</v>
      </c>
      <c r="AL689" s="20">
        <f>IF(Tabla13[[#This Row],[Km Anterior]]=0,0,Tabla13[[#This Row],[Km Ejecut]]-Tabla13[[#This Row],[Km Anterior]])</f>
        <v>0</v>
      </c>
      <c r="AM689" s="20">
        <f>IFERROR((VLOOKUP(Tabla13[[#This Row],[ID]],[1]!Mtto_Pesv[[#Headers],[#Data],[Placa]:[Rutina]],4,FALSE)),0)</f>
        <v>0</v>
      </c>
      <c r="AN689" s="21">
        <f>IFERROR((VLOOKUP(Tabla13[[#This Row],[ID]],[1]!Mtto_Pesv[[#Headers],[#Data],[Placa]:[Rutina]],5,FALSE)),0)</f>
        <v>0</v>
      </c>
      <c r="AO689" s="21">
        <f>+Tabla13[[#This Row],[Km Fin]]-Tabla13[[#This Row],[Km Ini]]</f>
        <v>0</v>
      </c>
      <c r="AP689" s="20">
        <f>IFERROR((VLOOKUP(Tabla13[[#This Row],[ID]],[1]!Estilo_Conduccion[[#All],[Placa]:[Puntuacion]],15,FALSE)),0)</f>
        <v>657.9</v>
      </c>
      <c r="AQ689" s="15" t="s">
        <v>54</v>
      </c>
      <c r="AR689" s="15" t="s">
        <v>1528</v>
      </c>
      <c r="AS689" s="20">
        <v>4260</v>
      </c>
      <c r="AT689" s="21">
        <v>0</v>
      </c>
      <c r="AU689" s="21">
        <f>(Tabla13[[#This Row],[Cap Vh]]*$AX$2)*0.56</f>
        <v>0</v>
      </c>
      <c r="AV689" s="36" t="e">
        <f>(Tabla13[[#This Row],[Cap Util (kg)]]/(Tabla13[[#This Row],[Cap Inst (Kg)]]))</f>
        <v>#DIV/0!</v>
      </c>
    </row>
    <row r="690" spans="1:48" x14ac:dyDescent="0.25">
      <c r="A690" s="13" t="s">
        <v>1068</v>
      </c>
      <c r="B690" s="14" t="s">
        <v>925</v>
      </c>
      <c r="C690" s="14" t="s">
        <v>749</v>
      </c>
      <c r="D690" s="14" t="s">
        <v>749</v>
      </c>
      <c r="E690" s="14" t="s">
        <v>840</v>
      </c>
      <c r="F690" s="14" t="s">
        <v>76</v>
      </c>
      <c r="G690" s="15" t="s">
        <v>47</v>
      </c>
      <c r="H690" s="16" t="s">
        <v>48</v>
      </c>
      <c r="I690" s="14" t="s">
        <v>49</v>
      </c>
      <c r="J690" s="14">
        <v>900335279</v>
      </c>
      <c r="K690" s="14" t="s">
        <v>77</v>
      </c>
      <c r="L690" s="14" t="s">
        <v>405</v>
      </c>
      <c r="M690" s="14" t="s">
        <v>461</v>
      </c>
      <c r="N690" s="14">
        <v>2011</v>
      </c>
      <c r="O690" s="14">
        <v>9</v>
      </c>
      <c r="P690" s="14" t="s">
        <v>53</v>
      </c>
      <c r="Q690" s="14">
        <v>0</v>
      </c>
      <c r="R690" s="14">
        <v>0</v>
      </c>
      <c r="S690" s="17" t="s">
        <v>54</v>
      </c>
      <c r="T690" s="18">
        <v>0</v>
      </c>
      <c r="U690" s="14">
        <v>30</v>
      </c>
      <c r="V690" s="19">
        <v>1</v>
      </c>
      <c r="W690" s="14">
        <v>0</v>
      </c>
      <c r="X690" s="14">
        <v>0</v>
      </c>
      <c r="Y690" s="14">
        <v>0</v>
      </c>
      <c r="Z690" s="14">
        <v>0</v>
      </c>
      <c r="AA690" s="14">
        <f>Tabla13[[#This Row],[CheckList App]]+Tabla13[[#This Row],[CheckList Fisc]]</f>
        <v>0</v>
      </c>
      <c r="AB690" s="19">
        <f t="shared" si="10"/>
        <v>0</v>
      </c>
      <c r="AC690" s="14">
        <v>0</v>
      </c>
      <c r="AD690" s="14" t="s">
        <v>70</v>
      </c>
      <c r="AE690" s="15" t="str">
        <f>IFERROR((VLOOKUP(Tabla13[[#This Row],[ID]],[1]!Mtto_Pesv[[#Headers],[#Data],[Placa]:[Rutina]],2,FALSE)),"-")</f>
        <v>-</v>
      </c>
      <c r="AF690" s="14">
        <v>1</v>
      </c>
      <c r="AG690" s="20">
        <f>IFERROR((VLOOKUP(Tabla13[[#This Row],[ID]],[1]!Mtto_Pesv[[#Headers],[#Data],[Placa]:[Rutina]],3,FALSE)),0)</f>
        <v>0</v>
      </c>
      <c r="AH690" s="20">
        <f>IFERROR((VLOOKUP(Tabla13[[#This Row],[ID]],[1]!Mtto_Pesv[[#Headers],[#Data],[Placa]:[Rutina]],7,FALSE)),0)</f>
        <v>0</v>
      </c>
      <c r="AI690" s="20">
        <f>IFERROR((VLOOKUP(Tabla13[[#This Row],[ID]],[1]!Mtto_Pesv[[#Headers],[#Data],[Placa]:[Rutina]],8,FALSE)),0)</f>
        <v>0</v>
      </c>
      <c r="AJ690" s="20" t="str">
        <f>IFERROR((VLOOKUP(Tabla13[[#This Row],[ID]],[1]!Mtto_Pesv[[#Headers],[#Data],[Placa]:[Rutina]],9,FALSE)),"-")</f>
        <v>-</v>
      </c>
      <c r="AK690" s="20">
        <f>IFERROR((VLOOKUP(Tabla13[[#This Row],[ID]],[1]!Mtto_Pesv[[#Headers],[#Data],[Placa]:[Rutina]],10,FALSE)),0)</f>
        <v>0</v>
      </c>
      <c r="AL690" s="20">
        <f>IF(Tabla13[[#This Row],[Km Anterior]]=0,0,Tabla13[[#This Row],[Km Ejecut]]-Tabla13[[#This Row],[Km Anterior]])</f>
        <v>0</v>
      </c>
      <c r="AM690" s="20">
        <f>IFERROR((VLOOKUP(Tabla13[[#This Row],[ID]],[1]!Mtto_Pesv[[#Headers],[#Data],[Placa]:[Rutina]],4,FALSE)),0)</f>
        <v>0</v>
      </c>
      <c r="AN690" s="21">
        <f>IFERROR((VLOOKUP(Tabla13[[#This Row],[ID]],[1]!Mtto_Pesv[[#Headers],[#Data],[Placa]:[Rutina]],5,FALSE)),0)</f>
        <v>0</v>
      </c>
      <c r="AO690" s="21">
        <f>+Tabla13[[#This Row],[Km Fin]]-Tabla13[[#This Row],[Km Ini]]</f>
        <v>0</v>
      </c>
      <c r="AP690" s="20">
        <f>IFERROR((VLOOKUP(Tabla13[[#This Row],[ID]],[1]!Estilo_Conduccion[[#All],[Placa]:[Puntuacion]],15,FALSE)),0)</f>
        <v>0</v>
      </c>
      <c r="AQ690" s="15" t="s">
        <v>1513</v>
      </c>
      <c r="AR690" s="15" t="s">
        <v>1514</v>
      </c>
      <c r="AS690" s="20">
        <v>2810</v>
      </c>
      <c r="AT690" s="21">
        <v>9011.25</v>
      </c>
      <c r="AU690" s="21">
        <f>(Tabla13[[#This Row],[Cap Vh]]*$AX$2)*0.56</f>
        <v>0</v>
      </c>
      <c r="AV690" s="36" t="e">
        <f>(Tabla13[[#This Row],[Cap Util (kg)]]/(Tabla13[[#This Row],[Cap Inst (Kg)]]))</f>
        <v>#DIV/0!</v>
      </c>
    </row>
    <row r="691" spans="1:48" x14ac:dyDescent="0.25">
      <c r="A691" s="13" t="s">
        <v>1068</v>
      </c>
      <c r="B691" s="14" t="s">
        <v>926</v>
      </c>
      <c r="C691" s="14" t="s">
        <v>749</v>
      </c>
      <c r="D691" s="14" t="s">
        <v>749</v>
      </c>
      <c r="E691" s="14" t="s">
        <v>840</v>
      </c>
      <c r="F691" s="14" t="s">
        <v>76</v>
      </c>
      <c r="G691" s="14" t="s">
        <v>65</v>
      </c>
      <c r="H691" s="16" t="s">
        <v>66</v>
      </c>
      <c r="I691" s="14" t="s">
        <v>49</v>
      </c>
      <c r="J691" s="14">
        <v>900335279</v>
      </c>
      <c r="K691" s="14" t="s">
        <v>77</v>
      </c>
      <c r="L691" s="14" t="s">
        <v>405</v>
      </c>
      <c r="M691" s="14" t="s">
        <v>441</v>
      </c>
      <c r="N691" s="14">
        <v>2011</v>
      </c>
      <c r="O691" s="14">
        <v>9</v>
      </c>
      <c r="P691" s="14" t="s">
        <v>53</v>
      </c>
      <c r="Q691" s="14">
        <v>0</v>
      </c>
      <c r="R691" s="14">
        <v>0</v>
      </c>
      <c r="S691" s="17" t="s">
        <v>54</v>
      </c>
      <c r="T691" s="18">
        <v>0</v>
      </c>
      <c r="U691" s="14">
        <v>0</v>
      </c>
      <c r="V691" s="19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f>Tabla13[[#This Row],[CheckList App]]+Tabla13[[#This Row],[CheckList Fisc]]</f>
        <v>0</v>
      </c>
      <c r="AB691" s="19" t="str">
        <f t="shared" si="10"/>
        <v/>
      </c>
      <c r="AC691" s="14">
        <v>0</v>
      </c>
      <c r="AD691" s="14" t="s">
        <v>70</v>
      </c>
      <c r="AE691" s="15" t="str">
        <f>IFERROR((VLOOKUP(Tabla13[[#This Row],[ID]],[1]!Mtto_Pesv[[#Headers],[#Data],[Placa]:[Rutina]],2,FALSE)),"-")</f>
        <v>-</v>
      </c>
      <c r="AF691" s="14">
        <v>1</v>
      </c>
      <c r="AG691" s="20">
        <f>IFERROR((VLOOKUP(Tabla13[[#This Row],[ID]],[1]!Mtto_Pesv[[#Headers],[#Data],[Placa]:[Rutina]],3,FALSE)),0)</f>
        <v>0</v>
      </c>
      <c r="AH691" s="20">
        <f>IFERROR((VLOOKUP(Tabla13[[#This Row],[ID]],[1]!Mtto_Pesv[[#Headers],[#Data],[Placa]:[Rutina]],7,FALSE)),0)</f>
        <v>0</v>
      </c>
      <c r="AI691" s="20">
        <f>IFERROR((VLOOKUP(Tabla13[[#This Row],[ID]],[1]!Mtto_Pesv[[#Headers],[#Data],[Placa]:[Rutina]],8,FALSE)),0)</f>
        <v>0</v>
      </c>
      <c r="AJ691" s="20" t="str">
        <f>IFERROR((VLOOKUP(Tabla13[[#This Row],[ID]],[1]!Mtto_Pesv[[#Headers],[#Data],[Placa]:[Rutina]],9,FALSE)),"-")</f>
        <v>-</v>
      </c>
      <c r="AK691" s="20">
        <f>IFERROR((VLOOKUP(Tabla13[[#This Row],[ID]],[1]!Mtto_Pesv[[#Headers],[#Data],[Placa]:[Rutina]],10,FALSE)),0)</f>
        <v>0</v>
      </c>
      <c r="AL691" s="20">
        <f>IF(Tabla13[[#This Row],[Km Anterior]]=0,0,Tabla13[[#This Row],[Km Ejecut]]-Tabla13[[#This Row],[Km Anterior]])</f>
        <v>0</v>
      </c>
      <c r="AM691" s="20">
        <f>IFERROR((VLOOKUP(Tabla13[[#This Row],[ID]],[1]!Mtto_Pesv[[#Headers],[#Data],[Placa]:[Rutina]],4,FALSE)),0)</f>
        <v>0</v>
      </c>
      <c r="AN691" s="21">
        <f>IFERROR((VLOOKUP(Tabla13[[#This Row],[ID]],[1]!Mtto_Pesv[[#Headers],[#Data],[Placa]:[Rutina]],5,FALSE)),0)</f>
        <v>0</v>
      </c>
      <c r="AO691" s="21">
        <f>+Tabla13[[#This Row],[Km Fin]]-Tabla13[[#This Row],[Km Ini]]</f>
        <v>0</v>
      </c>
      <c r="AP691" s="20">
        <f>IFERROR((VLOOKUP(Tabla13[[#This Row],[ID]],[1]!Estilo_Conduccion[[#All],[Placa]:[Puntuacion]],15,FALSE)),0)</f>
        <v>0</v>
      </c>
      <c r="AQ691" s="15" t="s">
        <v>54</v>
      </c>
      <c r="AR691" s="15" t="s">
        <v>54</v>
      </c>
      <c r="AS691" s="20">
        <v>1220</v>
      </c>
      <c r="AT691" s="21">
        <v>0</v>
      </c>
      <c r="AU691" s="21">
        <f>(Tabla13[[#This Row],[Cap Vh]]*$AX$2)*0.56</f>
        <v>0</v>
      </c>
      <c r="AV691" s="36" t="e">
        <f>(Tabla13[[#This Row],[Cap Util (kg)]]/(Tabla13[[#This Row],[Cap Inst (Kg)]]))</f>
        <v>#DIV/0!</v>
      </c>
    </row>
    <row r="692" spans="1:48" x14ac:dyDescent="0.25">
      <c r="A692" s="13" t="s">
        <v>1068</v>
      </c>
      <c r="B692" s="14" t="s">
        <v>928</v>
      </c>
      <c r="C692" s="14" t="s">
        <v>749</v>
      </c>
      <c r="D692" s="14" t="s">
        <v>749</v>
      </c>
      <c r="E692" s="14" t="s">
        <v>872</v>
      </c>
      <c r="F692" s="14" t="s">
        <v>76</v>
      </c>
      <c r="G692" s="15" t="s">
        <v>89</v>
      </c>
      <c r="H692" s="16" t="s">
        <v>90</v>
      </c>
      <c r="I692" s="14" t="s">
        <v>49</v>
      </c>
      <c r="J692" s="14">
        <v>900335279</v>
      </c>
      <c r="K692" s="14" t="s">
        <v>77</v>
      </c>
      <c r="L692" s="14" t="s">
        <v>405</v>
      </c>
      <c r="M692" s="14" t="s">
        <v>441</v>
      </c>
      <c r="N692" s="14">
        <v>2011</v>
      </c>
      <c r="O692" s="14">
        <v>9</v>
      </c>
      <c r="P692" s="14" t="s">
        <v>53</v>
      </c>
      <c r="Q692" s="14">
        <v>0</v>
      </c>
      <c r="R692" s="14">
        <v>0</v>
      </c>
      <c r="S692" s="17" t="s">
        <v>54</v>
      </c>
      <c r="T692" s="18">
        <v>0</v>
      </c>
      <c r="U692" s="14">
        <v>30</v>
      </c>
      <c r="V692" s="19">
        <v>1</v>
      </c>
      <c r="W692" s="14">
        <v>0</v>
      </c>
      <c r="X692" s="14">
        <v>0</v>
      </c>
      <c r="Y692" s="14">
        <v>0</v>
      </c>
      <c r="Z692" s="14">
        <v>0</v>
      </c>
      <c r="AA692" s="14">
        <f>Tabla13[[#This Row],[CheckList App]]+Tabla13[[#This Row],[CheckList Fisc]]</f>
        <v>0</v>
      </c>
      <c r="AB692" s="19">
        <f t="shared" si="10"/>
        <v>0</v>
      </c>
      <c r="AC692" s="14">
        <v>0</v>
      </c>
      <c r="AD692" s="14" t="s">
        <v>70</v>
      </c>
      <c r="AE692" s="15" t="str">
        <f>IFERROR((VLOOKUP(Tabla13[[#This Row],[ID]],[1]!Mtto_Pesv[[#Headers],[#Data],[Placa]:[Rutina]],2,FALSE)),"-")</f>
        <v>-</v>
      </c>
      <c r="AF692" s="14">
        <v>1</v>
      </c>
      <c r="AG692" s="20">
        <f>IFERROR((VLOOKUP(Tabla13[[#This Row],[ID]],[1]!Mtto_Pesv[[#Headers],[#Data],[Placa]:[Rutina]],3,FALSE)),0)</f>
        <v>0</v>
      </c>
      <c r="AH692" s="20">
        <f>IFERROR((VLOOKUP(Tabla13[[#This Row],[ID]],[1]!Mtto_Pesv[[#Headers],[#Data],[Placa]:[Rutina]],7,FALSE)),0)</f>
        <v>0</v>
      </c>
      <c r="AI692" s="20">
        <f>IFERROR((VLOOKUP(Tabla13[[#This Row],[ID]],[1]!Mtto_Pesv[[#Headers],[#Data],[Placa]:[Rutina]],8,FALSE)),0)</f>
        <v>0</v>
      </c>
      <c r="AJ692" s="20" t="str">
        <f>IFERROR((VLOOKUP(Tabla13[[#This Row],[ID]],[1]!Mtto_Pesv[[#Headers],[#Data],[Placa]:[Rutina]],9,FALSE)),"-")</f>
        <v>-</v>
      </c>
      <c r="AK692" s="20">
        <f>IFERROR((VLOOKUP(Tabla13[[#This Row],[ID]],[1]!Mtto_Pesv[[#Headers],[#Data],[Placa]:[Rutina]],10,FALSE)),0)</f>
        <v>0</v>
      </c>
      <c r="AL692" s="20">
        <f>IF(Tabla13[[#This Row],[Km Anterior]]=0,0,Tabla13[[#This Row],[Km Ejecut]]-Tabla13[[#This Row],[Km Anterior]])</f>
        <v>0</v>
      </c>
      <c r="AM692" s="20">
        <f>IFERROR((VLOOKUP(Tabla13[[#This Row],[ID]],[1]!Mtto_Pesv[[#Headers],[#Data],[Placa]:[Rutina]],4,FALSE)),0)</f>
        <v>0</v>
      </c>
      <c r="AN692" s="21">
        <f>IFERROR((VLOOKUP(Tabla13[[#This Row],[ID]],[1]!Mtto_Pesv[[#Headers],[#Data],[Placa]:[Rutina]],5,FALSE)),0)</f>
        <v>0</v>
      </c>
      <c r="AO692" s="21">
        <f>+Tabla13[[#This Row],[Km Fin]]-Tabla13[[#This Row],[Km Ini]]</f>
        <v>0</v>
      </c>
      <c r="AP692" s="20">
        <f>IFERROR((VLOOKUP(Tabla13[[#This Row],[ID]],[1]!Estilo_Conduccion[[#All],[Placa]:[Puntuacion]],15,FALSE)),0)</f>
        <v>0</v>
      </c>
      <c r="AQ692" s="15" t="s">
        <v>1529</v>
      </c>
      <c r="AR692" s="15" t="s">
        <v>1530</v>
      </c>
      <c r="AS692" s="20">
        <v>1220</v>
      </c>
      <c r="AT692" s="21">
        <v>11670</v>
      </c>
      <c r="AU692" s="21">
        <f>(Tabla13[[#This Row],[Cap Vh]]*$AX$2)*0.56</f>
        <v>0</v>
      </c>
      <c r="AV692" s="36" t="e">
        <f>(Tabla13[[#This Row],[Cap Util (kg)]]/(Tabla13[[#This Row],[Cap Inst (Kg)]]))</f>
        <v>#DIV/0!</v>
      </c>
    </row>
    <row r="693" spans="1:48" x14ac:dyDescent="0.25">
      <c r="A693" s="13" t="s">
        <v>1068</v>
      </c>
      <c r="B693" s="14" t="s">
        <v>929</v>
      </c>
      <c r="C693" s="14" t="s">
        <v>749</v>
      </c>
      <c r="D693" s="14" t="s">
        <v>749</v>
      </c>
      <c r="E693" s="14" t="s">
        <v>840</v>
      </c>
      <c r="F693" s="14" t="s">
        <v>76</v>
      </c>
      <c r="G693" s="15" t="s">
        <v>89</v>
      </c>
      <c r="H693" s="16" t="s">
        <v>90</v>
      </c>
      <c r="I693" s="14" t="s">
        <v>49</v>
      </c>
      <c r="J693" s="14">
        <v>900335279</v>
      </c>
      <c r="K693" s="14" t="s">
        <v>77</v>
      </c>
      <c r="L693" s="14" t="s">
        <v>405</v>
      </c>
      <c r="M693" s="14" t="s">
        <v>441</v>
      </c>
      <c r="N693" s="14">
        <v>2011</v>
      </c>
      <c r="O693" s="14">
        <v>9</v>
      </c>
      <c r="P693" s="14" t="s">
        <v>53</v>
      </c>
      <c r="Q693" s="14">
        <v>0</v>
      </c>
      <c r="R693" s="14">
        <v>0</v>
      </c>
      <c r="S693" s="17" t="s">
        <v>54</v>
      </c>
      <c r="T693" s="18">
        <v>0</v>
      </c>
      <c r="U693" s="14">
        <v>30</v>
      </c>
      <c r="V693" s="19">
        <v>1</v>
      </c>
      <c r="W693" s="14">
        <v>0</v>
      </c>
      <c r="X693" s="14">
        <v>0</v>
      </c>
      <c r="Y693" s="14">
        <v>0</v>
      </c>
      <c r="Z693" s="14">
        <v>0</v>
      </c>
      <c r="AA693" s="14">
        <f>Tabla13[[#This Row],[CheckList App]]+Tabla13[[#This Row],[CheckList Fisc]]</f>
        <v>0</v>
      </c>
      <c r="AB693" s="19">
        <f t="shared" si="10"/>
        <v>0</v>
      </c>
      <c r="AC693" s="14">
        <v>0</v>
      </c>
      <c r="AD693" s="14" t="s">
        <v>55</v>
      </c>
      <c r="AE693" s="15" t="str">
        <f>IFERROR((VLOOKUP(Tabla13[[#This Row],[ID]],[1]!Mtto_Pesv[[#Headers],[#Data],[Placa]:[Rutina]],2,FALSE)),"-")</f>
        <v>-</v>
      </c>
      <c r="AF693" s="14">
        <v>0</v>
      </c>
      <c r="AG693" s="20">
        <f>IFERROR((VLOOKUP(Tabla13[[#This Row],[ID]],[1]!Mtto_Pesv[[#Headers],[#Data],[Placa]:[Rutina]],3,FALSE)),0)</f>
        <v>0</v>
      </c>
      <c r="AH693" s="20">
        <f>IFERROR((VLOOKUP(Tabla13[[#This Row],[ID]],[1]!Mtto_Pesv[[#Headers],[#Data],[Placa]:[Rutina]],7,FALSE)),0)</f>
        <v>0</v>
      </c>
      <c r="AI693" s="20">
        <f>IFERROR((VLOOKUP(Tabla13[[#This Row],[ID]],[1]!Mtto_Pesv[[#Headers],[#Data],[Placa]:[Rutina]],8,FALSE)),0)</f>
        <v>0</v>
      </c>
      <c r="AJ693" s="20" t="str">
        <f>IFERROR((VLOOKUP(Tabla13[[#This Row],[ID]],[1]!Mtto_Pesv[[#Headers],[#Data],[Placa]:[Rutina]],9,FALSE)),"-")</f>
        <v>-</v>
      </c>
      <c r="AK693" s="20">
        <f>IFERROR((VLOOKUP(Tabla13[[#This Row],[ID]],[1]!Mtto_Pesv[[#Headers],[#Data],[Placa]:[Rutina]],10,FALSE)),0)</f>
        <v>0</v>
      </c>
      <c r="AL693" s="20">
        <f>IF(Tabla13[[#This Row],[Km Anterior]]=0,0,Tabla13[[#This Row],[Km Ejecut]]-Tabla13[[#This Row],[Km Anterior]])</f>
        <v>0</v>
      </c>
      <c r="AM693" s="20">
        <f>IFERROR((VLOOKUP(Tabla13[[#This Row],[ID]],[1]!Mtto_Pesv[[#Headers],[#Data],[Placa]:[Rutina]],4,FALSE)),0)</f>
        <v>0</v>
      </c>
      <c r="AN693" s="21">
        <f>IFERROR((VLOOKUP(Tabla13[[#This Row],[ID]],[1]!Mtto_Pesv[[#Headers],[#Data],[Placa]:[Rutina]],5,FALSE)),0)</f>
        <v>0</v>
      </c>
      <c r="AO693" s="21">
        <f>+Tabla13[[#This Row],[Km Fin]]-Tabla13[[#This Row],[Km Ini]]</f>
        <v>0</v>
      </c>
      <c r="AP693" s="20">
        <f>IFERROR((VLOOKUP(Tabla13[[#This Row],[ID]],[1]!Estilo_Conduccion[[#All],[Placa]:[Puntuacion]],15,FALSE)),0)</f>
        <v>0</v>
      </c>
      <c r="AQ693" s="15" t="s">
        <v>1521</v>
      </c>
      <c r="AR693" s="15" t="s">
        <v>1522</v>
      </c>
      <c r="AS693" s="20">
        <v>1220</v>
      </c>
      <c r="AT693" s="21">
        <v>19364.4375</v>
      </c>
      <c r="AU693" s="21">
        <f>(Tabla13[[#This Row],[Cap Vh]]*$AX$2)*0.56</f>
        <v>0</v>
      </c>
      <c r="AV693" s="36" t="e">
        <f>(Tabla13[[#This Row],[Cap Util (kg)]]/(Tabla13[[#This Row],[Cap Inst (Kg)]]))</f>
        <v>#DIV/0!</v>
      </c>
    </row>
    <row r="694" spans="1:48" x14ac:dyDescent="0.25">
      <c r="A694" s="13" t="s">
        <v>1068</v>
      </c>
      <c r="B694" s="14" t="s">
        <v>930</v>
      </c>
      <c r="C694" s="14" t="s">
        <v>749</v>
      </c>
      <c r="D694" s="14" t="s">
        <v>749</v>
      </c>
      <c r="E694" s="14" t="s">
        <v>840</v>
      </c>
      <c r="F694" s="14" t="s">
        <v>76</v>
      </c>
      <c r="G694" s="15" t="s">
        <v>89</v>
      </c>
      <c r="H694" s="16" t="s">
        <v>90</v>
      </c>
      <c r="I694" s="14" t="s">
        <v>49</v>
      </c>
      <c r="J694" s="14">
        <v>900335279</v>
      </c>
      <c r="K694" s="14" t="s">
        <v>77</v>
      </c>
      <c r="L694" s="14" t="s">
        <v>405</v>
      </c>
      <c r="M694" s="14" t="s">
        <v>441</v>
      </c>
      <c r="N694" s="14">
        <v>2011</v>
      </c>
      <c r="O694" s="14">
        <v>9</v>
      </c>
      <c r="P694" s="14" t="s">
        <v>53</v>
      </c>
      <c r="Q694" s="14">
        <v>0</v>
      </c>
      <c r="R694" s="14">
        <v>0</v>
      </c>
      <c r="S694" s="17" t="s">
        <v>54</v>
      </c>
      <c r="T694" s="18">
        <v>0</v>
      </c>
      <c r="U694" s="14">
        <v>0</v>
      </c>
      <c r="V694" s="19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f>Tabla13[[#This Row],[CheckList App]]+Tabla13[[#This Row],[CheckList Fisc]]</f>
        <v>0</v>
      </c>
      <c r="AB694" s="19" t="str">
        <f t="shared" si="10"/>
        <v/>
      </c>
      <c r="AC694" s="14">
        <v>0</v>
      </c>
      <c r="AD694" s="14" t="s">
        <v>55</v>
      </c>
      <c r="AE694" s="15" t="str">
        <f>IFERROR((VLOOKUP(Tabla13[[#This Row],[ID]],[1]!Mtto_Pesv[[#Headers],[#Data],[Placa]:[Rutina]],2,FALSE)),"-")</f>
        <v>-</v>
      </c>
      <c r="AF694" s="14">
        <v>0</v>
      </c>
      <c r="AG694" s="20">
        <f>IFERROR((VLOOKUP(Tabla13[[#This Row],[ID]],[1]!Mtto_Pesv[[#Headers],[#Data],[Placa]:[Rutina]],3,FALSE)),0)</f>
        <v>0</v>
      </c>
      <c r="AH694" s="20">
        <f>IFERROR((VLOOKUP(Tabla13[[#This Row],[ID]],[1]!Mtto_Pesv[[#Headers],[#Data],[Placa]:[Rutina]],7,FALSE)),0)</f>
        <v>0</v>
      </c>
      <c r="AI694" s="20">
        <f>IFERROR((VLOOKUP(Tabla13[[#This Row],[ID]],[1]!Mtto_Pesv[[#Headers],[#Data],[Placa]:[Rutina]],8,FALSE)),0)</f>
        <v>0</v>
      </c>
      <c r="AJ694" s="20" t="str">
        <f>IFERROR((VLOOKUP(Tabla13[[#This Row],[ID]],[1]!Mtto_Pesv[[#Headers],[#Data],[Placa]:[Rutina]],9,FALSE)),"-")</f>
        <v>-</v>
      </c>
      <c r="AK694" s="20">
        <f>IFERROR((VLOOKUP(Tabla13[[#This Row],[ID]],[1]!Mtto_Pesv[[#Headers],[#Data],[Placa]:[Rutina]],10,FALSE)),0)</f>
        <v>0</v>
      </c>
      <c r="AL694" s="20">
        <f>IF(Tabla13[[#This Row],[Km Anterior]]=0,0,Tabla13[[#This Row],[Km Ejecut]]-Tabla13[[#This Row],[Km Anterior]])</f>
        <v>0</v>
      </c>
      <c r="AM694" s="20">
        <f>IFERROR((VLOOKUP(Tabla13[[#This Row],[ID]],[1]!Mtto_Pesv[[#Headers],[#Data],[Placa]:[Rutina]],4,FALSE)),0)</f>
        <v>0</v>
      </c>
      <c r="AN694" s="21">
        <f>IFERROR((VLOOKUP(Tabla13[[#This Row],[ID]],[1]!Mtto_Pesv[[#Headers],[#Data],[Placa]:[Rutina]],5,FALSE)),0)</f>
        <v>0</v>
      </c>
      <c r="AO694" s="21">
        <f>+Tabla13[[#This Row],[Km Fin]]-Tabla13[[#This Row],[Km Ini]]</f>
        <v>0</v>
      </c>
      <c r="AP694" s="20">
        <f>IFERROR((VLOOKUP(Tabla13[[#This Row],[ID]],[1]!Estilo_Conduccion[[#All],[Placa]:[Puntuacion]],15,FALSE)),0)</f>
        <v>0</v>
      </c>
      <c r="AQ694" s="15" t="s">
        <v>1521</v>
      </c>
      <c r="AR694" s="15" t="s">
        <v>1522</v>
      </c>
      <c r="AS694" s="20">
        <v>1220</v>
      </c>
      <c r="AT694" s="21">
        <v>19364.4375</v>
      </c>
      <c r="AU694" s="21">
        <f>(Tabla13[[#This Row],[Cap Vh]]*$AX$2)*0.56</f>
        <v>0</v>
      </c>
      <c r="AV694" s="36" t="e">
        <f>(Tabla13[[#This Row],[Cap Util (kg)]]/(Tabla13[[#This Row],[Cap Inst (Kg)]]))</f>
        <v>#DIV/0!</v>
      </c>
    </row>
    <row r="695" spans="1:48" x14ac:dyDescent="0.25">
      <c r="A695" s="13" t="s">
        <v>1068</v>
      </c>
      <c r="B695" s="14" t="s">
        <v>931</v>
      </c>
      <c r="C695" s="14" t="s">
        <v>749</v>
      </c>
      <c r="D695" s="14" t="s">
        <v>749</v>
      </c>
      <c r="E695" s="14" t="s">
        <v>840</v>
      </c>
      <c r="F695" s="14" t="s">
        <v>76</v>
      </c>
      <c r="G695" s="15" t="s">
        <v>89</v>
      </c>
      <c r="H695" s="16" t="s">
        <v>90</v>
      </c>
      <c r="I695" s="14" t="s">
        <v>49</v>
      </c>
      <c r="J695" s="14">
        <v>900335279</v>
      </c>
      <c r="K695" s="14" t="s">
        <v>77</v>
      </c>
      <c r="L695" s="14" t="s">
        <v>405</v>
      </c>
      <c r="M695" s="14" t="s">
        <v>441</v>
      </c>
      <c r="N695" s="14">
        <v>2011</v>
      </c>
      <c r="O695" s="14">
        <v>9</v>
      </c>
      <c r="P695" s="14" t="s">
        <v>53</v>
      </c>
      <c r="Q695" s="14">
        <v>0</v>
      </c>
      <c r="R695" s="14">
        <v>0</v>
      </c>
      <c r="S695" s="17" t="s">
        <v>54</v>
      </c>
      <c r="T695" s="18">
        <v>0</v>
      </c>
      <c r="U695" s="14">
        <v>30</v>
      </c>
      <c r="V695" s="19">
        <v>1</v>
      </c>
      <c r="W695" s="14">
        <v>0</v>
      </c>
      <c r="X695" s="14">
        <v>0</v>
      </c>
      <c r="Y695" s="14">
        <v>0</v>
      </c>
      <c r="Z695" s="14">
        <v>0</v>
      </c>
      <c r="AA695" s="14">
        <f>Tabla13[[#This Row],[CheckList App]]+Tabla13[[#This Row],[CheckList Fisc]]</f>
        <v>0</v>
      </c>
      <c r="AB695" s="19">
        <f t="shared" si="10"/>
        <v>0</v>
      </c>
      <c r="AC695" s="14">
        <v>0</v>
      </c>
      <c r="AD695" s="14" t="s">
        <v>55</v>
      </c>
      <c r="AE695" s="15" t="str">
        <f>IFERROR((VLOOKUP(Tabla13[[#This Row],[ID]],[1]!Mtto_Pesv[[#Headers],[#Data],[Placa]:[Rutina]],2,FALSE)),"-")</f>
        <v>-</v>
      </c>
      <c r="AF695" s="14">
        <v>0</v>
      </c>
      <c r="AG695" s="20">
        <f>IFERROR((VLOOKUP(Tabla13[[#This Row],[ID]],[1]!Mtto_Pesv[[#Headers],[#Data],[Placa]:[Rutina]],3,FALSE)),0)</f>
        <v>0</v>
      </c>
      <c r="AH695" s="20">
        <f>IFERROR((VLOOKUP(Tabla13[[#This Row],[ID]],[1]!Mtto_Pesv[[#Headers],[#Data],[Placa]:[Rutina]],7,FALSE)),0)</f>
        <v>0</v>
      </c>
      <c r="AI695" s="20">
        <f>IFERROR((VLOOKUP(Tabla13[[#This Row],[ID]],[1]!Mtto_Pesv[[#Headers],[#Data],[Placa]:[Rutina]],8,FALSE)),0)</f>
        <v>0</v>
      </c>
      <c r="AJ695" s="20" t="str">
        <f>IFERROR((VLOOKUP(Tabla13[[#This Row],[ID]],[1]!Mtto_Pesv[[#Headers],[#Data],[Placa]:[Rutina]],9,FALSE)),"-")</f>
        <v>-</v>
      </c>
      <c r="AK695" s="20">
        <f>IFERROR((VLOOKUP(Tabla13[[#This Row],[ID]],[1]!Mtto_Pesv[[#Headers],[#Data],[Placa]:[Rutina]],10,FALSE)),0)</f>
        <v>0</v>
      </c>
      <c r="AL695" s="20">
        <f>IF(Tabla13[[#This Row],[Km Anterior]]=0,0,Tabla13[[#This Row],[Km Ejecut]]-Tabla13[[#This Row],[Km Anterior]])</f>
        <v>0</v>
      </c>
      <c r="AM695" s="20">
        <f>IFERROR((VLOOKUP(Tabla13[[#This Row],[ID]],[1]!Mtto_Pesv[[#Headers],[#Data],[Placa]:[Rutina]],4,FALSE)),0)</f>
        <v>0</v>
      </c>
      <c r="AN695" s="21">
        <f>IFERROR((VLOOKUP(Tabla13[[#This Row],[ID]],[1]!Mtto_Pesv[[#Headers],[#Data],[Placa]:[Rutina]],5,FALSE)),0)</f>
        <v>0</v>
      </c>
      <c r="AO695" s="21">
        <f>+Tabla13[[#This Row],[Km Fin]]-Tabla13[[#This Row],[Km Ini]]</f>
        <v>0</v>
      </c>
      <c r="AP695" s="20">
        <f>IFERROR((VLOOKUP(Tabla13[[#This Row],[ID]],[1]!Estilo_Conduccion[[#All],[Placa]:[Puntuacion]],15,FALSE)),0)</f>
        <v>0</v>
      </c>
      <c r="AQ695" s="15" t="s">
        <v>1521</v>
      </c>
      <c r="AR695" s="15" t="s">
        <v>1522</v>
      </c>
      <c r="AS695" s="20">
        <v>1220</v>
      </c>
      <c r="AT695" s="21">
        <v>19364.4375</v>
      </c>
      <c r="AU695" s="21">
        <f>(Tabla13[[#This Row],[Cap Vh]]*$AX$2)*0.56</f>
        <v>0</v>
      </c>
      <c r="AV695" s="36" t="e">
        <f>(Tabla13[[#This Row],[Cap Util (kg)]]/(Tabla13[[#This Row],[Cap Inst (Kg)]]))</f>
        <v>#DIV/0!</v>
      </c>
    </row>
    <row r="696" spans="1:48" x14ac:dyDescent="0.25">
      <c r="A696" s="13" t="s">
        <v>1068</v>
      </c>
      <c r="B696" s="14" t="s">
        <v>932</v>
      </c>
      <c r="C696" s="14" t="s">
        <v>749</v>
      </c>
      <c r="D696" s="14" t="s">
        <v>749</v>
      </c>
      <c r="E696" s="14" t="s">
        <v>900</v>
      </c>
      <c r="F696" s="14" t="s">
        <v>64</v>
      </c>
      <c r="G696" s="15" t="s">
        <v>47</v>
      </c>
      <c r="H696" s="16" t="s">
        <v>48</v>
      </c>
      <c r="I696" s="14" t="s">
        <v>49</v>
      </c>
      <c r="J696" s="14">
        <v>890300279</v>
      </c>
      <c r="K696" s="14" t="s">
        <v>282</v>
      </c>
      <c r="L696" s="14" t="s">
        <v>103</v>
      </c>
      <c r="M696" s="14" t="s">
        <v>121</v>
      </c>
      <c r="N696" s="14">
        <v>2011</v>
      </c>
      <c r="O696" s="14">
        <v>9</v>
      </c>
      <c r="P696" s="14" t="s">
        <v>53</v>
      </c>
      <c r="Q696" s="14">
        <v>0</v>
      </c>
      <c r="R696" s="14">
        <v>0</v>
      </c>
      <c r="S696" s="17" t="s">
        <v>54</v>
      </c>
      <c r="T696" s="18">
        <v>0</v>
      </c>
      <c r="U696" s="14">
        <v>26</v>
      </c>
      <c r="V696" s="19">
        <v>0.8666666666666667</v>
      </c>
      <c r="W696" s="14">
        <v>0</v>
      </c>
      <c r="X696" s="14">
        <v>0</v>
      </c>
      <c r="Y696" s="14">
        <v>0</v>
      </c>
      <c r="Z696" s="14">
        <v>0</v>
      </c>
      <c r="AA696" s="14">
        <f>Tabla13[[#This Row],[CheckList App]]+Tabla13[[#This Row],[CheckList Fisc]]</f>
        <v>0</v>
      </c>
      <c r="AB696" s="19">
        <f t="shared" si="10"/>
        <v>0</v>
      </c>
      <c r="AC696" s="14">
        <v>0</v>
      </c>
      <c r="AD696" s="14" t="s">
        <v>70</v>
      </c>
      <c r="AE696" s="15" t="str">
        <f>IFERROR((VLOOKUP(Tabla13[[#This Row],[ID]],[1]!Mtto_Pesv[[#Headers],[#Data],[Placa]:[Rutina]],2,FALSE)),"-")</f>
        <v>-</v>
      </c>
      <c r="AF696" s="14">
        <v>1</v>
      </c>
      <c r="AG696" s="20">
        <f>IFERROR((VLOOKUP(Tabla13[[#This Row],[ID]],[1]!Mtto_Pesv[[#Headers],[#Data],[Placa]:[Rutina]],3,FALSE)),0)</f>
        <v>0</v>
      </c>
      <c r="AH696" s="20">
        <f>IFERROR((VLOOKUP(Tabla13[[#This Row],[ID]],[1]!Mtto_Pesv[[#Headers],[#Data],[Placa]:[Rutina]],7,FALSE)),0)</f>
        <v>0</v>
      </c>
      <c r="AI696" s="20">
        <f>IFERROR((VLOOKUP(Tabla13[[#This Row],[ID]],[1]!Mtto_Pesv[[#Headers],[#Data],[Placa]:[Rutina]],8,FALSE)),0)</f>
        <v>0</v>
      </c>
      <c r="AJ696" s="20" t="str">
        <f>IFERROR((VLOOKUP(Tabla13[[#This Row],[ID]],[1]!Mtto_Pesv[[#Headers],[#Data],[Placa]:[Rutina]],9,FALSE)),"-")</f>
        <v>-</v>
      </c>
      <c r="AK696" s="20">
        <f>IFERROR((VLOOKUP(Tabla13[[#This Row],[ID]],[1]!Mtto_Pesv[[#Headers],[#Data],[Placa]:[Rutina]],10,FALSE)),0)</f>
        <v>0</v>
      </c>
      <c r="AL696" s="20">
        <f>IF(Tabla13[[#This Row],[Km Anterior]]=0,0,Tabla13[[#This Row],[Km Ejecut]]-Tabla13[[#This Row],[Km Anterior]])</f>
        <v>0</v>
      </c>
      <c r="AM696" s="20">
        <f>IFERROR((VLOOKUP(Tabla13[[#This Row],[ID]],[1]!Mtto_Pesv[[#Headers],[#Data],[Placa]:[Rutina]],4,FALSE)),0)</f>
        <v>0</v>
      </c>
      <c r="AN696" s="21">
        <f>IFERROR((VLOOKUP(Tabla13[[#This Row],[ID]],[1]!Mtto_Pesv[[#Headers],[#Data],[Placa]:[Rutina]],5,FALSE)),0)</f>
        <v>0</v>
      </c>
      <c r="AO696" s="21">
        <f>+Tabla13[[#This Row],[Km Fin]]-Tabla13[[#This Row],[Km Ini]]</f>
        <v>0</v>
      </c>
      <c r="AP696" s="20">
        <f>IFERROR((VLOOKUP(Tabla13[[#This Row],[ID]],[1]!Estilo_Conduccion[[#All],[Placa]:[Puntuacion]],15,FALSE)),0)</f>
        <v>0</v>
      </c>
      <c r="AQ696" s="15" t="s">
        <v>1511</v>
      </c>
      <c r="AR696" s="15" t="s">
        <v>1512</v>
      </c>
      <c r="AS696" s="20">
        <v>2970</v>
      </c>
      <c r="AT696" s="21">
        <v>14545.5</v>
      </c>
      <c r="AU696" s="21">
        <f>(Tabla13[[#This Row],[Cap Vh]]*$AX$2)*0.56</f>
        <v>0</v>
      </c>
      <c r="AV696" s="36" t="e">
        <f>(Tabla13[[#This Row],[Cap Util (kg)]]/(Tabla13[[#This Row],[Cap Inst (Kg)]]))</f>
        <v>#DIV/0!</v>
      </c>
    </row>
    <row r="697" spans="1:48" x14ac:dyDescent="0.25">
      <c r="A697" s="13" t="s">
        <v>1068</v>
      </c>
      <c r="B697" s="14" t="s">
        <v>933</v>
      </c>
      <c r="C697" s="14" t="s">
        <v>749</v>
      </c>
      <c r="D697" s="14" t="s">
        <v>749</v>
      </c>
      <c r="E697" s="14" t="s">
        <v>842</v>
      </c>
      <c r="F697" s="14" t="s">
        <v>76</v>
      </c>
      <c r="G697" s="15" t="s">
        <v>89</v>
      </c>
      <c r="H697" s="16" t="s">
        <v>90</v>
      </c>
      <c r="I697" s="14" t="s">
        <v>49</v>
      </c>
      <c r="J697" s="14">
        <v>900335279</v>
      </c>
      <c r="K697" s="14" t="s">
        <v>77</v>
      </c>
      <c r="L697" s="14" t="s">
        <v>103</v>
      </c>
      <c r="M697" s="14" t="s">
        <v>104</v>
      </c>
      <c r="N697" s="14">
        <v>2011</v>
      </c>
      <c r="O697" s="14">
        <v>9</v>
      </c>
      <c r="P697" s="14" t="s">
        <v>53</v>
      </c>
      <c r="Q697" s="14">
        <v>0</v>
      </c>
      <c r="R697" s="14">
        <v>0</v>
      </c>
      <c r="S697" s="17" t="s">
        <v>54</v>
      </c>
      <c r="T697" s="18">
        <v>0</v>
      </c>
      <c r="U697" s="14">
        <v>30</v>
      </c>
      <c r="V697" s="19">
        <v>1</v>
      </c>
      <c r="W697" s="14">
        <v>0</v>
      </c>
      <c r="X697" s="14">
        <v>0</v>
      </c>
      <c r="Y697" s="14">
        <v>0</v>
      </c>
      <c r="Z697" s="14">
        <v>0</v>
      </c>
      <c r="AA697" s="14">
        <f>Tabla13[[#This Row],[CheckList App]]+Tabla13[[#This Row],[CheckList Fisc]]</f>
        <v>0</v>
      </c>
      <c r="AB697" s="19">
        <f t="shared" si="10"/>
        <v>0</v>
      </c>
      <c r="AC697" s="14">
        <v>0</v>
      </c>
      <c r="AD697" s="14" t="s">
        <v>70</v>
      </c>
      <c r="AE697" s="15" t="str">
        <f>IFERROR((VLOOKUP(Tabla13[[#This Row],[ID]],[1]!Mtto_Pesv[[#Headers],[#Data],[Placa]:[Rutina]],2,FALSE)),"-")</f>
        <v>-</v>
      </c>
      <c r="AF697" s="14">
        <v>1</v>
      </c>
      <c r="AG697" s="20">
        <f>IFERROR((VLOOKUP(Tabla13[[#This Row],[ID]],[1]!Mtto_Pesv[[#Headers],[#Data],[Placa]:[Rutina]],3,FALSE)),0)</f>
        <v>0</v>
      </c>
      <c r="AH697" s="20">
        <f>IFERROR((VLOOKUP(Tabla13[[#This Row],[ID]],[1]!Mtto_Pesv[[#Headers],[#Data],[Placa]:[Rutina]],7,FALSE)),0)</f>
        <v>0</v>
      </c>
      <c r="AI697" s="20">
        <f>IFERROR((VLOOKUP(Tabla13[[#This Row],[ID]],[1]!Mtto_Pesv[[#Headers],[#Data],[Placa]:[Rutina]],8,FALSE)),0)</f>
        <v>0</v>
      </c>
      <c r="AJ697" s="20" t="str">
        <f>IFERROR((VLOOKUP(Tabla13[[#This Row],[ID]],[1]!Mtto_Pesv[[#Headers],[#Data],[Placa]:[Rutina]],9,FALSE)),"-")</f>
        <v>-</v>
      </c>
      <c r="AK697" s="20">
        <f>IFERROR((VLOOKUP(Tabla13[[#This Row],[ID]],[1]!Mtto_Pesv[[#Headers],[#Data],[Placa]:[Rutina]],10,FALSE)),0)</f>
        <v>0</v>
      </c>
      <c r="AL697" s="20">
        <f>IF(Tabla13[[#This Row],[Km Anterior]]=0,0,Tabla13[[#This Row],[Km Ejecut]]-Tabla13[[#This Row],[Km Anterior]])</f>
        <v>0</v>
      </c>
      <c r="AM697" s="20">
        <f>IFERROR((VLOOKUP(Tabla13[[#This Row],[ID]],[1]!Mtto_Pesv[[#Headers],[#Data],[Placa]:[Rutina]],4,FALSE)),0)</f>
        <v>0</v>
      </c>
      <c r="AN697" s="21">
        <f>IFERROR((VLOOKUP(Tabla13[[#This Row],[ID]],[1]!Mtto_Pesv[[#Headers],[#Data],[Placa]:[Rutina]],5,FALSE)),0)</f>
        <v>0</v>
      </c>
      <c r="AO697" s="21">
        <f>+Tabla13[[#This Row],[Km Fin]]-Tabla13[[#This Row],[Km Ini]]</f>
        <v>0</v>
      </c>
      <c r="AP697" s="20">
        <f>IFERROR((VLOOKUP(Tabla13[[#This Row],[ID]],[1]!Estilo_Conduccion[[#All],[Placa]:[Puntuacion]],15,FALSE)),0)</f>
        <v>0</v>
      </c>
      <c r="AQ697" s="15" t="s">
        <v>1500</v>
      </c>
      <c r="AR697" s="15" t="s">
        <v>1501</v>
      </c>
      <c r="AS697" s="20">
        <v>1585</v>
      </c>
      <c r="AT697" s="21">
        <v>7888.7142857142853</v>
      </c>
      <c r="AU697" s="21">
        <f>(Tabla13[[#This Row],[Cap Vh]]*$AX$2)*0.56</f>
        <v>0</v>
      </c>
      <c r="AV697" s="36" t="e">
        <f>(Tabla13[[#This Row],[Cap Util (kg)]]/(Tabla13[[#This Row],[Cap Inst (Kg)]]))</f>
        <v>#DIV/0!</v>
      </c>
    </row>
    <row r="698" spans="1:48" x14ac:dyDescent="0.25">
      <c r="A698" s="13" t="s">
        <v>1068</v>
      </c>
      <c r="B698" s="14" t="s">
        <v>934</v>
      </c>
      <c r="C698" s="14" t="s">
        <v>749</v>
      </c>
      <c r="D698" s="14" t="s">
        <v>749</v>
      </c>
      <c r="E698" s="14" t="s">
        <v>840</v>
      </c>
      <c r="F698" s="14" t="s">
        <v>76</v>
      </c>
      <c r="G698" s="15" t="s">
        <v>89</v>
      </c>
      <c r="H698" s="16" t="s">
        <v>90</v>
      </c>
      <c r="I698" s="14" t="s">
        <v>49</v>
      </c>
      <c r="J698" s="14">
        <v>900335279</v>
      </c>
      <c r="K698" s="14" t="s">
        <v>77</v>
      </c>
      <c r="L698" s="14" t="s">
        <v>103</v>
      </c>
      <c r="M698" s="14" t="s">
        <v>153</v>
      </c>
      <c r="N698" s="14">
        <v>2011</v>
      </c>
      <c r="O698" s="14">
        <v>9</v>
      </c>
      <c r="P698" s="14" t="s">
        <v>53</v>
      </c>
      <c r="Q698" s="14">
        <v>0</v>
      </c>
      <c r="R698" s="14">
        <v>0</v>
      </c>
      <c r="S698" s="17" t="s">
        <v>54</v>
      </c>
      <c r="T698" s="18">
        <v>0</v>
      </c>
      <c r="U698" s="14">
        <v>30</v>
      </c>
      <c r="V698" s="19">
        <v>1</v>
      </c>
      <c r="W698" s="14">
        <v>0</v>
      </c>
      <c r="X698" s="14">
        <v>0</v>
      </c>
      <c r="Y698" s="14">
        <v>0</v>
      </c>
      <c r="Z698" s="14">
        <v>0</v>
      </c>
      <c r="AA698" s="14">
        <f>Tabla13[[#This Row],[CheckList App]]+Tabla13[[#This Row],[CheckList Fisc]]</f>
        <v>0</v>
      </c>
      <c r="AB698" s="19">
        <f t="shared" si="10"/>
        <v>0</v>
      </c>
      <c r="AC698" s="14">
        <v>0</v>
      </c>
      <c r="AD698" s="14" t="s">
        <v>55</v>
      </c>
      <c r="AE698" s="15" t="str">
        <f>IFERROR((VLOOKUP(Tabla13[[#This Row],[ID]],[1]!Mtto_Pesv[[#Headers],[#Data],[Placa]:[Rutina]],2,FALSE)),"-")</f>
        <v>-</v>
      </c>
      <c r="AF698" s="14">
        <v>0</v>
      </c>
      <c r="AG698" s="20">
        <f>IFERROR((VLOOKUP(Tabla13[[#This Row],[ID]],[1]!Mtto_Pesv[[#Headers],[#Data],[Placa]:[Rutina]],3,FALSE)),0)</f>
        <v>0</v>
      </c>
      <c r="AH698" s="20">
        <f>IFERROR((VLOOKUP(Tabla13[[#This Row],[ID]],[1]!Mtto_Pesv[[#Headers],[#Data],[Placa]:[Rutina]],7,FALSE)),0)</f>
        <v>0</v>
      </c>
      <c r="AI698" s="20">
        <f>IFERROR((VLOOKUP(Tabla13[[#This Row],[ID]],[1]!Mtto_Pesv[[#Headers],[#Data],[Placa]:[Rutina]],8,FALSE)),0)</f>
        <v>0</v>
      </c>
      <c r="AJ698" s="20" t="str">
        <f>IFERROR((VLOOKUP(Tabla13[[#This Row],[ID]],[1]!Mtto_Pesv[[#Headers],[#Data],[Placa]:[Rutina]],9,FALSE)),"-")</f>
        <v>-</v>
      </c>
      <c r="AK698" s="20">
        <f>IFERROR((VLOOKUP(Tabla13[[#This Row],[ID]],[1]!Mtto_Pesv[[#Headers],[#Data],[Placa]:[Rutina]],10,FALSE)),0)</f>
        <v>0</v>
      </c>
      <c r="AL698" s="20">
        <f>IF(Tabla13[[#This Row],[Km Anterior]]=0,0,Tabla13[[#This Row],[Km Ejecut]]-Tabla13[[#This Row],[Km Anterior]])</f>
        <v>0</v>
      </c>
      <c r="AM698" s="20">
        <f>IFERROR((VLOOKUP(Tabla13[[#This Row],[ID]],[1]!Mtto_Pesv[[#Headers],[#Data],[Placa]:[Rutina]],4,FALSE)),0)</f>
        <v>0</v>
      </c>
      <c r="AN698" s="21">
        <f>IFERROR((VLOOKUP(Tabla13[[#This Row],[ID]],[1]!Mtto_Pesv[[#Headers],[#Data],[Placa]:[Rutina]],5,FALSE)),0)</f>
        <v>0</v>
      </c>
      <c r="AO698" s="21">
        <f>+Tabla13[[#This Row],[Km Fin]]-Tabla13[[#This Row],[Km Ini]]</f>
        <v>0</v>
      </c>
      <c r="AP698" s="20">
        <f>IFERROR((VLOOKUP(Tabla13[[#This Row],[ID]],[1]!Estilo_Conduccion[[#All],[Placa]:[Puntuacion]],15,FALSE)),0)</f>
        <v>0</v>
      </c>
      <c r="AQ698" s="15" t="s">
        <v>1521</v>
      </c>
      <c r="AR698" s="15" t="s">
        <v>1522</v>
      </c>
      <c r="AS698" s="20">
        <v>4500</v>
      </c>
      <c r="AT698" s="21">
        <v>19364.4375</v>
      </c>
      <c r="AU698" s="21">
        <f>(Tabla13[[#This Row],[Cap Vh]]*$AX$2)*0.56</f>
        <v>0</v>
      </c>
      <c r="AV698" s="36" t="e">
        <f>(Tabla13[[#This Row],[Cap Util (kg)]]/(Tabla13[[#This Row],[Cap Inst (Kg)]]))</f>
        <v>#DIV/0!</v>
      </c>
    </row>
    <row r="699" spans="1:48" x14ac:dyDescent="0.25">
      <c r="A699" s="13" t="s">
        <v>1068</v>
      </c>
      <c r="B699" s="14" t="s">
        <v>935</v>
      </c>
      <c r="C699" s="14" t="s">
        <v>749</v>
      </c>
      <c r="D699" s="14" t="s">
        <v>749</v>
      </c>
      <c r="E699" s="14" t="s">
        <v>845</v>
      </c>
      <c r="F699" s="14" t="s">
        <v>64</v>
      </c>
      <c r="G699" s="15" t="s">
        <v>47</v>
      </c>
      <c r="H699" s="16" t="s">
        <v>48</v>
      </c>
      <c r="I699" s="14" t="s">
        <v>49</v>
      </c>
      <c r="J699" s="14">
        <v>900335279</v>
      </c>
      <c r="K699" s="14" t="s">
        <v>77</v>
      </c>
      <c r="L699" s="14" t="s">
        <v>103</v>
      </c>
      <c r="M699" s="14" t="s">
        <v>104</v>
      </c>
      <c r="N699" s="14">
        <v>2011</v>
      </c>
      <c r="O699" s="14">
        <v>9</v>
      </c>
      <c r="P699" s="14" t="s">
        <v>53</v>
      </c>
      <c r="Q699" s="14">
        <v>0</v>
      </c>
      <c r="R699" s="14">
        <v>0</v>
      </c>
      <c r="S699" s="17" t="s">
        <v>54</v>
      </c>
      <c r="T699" s="18">
        <v>0</v>
      </c>
      <c r="U699" s="14">
        <v>30</v>
      </c>
      <c r="V699" s="19">
        <v>1</v>
      </c>
      <c r="W699" s="14">
        <v>0</v>
      </c>
      <c r="X699" s="14">
        <v>0</v>
      </c>
      <c r="Y699" s="14">
        <v>0</v>
      </c>
      <c r="Z699" s="14">
        <v>0</v>
      </c>
      <c r="AA699" s="14">
        <f>Tabla13[[#This Row],[CheckList App]]+Tabla13[[#This Row],[CheckList Fisc]]</f>
        <v>0</v>
      </c>
      <c r="AB699" s="19">
        <f t="shared" si="10"/>
        <v>0</v>
      </c>
      <c r="AC699" s="14">
        <v>0</v>
      </c>
      <c r="AD699" s="14" t="s">
        <v>70</v>
      </c>
      <c r="AE699" s="15" t="str">
        <f>IFERROR((VLOOKUP(Tabla13[[#This Row],[ID]],[1]!Mtto_Pesv[[#Headers],[#Data],[Placa]:[Rutina]],2,FALSE)),"-")</f>
        <v>-</v>
      </c>
      <c r="AF699" s="14">
        <v>1</v>
      </c>
      <c r="AG699" s="20">
        <f>IFERROR((VLOOKUP(Tabla13[[#This Row],[ID]],[1]!Mtto_Pesv[[#Headers],[#Data],[Placa]:[Rutina]],3,FALSE)),0)</f>
        <v>0</v>
      </c>
      <c r="AH699" s="20">
        <f>IFERROR((VLOOKUP(Tabla13[[#This Row],[ID]],[1]!Mtto_Pesv[[#Headers],[#Data],[Placa]:[Rutina]],7,FALSE)),0)</f>
        <v>0</v>
      </c>
      <c r="AI699" s="20">
        <f>IFERROR((VLOOKUP(Tabla13[[#This Row],[ID]],[1]!Mtto_Pesv[[#Headers],[#Data],[Placa]:[Rutina]],8,FALSE)),0)</f>
        <v>0</v>
      </c>
      <c r="AJ699" s="20" t="str">
        <f>IFERROR((VLOOKUP(Tabla13[[#This Row],[ID]],[1]!Mtto_Pesv[[#Headers],[#Data],[Placa]:[Rutina]],9,FALSE)),"-")</f>
        <v>-</v>
      </c>
      <c r="AK699" s="20">
        <f>IFERROR((VLOOKUP(Tabla13[[#This Row],[ID]],[1]!Mtto_Pesv[[#Headers],[#Data],[Placa]:[Rutina]],10,FALSE)),0)</f>
        <v>0</v>
      </c>
      <c r="AL699" s="20">
        <f>IF(Tabla13[[#This Row],[Km Anterior]]=0,0,Tabla13[[#This Row],[Km Ejecut]]-Tabla13[[#This Row],[Km Anterior]])</f>
        <v>0</v>
      </c>
      <c r="AM699" s="20">
        <f>IFERROR((VLOOKUP(Tabla13[[#This Row],[ID]],[1]!Mtto_Pesv[[#Headers],[#Data],[Placa]:[Rutina]],4,FALSE)),0)</f>
        <v>0</v>
      </c>
      <c r="AN699" s="21">
        <f>IFERROR((VLOOKUP(Tabla13[[#This Row],[ID]],[1]!Mtto_Pesv[[#Headers],[#Data],[Placa]:[Rutina]],5,FALSE)),0)</f>
        <v>0</v>
      </c>
      <c r="AO699" s="21">
        <f>+Tabla13[[#This Row],[Km Fin]]-Tabla13[[#This Row],[Km Ini]]</f>
        <v>0</v>
      </c>
      <c r="AP699" s="20">
        <f>IFERROR((VLOOKUP(Tabla13[[#This Row],[ID]],[1]!Estilo_Conduccion[[#All],[Placa]:[Puntuacion]],15,FALSE)),0)</f>
        <v>0</v>
      </c>
      <c r="AQ699" s="15" t="s">
        <v>1531</v>
      </c>
      <c r="AR699" s="15" t="s">
        <v>1532</v>
      </c>
      <c r="AS699" s="20">
        <v>1585</v>
      </c>
      <c r="AT699" s="21">
        <v>4500</v>
      </c>
      <c r="AU699" s="21">
        <f>(Tabla13[[#This Row],[Cap Vh]]*$AX$2)*0.56</f>
        <v>0</v>
      </c>
      <c r="AV699" s="36" t="e">
        <f>(Tabla13[[#This Row],[Cap Util (kg)]]/(Tabla13[[#This Row],[Cap Inst (Kg)]]))</f>
        <v>#DIV/0!</v>
      </c>
    </row>
    <row r="700" spans="1:48" x14ac:dyDescent="0.25">
      <c r="A700" s="13" t="s">
        <v>1068</v>
      </c>
      <c r="B700" s="14" t="s">
        <v>936</v>
      </c>
      <c r="C700" s="14" t="s">
        <v>749</v>
      </c>
      <c r="D700" s="14" t="s">
        <v>749</v>
      </c>
      <c r="E700" s="14" t="s">
        <v>897</v>
      </c>
      <c r="F700" s="14" t="s">
        <v>64</v>
      </c>
      <c r="G700" s="15" t="s">
        <v>47</v>
      </c>
      <c r="H700" s="16" t="s">
        <v>48</v>
      </c>
      <c r="I700" s="14" t="s">
        <v>49</v>
      </c>
      <c r="J700" s="14">
        <v>890300279</v>
      </c>
      <c r="K700" s="14" t="s">
        <v>282</v>
      </c>
      <c r="L700" s="14" t="s">
        <v>360</v>
      </c>
      <c r="M700" s="14" t="s">
        <v>361</v>
      </c>
      <c r="N700" s="14">
        <v>2012</v>
      </c>
      <c r="O700" s="14">
        <v>8</v>
      </c>
      <c r="P700" s="14" t="s">
        <v>53</v>
      </c>
      <c r="Q700" s="14">
        <v>0</v>
      </c>
      <c r="R700" s="14">
        <v>0</v>
      </c>
      <c r="S700" s="17" t="s">
        <v>54</v>
      </c>
      <c r="T700" s="18">
        <v>0</v>
      </c>
      <c r="U700" s="14">
        <v>26</v>
      </c>
      <c r="V700" s="19">
        <v>0.8666666666666667</v>
      </c>
      <c r="W700" s="14">
        <v>0</v>
      </c>
      <c r="X700" s="14">
        <v>0</v>
      </c>
      <c r="Y700" s="14">
        <v>0</v>
      </c>
      <c r="Z700" s="14">
        <v>0</v>
      </c>
      <c r="AA700" s="14">
        <f>Tabla13[[#This Row],[CheckList App]]+Tabla13[[#This Row],[CheckList Fisc]]</f>
        <v>0</v>
      </c>
      <c r="AB700" s="19">
        <f t="shared" si="10"/>
        <v>0</v>
      </c>
      <c r="AC700" s="14">
        <v>0</v>
      </c>
      <c r="AD700" s="14" t="s">
        <v>70</v>
      </c>
      <c r="AE700" s="15" t="str">
        <f>IFERROR((VLOOKUP(Tabla13[[#This Row],[ID]],[1]!Mtto_Pesv[[#Headers],[#Data],[Placa]:[Rutina]],2,FALSE)),"-")</f>
        <v>-</v>
      </c>
      <c r="AF700" s="14">
        <v>1</v>
      </c>
      <c r="AG700" s="20">
        <f>IFERROR((VLOOKUP(Tabla13[[#This Row],[ID]],[1]!Mtto_Pesv[[#Headers],[#Data],[Placa]:[Rutina]],3,FALSE)),0)</f>
        <v>0</v>
      </c>
      <c r="AH700" s="20">
        <f>IFERROR((VLOOKUP(Tabla13[[#This Row],[ID]],[1]!Mtto_Pesv[[#Headers],[#Data],[Placa]:[Rutina]],7,FALSE)),0)</f>
        <v>0</v>
      </c>
      <c r="AI700" s="20">
        <f>IFERROR((VLOOKUP(Tabla13[[#This Row],[ID]],[1]!Mtto_Pesv[[#Headers],[#Data],[Placa]:[Rutina]],8,FALSE)),0)</f>
        <v>0</v>
      </c>
      <c r="AJ700" s="20" t="str">
        <f>IFERROR((VLOOKUP(Tabla13[[#This Row],[ID]],[1]!Mtto_Pesv[[#Headers],[#Data],[Placa]:[Rutina]],9,FALSE)),"-")</f>
        <v>-</v>
      </c>
      <c r="AK700" s="20">
        <f>IFERROR((VLOOKUP(Tabla13[[#This Row],[ID]],[1]!Mtto_Pesv[[#Headers],[#Data],[Placa]:[Rutina]],10,FALSE)),0)</f>
        <v>0</v>
      </c>
      <c r="AL700" s="20">
        <f>IF(Tabla13[[#This Row],[Km Anterior]]=0,0,Tabla13[[#This Row],[Km Ejecut]]-Tabla13[[#This Row],[Km Anterior]])</f>
        <v>0</v>
      </c>
      <c r="AM700" s="20">
        <f>IFERROR((VLOOKUP(Tabla13[[#This Row],[ID]],[1]!Mtto_Pesv[[#Headers],[#Data],[Placa]:[Rutina]],4,FALSE)),0)</f>
        <v>0</v>
      </c>
      <c r="AN700" s="21">
        <f>IFERROR((VLOOKUP(Tabla13[[#This Row],[ID]],[1]!Mtto_Pesv[[#Headers],[#Data],[Placa]:[Rutina]],5,FALSE)),0)</f>
        <v>0</v>
      </c>
      <c r="AO700" s="21">
        <f>+Tabla13[[#This Row],[Km Fin]]-Tabla13[[#This Row],[Km Ini]]</f>
        <v>0</v>
      </c>
      <c r="AP700" s="20">
        <f>IFERROR((VLOOKUP(Tabla13[[#This Row],[ID]],[1]!Estilo_Conduccion[[#All],[Placa]:[Puntuacion]],15,FALSE)),0)</f>
        <v>0</v>
      </c>
      <c r="AQ700" s="15" t="s">
        <v>1533</v>
      </c>
      <c r="AR700" s="15" t="s">
        <v>1534</v>
      </c>
      <c r="AS700" s="20">
        <v>700</v>
      </c>
      <c r="AT700" s="21">
        <v>6414</v>
      </c>
      <c r="AU700" s="21">
        <f>(Tabla13[[#This Row],[Cap Vh]]*$AX$2)*0.56</f>
        <v>0</v>
      </c>
      <c r="AV700" s="36" t="e">
        <f>(Tabla13[[#This Row],[Cap Util (kg)]]/(Tabla13[[#This Row],[Cap Inst (Kg)]]))</f>
        <v>#DIV/0!</v>
      </c>
    </row>
    <row r="701" spans="1:48" x14ac:dyDescent="0.25">
      <c r="A701" s="13" t="s">
        <v>1068</v>
      </c>
      <c r="B701" s="14" t="s">
        <v>937</v>
      </c>
      <c r="C701" s="14" t="s">
        <v>749</v>
      </c>
      <c r="D701" s="14" t="s">
        <v>749</v>
      </c>
      <c r="E701" s="14" t="s">
        <v>840</v>
      </c>
      <c r="F701" s="14" t="s">
        <v>64</v>
      </c>
      <c r="G701" s="14" t="s">
        <v>65</v>
      </c>
      <c r="H701" s="16" t="s">
        <v>66</v>
      </c>
      <c r="I701" s="14" t="s">
        <v>49</v>
      </c>
      <c r="J701" s="14">
        <v>890300279</v>
      </c>
      <c r="K701" s="14" t="s">
        <v>282</v>
      </c>
      <c r="L701" s="14" t="s">
        <v>360</v>
      </c>
      <c r="M701" s="14" t="s">
        <v>361</v>
      </c>
      <c r="N701" s="14">
        <v>2012</v>
      </c>
      <c r="O701" s="14">
        <v>8</v>
      </c>
      <c r="P701" s="14" t="s">
        <v>53</v>
      </c>
      <c r="Q701" s="14">
        <v>0</v>
      </c>
      <c r="R701" s="14">
        <v>0</v>
      </c>
      <c r="S701" s="17" t="s">
        <v>54</v>
      </c>
      <c r="T701" s="18">
        <v>0</v>
      </c>
      <c r="U701" s="14">
        <v>0</v>
      </c>
      <c r="V701" s="19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f>Tabla13[[#This Row],[CheckList App]]+Tabla13[[#This Row],[CheckList Fisc]]</f>
        <v>0</v>
      </c>
      <c r="AB701" s="19" t="str">
        <f t="shared" si="10"/>
        <v/>
      </c>
      <c r="AC701" s="14">
        <v>0</v>
      </c>
      <c r="AD701" s="14" t="s">
        <v>70</v>
      </c>
      <c r="AE701" s="15" t="str">
        <f>IFERROR((VLOOKUP(Tabla13[[#This Row],[ID]],[1]!Mtto_Pesv[[#Headers],[#Data],[Placa]:[Rutina]],2,FALSE)),"-")</f>
        <v>-</v>
      </c>
      <c r="AF701" s="14">
        <v>1</v>
      </c>
      <c r="AG701" s="20">
        <f>IFERROR((VLOOKUP(Tabla13[[#This Row],[ID]],[1]!Mtto_Pesv[[#Headers],[#Data],[Placa]:[Rutina]],3,FALSE)),0)</f>
        <v>0</v>
      </c>
      <c r="AH701" s="20">
        <f>IFERROR((VLOOKUP(Tabla13[[#This Row],[ID]],[1]!Mtto_Pesv[[#Headers],[#Data],[Placa]:[Rutina]],7,FALSE)),0)</f>
        <v>0</v>
      </c>
      <c r="AI701" s="20">
        <f>IFERROR((VLOOKUP(Tabla13[[#This Row],[ID]],[1]!Mtto_Pesv[[#Headers],[#Data],[Placa]:[Rutina]],8,FALSE)),0)</f>
        <v>0</v>
      </c>
      <c r="AJ701" s="20" t="str">
        <f>IFERROR((VLOOKUP(Tabla13[[#This Row],[ID]],[1]!Mtto_Pesv[[#Headers],[#Data],[Placa]:[Rutina]],9,FALSE)),"-")</f>
        <v>-</v>
      </c>
      <c r="AK701" s="20">
        <f>IFERROR((VLOOKUP(Tabla13[[#This Row],[ID]],[1]!Mtto_Pesv[[#Headers],[#Data],[Placa]:[Rutina]],10,FALSE)),0)</f>
        <v>0</v>
      </c>
      <c r="AL701" s="20">
        <f>IF(Tabla13[[#This Row],[Km Anterior]]=0,0,Tabla13[[#This Row],[Km Ejecut]]-Tabla13[[#This Row],[Km Anterior]])</f>
        <v>0</v>
      </c>
      <c r="AM701" s="20">
        <f>IFERROR((VLOOKUP(Tabla13[[#This Row],[ID]],[1]!Mtto_Pesv[[#Headers],[#Data],[Placa]:[Rutina]],4,FALSE)),0)</f>
        <v>0</v>
      </c>
      <c r="AN701" s="21">
        <f>IFERROR((VLOOKUP(Tabla13[[#This Row],[ID]],[1]!Mtto_Pesv[[#Headers],[#Data],[Placa]:[Rutina]],5,FALSE)),0)</f>
        <v>0</v>
      </c>
      <c r="AO701" s="21">
        <f>+Tabla13[[#This Row],[Km Fin]]-Tabla13[[#This Row],[Km Ini]]</f>
        <v>0</v>
      </c>
      <c r="AP701" s="20">
        <f>IFERROR((VLOOKUP(Tabla13[[#This Row],[ID]],[1]!Estilo_Conduccion[[#All],[Placa]:[Puntuacion]],15,FALSE)),0)</f>
        <v>0</v>
      </c>
      <c r="AQ701" s="15" t="s">
        <v>54</v>
      </c>
      <c r="AR701" s="15" t="s">
        <v>54</v>
      </c>
      <c r="AS701" s="20">
        <v>700</v>
      </c>
      <c r="AT701" s="21">
        <v>0</v>
      </c>
      <c r="AU701" s="21">
        <f>(Tabla13[[#This Row],[Cap Vh]]*$AX$2)*0.56</f>
        <v>0</v>
      </c>
      <c r="AV701" s="36" t="e">
        <f>(Tabla13[[#This Row],[Cap Util (kg)]]/(Tabla13[[#This Row],[Cap Inst (Kg)]]))</f>
        <v>#DIV/0!</v>
      </c>
    </row>
    <row r="702" spans="1:48" x14ac:dyDescent="0.25">
      <c r="A702" s="13" t="s">
        <v>1068</v>
      </c>
      <c r="B702" s="14" t="s">
        <v>938</v>
      </c>
      <c r="C702" s="14" t="s">
        <v>749</v>
      </c>
      <c r="D702" s="14" t="s">
        <v>749</v>
      </c>
      <c r="E702" s="14" t="s">
        <v>840</v>
      </c>
      <c r="F702" s="14" t="s">
        <v>76</v>
      </c>
      <c r="G702" s="15" t="s">
        <v>47</v>
      </c>
      <c r="H702" s="16" t="s">
        <v>48</v>
      </c>
      <c r="I702" s="14" t="s">
        <v>49</v>
      </c>
      <c r="J702" s="14">
        <v>890300279</v>
      </c>
      <c r="K702" s="14" t="s">
        <v>282</v>
      </c>
      <c r="L702" s="14" t="s">
        <v>360</v>
      </c>
      <c r="M702" s="14" t="s">
        <v>361</v>
      </c>
      <c r="N702" s="14">
        <v>2012</v>
      </c>
      <c r="O702" s="14">
        <v>8</v>
      </c>
      <c r="P702" s="14" t="s">
        <v>53</v>
      </c>
      <c r="Q702" s="14">
        <v>0</v>
      </c>
      <c r="R702" s="14">
        <v>0</v>
      </c>
      <c r="S702" s="17" t="s">
        <v>54</v>
      </c>
      <c r="T702" s="18">
        <v>0</v>
      </c>
      <c r="U702" s="14">
        <v>30</v>
      </c>
      <c r="V702" s="19">
        <v>1</v>
      </c>
      <c r="W702" s="14">
        <v>0</v>
      </c>
      <c r="X702" s="14">
        <v>0</v>
      </c>
      <c r="Y702" s="14">
        <v>0</v>
      </c>
      <c r="Z702" s="14">
        <v>0</v>
      </c>
      <c r="AA702" s="14">
        <f>Tabla13[[#This Row],[CheckList App]]+Tabla13[[#This Row],[CheckList Fisc]]</f>
        <v>0</v>
      </c>
      <c r="AB702" s="19">
        <f t="shared" si="10"/>
        <v>0</v>
      </c>
      <c r="AC702" s="14">
        <v>0</v>
      </c>
      <c r="AD702" s="14" t="s">
        <v>70</v>
      </c>
      <c r="AE702" s="15" t="str">
        <f>IFERROR((VLOOKUP(Tabla13[[#This Row],[ID]],[1]!Mtto_Pesv[[#Headers],[#Data],[Placa]:[Rutina]],2,FALSE)),"-")</f>
        <v>-</v>
      </c>
      <c r="AF702" s="14">
        <v>1</v>
      </c>
      <c r="AG702" s="20">
        <f>IFERROR((VLOOKUP(Tabla13[[#This Row],[ID]],[1]!Mtto_Pesv[[#Headers],[#Data],[Placa]:[Rutina]],3,FALSE)),0)</f>
        <v>0</v>
      </c>
      <c r="AH702" s="20">
        <f>IFERROR((VLOOKUP(Tabla13[[#This Row],[ID]],[1]!Mtto_Pesv[[#Headers],[#Data],[Placa]:[Rutina]],7,FALSE)),0)</f>
        <v>0</v>
      </c>
      <c r="AI702" s="20">
        <f>IFERROR((VLOOKUP(Tabla13[[#This Row],[ID]],[1]!Mtto_Pesv[[#Headers],[#Data],[Placa]:[Rutina]],8,FALSE)),0)</f>
        <v>0</v>
      </c>
      <c r="AJ702" s="20" t="str">
        <f>IFERROR((VLOOKUP(Tabla13[[#This Row],[ID]],[1]!Mtto_Pesv[[#Headers],[#Data],[Placa]:[Rutina]],9,FALSE)),"-")</f>
        <v>-</v>
      </c>
      <c r="AK702" s="20">
        <f>IFERROR((VLOOKUP(Tabla13[[#This Row],[ID]],[1]!Mtto_Pesv[[#Headers],[#Data],[Placa]:[Rutina]],10,FALSE)),0)</f>
        <v>0</v>
      </c>
      <c r="AL702" s="20">
        <f>IF(Tabla13[[#This Row],[Km Anterior]]=0,0,Tabla13[[#This Row],[Km Ejecut]]-Tabla13[[#This Row],[Km Anterior]])</f>
        <v>0</v>
      </c>
      <c r="AM702" s="20">
        <f>IFERROR((VLOOKUP(Tabla13[[#This Row],[ID]],[1]!Mtto_Pesv[[#Headers],[#Data],[Placa]:[Rutina]],4,FALSE)),0)</f>
        <v>0</v>
      </c>
      <c r="AN702" s="21">
        <f>IFERROR((VLOOKUP(Tabla13[[#This Row],[ID]],[1]!Mtto_Pesv[[#Headers],[#Data],[Placa]:[Rutina]],5,FALSE)),0)</f>
        <v>0</v>
      </c>
      <c r="AO702" s="21">
        <f>+Tabla13[[#This Row],[Km Fin]]-Tabla13[[#This Row],[Km Ini]]</f>
        <v>0</v>
      </c>
      <c r="AP702" s="20">
        <f>IFERROR((VLOOKUP(Tabla13[[#This Row],[ID]],[1]!Estilo_Conduccion[[#All],[Placa]:[Puntuacion]],15,FALSE)),0)</f>
        <v>0</v>
      </c>
      <c r="AQ702" s="15" t="s">
        <v>1526</v>
      </c>
      <c r="AR702" s="15" t="s">
        <v>1527</v>
      </c>
      <c r="AS702" s="20">
        <v>700</v>
      </c>
      <c r="AT702" s="21">
        <v>4015.0714285714284</v>
      </c>
      <c r="AU702" s="21">
        <f>(Tabla13[[#This Row],[Cap Vh]]*$AX$2)*0.56</f>
        <v>0</v>
      </c>
      <c r="AV702" s="36" t="e">
        <f>(Tabla13[[#This Row],[Cap Util (kg)]]/(Tabla13[[#This Row],[Cap Inst (Kg)]]))</f>
        <v>#DIV/0!</v>
      </c>
    </row>
    <row r="703" spans="1:48" x14ac:dyDescent="0.25">
      <c r="A703" s="13" t="s">
        <v>1068</v>
      </c>
      <c r="B703" s="14" t="s">
        <v>939</v>
      </c>
      <c r="C703" s="14" t="s">
        <v>749</v>
      </c>
      <c r="D703" s="14" t="s">
        <v>749</v>
      </c>
      <c r="E703" s="14" t="s">
        <v>840</v>
      </c>
      <c r="F703" s="14" t="s">
        <v>76</v>
      </c>
      <c r="G703" s="15" t="s">
        <v>47</v>
      </c>
      <c r="H703" s="16" t="s">
        <v>48</v>
      </c>
      <c r="I703" s="14" t="s">
        <v>49</v>
      </c>
      <c r="J703" s="14">
        <v>900335279</v>
      </c>
      <c r="K703" s="14" t="s">
        <v>77</v>
      </c>
      <c r="L703" s="14" t="s">
        <v>103</v>
      </c>
      <c r="M703" s="14" t="s">
        <v>104</v>
      </c>
      <c r="N703" s="14">
        <v>2011</v>
      </c>
      <c r="O703" s="14">
        <v>9</v>
      </c>
      <c r="P703" s="14" t="s">
        <v>53</v>
      </c>
      <c r="Q703" s="14">
        <v>0</v>
      </c>
      <c r="R703" s="14">
        <v>0</v>
      </c>
      <c r="S703" s="17" t="s">
        <v>54</v>
      </c>
      <c r="T703" s="18">
        <v>0</v>
      </c>
      <c r="U703" s="14">
        <v>30</v>
      </c>
      <c r="V703" s="19">
        <v>1</v>
      </c>
      <c r="W703" s="14">
        <v>0</v>
      </c>
      <c r="X703" s="14">
        <v>0</v>
      </c>
      <c r="Y703" s="14">
        <v>0</v>
      </c>
      <c r="Z703" s="14">
        <v>0</v>
      </c>
      <c r="AA703" s="14">
        <f>Tabla13[[#This Row],[CheckList App]]+Tabla13[[#This Row],[CheckList Fisc]]</f>
        <v>0</v>
      </c>
      <c r="AB703" s="19">
        <f t="shared" si="10"/>
        <v>0</v>
      </c>
      <c r="AC703" s="14">
        <v>0</v>
      </c>
      <c r="AD703" s="14" t="s">
        <v>70</v>
      </c>
      <c r="AE703" s="15" t="str">
        <f>IFERROR((VLOOKUP(Tabla13[[#This Row],[ID]],[1]!Mtto_Pesv[[#Headers],[#Data],[Placa]:[Rutina]],2,FALSE)),"-")</f>
        <v>-</v>
      </c>
      <c r="AF703" s="14">
        <v>1</v>
      </c>
      <c r="AG703" s="20">
        <f>IFERROR((VLOOKUP(Tabla13[[#This Row],[ID]],[1]!Mtto_Pesv[[#Headers],[#Data],[Placa]:[Rutina]],3,FALSE)),0)</f>
        <v>0</v>
      </c>
      <c r="AH703" s="20">
        <f>IFERROR((VLOOKUP(Tabla13[[#This Row],[ID]],[1]!Mtto_Pesv[[#Headers],[#Data],[Placa]:[Rutina]],7,FALSE)),0)</f>
        <v>0</v>
      </c>
      <c r="AI703" s="20">
        <f>IFERROR((VLOOKUP(Tabla13[[#This Row],[ID]],[1]!Mtto_Pesv[[#Headers],[#Data],[Placa]:[Rutina]],8,FALSE)),0)</f>
        <v>0</v>
      </c>
      <c r="AJ703" s="20" t="str">
        <f>IFERROR((VLOOKUP(Tabla13[[#This Row],[ID]],[1]!Mtto_Pesv[[#Headers],[#Data],[Placa]:[Rutina]],9,FALSE)),"-")</f>
        <v>-</v>
      </c>
      <c r="AK703" s="20">
        <f>IFERROR((VLOOKUP(Tabla13[[#This Row],[ID]],[1]!Mtto_Pesv[[#Headers],[#Data],[Placa]:[Rutina]],10,FALSE)),0)</f>
        <v>0</v>
      </c>
      <c r="AL703" s="20">
        <f>IF(Tabla13[[#This Row],[Km Anterior]]=0,0,Tabla13[[#This Row],[Km Ejecut]]-Tabla13[[#This Row],[Km Anterior]])</f>
        <v>0</v>
      </c>
      <c r="AM703" s="20">
        <f>IFERROR((VLOOKUP(Tabla13[[#This Row],[ID]],[1]!Mtto_Pesv[[#Headers],[#Data],[Placa]:[Rutina]],4,FALSE)),0)</f>
        <v>0</v>
      </c>
      <c r="AN703" s="21">
        <f>IFERROR((VLOOKUP(Tabla13[[#This Row],[ID]],[1]!Mtto_Pesv[[#Headers],[#Data],[Placa]:[Rutina]],5,FALSE)),0)</f>
        <v>0</v>
      </c>
      <c r="AO703" s="21">
        <f>+Tabla13[[#This Row],[Km Fin]]-Tabla13[[#This Row],[Km Ini]]</f>
        <v>0</v>
      </c>
      <c r="AP703" s="20">
        <f>IFERROR((VLOOKUP(Tabla13[[#This Row],[ID]],[1]!Estilo_Conduccion[[#All],[Placa]:[Puntuacion]],15,FALSE)),0)</f>
        <v>0</v>
      </c>
      <c r="AQ703" s="15" t="s">
        <v>1069</v>
      </c>
      <c r="AR703" s="15" t="s">
        <v>927</v>
      </c>
      <c r="AS703" s="20">
        <v>1585</v>
      </c>
      <c r="AT703" s="21">
        <v>0</v>
      </c>
      <c r="AU703" s="21">
        <f>(Tabla13[[#This Row],[Cap Vh]]*$AX$2)*0.56</f>
        <v>0</v>
      </c>
      <c r="AV703" s="36" t="e">
        <f>(Tabla13[[#This Row],[Cap Util (kg)]]/(Tabla13[[#This Row],[Cap Inst (Kg)]]))</f>
        <v>#DIV/0!</v>
      </c>
    </row>
    <row r="704" spans="1:48" x14ac:dyDescent="0.25">
      <c r="A704" s="13" t="s">
        <v>1068</v>
      </c>
      <c r="B704" s="14" t="s">
        <v>940</v>
      </c>
      <c r="C704" s="14" t="s">
        <v>749</v>
      </c>
      <c r="D704" s="14" t="s">
        <v>749</v>
      </c>
      <c r="E704" s="14" t="s">
        <v>845</v>
      </c>
      <c r="F704" s="14" t="s">
        <v>76</v>
      </c>
      <c r="G704" s="15" t="s">
        <v>47</v>
      </c>
      <c r="H704" s="16" t="s">
        <v>48</v>
      </c>
      <c r="I704" s="14" t="s">
        <v>49</v>
      </c>
      <c r="J704" s="14">
        <v>900335279</v>
      </c>
      <c r="K704" s="14" t="s">
        <v>77</v>
      </c>
      <c r="L704" s="14" t="s">
        <v>103</v>
      </c>
      <c r="M704" s="14" t="s">
        <v>104</v>
      </c>
      <c r="N704" s="14">
        <v>2011</v>
      </c>
      <c r="O704" s="14">
        <v>9</v>
      </c>
      <c r="P704" s="14" t="s">
        <v>53</v>
      </c>
      <c r="Q704" s="14">
        <v>0</v>
      </c>
      <c r="R704" s="14">
        <v>0</v>
      </c>
      <c r="S704" s="17" t="s">
        <v>54</v>
      </c>
      <c r="T704" s="18">
        <v>0</v>
      </c>
      <c r="U704" s="14">
        <v>30</v>
      </c>
      <c r="V704" s="19">
        <v>1</v>
      </c>
      <c r="W704" s="14">
        <v>0</v>
      </c>
      <c r="X704" s="14">
        <v>0</v>
      </c>
      <c r="Y704" s="14">
        <v>0</v>
      </c>
      <c r="Z704" s="14">
        <v>0</v>
      </c>
      <c r="AA704" s="14">
        <f>Tabla13[[#This Row],[CheckList App]]+Tabla13[[#This Row],[CheckList Fisc]]</f>
        <v>0</v>
      </c>
      <c r="AB704" s="19">
        <f t="shared" si="10"/>
        <v>0</v>
      </c>
      <c r="AC704" s="14">
        <v>0</v>
      </c>
      <c r="AD704" s="14" t="s">
        <v>70</v>
      </c>
      <c r="AE704" s="15" t="str">
        <f>IFERROR((VLOOKUP(Tabla13[[#This Row],[ID]],[1]!Mtto_Pesv[[#Headers],[#Data],[Placa]:[Rutina]],2,FALSE)),"-")</f>
        <v>-</v>
      </c>
      <c r="AF704" s="14">
        <v>1</v>
      </c>
      <c r="AG704" s="20">
        <f>IFERROR((VLOOKUP(Tabla13[[#This Row],[ID]],[1]!Mtto_Pesv[[#Headers],[#Data],[Placa]:[Rutina]],3,FALSE)),0)</f>
        <v>0</v>
      </c>
      <c r="AH704" s="20">
        <f>IFERROR((VLOOKUP(Tabla13[[#This Row],[ID]],[1]!Mtto_Pesv[[#Headers],[#Data],[Placa]:[Rutina]],7,FALSE)),0)</f>
        <v>0</v>
      </c>
      <c r="AI704" s="20">
        <f>IFERROR((VLOOKUP(Tabla13[[#This Row],[ID]],[1]!Mtto_Pesv[[#Headers],[#Data],[Placa]:[Rutina]],8,FALSE)),0)</f>
        <v>0</v>
      </c>
      <c r="AJ704" s="20" t="str">
        <f>IFERROR((VLOOKUP(Tabla13[[#This Row],[ID]],[1]!Mtto_Pesv[[#Headers],[#Data],[Placa]:[Rutina]],9,FALSE)),"-")</f>
        <v>-</v>
      </c>
      <c r="AK704" s="20">
        <f>IFERROR((VLOOKUP(Tabla13[[#This Row],[ID]],[1]!Mtto_Pesv[[#Headers],[#Data],[Placa]:[Rutina]],10,FALSE)),0)</f>
        <v>0</v>
      </c>
      <c r="AL704" s="20">
        <f>IF(Tabla13[[#This Row],[Km Anterior]]=0,0,Tabla13[[#This Row],[Km Ejecut]]-Tabla13[[#This Row],[Km Anterior]])</f>
        <v>0</v>
      </c>
      <c r="AM704" s="20">
        <f>IFERROR((VLOOKUP(Tabla13[[#This Row],[ID]],[1]!Mtto_Pesv[[#Headers],[#Data],[Placa]:[Rutina]],4,FALSE)),0)</f>
        <v>0</v>
      </c>
      <c r="AN704" s="21">
        <f>IFERROR((VLOOKUP(Tabla13[[#This Row],[ID]],[1]!Mtto_Pesv[[#Headers],[#Data],[Placa]:[Rutina]],5,FALSE)),0)</f>
        <v>0</v>
      </c>
      <c r="AO704" s="21">
        <f>+Tabla13[[#This Row],[Km Fin]]-Tabla13[[#This Row],[Km Ini]]</f>
        <v>0</v>
      </c>
      <c r="AP704" s="20">
        <f>IFERROR((VLOOKUP(Tabla13[[#This Row],[ID]],[1]!Estilo_Conduccion[[#All],[Placa]:[Puntuacion]],15,FALSE)),0)</f>
        <v>0</v>
      </c>
      <c r="AQ704" s="15" t="s">
        <v>1506</v>
      </c>
      <c r="AR704" s="15" t="s">
        <v>1507</v>
      </c>
      <c r="AS704" s="20">
        <v>1585</v>
      </c>
      <c r="AT704" s="21">
        <v>9068.7000000000007</v>
      </c>
      <c r="AU704" s="21">
        <f>(Tabla13[[#This Row],[Cap Vh]]*$AX$2)*0.56</f>
        <v>0</v>
      </c>
      <c r="AV704" s="36" t="e">
        <f>(Tabla13[[#This Row],[Cap Util (kg)]]/(Tabla13[[#This Row],[Cap Inst (Kg)]]))</f>
        <v>#DIV/0!</v>
      </c>
    </row>
    <row r="705" spans="1:48" x14ac:dyDescent="0.25">
      <c r="A705" s="13" t="s">
        <v>1068</v>
      </c>
      <c r="B705" s="14" t="s">
        <v>941</v>
      </c>
      <c r="C705" s="14" t="s">
        <v>749</v>
      </c>
      <c r="D705" s="14" t="s">
        <v>749</v>
      </c>
      <c r="E705" s="14" t="s">
        <v>848</v>
      </c>
      <c r="F705" s="14" t="s">
        <v>64</v>
      </c>
      <c r="G705" s="15" t="s">
        <v>47</v>
      </c>
      <c r="H705" s="16" t="s">
        <v>48</v>
      </c>
      <c r="I705" s="14" t="s">
        <v>49</v>
      </c>
      <c r="J705" s="14">
        <v>900335279</v>
      </c>
      <c r="K705" s="14" t="s">
        <v>77</v>
      </c>
      <c r="L705" s="14" t="s">
        <v>103</v>
      </c>
      <c r="M705" s="14" t="s">
        <v>104</v>
      </c>
      <c r="N705" s="14">
        <v>2011</v>
      </c>
      <c r="O705" s="14">
        <v>9</v>
      </c>
      <c r="P705" s="14" t="s">
        <v>53</v>
      </c>
      <c r="Q705" s="14">
        <v>0</v>
      </c>
      <c r="R705" s="14">
        <v>0</v>
      </c>
      <c r="S705" s="17" t="s">
        <v>54</v>
      </c>
      <c r="T705" s="18">
        <v>0</v>
      </c>
      <c r="U705" s="14">
        <v>30</v>
      </c>
      <c r="V705" s="19">
        <v>1</v>
      </c>
      <c r="W705" s="14">
        <v>0</v>
      </c>
      <c r="X705" s="14">
        <v>0</v>
      </c>
      <c r="Y705" s="14">
        <v>0</v>
      </c>
      <c r="Z705" s="14">
        <v>0</v>
      </c>
      <c r="AA705" s="14">
        <f>Tabla13[[#This Row],[CheckList App]]+Tabla13[[#This Row],[CheckList Fisc]]</f>
        <v>0</v>
      </c>
      <c r="AB705" s="19">
        <f t="shared" si="10"/>
        <v>0</v>
      </c>
      <c r="AC705" s="14">
        <v>0</v>
      </c>
      <c r="AD705" s="14" t="s">
        <v>70</v>
      </c>
      <c r="AE705" s="15" t="str">
        <f>IFERROR((VLOOKUP(Tabla13[[#This Row],[ID]],[1]!Mtto_Pesv[[#Headers],[#Data],[Placa]:[Rutina]],2,FALSE)),"-")</f>
        <v>-</v>
      </c>
      <c r="AF705" s="14">
        <v>1</v>
      </c>
      <c r="AG705" s="20">
        <f>IFERROR((VLOOKUP(Tabla13[[#This Row],[ID]],[1]!Mtto_Pesv[[#Headers],[#Data],[Placa]:[Rutina]],3,FALSE)),0)</f>
        <v>0</v>
      </c>
      <c r="AH705" s="20">
        <f>IFERROR((VLOOKUP(Tabla13[[#This Row],[ID]],[1]!Mtto_Pesv[[#Headers],[#Data],[Placa]:[Rutina]],7,FALSE)),0)</f>
        <v>0</v>
      </c>
      <c r="AI705" s="20">
        <f>IFERROR((VLOOKUP(Tabla13[[#This Row],[ID]],[1]!Mtto_Pesv[[#Headers],[#Data],[Placa]:[Rutina]],8,FALSE)),0)</f>
        <v>0</v>
      </c>
      <c r="AJ705" s="20" t="str">
        <f>IFERROR((VLOOKUP(Tabla13[[#This Row],[ID]],[1]!Mtto_Pesv[[#Headers],[#Data],[Placa]:[Rutina]],9,FALSE)),"-")</f>
        <v>-</v>
      </c>
      <c r="AK705" s="20">
        <f>IFERROR((VLOOKUP(Tabla13[[#This Row],[ID]],[1]!Mtto_Pesv[[#Headers],[#Data],[Placa]:[Rutina]],10,FALSE)),0)</f>
        <v>0</v>
      </c>
      <c r="AL705" s="20">
        <f>IF(Tabla13[[#This Row],[Km Anterior]]=0,0,Tabla13[[#This Row],[Km Ejecut]]-Tabla13[[#This Row],[Km Anterior]])</f>
        <v>0</v>
      </c>
      <c r="AM705" s="20">
        <f>IFERROR((VLOOKUP(Tabla13[[#This Row],[ID]],[1]!Mtto_Pesv[[#Headers],[#Data],[Placa]:[Rutina]],4,FALSE)),0)</f>
        <v>0</v>
      </c>
      <c r="AN705" s="21">
        <f>IFERROR((VLOOKUP(Tabla13[[#This Row],[ID]],[1]!Mtto_Pesv[[#Headers],[#Data],[Placa]:[Rutina]],5,FALSE)),0)</f>
        <v>0</v>
      </c>
      <c r="AO705" s="21">
        <f>+Tabla13[[#This Row],[Km Fin]]-Tabla13[[#This Row],[Km Ini]]</f>
        <v>0</v>
      </c>
      <c r="AP705" s="20">
        <f>IFERROR((VLOOKUP(Tabla13[[#This Row],[ID]],[1]!Estilo_Conduccion[[#All],[Placa]:[Puntuacion]],15,FALSE)),0)</f>
        <v>0</v>
      </c>
      <c r="AQ705" s="15" t="s">
        <v>1535</v>
      </c>
      <c r="AR705" s="15" t="s">
        <v>1536</v>
      </c>
      <c r="AS705" s="20">
        <v>1585</v>
      </c>
      <c r="AT705" s="21">
        <v>3736.5</v>
      </c>
      <c r="AU705" s="21">
        <f>(Tabla13[[#This Row],[Cap Vh]]*$AX$2)*0.56</f>
        <v>0</v>
      </c>
      <c r="AV705" s="36" t="e">
        <f>(Tabla13[[#This Row],[Cap Util (kg)]]/(Tabla13[[#This Row],[Cap Inst (Kg)]]))</f>
        <v>#DIV/0!</v>
      </c>
    </row>
    <row r="706" spans="1:48" x14ac:dyDescent="0.25">
      <c r="A706" s="13" t="s">
        <v>1068</v>
      </c>
      <c r="B706" s="14" t="s">
        <v>942</v>
      </c>
      <c r="C706" s="14" t="s">
        <v>749</v>
      </c>
      <c r="D706" s="14" t="s">
        <v>749</v>
      </c>
      <c r="E706" s="14" t="s">
        <v>842</v>
      </c>
      <c r="F706" s="14" t="s">
        <v>64</v>
      </c>
      <c r="G706" s="15" t="s">
        <v>47</v>
      </c>
      <c r="H706" s="16" t="s">
        <v>48</v>
      </c>
      <c r="I706" s="14" t="s">
        <v>49</v>
      </c>
      <c r="J706" s="14">
        <v>900335279</v>
      </c>
      <c r="K706" s="14" t="s">
        <v>77</v>
      </c>
      <c r="L706" s="14" t="s">
        <v>103</v>
      </c>
      <c r="M706" s="14" t="s">
        <v>104</v>
      </c>
      <c r="N706" s="14">
        <v>2011</v>
      </c>
      <c r="O706" s="14">
        <v>9</v>
      </c>
      <c r="P706" s="14" t="s">
        <v>53</v>
      </c>
      <c r="Q706" s="14">
        <v>0</v>
      </c>
      <c r="R706" s="14">
        <v>0</v>
      </c>
      <c r="S706" s="17" t="s">
        <v>54</v>
      </c>
      <c r="T706" s="18">
        <v>0</v>
      </c>
      <c r="U706" s="14">
        <v>29</v>
      </c>
      <c r="V706" s="19">
        <v>0.96666666666666667</v>
      </c>
      <c r="W706" s="14">
        <v>0</v>
      </c>
      <c r="X706" s="14">
        <v>0</v>
      </c>
      <c r="Y706" s="14">
        <v>0</v>
      </c>
      <c r="Z706" s="14">
        <v>0</v>
      </c>
      <c r="AA706" s="14">
        <f>Tabla13[[#This Row],[CheckList App]]+Tabla13[[#This Row],[CheckList Fisc]]</f>
        <v>0</v>
      </c>
      <c r="AB706" s="19">
        <f t="shared" ref="AB706:AB769" si="11">IF(U706=0,"",(IFERROR((AA706/X706),0)))</f>
        <v>0</v>
      </c>
      <c r="AC706" s="14">
        <v>0</v>
      </c>
      <c r="AD706" s="14" t="s">
        <v>70</v>
      </c>
      <c r="AE706" s="15" t="str">
        <f>IFERROR((VLOOKUP(Tabla13[[#This Row],[ID]],[1]!Mtto_Pesv[[#Headers],[#Data],[Placa]:[Rutina]],2,FALSE)),"-")</f>
        <v>-</v>
      </c>
      <c r="AF706" s="14">
        <v>1</v>
      </c>
      <c r="AG706" s="20">
        <f>IFERROR((VLOOKUP(Tabla13[[#This Row],[ID]],[1]!Mtto_Pesv[[#Headers],[#Data],[Placa]:[Rutina]],3,FALSE)),0)</f>
        <v>0</v>
      </c>
      <c r="AH706" s="20">
        <f>IFERROR((VLOOKUP(Tabla13[[#This Row],[ID]],[1]!Mtto_Pesv[[#Headers],[#Data],[Placa]:[Rutina]],7,FALSE)),0)</f>
        <v>0</v>
      </c>
      <c r="AI706" s="20">
        <f>IFERROR((VLOOKUP(Tabla13[[#This Row],[ID]],[1]!Mtto_Pesv[[#Headers],[#Data],[Placa]:[Rutina]],8,FALSE)),0)</f>
        <v>0</v>
      </c>
      <c r="AJ706" s="20" t="str">
        <f>IFERROR((VLOOKUP(Tabla13[[#This Row],[ID]],[1]!Mtto_Pesv[[#Headers],[#Data],[Placa]:[Rutina]],9,FALSE)),"-")</f>
        <v>-</v>
      </c>
      <c r="AK706" s="20">
        <f>IFERROR((VLOOKUP(Tabla13[[#This Row],[ID]],[1]!Mtto_Pesv[[#Headers],[#Data],[Placa]:[Rutina]],10,FALSE)),0)</f>
        <v>0</v>
      </c>
      <c r="AL706" s="20">
        <f>IF(Tabla13[[#This Row],[Km Anterior]]=0,0,Tabla13[[#This Row],[Km Ejecut]]-Tabla13[[#This Row],[Km Anterior]])</f>
        <v>0</v>
      </c>
      <c r="AM706" s="20">
        <f>IFERROR((VLOOKUP(Tabla13[[#This Row],[ID]],[1]!Mtto_Pesv[[#Headers],[#Data],[Placa]:[Rutina]],4,FALSE)),0)</f>
        <v>0</v>
      </c>
      <c r="AN706" s="21">
        <f>IFERROR((VLOOKUP(Tabla13[[#This Row],[ID]],[1]!Mtto_Pesv[[#Headers],[#Data],[Placa]:[Rutina]],5,FALSE)),0)</f>
        <v>0</v>
      </c>
      <c r="AO706" s="21">
        <f>+Tabla13[[#This Row],[Km Fin]]-Tabla13[[#This Row],[Km Ini]]</f>
        <v>0</v>
      </c>
      <c r="AP706" s="20">
        <f>IFERROR((VLOOKUP(Tabla13[[#This Row],[ID]],[1]!Estilo_Conduccion[[#All],[Placa]:[Puntuacion]],15,FALSE)),0)</f>
        <v>0</v>
      </c>
      <c r="AQ706" s="15" t="s">
        <v>1069</v>
      </c>
      <c r="AR706" s="15" t="s">
        <v>943</v>
      </c>
      <c r="AS706" s="20">
        <v>1585</v>
      </c>
      <c r="AT706" s="21">
        <v>0</v>
      </c>
      <c r="AU706" s="21">
        <f>(Tabla13[[#This Row],[Cap Vh]]*$AX$2)*0.56</f>
        <v>0</v>
      </c>
      <c r="AV706" s="36" t="e">
        <f>(Tabla13[[#This Row],[Cap Util (kg)]]/(Tabla13[[#This Row],[Cap Inst (Kg)]]))</f>
        <v>#DIV/0!</v>
      </c>
    </row>
    <row r="707" spans="1:48" x14ac:dyDescent="0.25">
      <c r="A707" s="13" t="s">
        <v>1068</v>
      </c>
      <c r="B707" s="14" t="s">
        <v>944</v>
      </c>
      <c r="C707" s="14" t="s">
        <v>749</v>
      </c>
      <c r="D707" s="14" t="s">
        <v>749</v>
      </c>
      <c r="E707" s="14" t="s">
        <v>840</v>
      </c>
      <c r="F707" s="14" t="s">
        <v>64</v>
      </c>
      <c r="G707" s="15" t="s">
        <v>47</v>
      </c>
      <c r="H707" s="16" t="s">
        <v>48</v>
      </c>
      <c r="I707" s="14" t="s">
        <v>49</v>
      </c>
      <c r="J707" s="14">
        <v>900335279</v>
      </c>
      <c r="K707" s="14" t="s">
        <v>77</v>
      </c>
      <c r="L707" s="14" t="s">
        <v>103</v>
      </c>
      <c r="M707" s="14" t="s">
        <v>121</v>
      </c>
      <c r="N707" s="14">
        <v>2012</v>
      </c>
      <c r="O707" s="14">
        <v>8</v>
      </c>
      <c r="P707" s="14" t="s">
        <v>53</v>
      </c>
      <c r="Q707" s="14">
        <v>1</v>
      </c>
      <c r="R707" s="14">
        <v>0</v>
      </c>
      <c r="S707" s="17" t="s">
        <v>54</v>
      </c>
      <c r="T707" s="18">
        <v>0</v>
      </c>
      <c r="U707" s="14">
        <v>30</v>
      </c>
      <c r="V707" s="19">
        <v>1</v>
      </c>
      <c r="W707" s="14">
        <v>0</v>
      </c>
      <c r="X707" s="14">
        <v>26</v>
      </c>
      <c r="Y707" s="14">
        <v>4</v>
      </c>
      <c r="Z707" s="14">
        <v>0</v>
      </c>
      <c r="AA707" s="14">
        <f>Tabla13[[#This Row],[CheckList App]]+Tabla13[[#This Row],[CheckList Fisc]]</f>
        <v>4</v>
      </c>
      <c r="AB707" s="19">
        <f t="shared" si="11"/>
        <v>0.15384615384615385</v>
      </c>
      <c r="AC707" s="14">
        <v>0</v>
      </c>
      <c r="AD707" s="14" t="s">
        <v>70</v>
      </c>
      <c r="AE707" s="15" t="str">
        <f>IFERROR((VLOOKUP(Tabla13[[#This Row],[ID]],[1]!Mtto_Pesv[[#Headers],[#Data],[Placa]:[Rutina]],2,FALSE)),"-")</f>
        <v>-</v>
      </c>
      <c r="AF707" s="14">
        <v>1</v>
      </c>
      <c r="AG707" s="20">
        <f>IFERROR((VLOOKUP(Tabla13[[#This Row],[ID]],[1]!Mtto_Pesv[[#Headers],[#Data],[Placa]:[Rutina]],3,FALSE)),0)</f>
        <v>0</v>
      </c>
      <c r="AH707" s="20">
        <f>IFERROR((VLOOKUP(Tabla13[[#This Row],[ID]],[1]!Mtto_Pesv[[#Headers],[#Data],[Placa]:[Rutina]],7,FALSE)),0)</f>
        <v>0</v>
      </c>
      <c r="AI707" s="20">
        <f>IFERROR((VLOOKUP(Tabla13[[#This Row],[ID]],[1]!Mtto_Pesv[[#Headers],[#Data],[Placa]:[Rutina]],8,FALSE)),0)</f>
        <v>0</v>
      </c>
      <c r="AJ707" s="20" t="str">
        <f>IFERROR((VLOOKUP(Tabla13[[#This Row],[ID]],[1]!Mtto_Pesv[[#Headers],[#Data],[Placa]:[Rutina]],9,FALSE)),"-")</f>
        <v>-</v>
      </c>
      <c r="AK707" s="20">
        <f>IFERROR((VLOOKUP(Tabla13[[#This Row],[ID]],[1]!Mtto_Pesv[[#Headers],[#Data],[Placa]:[Rutina]],10,FALSE)),0)</f>
        <v>0</v>
      </c>
      <c r="AL707" s="20">
        <f>IF(Tabla13[[#This Row],[Km Anterior]]=0,0,Tabla13[[#This Row],[Km Ejecut]]-Tabla13[[#This Row],[Km Anterior]])</f>
        <v>0</v>
      </c>
      <c r="AM707" s="20">
        <f>IFERROR((VLOOKUP(Tabla13[[#This Row],[ID]],[1]!Mtto_Pesv[[#Headers],[#Data],[Placa]:[Rutina]],4,FALSE)),0)</f>
        <v>0</v>
      </c>
      <c r="AN707" s="21">
        <f>IFERROR((VLOOKUP(Tabla13[[#This Row],[ID]],[1]!Mtto_Pesv[[#Headers],[#Data],[Placa]:[Rutina]],5,FALSE)),0)</f>
        <v>0</v>
      </c>
      <c r="AO707" s="21">
        <f>+Tabla13[[#This Row],[Km Fin]]-Tabla13[[#This Row],[Km Ini]]</f>
        <v>0</v>
      </c>
      <c r="AP707" s="20">
        <f>IFERROR((VLOOKUP(Tabla13[[#This Row],[ID]],[1]!Estilo_Conduccion[[#All],[Placa]:[Puntuacion]],15,FALSE)),0)</f>
        <v>138.5</v>
      </c>
      <c r="AQ707" s="15" t="s">
        <v>1526</v>
      </c>
      <c r="AR707" s="15" t="s">
        <v>1527</v>
      </c>
      <c r="AS707" s="20">
        <v>2970</v>
      </c>
      <c r="AT707" s="21">
        <v>4015.0714285714284</v>
      </c>
      <c r="AU707" s="21">
        <f>(Tabla13[[#This Row],[Cap Vh]]*$AX$2)*0.56</f>
        <v>0</v>
      </c>
      <c r="AV707" s="36" t="e">
        <f>(Tabla13[[#This Row],[Cap Util (kg)]]/(Tabla13[[#This Row],[Cap Inst (Kg)]]))</f>
        <v>#DIV/0!</v>
      </c>
    </row>
    <row r="708" spans="1:48" x14ac:dyDescent="0.25">
      <c r="A708" s="13" t="s">
        <v>1068</v>
      </c>
      <c r="B708" s="14" t="s">
        <v>945</v>
      </c>
      <c r="C708" s="14" t="s">
        <v>749</v>
      </c>
      <c r="D708" s="14" t="s">
        <v>749</v>
      </c>
      <c r="E708" s="14" t="s">
        <v>840</v>
      </c>
      <c r="F708" s="14" t="s">
        <v>76</v>
      </c>
      <c r="G708" s="15" t="s">
        <v>89</v>
      </c>
      <c r="H708" s="16" t="s">
        <v>90</v>
      </c>
      <c r="I708" s="14" t="s">
        <v>49</v>
      </c>
      <c r="J708" s="14">
        <v>830064700</v>
      </c>
      <c r="K708" s="14" t="s">
        <v>50</v>
      </c>
      <c r="L708" s="14" t="s">
        <v>103</v>
      </c>
      <c r="M708" s="14" t="s">
        <v>104</v>
      </c>
      <c r="N708" s="14">
        <v>2012</v>
      </c>
      <c r="O708" s="14">
        <v>8</v>
      </c>
      <c r="P708" s="14" t="s">
        <v>53</v>
      </c>
      <c r="Q708" s="14">
        <v>0</v>
      </c>
      <c r="R708" s="14">
        <v>0</v>
      </c>
      <c r="S708" s="17" t="s">
        <v>54</v>
      </c>
      <c r="T708" s="18">
        <v>0</v>
      </c>
      <c r="U708" s="14">
        <v>30</v>
      </c>
      <c r="V708" s="19">
        <v>1</v>
      </c>
      <c r="W708" s="14">
        <v>0</v>
      </c>
      <c r="X708" s="14">
        <v>0</v>
      </c>
      <c r="Y708" s="14">
        <v>0</v>
      </c>
      <c r="Z708" s="14">
        <v>0</v>
      </c>
      <c r="AA708" s="14">
        <f>Tabla13[[#This Row],[CheckList App]]+Tabla13[[#This Row],[CheckList Fisc]]</f>
        <v>0</v>
      </c>
      <c r="AB708" s="19">
        <f t="shared" si="11"/>
        <v>0</v>
      </c>
      <c r="AC708" s="14">
        <v>0</v>
      </c>
      <c r="AD708" s="14" t="s">
        <v>55</v>
      </c>
      <c r="AE708" s="15" t="str">
        <f>IFERROR((VLOOKUP(Tabla13[[#This Row],[ID]],[1]!Mtto_Pesv[[#Headers],[#Data],[Placa]:[Rutina]],2,FALSE)),"-")</f>
        <v>-</v>
      </c>
      <c r="AF708" s="14">
        <v>0</v>
      </c>
      <c r="AG708" s="20">
        <f>IFERROR((VLOOKUP(Tabla13[[#This Row],[ID]],[1]!Mtto_Pesv[[#Headers],[#Data],[Placa]:[Rutina]],3,FALSE)),0)</f>
        <v>0</v>
      </c>
      <c r="AH708" s="20">
        <f>IFERROR((VLOOKUP(Tabla13[[#This Row],[ID]],[1]!Mtto_Pesv[[#Headers],[#Data],[Placa]:[Rutina]],7,FALSE)),0)</f>
        <v>0</v>
      </c>
      <c r="AI708" s="20">
        <f>IFERROR((VLOOKUP(Tabla13[[#This Row],[ID]],[1]!Mtto_Pesv[[#Headers],[#Data],[Placa]:[Rutina]],8,FALSE)),0)</f>
        <v>0</v>
      </c>
      <c r="AJ708" s="20" t="str">
        <f>IFERROR((VLOOKUP(Tabla13[[#This Row],[ID]],[1]!Mtto_Pesv[[#Headers],[#Data],[Placa]:[Rutina]],9,FALSE)),"-")</f>
        <v>-</v>
      </c>
      <c r="AK708" s="20">
        <f>IFERROR((VLOOKUP(Tabla13[[#This Row],[ID]],[1]!Mtto_Pesv[[#Headers],[#Data],[Placa]:[Rutina]],10,FALSE)),0)</f>
        <v>0</v>
      </c>
      <c r="AL708" s="20">
        <f>IF(Tabla13[[#This Row],[Km Anterior]]=0,0,Tabla13[[#This Row],[Km Ejecut]]-Tabla13[[#This Row],[Km Anterior]])</f>
        <v>0</v>
      </c>
      <c r="AM708" s="20">
        <f>IFERROR((VLOOKUP(Tabla13[[#This Row],[ID]],[1]!Mtto_Pesv[[#Headers],[#Data],[Placa]:[Rutina]],4,FALSE)),0)</f>
        <v>0</v>
      </c>
      <c r="AN708" s="21">
        <f>IFERROR((VLOOKUP(Tabla13[[#This Row],[ID]],[1]!Mtto_Pesv[[#Headers],[#Data],[Placa]:[Rutina]],5,FALSE)),0)</f>
        <v>0</v>
      </c>
      <c r="AO708" s="21">
        <f>+Tabla13[[#This Row],[Km Fin]]-Tabla13[[#This Row],[Km Ini]]</f>
        <v>0</v>
      </c>
      <c r="AP708" s="20">
        <f>IFERROR((VLOOKUP(Tabla13[[#This Row],[ID]],[1]!Estilo_Conduccion[[#All],[Placa]:[Puntuacion]],15,FALSE)),0)</f>
        <v>0</v>
      </c>
      <c r="AQ708" s="15" t="s">
        <v>1521</v>
      </c>
      <c r="AR708" s="15" t="s">
        <v>1522</v>
      </c>
      <c r="AS708" s="20">
        <v>1585</v>
      </c>
      <c r="AT708" s="21">
        <v>19364.4375</v>
      </c>
      <c r="AU708" s="21">
        <f>(Tabla13[[#This Row],[Cap Vh]]*$AX$2)*0.56</f>
        <v>0</v>
      </c>
      <c r="AV708" s="36" t="e">
        <f>(Tabla13[[#This Row],[Cap Util (kg)]]/(Tabla13[[#This Row],[Cap Inst (Kg)]]))</f>
        <v>#DIV/0!</v>
      </c>
    </row>
    <row r="709" spans="1:48" x14ac:dyDescent="0.25">
      <c r="A709" s="13" t="s">
        <v>1068</v>
      </c>
      <c r="B709" s="14" t="s">
        <v>946</v>
      </c>
      <c r="C709" s="14" t="s">
        <v>749</v>
      </c>
      <c r="D709" s="14" t="s">
        <v>749</v>
      </c>
      <c r="E709" s="14" t="s">
        <v>840</v>
      </c>
      <c r="F709" s="14" t="s">
        <v>76</v>
      </c>
      <c r="G709" s="15" t="s">
        <v>89</v>
      </c>
      <c r="H709" s="16" t="s">
        <v>90</v>
      </c>
      <c r="I709" s="14" t="s">
        <v>49</v>
      </c>
      <c r="J709" s="14">
        <v>830064700</v>
      </c>
      <c r="K709" s="14" t="s">
        <v>50</v>
      </c>
      <c r="L709" s="14" t="s">
        <v>103</v>
      </c>
      <c r="M709" s="14" t="s">
        <v>104</v>
      </c>
      <c r="N709" s="14">
        <v>2012</v>
      </c>
      <c r="O709" s="14">
        <v>8</v>
      </c>
      <c r="P709" s="14" t="s">
        <v>53</v>
      </c>
      <c r="Q709" s="14">
        <v>0</v>
      </c>
      <c r="R709" s="14">
        <v>0</v>
      </c>
      <c r="S709" s="17" t="s">
        <v>54</v>
      </c>
      <c r="T709" s="18">
        <v>0</v>
      </c>
      <c r="U709" s="14">
        <v>30</v>
      </c>
      <c r="V709" s="19">
        <v>1</v>
      </c>
      <c r="W709" s="14">
        <v>0</v>
      </c>
      <c r="X709" s="14">
        <v>0</v>
      </c>
      <c r="Y709" s="14">
        <v>0</v>
      </c>
      <c r="Z709" s="14">
        <v>0</v>
      </c>
      <c r="AA709" s="14">
        <f>Tabla13[[#This Row],[CheckList App]]+Tabla13[[#This Row],[CheckList Fisc]]</f>
        <v>0</v>
      </c>
      <c r="AB709" s="19">
        <f t="shared" si="11"/>
        <v>0</v>
      </c>
      <c r="AC709" s="14">
        <v>0</v>
      </c>
      <c r="AD709" s="14" t="s">
        <v>55</v>
      </c>
      <c r="AE709" s="15" t="str">
        <f>IFERROR((VLOOKUP(Tabla13[[#This Row],[ID]],[1]!Mtto_Pesv[[#Headers],[#Data],[Placa]:[Rutina]],2,FALSE)),"-")</f>
        <v>-</v>
      </c>
      <c r="AF709" s="14">
        <v>0</v>
      </c>
      <c r="AG709" s="20">
        <f>IFERROR((VLOOKUP(Tabla13[[#This Row],[ID]],[1]!Mtto_Pesv[[#Headers],[#Data],[Placa]:[Rutina]],3,FALSE)),0)</f>
        <v>0</v>
      </c>
      <c r="AH709" s="20">
        <f>IFERROR((VLOOKUP(Tabla13[[#This Row],[ID]],[1]!Mtto_Pesv[[#Headers],[#Data],[Placa]:[Rutina]],7,FALSE)),0)</f>
        <v>0</v>
      </c>
      <c r="AI709" s="20">
        <f>IFERROR((VLOOKUP(Tabla13[[#This Row],[ID]],[1]!Mtto_Pesv[[#Headers],[#Data],[Placa]:[Rutina]],8,FALSE)),0)</f>
        <v>0</v>
      </c>
      <c r="AJ709" s="20" t="str">
        <f>IFERROR((VLOOKUP(Tabla13[[#This Row],[ID]],[1]!Mtto_Pesv[[#Headers],[#Data],[Placa]:[Rutina]],9,FALSE)),"-")</f>
        <v>-</v>
      </c>
      <c r="AK709" s="20">
        <f>IFERROR((VLOOKUP(Tabla13[[#This Row],[ID]],[1]!Mtto_Pesv[[#Headers],[#Data],[Placa]:[Rutina]],10,FALSE)),0)</f>
        <v>0</v>
      </c>
      <c r="AL709" s="20">
        <f>IF(Tabla13[[#This Row],[Km Anterior]]=0,0,Tabla13[[#This Row],[Km Ejecut]]-Tabla13[[#This Row],[Km Anterior]])</f>
        <v>0</v>
      </c>
      <c r="AM709" s="20">
        <f>IFERROR((VLOOKUP(Tabla13[[#This Row],[ID]],[1]!Mtto_Pesv[[#Headers],[#Data],[Placa]:[Rutina]],4,FALSE)),0)</f>
        <v>0</v>
      </c>
      <c r="AN709" s="21">
        <f>IFERROR((VLOOKUP(Tabla13[[#This Row],[ID]],[1]!Mtto_Pesv[[#Headers],[#Data],[Placa]:[Rutina]],5,FALSE)),0)</f>
        <v>0</v>
      </c>
      <c r="AO709" s="21">
        <f>+Tabla13[[#This Row],[Km Fin]]-Tabla13[[#This Row],[Km Ini]]</f>
        <v>0</v>
      </c>
      <c r="AP709" s="20">
        <f>IFERROR((VLOOKUP(Tabla13[[#This Row],[ID]],[1]!Estilo_Conduccion[[#All],[Placa]:[Puntuacion]],15,FALSE)),0)</f>
        <v>0</v>
      </c>
      <c r="AQ709" s="15" t="s">
        <v>1521</v>
      </c>
      <c r="AR709" s="15" t="s">
        <v>1522</v>
      </c>
      <c r="AS709" s="20">
        <v>1585</v>
      </c>
      <c r="AT709" s="21">
        <v>19364.4375</v>
      </c>
      <c r="AU709" s="21">
        <f>(Tabla13[[#This Row],[Cap Vh]]*$AX$2)*0.56</f>
        <v>0</v>
      </c>
      <c r="AV709" s="36" t="e">
        <f>(Tabla13[[#This Row],[Cap Util (kg)]]/(Tabla13[[#This Row],[Cap Inst (Kg)]]))</f>
        <v>#DIV/0!</v>
      </c>
    </row>
    <row r="710" spans="1:48" x14ac:dyDescent="0.25">
      <c r="A710" s="13" t="s">
        <v>1068</v>
      </c>
      <c r="B710" s="14" t="s">
        <v>947</v>
      </c>
      <c r="C710" s="14" t="s">
        <v>749</v>
      </c>
      <c r="D710" s="14" t="s">
        <v>749</v>
      </c>
      <c r="E710" s="14" t="s">
        <v>840</v>
      </c>
      <c r="F710" s="14" t="s">
        <v>64</v>
      </c>
      <c r="G710" s="15" t="s">
        <v>119</v>
      </c>
      <c r="H710" s="16" t="s">
        <v>120</v>
      </c>
      <c r="I710" s="14" t="s">
        <v>109</v>
      </c>
      <c r="J710" s="14">
        <v>900335279</v>
      </c>
      <c r="K710" s="14" t="s">
        <v>77</v>
      </c>
      <c r="L710" s="14" t="s">
        <v>405</v>
      </c>
      <c r="M710" s="14" t="s">
        <v>651</v>
      </c>
      <c r="N710" s="14">
        <v>2012</v>
      </c>
      <c r="O710" s="14">
        <v>8</v>
      </c>
      <c r="P710" s="14" t="s">
        <v>53</v>
      </c>
      <c r="Q710" s="14">
        <v>1</v>
      </c>
      <c r="R710" s="14">
        <v>1</v>
      </c>
      <c r="S710" s="17">
        <v>44833.271296296298</v>
      </c>
      <c r="T710" s="18">
        <v>168.10900000000001</v>
      </c>
      <c r="U710" s="14">
        <v>30</v>
      </c>
      <c r="V710" s="19">
        <v>1</v>
      </c>
      <c r="W710" s="14">
        <v>0</v>
      </c>
      <c r="X710" s="14">
        <v>26</v>
      </c>
      <c r="Y710" s="14">
        <v>26</v>
      </c>
      <c r="Z710" s="14">
        <v>0</v>
      </c>
      <c r="AA710" s="14">
        <f>Tabla13[[#This Row],[CheckList App]]+Tabla13[[#This Row],[CheckList Fisc]]</f>
        <v>26</v>
      </c>
      <c r="AB710" s="19">
        <f t="shared" si="11"/>
        <v>1</v>
      </c>
      <c r="AC710" s="14">
        <v>0</v>
      </c>
      <c r="AD710" s="14" t="s">
        <v>70</v>
      </c>
      <c r="AE710" s="22" t="str">
        <f>IFERROR((VLOOKUP(Tabla13[[#This Row],[ID]],[1]!Mtto_Pesv[[#Headers],[#Data],[Placa]:[Rutina]],2,FALSE)),"-")</f>
        <v>-</v>
      </c>
      <c r="AF710" s="14">
        <v>1</v>
      </c>
      <c r="AG710" s="20">
        <f>IFERROR((VLOOKUP(Tabla13[[#This Row],[ID]],[1]!Mtto_Pesv[[#Headers],[#Data],[Placa]:[Rutina]],3,FALSE)),0)</f>
        <v>0</v>
      </c>
      <c r="AH710" s="20">
        <f>IFERROR((VLOOKUP(Tabla13[[#This Row],[ID]],[1]!Mtto_Pesv[[#Headers],[#Data],[Placa]:[Rutina]],7,FALSE)),0)</f>
        <v>0</v>
      </c>
      <c r="AI710" s="20">
        <f>IFERROR((VLOOKUP(Tabla13[[#This Row],[ID]],[1]!Mtto_Pesv[[#Headers],[#Data],[Placa]:[Rutina]],8,FALSE)),0)</f>
        <v>0</v>
      </c>
      <c r="AJ710" s="20" t="str">
        <f>IFERROR((VLOOKUP(Tabla13[[#This Row],[ID]],[1]!Mtto_Pesv[[#Headers],[#Data],[Placa]:[Rutina]],9,FALSE)),"-")</f>
        <v>-</v>
      </c>
      <c r="AK710" s="20">
        <f>IFERROR((VLOOKUP(Tabla13[[#This Row],[ID]],[1]!Mtto_Pesv[[#Headers],[#Data],[Placa]:[Rutina]],10,FALSE)),0)</f>
        <v>0</v>
      </c>
      <c r="AL710" s="20">
        <f>IF(Tabla13[[#This Row],[Km Anterior]]=0,0,Tabla13[[#This Row],[Km Ejecut]]-Tabla13[[#This Row],[Km Anterior]])</f>
        <v>0</v>
      </c>
      <c r="AM710" s="20">
        <f>IFERROR((VLOOKUP(Tabla13[[#This Row],[ID]],[1]!Mtto_Pesv[[#Headers],[#Data],[Placa]:[Rutina]],4,FALSE)),0)</f>
        <v>0</v>
      </c>
      <c r="AN710" s="21">
        <f>IFERROR((VLOOKUP(Tabla13[[#This Row],[ID]],[1]!Mtto_Pesv[[#Headers],[#Data],[Placa]:[Rutina]],5,FALSE)),0)</f>
        <v>0</v>
      </c>
      <c r="AO710" s="21">
        <f>+Tabla13[[#This Row],[Km Fin]]-Tabla13[[#This Row],[Km Ini]]</f>
        <v>0</v>
      </c>
      <c r="AP710" s="20">
        <f>IFERROR((VLOOKUP(Tabla13[[#This Row],[ID]],[1]!Estilo_Conduccion[[#All],[Placa]:[Puntuacion]],15,FALSE)),0)</f>
        <v>582.6</v>
      </c>
      <c r="AQ710" s="15" t="s">
        <v>54</v>
      </c>
      <c r="AR710" s="15" t="s">
        <v>1537</v>
      </c>
      <c r="AS710" s="20">
        <v>3789</v>
      </c>
      <c r="AT710" s="21">
        <v>0</v>
      </c>
      <c r="AU710" s="21">
        <f>(Tabla13[[#This Row],[Cap Vh]]*$AX$2)*0.56</f>
        <v>0</v>
      </c>
      <c r="AV710" s="36" t="e">
        <f>(Tabla13[[#This Row],[Cap Util (kg)]]/(Tabla13[[#This Row],[Cap Inst (Kg)]]))</f>
        <v>#DIV/0!</v>
      </c>
    </row>
    <row r="711" spans="1:48" x14ac:dyDescent="0.25">
      <c r="A711" s="13" t="s">
        <v>1068</v>
      </c>
      <c r="B711" s="14" t="s">
        <v>948</v>
      </c>
      <c r="C711" s="14" t="s">
        <v>749</v>
      </c>
      <c r="D711" s="14" t="s">
        <v>749</v>
      </c>
      <c r="E711" s="14" t="s">
        <v>897</v>
      </c>
      <c r="F711" s="14" t="s">
        <v>76</v>
      </c>
      <c r="G711" s="15" t="s">
        <v>89</v>
      </c>
      <c r="H711" s="16" t="s">
        <v>90</v>
      </c>
      <c r="I711" s="14" t="s">
        <v>49</v>
      </c>
      <c r="J711" s="14">
        <v>890300279</v>
      </c>
      <c r="K711" s="14" t="s">
        <v>282</v>
      </c>
      <c r="L711" s="14" t="s">
        <v>405</v>
      </c>
      <c r="M711" s="14" t="s">
        <v>441</v>
      </c>
      <c r="N711" s="14">
        <v>2012</v>
      </c>
      <c r="O711" s="14">
        <v>8</v>
      </c>
      <c r="P711" s="14" t="s">
        <v>53</v>
      </c>
      <c r="Q711" s="14">
        <v>0</v>
      </c>
      <c r="R711" s="14">
        <v>0</v>
      </c>
      <c r="S711" s="17" t="s">
        <v>54</v>
      </c>
      <c r="T711" s="18">
        <v>0</v>
      </c>
      <c r="U711" s="14">
        <v>30</v>
      </c>
      <c r="V711" s="19">
        <v>1</v>
      </c>
      <c r="W711" s="14">
        <v>0</v>
      </c>
      <c r="X711" s="14">
        <v>0</v>
      </c>
      <c r="Y711" s="14">
        <v>0</v>
      </c>
      <c r="Z711" s="14">
        <v>0</v>
      </c>
      <c r="AA711" s="14">
        <f>Tabla13[[#This Row],[CheckList App]]+Tabla13[[#This Row],[CheckList Fisc]]</f>
        <v>0</v>
      </c>
      <c r="AB711" s="19">
        <f t="shared" si="11"/>
        <v>0</v>
      </c>
      <c r="AC711" s="14">
        <v>0</v>
      </c>
      <c r="AD711" s="14" t="s">
        <v>70</v>
      </c>
      <c r="AE711" s="15" t="str">
        <f>IFERROR((VLOOKUP(Tabla13[[#This Row],[ID]],[1]!Mtto_Pesv[[#Headers],[#Data],[Placa]:[Rutina]],2,FALSE)),"-")</f>
        <v>-</v>
      </c>
      <c r="AF711" s="14">
        <v>1</v>
      </c>
      <c r="AG711" s="20">
        <f>IFERROR((VLOOKUP(Tabla13[[#This Row],[ID]],[1]!Mtto_Pesv[[#Headers],[#Data],[Placa]:[Rutina]],3,FALSE)),0)</f>
        <v>0</v>
      </c>
      <c r="AH711" s="20">
        <f>IFERROR((VLOOKUP(Tabla13[[#This Row],[ID]],[1]!Mtto_Pesv[[#Headers],[#Data],[Placa]:[Rutina]],7,FALSE)),0)</f>
        <v>0</v>
      </c>
      <c r="AI711" s="20">
        <f>IFERROR((VLOOKUP(Tabla13[[#This Row],[ID]],[1]!Mtto_Pesv[[#Headers],[#Data],[Placa]:[Rutina]],8,FALSE)),0)</f>
        <v>0</v>
      </c>
      <c r="AJ711" s="20" t="str">
        <f>IFERROR((VLOOKUP(Tabla13[[#This Row],[ID]],[1]!Mtto_Pesv[[#Headers],[#Data],[Placa]:[Rutina]],9,FALSE)),"-")</f>
        <v>-</v>
      </c>
      <c r="AK711" s="20">
        <f>IFERROR((VLOOKUP(Tabla13[[#This Row],[ID]],[1]!Mtto_Pesv[[#Headers],[#Data],[Placa]:[Rutina]],10,FALSE)),0)</f>
        <v>0</v>
      </c>
      <c r="AL711" s="20">
        <f>IF(Tabla13[[#This Row],[Km Anterior]]=0,0,Tabla13[[#This Row],[Km Ejecut]]-Tabla13[[#This Row],[Km Anterior]])</f>
        <v>0</v>
      </c>
      <c r="AM711" s="20">
        <f>IFERROR((VLOOKUP(Tabla13[[#This Row],[ID]],[1]!Mtto_Pesv[[#Headers],[#Data],[Placa]:[Rutina]],4,FALSE)),0)</f>
        <v>0</v>
      </c>
      <c r="AN711" s="21">
        <f>IFERROR((VLOOKUP(Tabla13[[#This Row],[ID]],[1]!Mtto_Pesv[[#Headers],[#Data],[Placa]:[Rutina]],5,FALSE)),0)</f>
        <v>0</v>
      </c>
      <c r="AO711" s="21">
        <f>+Tabla13[[#This Row],[Km Fin]]-Tabla13[[#This Row],[Km Ini]]</f>
        <v>0</v>
      </c>
      <c r="AP711" s="20">
        <f>IFERROR((VLOOKUP(Tabla13[[#This Row],[ID]],[1]!Estilo_Conduccion[[#All],[Placa]:[Puntuacion]],15,FALSE)),0)</f>
        <v>0</v>
      </c>
      <c r="AQ711" s="15" t="s">
        <v>1538</v>
      </c>
      <c r="AR711" s="15" t="s">
        <v>1539</v>
      </c>
      <c r="AS711" s="20">
        <v>1013</v>
      </c>
      <c r="AT711" s="21">
        <v>3337</v>
      </c>
      <c r="AU711" s="21">
        <f>(Tabla13[[#This Row],[Cap Vh]]*$AX$2)*0.56</f>
        <v>0</v>
      </c>
      <c r="AV711" s="36" t="e">
        <f>(Tabla13[[#This Row],[Cap Util (kg)]]/(Tabla13[[#This Row],[Cap Inst (Kg)]]))</f>
        <v>#DIV/0!</v>
      </c>
    </row>
    <row r="712" spans="1:48" x14ac:dyDescent="0.25">
      <c r="A712" s="13" t="s">
        <v>1068</v>
      </c>
      <c r="B712" s="14" t="s">
        <v>949</v>
      </c>
      <c r="C712" s="14" t="s">
        <v>749</v>
      </c>
      <c r="D712" s="14" t="s">
        <v>749</v>
      </c>
      <c r="E712" s="14" t="s">
        <v>840</v>
      </c>
      <c r="F712" s="14" t="s">
        <v>76</v>
      </c>
      <c r="G712" s="14" t="s">
        <v>65</v>
      </c>
      <c r="H712" s="16" t="s">
        <v>66</v>
      </c>
      <c r="I712" s="14" t="s">
        <v>49</v>
      </c>
      <c r="J712" s="14">
        <v>890300279</v>
      </c>
      <c r="K712" s="14" t="s">
        <v>282</v>
      </c>
      <c r="L712" s="14" t="s">
        <v>405</v>
      </c>
      <c r="M712" s="14" t="s">
        <v>441</v>
      </c>
      <c r="N712" s="14">
        <v>2012</v>
      </c>
      <c r="O712" s="14">
        <v>8</v>
      </c>
      <c r="P712" s="14" t="s">
        <v>53</v>
      </c>
      <c r="Q712" s="14">
        <v>0</v>
      </c>
      <c r="R712" s="14">
        <v>0</v>
      </c>
      <c r="S712" s="17" t="s">
        <v>54</v>
      </c>
      <c r="T712" s="18">
        <v>0</v>
      </c>
      <c r="U712" s="14">
        <v>30</v>
      </c>
      <c r="V712" s="19">
        <v>1</v>
      </c>
      <c r="W712" s="14">
        <v>0</v>
      </c>
      <c r="X712" s="14">
        <v>0</v>
      </c>
      <c r="Y712" s="14">
        <v>0</v>
      </c>
      <c r="Z712" s="14">
        <v>0</v>
      </c>
      <c r="AA712" s="14">
        <f>Tabla13[[#This Row],[CheckList App]]+Tabla13[[#This Row],[CheckList Fisc]]</f>
        <v>0</v>
      </c>
      <c r="AB712" s="19">
        <f t="shared" si="11"/>
        <v>0</v>
      </c>
      <c r="AC712" s="14">
        <v>0</v>
      </c>
      <c r="AD712" s="14" t="s">
        <v>70</v>
      </c>
      <c r="AE712" s="15" t="str">
        <f>IFERROR((VLOOKUP(Tabla13[[#This Row],[ID]],[1]!Mtto_Pesv[[#Headers],[#Data],[Placa]:[Rutina]],2,FALSE)),"-")</f>
        <v>-</v>
      </c>
      <c r="AF712" s="14">
        <v>1</v>
      </c>
      <c r="AG712" s="20">
        <f>IFERROR((VLOOKUP(Tabla13[[#This Row],[ID]],[1]!Mtto_Pesv[[#Headers],[#Data],[Placa]:[Rutina]],3,FALSE)),0)</f>
        <v>0</v>
      </c>
      <c r="AH712" s="20">
        <f>IFERROR((VLOOKUP(Tabla13[[#This Row],[ID]],[1]!Mtto_Pesv[[#Headers],[#Data],[Placa]:[Rutina]],7,FALSE)),0)</f>
        <v>0</v>
      </c>
      <c r="AI712" s="20">
        <f>IFERROR((VLOOKUP(Tabla13[[#This Row],[ID]],[1]!Mtto_Pesv[[#Headers],[#Data],[Placa]:[Rutina]],8,FALSE)),0)</f>
        <v>0</v>
      </c>
      <c r="AJ712" s="20" t="str">
        <f>IFERROR((VLOOKUP(Tabla13[[#This Row],[ID]],[1]!Mtto_Pesv[[#Headers],[#Data],[Placa]:[Rutina]],9,FALSE)),"-")</f>
        <v>-</v>
      </c>
      <c r="AK712" s="20">
        <f>IFERROR((VLOOKUP(Tabla13[[#This Row],[ID]],[1]!Mtto_Pesv[[#Headers],[#Data],[Placa]:[Rutina]],10,FALSE)),0)</f>
        <v>0</v>
      </c>
      <c r="AL712" s="20">
        <f>IF(Tabla13[[#This Row],[Km Anterior]]=0,0,Tabla13[[#This Row],[Km Ejecut]]-Tabla13[[#This Row],[Km Anterior]])</f>
        <v>0</v>
      </c>
      <c r="AM712" s="20">
        <f>IFERROR((VLOOKUP(Tabla13[[#This Row],[ID]],[1]!Mtto_Pesv[[#Headers],[#Data],[Placa]:[Rutina]],4,FALSE)),0)</f>
        <v>0</v>
      </c>
      <c r="AN712" s="21">
        <f>IFERROR((VLOOKUP(Tabla13[[#This Row],[ID]],[1]!Mtto_Pesv[[#Headers],[#Data],[Placa]:[Rutina]],5,FALSE)),0)</f>
        <v>0</v>
      </c>
      <c r="AO712" s="21">
        <f>+Tabla13[[#This Row],[Km Fin]]-Tabla13[[#This Row],[Km Ini]]</f>
        <v>0</v>
      </c>
      <c r="AP712" s="20">
        <f>IFERROR((VLOOKUP(Tabla13[[#This Row],[ID]],[1]!Estilo_Conduccion[[#All],[Placa]:[Puntuacion]],15,FALSE)),0)</f>
        <v>0</v>
      </c>
      <c r="AQ712" s="15" t="s">
        <v>54</v>
      </c>
      <c r="AR712" s="15" t="s">
        <v>54</v>
      </c>
      <c r="AS712" s="20">
        <v>1013</v>
      </c>
      <c r="AT712" s="21">
        <v>0</v>
      </c>
      <c r="AU712" s="21">
        <f>(Tabla13[[#This Row],[Cap Vh]]*$AX$2)*0.56</f>
        <v>0</v>
      </c>
      <c r="AV712" s="36" t="e">
        <f>(Tabla13[[#This Row],[Cap Util (kg)]]/(Tabla13[[#This Row],[Cap Inst (Kg)]]))</f>
        <v>#DIV/0!</v>
      </c>
    </row>
    <row r="713" spans="1:48" x14ac:dyDescent="0.25">
      <c r="A713" s="13" t="s">
        <v>1068</v>
      </c>
      <c r="B713" s="14" t="s">
        <v>950</v>
      </c>
      <c r="C713" s="14" t="s">
        <v>749</v>
      </c>
      <c r="D713" s="14" t="s">
        <v>749</v>
      </c>
      <c r="E713" s="14" t="s">
        <v>845</v>
      </c>
      <c r="F713" s="14" t="s">
        <v>64</v>
      </c>
      <c r="G713" s="15" t="s">
        <v>47</v>
      </c>
      <c r="H713" s="16" t="s">
        <v>48</v>
      </c>
      <c r="I713" s="14" t="s">
        <v>49</v>
      </c>
      <c r="J713" s="14">
        <v>900335279</v>
      </c>
      <c r="K713" s="14" t="s">
        <v>77</v>
      </c>
      <c r="L713" s="14" t="s">
        <v>103</v>
      </c>
      <c r="M713" s="14" t="s">
        <v>121</v>
      </c>
      <c r="N713" s="14">
        <v>2003</v>
      </c>
      <c r="O713" s="14">
        <v>17</v>
      </c>
      <c r="P713" s="14" t="s">
        <v>173</v>
      </c>
      <c r="Q713" s="14">
        <v>0</v>
      </c>
      <c r="R713" s="14">
        <v>0</v>
      </c>
      <c r="S713" s="17" t="s">
        <v>54</v>
      </c>
      <c r="T713" s="18">
        <v>0</v>
      </c>
      <c r="U713" s="14">
        <v>30</v>
      </c>
      <c r="V713" s="19">
        <v>1</v>
      </c>
      <c r="W713" s="14">
        <v>0</v>
      </c>
      <c r="X713" s="14">
        <v>0</v>
      </c>
      <c r="Y713" s="14">
        <v>0</v>
      </c>
      <c r="Z713" s="14">
        <v>0</v>
      </c>
      <c r="AA713" s="14">
        <f>Tabla13[[#This Row],[CheckList App]]+Tabla13[[#This Row],[CheckList Fisc]]</f>
        <v>0</v>
      </c>
      <c r="AB713" s="19">
        <f t="shared" si="11"/>
        <v>0</v>
      </c>
      <c r="AC713" s="14">
        <v>0</v>
      </c>
      <c r="AD713" s="14" t="s">
        <v>70</v>
      </c>
      <c r="AE713" s="15" t="str">
        <f>IFERROR((VLOOKUP(Tabla13[[#This Row],[ID]],[1]!Mtto_Pesv[[#Headers],[#Data],[Placa]:[Rutina]],2,FALSE)),"-")</f>
        <v>-</v>
      </c>
      <c r="AF713" s="14">
        <v>1</v>
      </c>
      <c r="AG713" s="20">
        <f>IFERROR((VLOOKUP(Tabla13[[#This Row],[ID]],[1]!Mtto_Pesv[[#Headers],[#Data],[Placa]:[Rutina]],3,FALSE)),0)</f>
        <v>0</v>
      </c>
      <c r="AH713" s="20">
        <f>IFERROR((VLOOKUP(Tabla13[[#This Row],[ID]],[1]!Mtto_Pesv[[#Headers],[#Data],[Placa]:[Rutina]],7,FALSE)),0)</f>
        <v>0</v>
      </c>
      <c r="AI713" s="20">
        <f>IFERROR((VLOOKUP(Tabla13[[#This Row],[ID]],[1]!Mtto_Pesv[[#Headers],[#Data],[Placa]:[Rutina]],8,FALSE)),0)</f>
        <v>0</v>
      </c>
      <c r="AJ713" s="20" t="str">
        <f>IFERROR((VLOOKUP(Tabla13[[#This Row],[ID]],[1]!Mtto_Pesv[[#Headers],[#Data],[Placa]:[Rutina]],9,FALSE)),"-")</f>
        <v>-</v>
      </c>
      <c r="AK713" s="20">
        <f>IFERROR((VLOOKUP(Tabla13[[#This Row],[ID]],[1]!Mtto_Pesv[[#Headers],[#Data],[Placa]:[Rutina]],10,FALSE)),0)</f>
        <v>0</v>
      </c>
      <c r="AL713" s="20">
        <f>IF(Tabla13[[#This Row],[Km Anterior]]=0,0,Tabla13[[#This Row],[Km Ejecut]]-Tabla13[[#This Row],[Km Anterior]])</f>
        <v>0</v>
      </c>
      <c r="AM713" s="20">
        <f>IFERROR((VLOOKUP(Tabla13[[#This Row],[ID]],[1]!Mtto_Pesv[[#Headers],[#Data],[Placa]:[Rutina]],4,FALSE)),0)</f>
        <v>0</v>
      </c>
      <c r="AN713" s="21">
        <f>IFERROR((VLOOKUP(Tabla13[[#This Row],[ID]],[1]!Mtto_Pesv[[#Headers],[#Data],[Placa]:[Rutina]],5,FALSE)),0)</f>
        <v>0</v>
      </c>
      <c r="AO713" s="21">
        <f>+Tabla13[[#This Row],[Km Fin]]-Tabla13[[#This Row],[Km Ini]]</f>
        <v>0</v>
      </c>
      <c r="AP713" s="20">
        <f>IFERROR((VLOOKUP(Tabla13[[#This Row],[ID]],[1]!Estilo_Conduccion[[#All],[Placa]:[Puntuacion]],15,FALSE)),0)</f>
        <v>0</v>
      </c>
      <c r="AQ713" s="15" t="s">
        <v>1540</v>
      </c>
      <c r="AR713" s="15" t="s">
        <v>1541</v>
      </c>
      <c r="AS713" s="20">
        <v>3000</v>
      </c>
      <c r="AT713" s="21">
        <v>2514</v>
      </c>
      <c r="AU713" s="21">
        <f>(Tabla13[[#This Row],[Cap Vh]]*$AX$2)*0.56</f>
        <v>0</v>
      </c>
      <c r="AV713" s="36" t="e">
        <f>(Tabla13[[#This Row],[Cap Util (kg)]]/(Tabla13[[#This Row],[Cap Inst (Kg)]]))</f>
        <v>#DIV/0!</v>
      </c>
    </row>
    <row r="714" spans="1:48" x14ac:dyDescent="0.25">
      <c r="A714" s="13" t="s">
        <v>1068</v>
      </c>
      <c r="B714" s="14" t="s">
        <v>951</v>
      </c>
      <c r="C714" s="14" t="s">
        <v>749</v>
      </c>
      <c r="D714" s="14" t="s">
        <v>749</v>
      </c>
      <c r="E714" s="14" t="s">
        <v>842</v>
      </c>
      <c r="F714" s="14" t="s">
        <v>76</v>
      </c>
      <c r="G714" s="15" t="s">
        <v>89</v>
      </c>
      <c r="H714" s="16" t="s">
        <v>90</v>
      </c>
      <c r="I714" s="14" t="s">
        <v>49</v>
      </c>
      <c r="J714" s="14">
        <v>900335279</v>
      </c>
      <c r="K714" s="14" t="s">
        <v>77</v>
      </c>
      <c r="L714" s="14" t="s">
        <v>103</v>
      </c>
      <c r="M714" s="14" t="s">
        <v>121</v>
      </c>
      <c r="N714" s="14">
        <v>2003</v>
      </c>
      <c r="O714" s="14">
        <v>17</v>
      </c>
      <c r="P714" s="14" t="s">
        <v>173</v>
      </c>
      <c r="Q714" s="14">
        <v>0</v>
      </c>
      <c r="R714" s="14">
        <v>0</v>
      </c>
      <c r="S714" s="17" t="s">
        <v>54</v>
      </c>
      <c r="T714" s="18">
        <v>0</v>
      </c>
      <c r="U714" s="14">
        <v>30</v>
      </c>
      <c r="V714" s="19">
        <v>1</v>
      </c>
      <c r="W714" s="14">
        <v>0</v>
      </c>
      <c r="X714" s="14">
        <v>0</v>
      </c>
      <c r="Y714" s="14">
        <v>0</v>
      </c>
      <c r="Z714" s="14">
        <v>0</v>
      </c>
      <c r="AA714" s="14">
        <f>Tabla13[[#This Row],[CheckList App]]+Tabla13[[#This Row],[CheckList Fisc]]</f>
        <v>0</v>
      </c>
      <c r="AB714" s="19">
        <f t="shared" si="11"/>
        <v>0</v>
      </c>
      <c r="AC714" s="14">
        <v>0</v>
      </c>
      <c r="AD714" s="14" t="s">
        <v>70</v>
      </c>
      <c r="AE714" s="15" t="str">
        <f>IFERROR((VLOOKUP(Tabla13[[#This Row],[ID]],[1]!Mtto_Pesv[[#Headers],[#Data],[Placa]:[Rutina]],2,FALSE)),"-")</f>
        <v>-</v>
      </c>
      <c r="AF714" s="14">
        <v>1</v>
      </c>
      <c r="AG714" s="20">
        <f>IFERROR((VLOOKUP(Tabla13[[#This Row],[ID]],[1]!Mtto_Pesv[[#Headers],[#Data],[Placa]:[Rutina]],3,FALSE)),0)</f>
        <v>0</v>
      </c>
      <c r="AH714" s="20">
        <f>IFERROR((VLOOKUP(Tabla13[[#This Row],[ID]],[1]!Mtto_Pesv[[#Headers],[#Data],[Placa]:[Rutina]],7,FALSE)),0)</f>
        <v>0</v>
      </c>
      <c r="AI714" s="20">
        <f>IFERROR((VLOOKUP(Tabla13[[#This Row],[ID]],[1]!Mtto_Pesv[[#Headers],[#Data],[Placa]:[Rutina]],8,FALSE)),0)</f>
        <v>0</v>
      </c>
      <c r="AJ714" s="20" t="str">
        <f>IFERROR((VLOOKUP(Tabla13[[#This Row],[ID]],[1]!Mtto_Pesv[[#Headers],[#Data],[Placa]:[Rutina]],9,FALSE)),"-")</f>
        <v>-</v>
      </c>
      <c r="AK714" s="20">
        <f>IFERROR((VLOOKUP(Tabla13[[#This Row],[ID]],[1]!Mtto_Pesv[[#Headers],[#Data],[Placa]:[Rutina]],10,FALSE)),0)</f>
        <v>0</v>
      </c>
      <c r="AL714" s="20">
        <f>IF(Tabla13[[#This Row],[Km Anterior]]=0,0,Tabla13[[#This Row],[Km Ejecut]]-Tabla13[[#This Row],[Km Anterior]])</f>
        <v>0</v>
      </c>
      <c r="AM714" s="20">
        <f>IFERROR((VLOOKUP(Tabla13[[#This Row],[ID]],[1]!Mtto_Pesv[[#Headers],[#Data],[Placa]:[Rutina]],4,FALSE)),0)</f>
        <v>0</v>
      </c>
      <c r="AN714" s="21">
        <f>IFERROR((VLOOKUP(Tabla13[[#This Row],[ID]],[1]!Mtto_Pesv[[#Headers],[#Data],[Placa]:[Rutina]],5,FALSE)),0)</f>
        <v>0</v>
      </c>
      <c r="AO714" s="21">
        <f>+Tabla13[[#This Row],[Km Fin]]-Tabla13[[#This Row],[Km Ini]]</f>
        <v>0</v>
      </c>
      <c r="AP714" s="20">
        <f>IFERROR((VLOOKUP(Tabla13[[#This Row],[ID]],[1]!Estilo_Conduccion[[#All],[Placa]:[Puntuacion]],15,FALSE)),0)</f>
        <v>0</v>
      </c>
      <c r="AQ714" s="15" t="s">
        <v>1500</v>
      </c>
      <c r="AR714" s="15" t="s">
        <v>1501</v>
      </c>
      <c r="AS714" s="20">
        <v>3000</v>
      </c>
      <c r="AT714" s="21">
        <v>7888.7142857142853</v>
      </c>
      <c r="AU714" s="21">
        <f>(Tabla13[[#This Row],[Cap Vh]]*$AX$2)*0.56</f>
        <v>0</v>
      </c>
      <c r="AV714" s="36" t="e">
        <f>(Tabla13[[#This Row],[Cap Util (kg)]]/(Tabla13[[#This Row],[Cap Inst (Kg)]]))</f>
        <v>#DIV/0!</v>
      </c>
    </row>
    <row r="715" spans="1:48" x14ac:dyDescent="0.25">
      <c r="A715" s="13" t="s">
        <v>1068</v>
      </c>
      <c r="B715" s="14" t="s">
        <v>952</v>
      </c>
      <c r="C715" s="14" t="s">
        <v>749</v>
      </c>
      <c r="D715" s="14" t="s">
        <v>749</v>
      </c>
      <c r="E715" s="14" t="s">
        <v>840</v>
      </c>
      <c r="F715" s="14" t="s">
        <v>64</v>
      </c>
      <c r="G715" s="15" t="s">
        <v>119</v>
      </c>
      <c r="H715" s="16" t="s">
        <v>120</v>
      </c>
      <c r="I715" s="14" t="s">
        <v>177</v>
      </c>
      <c r="J715" s="14">
        <v>890300279</v>
      </c>
      <c r="K715" s="14" t="s">
        <v>282</v>
      </c>
      <c r="L715" s="14" t="s">
        <v>103</v>
      </c>
      <c r="M715" s="14" t="s">
        <v>132</v>
      </c>
      <c r="N715" s="14">
        <v>2013</v>
      </c>
      <c r="O715" s="14">
        <v>7</v>
      </c>
      <c r="P715" s="14" t="s">
        <v>53</v>
      </c>
      <c r="Q715" s="14">
        <v>1</v>
      </c>
      <c r="R715" s="14">
        <v>1</v>
      </c>
      <c r="S715" s="17">
        <v>44833.328344907408</v>
      </c>
      <c r="T715" s="18">
        <v>335.14700000000005</v>
      </c>
      <c r="U715" s="14">
        <v>28</v>
      </c>
      <c r="V715" s="19">
        <v>0.93333333333333335</v>
      </c>
      <c r="W715" s="14">
        <v>0</v>
      </c>
      <c r="X715" s="14">
        <v>26</v>
      </c>
      <c r="Y715" s="14">
        <v>26</v>
      </c>
      <c r="Z715" s="14">
        <v>0</v>
      </c>
      <c r="AA715" s="14">
        <f>Tabla13[[#This Row],[CheckList App]]+Tabla13[[#This Row],[CheckList Fisc]]</f>
        <v>26</v>
      </c>
      <c r="AB715" s="19">
        <f t="shared" si="11"/>
        <v>1</v>
      </c>
      <c r="AC715" s="14">
        <v>0</v>
      </c>
      <c r="AD715" s="14" t="s">
        <v>70</v>
      </c>
      <c r="AE715" s="22" t="str">
        <f>IFERROR((VLOOKUP(Tabla13[[#This Row],[ID]],[1]!Mtto_Pesv[[#Headers],[#Data],[Placa]:[Rutina]],2,FALSE)),"-")</f>
        <v>-</v>
      </c>
      <c r="AF715" s="14">
        <v>1</v>
      </c>
      <c r="AG715" s="20">
        <f>IFERROR((VLOOKUP(Tabla13[[#This Row],[ID]],[1]!Mtto_Pesv[[#Headers],[#Data],[Placa]:[Rutina]],3,FALSE)),0)</f>
        <v>0</v>
      </c>
      <c r="AH715" s="20">
        <f>IFERROR((VLOOKUP(Tabla13[[#This Row],[ID]],[1]!Mtto_Pesv[[#Headers],[#Data],[Placa]:[Rutina]],7,FALSE)),0)</f>
        <v>0</v>
      </c>
      <c r="AI715" s="20">
        <f>IFERROR((VLOOKUP(Tabla13[[#This Row],[ID]],[1]!Mtto_Pesv[[#Headers],[#Data],[Placa]:[Rutina]],8,FALSE)),0)</f>
        <v>0</v>
      </c>
      <c r="AJ715" s="20" t="str">
        <f>IFERROR((VLOOKUP(Tabla13[[#This Row],[ID]],[1]!Mtto_Pesv[[#Headers],[#Data],[Placa]:[Rutina]],9,FALSE)),"-")</f>
        <v>-</v>
      </c>
      <c r="AK715" s="20">
        <f>IFERROR((VLOOKUP(Tabla13[[#This Row],[ID]],[1]!Mtto_Pesv[[#Headers],[#Data],[Placa]:[Rutina]],10,FALSE)),0)</f>
        <v>0</v>
      </c>
      <c r="AL715" s="20">
        <f>IF(Tabla13[[#This Row],[Km Anterior]]=0,0,Tabla13[[#This Row],[Km Ejecut]]-Tabla13[[#This Row],[Km Anterior]])</f>
        <v>0</v>
      </c>
      <c r="AM715" s="20">
        <f>IFERROR((VLOOKUP(Tabla13[[#This Row],[ID]],[1]!Mtto_Pesv[[#Headers],[#Data],[Placa]:[Rutina]],4,FALSE)),0)</f>
        <v>0</v>
      </c>
      <c r="AN715" s="21">
        <f>IFERROR((VLOOKUP(Tabla13[[#This Row],[ID]],[1]!Mtto_Pesv[[#Headers],[#Data],[Placa]:[Rutina]],5,FALSE)),0)</f>
        <v>0</v>
      </c>
      <c r="AO715" s="21">
        <f>+Tabla13[[#This Row],[Km Fin]]-Tabla13[[#This Row],[Km Ini]]</f>
        <v>0</v>
      </c>
      <c r="AP715" s="20">
        <f>IFERROR((VLOOKUP(Tabla13[[#This Row],[ID]],[1]!Estilo_Conduccion[[#All],[Placa]:[Puntuacion]],15,FALSE)),0)</f>
        <v>24.900000000000002</v>
      </c>
      <c r="AQ715" s="15" t="s">
        <v>54</v>
      </c>
      <c r="AR715" s="15" t="s">
        <v>1542</v>
      </c>
      <c r="AS715" s="20">
        <v>11000</v>
      </c>
      <c r="AT715" s="21">
        <v>0</v>
      </c>
      <c r="AU715" s="21">
        <f>(Tabla13[[#This Row],[Cap Vh]]*$AX$2)*0.56</f>
        <v>0</v>
      </c>
      <c r="AV715" s="36" t="e">
        <f>(Tabla13[[#This Row],[Cap Util (kg)]]/(Tabla13[[#This Row],[Cap Inst (Kg)]]))</f>
        <v>#DIV/0!</v>
      </c>
    </row>
    <row r="716" spans="1:48" x14ac:dyDescent="0.25">
      <c r="A716" s="13" t="s">
        <v>1068</v>
      </c>
      <c r="B716" s="14" t="s">
        <v>953</v>
      </c>
      <c r="C716" s="14" t="s">
        <v>749</v>
      </c>
      <c r="D716" s="14" t="s">
        <v>749</v>
      </c>
      <c r="E716" s="14" t="s">
        <v>900</v>
      </c>
      <c r="F716" s="14" t="s">
        <v>64</v>
      </c>
      <c r="G716" s="15" t="s">
        <v>47</v>
      </c>
      <c r="H716" s="16" t="s">
        <v>48</v>
      </c>
      <c r="I716" s="14" t="s">
        <v>49</v>
      </c>
      <c r="J716" s="14">
        <v>900335279</v>
      </c>
      <c r="K716" s="14" t="s">
        <v>77</v>
      </c>
      <c r="L716" s="14" t="s">
        <v>405</v>
      </c>
      <c r="M716" s="14" t="s">
        <v>441</v>
      </c>
      <c r="N716" s="14">
        <v>2011</v>
      </c>
      <c r="O716" s="14">
        <v>9</v>
      </c>
      <c r="P716" s="14" t="s">
        <v>53</v>
      </c>
      <c r="Q716" s="14">
        <v>0</v>
      </c>
      <c r="R716" s="14">
        <v>0</v>
      </c>
      <c r="S716" s="17" t="s">
        <v>54</v>
      </c>
      <c r="T716" s="18">
        <v>0</v>
      </c>
      <c r="U716" s="14">
        <v>30</v>
      </c>
      <c r="V716" s="19">
        <v>1</v>
      </c>
      <c r="W716" s="14">
        <v>0</v>
      </c>
      <c r="X716" s="14">
        <v>0</v>
      </c>
      <c r="Y716" s="14">
        <v>0</v>
      </c>
      <c r="Z716" s="14">
        <v>0</v>
      </c>
      <c r="AA716" s="14">
        <f>Tabla13[[#This Row],[CheckList App]]+Tabla13[[#This Row],[CheckList Fisc]]</f>
        <v>0</v>
      </c>
      <c r="AB716" s="19">
        <f t="shared" si="11"/>
        <v>0</v>
      </c>
      <c r="AC716" s="14">
        <v>0</v>
      </c>
      <c r="AD716" s="14" t="s">
        <v>55</v>
      </c>
      <c r="AE716" s="15" t="str">
        <f>IFERROR((VLOOKUP(Tabla13[[#This Row],[ID]],[1]!Mtto_Pesv[[#Headers],[#Data],[Placa]:[Rutina]],2,FALSE)),"-")</f>
        <v>-</v>
      </c>
      <c r="AF716" s="14">
        <v>1</v>
      </c>
      <c r="AG716" s="20">
        <f>IFERROR((VLOOKUP(Tabla13[[#This Row],[ID]],[1]!Mtto_Pesv[[#Headers],[#Data],[Placa]:[Rutina]],3,FALSE)),0)</f>
        <v>0</v>
      </c>
      <c r="AH716" s="20">
        <f>IFERROR((VLOOKUP(Tabla13[[#This Row],[ID]],[1]!Mtto_Pesv[[#Headers],[#Data],[Placa]:[Rutina]],7,FALSE)),0)</f>
        <v>0</v>
      </c>
      <c r="AI716" s="20">
        <f>IFERROR((VLOOKUP(Tabla13[[#This Row],[ID]],[1]!Mtto_Pesv[[#Headers],[#Data],[Placa]:[Rutina]],8,FALSE)),0)</f>
        <v>0</v>
      </c>
      <c r="AJ716" s="20" t="str">
        <f>IFERROR((VLOOKUP(Tabla13[[#This Row],[ID]],[1]!Mtto_Pesv[[#Headers],[#Data],[Placa]:[Rutina]],9,FALSE)),"-")</f>
        <v>-</v>
      </c>
      <c r="AK716" s="20">
        <f>IFERROR((VLOOKUP(Tabla13[[#This Row],[ID]],[1]!Mtto_Pesv[[#Headers],[#Data],[Placa]:[Rutina]],10,FALSE)),0)</f>
        <v>0</v>
      </c>
      <c r="AL716" s="20">
        <f>IF(Tabla13[[#This Row],[Km Anterior]]=0,0,Tabla13[[#This Row],[Km Ejecut]]-Tabla13[[#This Row],[Km Anterior]])</f>
        <v>0</v>
      </c>
      <c r="AM716" s="20">
        <f>IFERROR((VLOOKUP(Tabla13[[#This Row],[ID]],[1]!Mtto_Pesv[[#Headers],[#Data],[Placa]:[Rutina]],4,FALSE)),0)</f>
        <v>0</v>
      </c>
      <c r="AN716" s="21">
        <f>IFERROR((VLOOKUP(Tabla13[[#This Row],[ID]],[1]!Mtto_Pesv[[#Headers],[#Data],[Placa]:[Rutina]],5,FALSE)),0)</f>
        <v>0</v>
      </c>
      <c r="AO716" s="21">
        <f>+Tabla13[[#This Row],[Km Fin]]-Tabla13[[#This Row],[Km Ini]]</f>
        <v>0</v>
      </c>
      <c r="AP716" s="20">
        <f>IFERROR((VLOOKUP(Tabla13[[#This Row],[ID]],[1]!Estilo_Conduccion[[#All],[Placa]:[Puntuacion]],15,FALSE)),0)</f>
        <v>0</v>
      </c>
      <c r="AQ716" s="15" t="s">
        <v>1543</v>
      </c>
      <c r="AR716" s="15" t="s">
        <v>1544</v>
      </c>
      <c r="AS716" s="20">
        <v>1013</v>
      </c>
      <c r="AT716" s="21">
        <v>3501</v>
      </c>
      <c r="AU716" s="21">
        <f>(Tabla13[[#This Row],[Cap Vh]]*$AX$2)*0.56</f>
        <v>0</v>
      </c>
      <c r="AV716" s="36" t="e">
        <f>(Tabla13[[#This Row],[Cap Util (kg)]]/(Tabla13[[#This Row],[Cap Inst (Kg)]]))</f>
        <v>#DIV/0!</v>
      </c>
    </row>
    <row r="717" spans="1:48" x14ac:dyDescent="0.25">
      <c r="A717" s="13" t="s">
        <v>1068</v>
      </c>
      <c r="B717" s="14" t="s">
        <v>954</v>
      </c>
      <c r="C717" s="14" t="s">
        <v>749</v>
      </c>
      <c r="D717" s="14" t="s">
        <v>749</v>
      </c>
      <c r="E717" s="14" t="s">
        <v>842</v>
      </c>
      <c r="F717" s="14" t="s">
        <v>64</v>
      </c>
      <c r="G717" s="15" t="s">
        <v>47</v>
      </c>
      <c r="H717" s="16" t="s">
        <v>48</v>
      </c>
      <c r="I717" s="14" t="s">
        <v>49</v>
      </c>
      <c r="J717" s="14">
        <v>900335279</v>
      </c>
      <c r="K717" s="14" t="s">
        <v>77</v>
      </c>
      <c r="L717" s="14" t="s">
        <v>405</v>
      </c>
      <c r="M717" s="14" t="s">
        <v>441</v>
      </c>
      <c r="N717" s="14">
        <v>2011</v>
      </c>
      <c r="O717" s="14">
        <v>9</v>
      </c>
      <c r="P717" s="14" t="s">
        <v>53</v>
      </c>
      <c r="Q717" s="14">
        <v>0</v>
      </c>
      <c r="R717" s="14">
        <v>0</v>
      </c>
      <c r="S717" s="17" t="s">
        <v>54</v>
      </c>
      <c r="T717" s="18">
        <v>0</v>
      </c>
      <c r="U717" s="14">
        <v>30</v>
      </c>
      <c r="V717" s="19">
        <v>1</v>
      </c>
      <c r="W717" s="14">
        <v>0</v>
      </c>
      <c r="X717" s="14">
        <v>0</v>
      </c>
      <c r="Y717" s="14">
        <v>0</v>
      </c>
      <c r="Z717" s="14">
        <v>0</v>
      </c>
      <c r="AA717" s="14">
        <f>Tabla13[[#This Row],[CheckList App]]+Tabla13[[#This Row],[CheckList Fisc]]</f>
        <v>0</v>
      </c>
      <c r="AB717" s="19">
        <f t="shared" si="11"/>
        <v>0</v>
      </c>
      <c r="AC717" s="14">
        <v>0</v>
      </c>
      <c r="AD717" s="14" t="s">
        <v>70</v>
      </c>
      <c r="AE717" s="15" t="str">
        <f>IFERROR((VLOOKUP(Tabla13[[#This Row],[ID]],[1]!Mtto_Pesv[[#Headers],[#Data],[Placa]:[Rutina]],2,FALSE)),"-")</f>
        <v>-</v>
      </c>
      <c r="AF717" s="14">
        <v>1</v>
      </c>
      <c r="AG717" s="20">
        <f>IFERROR((VLOOKUP(Tabla13[[#This Row],[ID]],[1]!Mtto_Pesv[[#Headers],[#Data],[Placa]:[Rutina]],3,FALSE)),0)</f>
        <v>0</v>
      </c>
      <c r="AH717" s="20">
        <f>IFERROR((VLOOKUP(Tabla13[[#This Row],[ID]],[1]!Mtto_Pesv[[#Headers],[#Data],[Placa]:[Rutina]],7,FALSE)),0)</f>
        <v>0</v>
      </c>
      <c r="AI717" s="20">
        <f>IFERROR((VLOOKUP(Tabla13[[#This Row],[ID]],[1]!Mtto_Pesv[[#Headers],[#Data],[Placa]:[Rutina]],8,FALSE)),0)</f>
        <v>0</v>
      </c>
      <c r="AJ717" s="20" t="str">
        <f>IFERROR((VLOOKUP(Tabla13[[#This Row],[ID]],[1]!Mtto_Pesv[[#Headers],[#Data],[Placa]:[Rutina]],9,FALSE)),"-")</f>
        <v>-</v>
      </c>
      <c r="AK717" s="20">
        <f>IFERROR((VLOOKUP(Tabla13[[#This Row],[ID]],[1]!Mtto_Pesv[[#Headers],[#Data],[Placa]:[Rutina]],10,FALSE)),0)</f>
        <v>0</v>
      </c>
      <c r="AL717" s="20">
        <f>IF(Tabla13[[#This Row],[Km Anterior]]=0,0,Tabla13[[#This Row],[Km Ejecut]]-Tabla13[[#This Row],[Km Anterior]])</f>
        <v>0</v>
      </c>
      <c r="AM717" s="20">
        <f>IFERROR((VLOOKUP(Tabla13[[#This Row],[ID]],[1]!Mtto_Pesv[[#Headers],[#Data],[Placa]:[Rutina]],4,FALSE)),0)</f>
        <v>0</v>
      </c>
      <c r="AN717" s="21">
        <f>IFERROR((VLOOKUP(Tabla13[[#This Row],[ID]],[1]!Mtto_Pesv[[#Headers],[#Data],[Placa]:[Rutina]],5,FALSE)),0)</f>
        <v>0</v>
      </c>
      <c r="AO717" s="21">
        <f>+Tabla13[[#This Row],[Km Fin]]-Tabla13[[#This Row],[Km Ini]]</f>
        <v>0</v>
      </c>
      <c r="AP717" s="20">
        <f>IFERROR((VLOOKUP(Tabla13[[#This Row],[ID]],[1]!Estilo_Conduccion[[#All],[Placa]:[Puntuacion]],15,FALSE)),0)</f>
        <v>0</v>
      </c>
      <c r="AQ717" s="15" t="s">
        <v>54</v>
      </c>
      <c r="AR717" s="15" t="s">
        <v>1474</v>
      </c>
      <c r="AS717" s="20">
        <v>1013</v>
      </c>
      <c r="AT717" s="21">
        <v>0</v>
      </c>
      <c r="AU717" s="21">
        <f>(Tabla13[[#This Row],[Cap Vh]]*$AX$2)*0.56</f>
        <v>0</v>
      </c>
      <c r="AV717" s="36" t="e">
        <f>(Tabla13[[#This Row],[Cap Util (kg)]]/(Tabla13[[#This Row],[Cap Inst (Kg)]]))</f>
        <v>#DIV/0!</v>
      </c>
    </row>
    <row r="718" spans="1:48" x14ac:dyDescent="0.25">
      <c r="A718" s="13" t="s">
        <v>1068</v>
      </c>
      <c r="B718" s="14" t="s">
        <v>955</v>
      </c>
      <c r="C718" s="14" t="s">
        <v>749</v>
      </c>
      <c r="D718" s="14" t="s">
        <v>749</v>
      </c>
      <c r="E718" s="14" t="s">
        <v>897</v>
      </c>
      <c r="F718" s="14" t="s">
        <v>76</v>
      </c>
      <c r="G718" s="15" t="s">
        <v>89</v>
      </c>
      <c r="H718" s="16" t="s">
        <v>90</v>
      </c>
      <c r="I718" s="14" t="s">
        <v>49</v>
      </c>
      <c r="J718" s="14">
        <v>890300279</v>
      </c>
      <c r="K718" s="14" t="s">
        <v>282</v>
      </c>
      <c r="L718" s="14" t="s">
        <v>103</v>
      </c>
      <c r="M718" s="14" t="s">
        <v>121</v>
      </c>
      <c r="N718" s="14">
        <v>2011</v>
      </c>
      <c r="O718" s="14">
        <v>9</v>
      </c>
      <c r="P718" s="14" t="s">
        <v>53</v>
      </c>
      <c r="Q718" s="14">
        <v>0</v>
      </c>
      <c r="R718" s="14">
        <v>0</v>
      </c>
      <c r="S718" s="17" t="s">
        <v>54</v>
      </c>
      <c r="T718" s="18">
        <v>0</v>
      </c>
      <c r="U718" s="14">
        <v>30</v>
      </c>
      <c r="V718" s="19">
        <v>1</v>
      </c>
      <c r="W718" s="14">
        <v>0</v>
      </c>
      <c r="X718" s="14">
        <v>0</v>
      </c>
      <c r="Y718" s="14">
        <v>0</v>
      </c>
      <c r="Z718" s="14">
        <v>0</v>
      </c>
      <c r="AA718" s="14">
        <f>Tabla13[[#This Row],[CheckList App]]+Tabla13[[#This Row],[CheckList Fisc]]</f>
        <v>0</v>
      </c>
      <c r="AB718" s="19">
        <f t="shared" si="11"/>
        <v>0</v>
      </c>
      <c r="AC718" s="14">
        <v>0</v>
      </c>
      <c r="AD718" s="14" t="s">
        <v>70</v>
      </c>
      <c r="AE718" s="15" t="str">
        <f>IFERROR((VLOOKUP(Tabla13[[#This Row],[ID]],[1]!Mtto_Pesv[[#Headers],[#Data],[Placa]:[Rutina]],2,FALSE)),"-")</f>
        <v>-</v>
      </c>
      <c r="AF718" s="14">
        <v>1</v>
      </c>
      <c r="AG718" s="20">
        <f>IFERROR((VLOOKUP(Tabla13[[#This Row],[ID]],[1]!Mtto_Pesv[[#Headers],[#Data],[Placa]:[Rutina]],3,FALSE)),0)</f>
        <v>0</v>
      </c>
      <c r="AH718" s="20">
        <f>IFERROR((VLOOKUP(Tabla13[[#This Row],[ID]],[1]!Mtto_Pesv[[#Headers],[#Data],[Placa]:[Rutina]],7,FALSE)),0)</f>
        <v>0</v>
      </c>
      <c r="AI718" s="20">
        <f>IFERROR((VLOOKUP(Tabla13[[#This Row],[ID]],[1]!Mtto_Pesv[[#Headers],[#Data],[Placa]:[Rutina]],8,FALSE)),0)</f>
        <v>0</v>
      </c>
      <c r="AJ718" s="20" t="str">
        <f>IFERROR((VLOOKUP(Tabla13[[#This Row],[ID]],[1]!Mtto_Pesv[[#Headers],[#Data],[Placa]:[Rutina]],9,FALSE)),"-")</f>
        <v>-</v>
      </c>
      <c r="AK718" s="20">
        <f>IFERROR((VLOOKUP(Tabla13[[#This Row],[ID]],[1]!Mtto_Pesv[[#Headers],[#Data],[Placa]:[Rutina]],10,FALSE)),0)</f>
        <v>0</v>
      </c>
      <c r="AL718" s="20">
        <f>IF(Tabla13[[#This Row],[Km Anterior]]=0,0,Tabla13[[#This Row],[Km Ejecut]]-Tabla13[[#This Row],[Km Anterior]])</f>
        <v>0</v>
      </c>
      <c r="AM718" s="20">
        <f>IFERROR((VLOOKUP(Tabla13[[#This Row],[ID]],[1]!Mtto_Pesv[[#Headers],[#Data],[Placa]:[Rutina]],4,FALSE)),0)</f>
        <v>0</v>
      </c>
      <c r="AN718" s="21">
        <f>IFERROR((VLOOKUP(Tabla13[[#This Row],[ID]],[1]!Mtto_Pesv[[#Headers],[#Data],[Placa]:[Rutina]],5,FALSE)),0)</f>
        <v>0</v>
      </c>
      <c r="AO718" s="21">
        <f>+Tabla13[[#This Row],[Km Fin]]-Tabla13[[#This Row],[Km Ini]]</f>
        <v>0</v>
      </c>
      <c r="AP718" s="20">
        <f>IFERROR((VLOOKUP(Tabla13[[#This Row],[ID]],[1]!Estilo_Conduccion[[#All],[Placa]:[Puntuacion]],15,FALSE)),0)</f>
        <v>0</v>
      </c>
      <c r="AQ718" s="15" t="s">
        <v>1545</v>
      </c>
      <c r="AR718" s="15" t="s">
        <v>1546</v>
      </c>
      <c r="AS718" s="20">
        <v>2970</v>
      </c>
      <c r="AT718" s="21">
        <v>5307</v>
      </c>
      <c r="AU718" s="21">
        <f>(Tabla13[[#This Row],[Cap Vh]]*$AX$2)*0.56</f>
        <v>0</v>
      </c>
      <c r="AV718" s="36" t="e">
        <f>(Tabla13[[#This Row],[Cap Util (kg)]]/(Tabla13[[#This Row],[Cap Inst (Kg)]]))</f>
        <v>#DIV/0!</v>
      </c>
    </row>
    <row r="719" spans="1:48" x14ac:dyDescent="0.25">
      <c r="A719" s="13" t="s">
        <v>1068</v>
      </c>
      <c r="B719" s="14" t="s">
        <v>956</v>
      </c>
      <c r="C719" s="14" t="s">
        <v>749</v>
      </c>
      <c r="D719" s="14" t="s">
        <v>749</v>
      </c>
      <c r="E719" s="14" t="s">
        <v>842</v>
      </c>
      <c r="F719" s="14" t="s">
        <v>76</v>
      </c>
      <c r="G719" s="15" t="s">
        <v>47</v>
      </c>
      <c r="H719" s="16" t="s">
        <v>48</v>
      </c>
      <c r="I719" s="14" t="s">
        <v>49</v>
      </c>
      <c r="J719" s="14">
        <v>900335279</v>
      </c>
      <c r="K719" s="14" t="s">
        <v>77</v>
      </c>
      <c r="L719" s="14" t="s">
        <v>103</v>
      </c>
      <c r="M719" s="14" t="s">
        <v>104</v>
      </c>
      <c r="N719" s="14">
        <v>2011</v>
      </c>
      <c r="O719" s="14">
        <v>9</v>
      </c>
      <c r="P719" s="14" t="s">
        <v>53</v>
      </c>
      <c r="Q719" s="14">
        <v>0</v>
      </c>
      <c r="R719" s="14">
        <v>0</v>
      </c>
      <c r="S719" s="17" t="s">
        <v>54</v>
      </c>
      <c r="T719" s="18">
        <v>0</v>
      </c>
      <c r="U719" s="14">
        <v>30</v>
      </c>
      <c r="V719" s="19">
        <v>1</v>
      </c>
      <c r="W719" s="14">
        <v>0</v>
      </c>
      <c r="X719" s="14">
        <v>0</v>
      </c>
      <c r="Y719" s="14">
        <v>0</v>
      </c>
      <c r="Z719" s="14">
        <v>0</v>
      </c>
      <c r="AA719" s="14">
        <f>Tabla13[[#This Row],[CheckList App]]+Tabla13[[#This Row],[CheckList Fisc]]</f>
        <v>0</v>
      </c>
      <c r="AB719" s="19">
        <f t="shared" si="11"/>
        <v>0</v>
      </c>
      <c r="AC719" s="14">
        <v>0</v>
      </c>
      <c r="AD719" s="14" t="s">
        <v>55</v>
      </c>
      <c r="AE719" s="15" t="str">
        <f>IFERROR((VLOOKUP(Tabla13[[#This Row],[ID]],[1]!Mtto_Pesv[[#Headers],[#Data],[Placa]:[Rutina]],2,FALSE)),"-")</f>
        <v>-</v>
      </c>
      <c r="AF719" s="14">
        <v>0</v>
      </c>
      <c r="AG719" s="20">
        <f>IFERROR((VLOOKUP(Tabla13[[#This Row],[ID]],[1]!Mtto_Pesv[[#Headers],[#Data],[Placa]:[Rutina]],3,FALSE)),0)</f>
        <v>0</v>
      </c>
      <c r="AH719" s="20">
        <f>IFERROR((VLOOKUP(Tabla13[[#This Row],[ID]],[1]!Mtto_Pesv[[#Headers],[#Data],[Placa]:[Rutina]],7,FALSE)),0)</f>
        <v>0</v>
      </c>
      <c r="AI719" s="20">
        <f>IFERROR((VLOOKUP(Tabla13[[#This Row],[ID]],[1]!Mtto_Pesv[[#Headers],[#Data],[Placa]:[Rutina]],8,FALSE)),0)</f>
        <v>0</v>
      </c>
      <c r="AJ719" s="20" t="str">
        <f>IFERROR((VLOOKUP(Tabla13[[#This Row],[ID]],[1]!Mtto_Pesv[[#Headers],[#Data],[Placa]:[Rutina]],9,FALSE)),"-")</f>
        <v>-</v>
      </c>
      <c r="AK719" s="20">
        <f>IFERROR((VLOOKUP(Tabla13[[#This Row],[ID]],[1]!Mtto_Pesv[[#Headers],[#Data],[Placa]:[Rutina]],10,FALSE)),0)</f>
        <v>0</v>
      </c>
      <c r="AL719" s="20">
        <f>IF(Tabla13[[#This Row],[Km Anterior]]=0,0,Tabla13[[#This Row],[Km Ejecut]]-Tabla13[[#This Row],[Km Anterior]])</f>
        <v>0</v>
      </c>
      <c r="AM719" s="20">
        <f>IFERROR((VLOOKUP(Tabla13[[#This Row],[ID]],[1]!Mtto_Pesv[[#Headers],[#Data],[Placa]:[Rutina]],4,FALSE)),0)</f>
        <v>0</v>
      </c>
      <c r="AN719" s="21">
        <f>IFERROR((VLOOKUP(Tabla13[[#This Row],[ID]],[1]!Mtto_Pesv[[#Headers],[#Data],[Placa]:[Rutina]],5,FALSE)),0)</f>
        <v>0</v>
      </c>
      <c r="AO719" s="21">
        <f>+Tabla13[[#This Row],[Km Fin]]-Tabla13[[#This Row],[Km Ini]]</f>
        <v>0</v>
      </c>
      <c r="AP719" s="20">
        <f>IFERROR((VLOOKUP(Tabla13[[#This Row],[ID]],[1]!Estilo_Conduccion[[#All],[Placa]:[Puntuacion]],15,FALSE)),0)</f>
        <v>0</v>
      </c>
      <c r="AQ719" s="15" t="s">
        <v>1069</v>
      </c>
      <c r="AR719" s="15" t="s">
        <v>843</v>
      </c>
      <c r="AS719" s="20">
        <v>1585</v>
      </c>
      <c r="AT719" s="21">
        <v>0</v>
      </c>
      <c r="AU719" s="21">
        <f>(Tabla13[[#This Row],[Cap Vh]]*$AX$2)*0.56</f>
        <v>0</v>
      </c>
      <c r="AV719" s="36" t="e">
        <f>(Tabla13[[#This Row],[Cap Util (kg)]]/(Tabla13[[#This Row],[Cap Inst (Kg)]]))</f>
        <v>#DIV/0!</v>
      </c>
    </row>
    <row r="720" spans="1:48" x14ac:dyDescent="0.25">
      <c r="A720" s="13" t="s">
        <v>1068</v>
      </c>
      <c r="B720" s="14" t="s">
        <v>957</v>
      </c>
      <c r="C720" s="14" t="s">
        <v>749</v>
      </c>
      <c r="D720" s="14" t="s">
        <v>749</v>
      </c>
      <c r="E720" s="14" t="s">
        <v>840</v>
      </c>
      <c r="F720" s="14" t="s">
        <v>76</v>
      </c>
      <c r="G720" s="15" t="s">
        <v>47</v>
      </c>
      <c r="H720" s="16" t="s">
        <v>48</v>
      </c>
      <c r="I720" s="14" t="s">
        <v>49</v>
      </c>
      <c r="J720" s="14">
        <v>900335279</v>
      </c>
      <c r="K720" s="14" t="s">
        <v>77</v>
      </c>
      <c r="L720" s="14" t="s">
        <v>103</v>
      </c>
      <c r="M720" s="14" t="s">
        <v>104</v>
      </c>
      <c r="N720" s="14">
        <v>2011</v>
      </c>
      <c r="O720" s="14">
        <v>9</v>
      </c>
      <c r="P720" s="14" t="s">
        <v>53</v>
      </c>
      <c r="Q720" s="14">
        <v>0</v>
      </c>
      <c r="R720" s="14">
        <v>0</v>
      </c>
      <c r="S720" s="17" t="s">
        <v>54</v>
      </c>
      <c r="T720" s="18">
        <v>0</v>
      </c>
      <c r="U720" s="14">
        <v>30</v>
      </c>
      <c r="V720" s="19">
        <v>1</v>
      </c>
      <c r="W720" s="14">
        <v>0</v>
      </c>
      <c r="X720" s="14">
        <v>0</v>
      </c>
      <c r="Y720" s="14">
        <v>0</v>
      </c>
      <c r="Z720" s="14">
        <v>0</v>
      </c>
      <c r="AA720" s="14">
        <f>Tabla13[[#This Row],[CheckList App]]+Tabla13[[#This Row],[CheckList Fisc]]</f>
        <v>0</v>
      </c>
      <c r="AB720" s="19">
        <f t="shared" si="11"/>
        <v>0</v>
      </c>
      <c r="AC720" s="14">
        <v>0</v>
      </c>
      <c r="AD720" s="14" t="s">
        <v>70</v>
      </c>
      <c r="AE720" s="15" t="str">
        <f>IFERROR((VLOOKUP(Tabla13[[#This Row],[ID]],[1]!Mtto_Pesv[[#Headers],[#Data],[Placa]:[Rutina]],2,FALSE)),"-")</f>
        <v>-</v>
      </c>
      <c r="AF720" s="14">
        <v>1</v>
      </c>
      <c r="AG720" s="20">
        <f>IFERROR((VLOOKUP(Tabla13[[#This Row],[ID]],[1]!Mtto_Pesv[[#Headers],[#Data],[Placa]:[Rutina]],3,FALSE)),0)</f>
        <v>0</v>
      </c>
      <c r="AH720" s="20">
        <f>IFERROR((VLOOKUP(Tabla13[[#This Row],[ID]],[1]!Mtto_Pesv[[#Headers],[#Data],[Placa]:[Rutina]],7,FALSE)),0)</f>
        <v>0</v>
      </c>
      <c r="AI720" s="20">
        <f>IFERROR((VLOOKUP(Tabla13[[#This Row],[ID]],[1]!Mtto_Pesv[[#Headers],[#Data],[Placa]:[Rutina]],8,FALSE)),0)</f>
        <v>0</v>
      </c>
      <c r="AJ720" s="20" t="str">
        <f>IFERROR((VLOOKUP(Tabla13[[#This Row],[ID]],[1]!Mtto_Pesv[[#Headers],[#Data],[Placa]:[Rutina]],9,FALSE)),"-")</f>
        <v>-</v>
      </c>
      <c r="AK720" s="20">
        <f>IFERROR((VLOOKUP(Tabla13[[#This Row],[ID]],[1]!Mtto_Pesv[[#Headers],[#Data],[Placa]:[Rutina]],10,FALSE)),0)</f>
        <v>0</v>
      </c>
      <c r="AL720" s="20">
        <f>IF(Tabla13[[#This Row],[Km Anterior]]=0,0,Tabla13[[#This Row],[Km Ejecut]]-Tabla13[[#This Row],[Km Anterior]])</f>
        <v>0</v>
      </c>
      <c r="AM720" s="20">
        <f>IFERROR((VLOOKUP(Tabla13[[#This Row],[ID]],[1]!Mtto_Pesv[[#Headers],[#Data],[Placa]:[Rutina]],4,FALSE)),0)</f>
        <v>0</v>
      </c>
      <c r="AN720" s="21">
        <f>IFERROR((VLOOKUP(Tabla13[[#This Row],[ID]],[1]!Mtto_Pesv[[#Headers],[#Data],[Placa]:[Rutina]],5,FALSE)),0)</f>
        <v>0</v>
      </c>
      <c r="AO720" s="21">
        <f>+Tabla13[[#This Row],[Km Fin]]-Tabla13[[#This Row],[Km Ini]]</f>
        <v>0</v>
      </c>
      <c r="AP720" s="20">
        <f>IFERROR((VLOOKUP(Tabla13[[#This Row],[ID]],[1]!Estilo_Conduccion[[#All],[Placa]:[Puntuacion]],15,FALSE)),0)</f>
        <v>0</v>
      </c>
      <c r="AQ720" s="15" t="s">
        <v>1069</v>
      </c>
      <c r="AR720" s="15" t="s">
        <v>927</v>
      </c>
      <c r="AS720" s="20">
        <v>1585</v>
      </c>
      <c r="AT720" s="21">
        <v>0</v>
      </c>
      <c r="AU720" s="21">
        <f>(Tabla13[[#This Row],[Cap Vh]]*$AX$2)*0.56</f>
        <v>0</v>
      </c>
      <c r="AV720" s="36" t="e">
        <f>(Tabla13[[#This Row],[Cap Util (kg)]]/(Tabla13[[#This Row],[Cap Inst (Kg)]]))</f>
        <v>#DIV/0!</v>
      </c>
    </row>
    <row r="721" spans="1:48" x14ac:dyDescent="0.25">
      <c r="A721" s="13" t="s">
        <v>1068</v>
      </c>
      <c r="B721" s="14" t="s">
        <v>958</v>
      </c>
      <c r="C721" s="14" t="s">
        <v>749</v>
      </c>
      <c r="D721" s="14" t="s">
        <v>749</v>
      </c>
      <c r="E721" s="14" t="s">
        <v>842</v>
      </c>
      <c r="F721" s="14" t="s">
        <v>64</v>
      </c>
      <c r="G721" s="15" t="s">
        <v>47</v>
      </c>
      <c r="H721" s="16" t="s">
        <v>48</v>
      </c>
      <c r="I721" s="14" t="s">
        <v>49</v>
      </c>
      <c r="J721" s="14">
        <v>900335279</v>
      </c>
      <c r="K721" s="14" t="s">
        <v>77</v>
      </c>
      <c r="L721" s="14" t="s">
        <v>405</v>
      </c>
      <c r="M721" s="14" t="s">
        <v>441</v>
      </c>
      <c r="N721" s="14">
        <v>2012</v>
      </c>
      <c r="O721" s="14">
        <v>8</v>
      </c>
      <c r="P721" s="14" t="s">
        <v>53</v>
      </c>
      <c r="Q721" s="14">
        <v>0</v>
      </c>
      <c r="R721" s="14">
        <v>0</v>
      </c>
      <c r="S721" s="17" t="s">
        <v>54</v>
      </c>
      <c r="T721" s="18">
        <v>0</v>
      </c>
      <c r="U721" s="14">
        <v>0</v>
      </c>
      <c r="V721" s="19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f>Tabla13[[#This Row],[CheckList App]]+Tabla13[[#This Row],[CheckList Fisc]]</f>
        <v>0</v>
      </c>
      <c r="AB721" s="19" t="str">
        <f t="shared" si="11"/>
        <v/>
      </c>
      <c r="AC721" s="14">
        <v>0</v>
      </c>
      <c r="AD721" s="14" t="s">
        <v>70</v>
      </c>
      <c r="AE721" s="15" t="str">
        <f>IFERROR((VLOOKUP(Tabla13[[#This Row],[ID]],[1]!Mtto_Pesv[[#Headers],[#Data],[Placa]:[Rutina]],2,FALSE)),"-")</f>
        <v>-</v>
      </c>
      <c r="AF721" s="14">
        <v>1</v>
      </c>
      <c r="AG721" s="20">
        <f>IFERROR((VLOOKUP(Tabla13[[#This Row],[ID]],[1]!Mtto_Pesv[[#Headers],[#Data],[Placa]:[Rutina]],3,FALSE)),0)</f>
        <v>0</v>
      </c>
      <c r="AH721" s="20">
        <f>IFERROR((VLOOKUP(Tabla13[[#This Row],[ID]],[1]!Mtto_Pesv[[#Headers],[#Data],[Placa]:[Rutina]],7,FALSE)),0)</f>
        <v>0</v>
      </c>
      <c r="AI721" s="20">
        <f>IFERROR((VLOOKUP(Tabla13[[#This Row],[ID]],[1]!Mtto_Pesv[[#Headers],[#Data],[Placa]:[Rutina]],8,FALSE)),0)</f>
        <v>0</v>
      </c>
      <c r="AJ721" s="20" t="str">
        <f>IFERROR((VLOOKUP(Tabla13[[#This Row],[ID]],[1]!Mtto_Pesv[[#Headers],[#Data],[Placa]:[Rutina]],9,FALSE)),"-")</f>
        <v>-</v>
      </c>
      <c r="AK721" s="20">
        <f>IFERROR((VLOOKUP(Tabla13[[#This Row],[ID]],[1]!Mtto_Pesv[[#Headers],[#Data],[Placa]:[Rutina]],10,FALSE)),0)</f>
        <v>0</v>
      </c>
      <c r="AL721" s="20">
        <f>IF(Tabla13[[#This Row],[Km Anterior]]=0,0,Tabla13[[#This Row],[Km Ejecut]]-Tabla13[[#This Row],[Km Anterior]])</f>
        <v>0</v>
      </c>
      <c r="AM721" s="20">
        <f>IFERROR((VLOOKUP(Tabla13[[#This Row],[ID]],[1]!Mtto_Pesv[[#Headers],[#Data],[Placa]:[Rutina]],4,FALSE)),0)</f>
        <v>0</v>
      </c>
      <c r="AN721" s="21">
        <f>IFERROR((VLOOKUP(Tabla13[[#This Row],[ID]],[1]!Mtto_Pesv[[#Headers],[#Data],[Placa]:[Rutina]],5,FALSE)),0)</f>
        <v>0</v>
      </c>
      <c r="AO721" s="21">
        <f>+Tabla13[[#This Row],[Km Fin]]-Tabla13[[#This Row],[Km Ini]]</f>
        <v>0</v>
      </c>
      <c r="AP721" s="20">
        <f>IFERROR((VLOOKUP(Tabla13[[#This Row],[ID]],[1]!Estilo_Conduccion[[#All],[Placa]:[Puntuacion]],15,FALSE)),0)</f>
        <v>0</v>
      </c>
      <c r="AQ721" s="15" t="s">
        <v>1500</v>
      </c>
      <c r="AR721" s="15" t="s">
        <v>1501</v>
      </c>
      <c r="AS721" s="20">
        <v>1013</v>
      </c>
      <c r="AT721" s="21">
        <v>7888.7142857142853</v>
      </c>
      <c r="AU721" s="21">
        <f>(Tabla13[[#This Row],[Cap Vh]]*$AX$2)*0.56</f>
        <v>0</v>
      </c>
      <c r="AV721" s="36" t="e">
        <f>(Tabla13[[#This Row],[Cap Util (kg)]]/(Tabla13[[#This Row],[Cap Inst (Kg)]]))</f>
        <v>#DIV/0!</v>
      </c>
    </row>
    <row r="722" spans="1:48" x14ac:dyDescent="0.25">
      <c r="A722" s="13" t="s">
        <v>1068</v>
      </c>
      <c r="B722" s="14" t="s">
        <v>959</v>
      </c>
      <c r="C722" s="14" t="s">
        <v>749</v>
      </c>
      <c r="D722" s="14" t="s">
        <v>749</v>
      </c>
      <c r="E722" s="14" t="s">
        <v>840</v>
      </c>
      <c r="F722" s="14" t="s">
        <v>76</v>
      </c>
      <c r="G722" s="15" t="s">
        <v>89</v>
      </c>
      <c r="H722" s="16" t="s">
        <v>90</v>
      </c>
      <c r="I722" s="14" t="s">
        <v>49</v>
      </c>
      <c r="J722" s="14">
        <v>900335279</v>
      </c>
      <c r="K722" s="14" t="s">
        <v>77</v>
      </c>
      <c r="L722" s="14" t="s">
        <v>405</v>
      </c>
      <c r="M722" s="14" t="s">
        <v>441</v>
      </c>
      <c r="N722" s="14">
        <v>2012</v>
      </c>
      <c r="O722" s="14">
        <v>8</v>
      </c>
      <c r="P722" s="14" t="s">
        <v>53</v>
      </c>
      <c r="Q722" s="14">
        <v>0</v>
      </c>
      <c r="R722" s="14">
        <v>0</v>
      </c>
      <c r="S722" s="17" t="s">
        <v>54</v>
      </c>
      <c r="T722" s="18">
        <v>0</v>
      </c>
      <c r="U722" s="14">
        <v>30</v>
      </c>
      <c r="V722" s="19">
        <v>1</v>
      </c>
      <c r="W722" s="14">
        <v>0</v>
      </c>
      <c r="X722" s="14">
        <v>0</v>
      </c>
      <c r="Y722" s="14">
        <v>0</v>
      </c>
      <c r="Z722" s="14">
        <v>0</v>
      </c>
      <c r="AA722" s="14">
        <f>Tabla13[[#This Row],[CheckList App]]+Tabla13[[#This Row],[CheckList Fisc]]</f>
        <v>0</v>
      </c>
      <c r="AB722" s="19">
        <f t="shared" si="11"/>
        <v>0</v>
      </c>
      <c r="AC722" s="14">
        <v>0</v>
      </c>
      <c r="AD722" s="14" t="s">
        <v>55</v>
      </c>
      <c r="AE722" s="15" t="str">
        <f>IFERROR((VLOOKUP(Tabla13[[#This Row],[ID]],[1]!Mtto_Pesv[[#Headers],[#Data],[Placa]:[Rutina]],2,FALSE)),"-")</f>
        <v>-</v>
      </c>
      <c r="AF722" s="14">
        <v>0</v>
      </c>
      <c r="AG722" s="20">
        <f>IFERROR((VLOOKUP(Tabla13[[#This Row],[ID]],[1]!Mtto_Pesv[[#Headers],[#Data],[Placa]:[Rutina]],3,FALSE)),0)</f>
        <v>0</v>
      </c>
      <c r="AH722" s="20">
        <f>IFERROR((VLOOKUP(Tabla13[[#This Row],[ID]],[1]!Mtto_Pesv[[#Headers],[#Data],[Placa]:[Rutina]],7,FALSE)),0)</f>
        <v>0</v>
      </c>
      <c r="AI722" s="20">
        <f>IFERROR((VLOOKUP(Tabla13[[#This Row],[ID]],[1]!Mtto_Pesv[[#Headers],[#Data],[Placa]:[Rutina]],8,FALSE)),0)</f>
        <v>0</v>
      </c>
      <c r="AJ722" s="20" t="str">
        <f>IFERROR((VLOOKUP(Tabla13[[#This Row],[ID]],[1]!Mtto_Pesv[[#Headers],[#Data],[Placa]:[Rutina]],9,FALSE)),"-")</f>
        <v>-</v>
      </c>
      <c r="AK722" s="20">
        <f>IFERROR((VLOOKUP(Tabla13[[#This Row],[ID]],[1]!Mtto_Pesv[[#Headers],[#Data],[Placa]:[Rutina]],10,FALSE)),0)</f>
        <v>0</v>
      </c>
      <c r="AL722" s="20">
        <f>IF(Tabla13[[#This Row],[Km Anterior]]=0,0,Tabla13[[#This Row],[Km Ejecut]]-Tabla13[[#This Row],[Km Anterior]])</f>
        <v>0</v>
      </c>
      <c r="AM722" s="20">
        <f>IFERROR((VLOOKUP(Tabla13[[#This Row],[ID]],[1]!Mtto_Pesv[[#Headers],[#Data],[Placa]:[Rutina]],4,FALSE)),0)</f>
        <v>0</v>
      </c>
      <c r="AN722" s="21">
        <f>IFERROR((VLOOKUP(Tabla13[[#This Row],[ID]],[1]!Mtto_Pesv[[#Headers],[#Data],[Placa]:[Rutina]],5,FALSE)),0)</f>
        <v>0</v>
      </c>
      <c r="AO722" s="21">
        <f>+Tabla13[[#This Row],[Km Fin]]-Tabla13[[#This Row],[Km Ini]]</f>
        <v>0</v>
      </c>
      <c r="AP722" s="20">
        <f>IFERROR((VLOOKUP(Tabla13[[#This Row],[ID]],[1]!Estilo_Conduccion[[#All],[Placa]:[Puntuacion]],15,FALSE)),0)</f>
        <v>0</v>
      </c>
      <c r="AQ722" s="15" t="s">
        <v>1521</v>
      </c>
      <c r="AR722" s="15" t="s">
        <v>1522</v>
      </c>
      <c r="AS722" s="20">
        <v>1013</v>
      </c>
      <c r="AT722" s="21">
        <v>19364.4375</v>
      </c>
      <c r="AU722" s="21">
        <f>(Tabla13[[#This Row],[Cap Vh]]*$AX$2)*0.56</f>
        <v>0</v>
      </c>
      <c r="AV722" s="36" t="e">
        <f>(Tabla13[[#This Row],[Cap Util (kg)]]/(Tabla13[[#This Row],[Cap Inst (Kg)]]))</f>
        <v>#DIV/0!</v>
      </c>
    </row>
    <row r="723" spans="1:48" x14ac:dyDescent="0.25">
      <c r="A723" s="13" t="s">
        <v>1068</v>
      </c>
      <c r="B723" s="14" t="s">
        <v>960</v>
      </c>
      <c r="C723" s="14" t="s">
        <v>749</v>
      </c>
      <c r="D723" s="14" t="s">
        <v>749</v>
      </c>
      <c r="E723" s="14" t="s">
        <v>900</v>
      </c>
      <c r="F723" s="14" t="s">
        <v>64</v>
      </c>
      <c r="G723" s="15" t="s">
        <v>47</v>
      </c>
      <c r="H723" s="16" t="s">
        <v>48</v>
      </c>
      <c r="I723" s="14" t="s">
        <v>49</v>
      </c>
      <c r="J723" s="14">
        <v>900335279</v>
      </c>
      <c r="K723" s="14" t="s">
        <v>77</v>
      </c>
      <c r="L723" s="14" t="s">
        <v>405</v>
      </c>
      <c r="M723" s="14" t="s">
        <v>441</v>
      </c>
      <c r="N723" s="14">
        <v>2012</v>
      </c>
      <c r="O723" s="14">
        <v>8</v>
      </c>
      <c r="P723" s="14" t="s">
        <v>53</v>
      </c>
      <c r="Q723" s="14">
        <v>0</v>
      </c>
      <c r="R723" s="14">
        <v>0</v>
      </c>
      <c r="S723" s="17" t="s">
        <v>54</v>
      </c>
      <c r="T723" s="18">
        <v>0</v>
      </c>
      <c r="U723" s="14">
        <v>30</v>
      </c>
      <c r="V723" s="19">
        <v>1</v>
      </c>
      <c r="W723" s="14">
        <v>0</v>
      </c>
      <c r="X723" s="14">
        <v>0</v>
      </c>
      <c r="Y723" s="14">
        <v>0</v>
      </c>
      <c r="Z723" s="14">
        <v>0</v>
      </c>
      <c r="AA723" s="14">
        <f>Tabla13[[#This Row],[CheckList App]]+Tabla13[[#This Row],[CheckList Fisc]]</f>
        <v>0</v>
      </c>
      <c r="AB723" s="19">
        <f t="shared" si="11"/>
        <v>0</v>
      </c>
      <c r="AC723" s="14">
        <v>0</v>
      </c>
      <c r="AD723" s="14" t="s">
        <v>70</v>
      </c>
      <c r="AE723" s="15" t="str">
        <f>IFERROR((VLOOKUP(Tabla13[[#This Row],[ID]],[1]!Mtto_Pesv[[#Headers],[#Data],[Placa]:[Rutina]],2,FALSE)),"-")</f>
        <v>-</v>
      </c>
      <c r="AF723" s="14">
        <v>1</v>
      </c>
      <c r="AG723" s="20">
        <f>IFERROR((VLOOKUP(Tabla13[[#This Row],[ID]],[1]!Mtto_Pesv[[#Headers],[#Data],[Placa]:[Rutina]],3,FALSE)),0)</f>
        <v>0</v>
      </c>
      <c r="AH723" s="20">
        <f>IFERROR((VLOOKUP(Tabla13[[#This Row],[ID]],[1]!Mtto_Pesv[[#Headers],[#Data],[Placa]:[Rutina]],7,FALSE)),0)</f>
        <v>0</v>
      </c>
      <c r="AI723" s="20">
        <f>IFERROR((VLOOKUP(Tabla13[[#This Row],[ID]],[1]!Mtto_Pesv[[#Headers],[#Data],[Placa]:[Rutina]],8,FALSE)),0)</f>
        <v>0</v>
      </c>
      <c r="AJ723" s="20" t="str">
        <f>IFERROR((VLOOKUP(Tabla13[[#This Row],[ID]],[1]!Mtto_Pesv[[#Headers],[#Data],[Placa]:[Rutina]],9,FALSE)),"-")</f>
        <v>-</v>
      </c>
      <c r="AK723" s="20">
        <f>IFERROR((VLOOKUP(Tabla13[[#This Row],[ID]],[1]!Mtto_Pesv[[#Headers],[#Data],[Placa]:[Rutina]],10,FALSE)),0)</f>
        <v>0</v>
      </c>
      <c r="AL723" s="20">
        <f>IF(Tabla13[[#This Row],[Km Anterior]]=0,0,Tabla13[[#This Row],[Km Ejecut]]-Tabla13[[#This Row],[Km Anterior]])</f>
        <v>0</v>
      </c>
      <c r="AM723" s="20">
        <f>IFERROR((VLOOKUP(Tabla13[[#This Row],[ID]],[1]!Mtto_Pesv[[#Headers],[#Data],[Placa]:[Rutina]],4,FALSE)),0)</f>
        <v>0</v>
      </c>
      <c r="AN723" s="21">
        <f>IFERROR((VLOOKUP(Tabla13[[#This Row],[ID]],[1]!Mtto_Pesv[[#Headers],[#Data],[Placa]:[Rutina]],5,FALSE)),0)</f>
        <v>0</v>
      </c>
      <c r="AO723" s="21">
        <f>+Tabla13[[#This Row],[Km Fin]]-Tabla13[[#This Row],[Km Ini]]</f>
        <v>0</v>
      </c>
      <c r="AP723" s="20">
        <f>IFERROR((VLOOKUP(Tabla13[[#This Row],[ID]],[1]!Estilo_Conduccion[[#All],[Placa]:[Puntuacion]],15,FALSE)),0)</f>
        <v>0</v>
      </c>
      <c r="AQ723" s="15" t="s">
        <v>1547</v>
      </c>
      <c r="AR723" s="15" t="s">
        <v>1548</v>
      </c>
      <c r="AS723" s="20">
        <v>1013</v>
      </c>
      <c r="AT723" s="21">
        <v>2595</v>
      </c>
      <c r="AU723" s="21">
        <f>(Tabla13[[#This Row],[Cap Vh]]*$AX$2)*0.56</f>
        <v>0</v>
      </c>
      <c r="AV723" s="36" t="e">
        <f>(Tabla13[[#This Row],[Cap Util (kg)]]/(Tabla13[[#This Row],[Cap Inst (Kg)]]))</f>
        <v>#DIV/0!</v>
      </c>
    </row>
    <row r="724" spans="1:48" x14ac:dyDescent="0.25">
      <c r="A724" s="13" t="s">
        <v>1068</v>
      </c>
      <c r="B724" s="14" t="s">
        <v>961</v>
      </c>
      <c r="C724" s="14" t="s">
        <v>749</v>
      </c>
      <c r="D724" s="14" t="s">
        <v>749</v>
      </c>
      <c r="E724" s="14" t="s">
        <v>840</v>
      </c>
      <c r="F724" s="14" t="s">
        <v>76</v>
      </c>
      <c r="G724" s="15" t="s">
        <v>89</v>
      </c>
      <c r="H724" s="16" t="s">
        <v>90</v>
      </c>
      <c r="I724" s="14" t="s">
        <v>49</v>
      </c>
      <c r="J724" s="14">
        <v>900335279</v>
      </c>
      <c r="K724" s="14" t="s">
        <v>77</v>
      </c>
      <c r="L724" s="14" t="s">
        <v>405</v>
      </c>
      <c r="M724" s="14" t="s">
        <v>441</v>
      </c>
      <c r="N724" s="14">
        <v>2012</v>
      </c>
      <c r="O724" s="14">
        <v>8</v>
      </c>
      <c r="P724" s="14" t="s">
        <v>53</v>
      </c>
      <c r="Q724" s="14">
        <v>0</v>
      </c>
      <c r="R724" s="14">
        <v>0</v>
      </c>
      <c r="S724" s="17" t="s">
        <v>54</v>
      </c>
      <c r="T724" s="18">
        <v>0</v>
      </c>
      <c r="U724" s="14">
        <v>30</v>
      </c>
      <c r="V724" s="19">
        <v>1</v>
      </c>
      <c r="W724" s="14">
        <v>0</v>
      </c>
      <c r="X724" s="14">
        <v>0</v>
      </c>
      <c r="Y724" s="14">
        <v>0</v>
      </c>
      <c r="Z724" s="14">
        <v>0</v>
      </c>
      <c r="AA724" s="14">
        <f>Tabla13[[#This Row],[CheckList App]]+Tabla13[[#This Row],[CheckList Fisc]]</f>
        <v>0</v>
      </c>
      <c r="AB724" s="19">
        <f t="shared" si="11"/>
        <v>0</v>
      </c>
      <c r="AC724" s="14">
        <v>0</v>
      </c>
      <c r="AD724" s="14" t="s">
        <v>70</v>
      </c>
      <c r="AE724" s="15" t="str">
        <f>IFERROR((VLOOKUP(Tabla13[[#This Row],[ID]],[1]!Mtto_Pesv[[#Headers],[#Data],[Placa]:[Rutina]],2,FALSE)),"-")</f>
        <v>-</v>
      </c>
      <c r="AF724" s="14">
        <v>1</v>
      </c>
      <c r="AG724" s="20">
        <f>IFERROR((VLOOKUP(Tabla13[[#This Row],[ID]],[1]!Mtto_Pesv[[#Headers],[#Data],[Placa]:[Rutina]],3,FALSE)),0)</f>
        <v>0</v>
      </c>
      <c r="AH724" s="20">
        <f>IFERROR((VLOOKUP(Tabla13[[#This Row],[ID]],[1]!Mtto_Pesv[[#Headers],[#Data],[Placa]:[Rutina]],7,FALSE)),0)</f>
        <v>0</v>
      </c>
      <c r="AI724" s="20">
        <f>IFERROR((VLOOKUP(Tabla13[[#This Row],[ID]],[1]!Mtto_Pesv[[#Headers],[#Data],[Placa]:[Rutina]],8,FALSE)),0)</f>
        <v>0</v>
      </c>
      <c r="AJ724" s="20" t="str">
        <f>IFERROR((VLOOKUP(Tabla13[[#This Row],[ID]],[1]!Mtto_Pesv[[#Headers],[#Data],[Placa]:[Rutina]],9,FALSE)),"-")</f>
        <v>-</v>
      </c>
      <c r="AK724" s="20">
        <f>IFERROR((VLOOKUP(Tabla13[[#This Row],[ID]],[1]!Mtto_Pesv[[#Headers],[#Data],[Placa]:[Rutina]],10,FALSE)),0)</f>
        <v>0</v>
      </c>
      <c r="AL724" s="20">
        <f>IF(Tabla13[[#This Row],[Km Anterior]]=0,0,Tabla13[[#This Row],[Km Ejecut]]-Tabla13[[#This Row],[Km Anterior]])</f>
        <v>0</v>
      </c>
      <c r="AM724" s="20">
        <f>IFERROR((VLOOKUP(Tabla13[[#This Row],[ID]],[1]!Mtto_Pesv[[#Headers],[#Data],[Placa]:[Rutina]],4,FALSE)),0)</f>
        <v>0</v>
      </c>
      <c r="AN724" s="21">
        <f>IFERROR((VLOOKUP(Tabla13[[#This Row],[ID]],[1]!Mtto_Pesv[[#Headers],[#Data],[Placa]:[Rutina]],5,FALSE)),0)</f>
        <v>0</v>
      </c>
      <c r="AO724" s="21">
        <f>+Tabla13[[#This Row],[Km Fin]]-Tabla13[[#This Row],[Km Ini]]</f>
        <v>0</v>
      </c>
      <c r="AP724" s="20">
        <f>IFERROR((VLOOKUP(Tabla13[[#This Row],[ID]],[1]!Estilo_Conduccion[[#All],[Placa]:[Puntuacion]],15,FALSE)),0)</f>
        <v>0</v>
      </c>
      <c r="AQ724" s="15" t="s">
        <v>1526</v>
      </c>
      <c r="AR724" s="15" t="s">
        <v>1527</v>
      </c>
      <c r="AS724" s="20">
        <v>1013</v>
      </c>
      <c r="AT724" s="21">
        <v>4015.0714285714284</v>
      </c>
      <c r="AU724" s="21">
        <f>(Tabla13[[#This Row],[Cap Vh]]*$AX$2)*0.56</f>
        <v>0</v>
      </c>
      <c r="AV724" s="36" t="e">
        <f>(Tabla13[[#This Row],[Cap Util (kg)]]/(Tabla13[[#This Row],[Cap Inst (Kg)]]))</f>
        <v>#DIV/0!</v>
      </c>
    </row>
    <row r="725" spans="1:48" x14ac:dyDescent="0.25">
      <c r="A725" s="13" t="s">
        <v>1068</v>
      </c>
      <c r="B725" s="14" t="s">
        <v>962</v>
      </c>
      <c r="C725" s="14" t="s">
        <v>749</v>
      </c>
      <c r="D725" s="14" t="s">
        <v>749</v>
      </c>
      <c r="E725" s="14" t="s">
        <v>897</v>
      </c>
      <c r="F725" s="14" t="s">
        <v>64</v>
      </c>
      <c r="G725" s="15" t="s">
        <v>47</v>
      </c>
      <c r="H725" s="16" t="s">
        <v>48</v>
      </c>
      <c r="I725" s="14" t="s">
        <v>49</v>
      </c>
      <c r="J725" s="14">
        <v>900335279</v>
      </c>
      <c r="K725" s="14" t="s">
        <v>77</v>
      </c>
      <c r="L725" s="14" t="s">
        <v>405</v>
      </c>
      <c r="M725" s="14" t="s">
        <v>441</v>
      </c>
      <c r="N725" s="14">
        <v>2012</v>
      </c>
      <c r="O725" s="14">
        <v>8</v>
      </c>
      <c r="P725" s="14" t="s">
        <v>53</v>
      </c>
      <c r="Q725" s="14">
        <v>0</v>
      </c>
      <c r="R725" s="14">
        <v>0</v>
      </c>
      <c r="S725" s="17" t="s">
        <v>54</v>
      </c>
      <c r="T725" s="18">
        <v>0</v>
      </c>
      <c r="U725" s="14">
        <v>30</v>
      </c>
      <c r="V725" s="19">
        <v>1</v>
      </c>
      <c r="W725" s="14">
        <v>0</v>
      </c>
      <c r="X725" s="14">
        <v>0</v>
      </c>
      <c r="Y725" s="14">
        <v>0</v>
      </c>
      <c r="Z725" s="14">
        <v>0</v>
      </c>
      <c r="AA725" s="14">
        <f>Tabla13[[#This Row],[CheckList App]]+Tabla13[[#This Row],[CheckList Fisc]]</f>
        <v>0</v>
      </c>
      <c r="AB725" s="19">
        <f t="shared" si="11"/>
        <v>0</v>
      </c>
      <c r="AC725" s="14">
        <v>0</v>
      </c>
      <c r="AD725" s="14" t="s">
        <v>70</v>
      </c>
      <c r="AE725" s="15" t="str">
        <f>IFERROR((VLOOKUP(Tabla13[[#This Row],[ID]],[1]!Mtto_Pesv[[#Headers],[#Data],[Placa]:[Rutina]],2,FALSE)),"-")</f>
        <v>-</v>
      </c>
      <c r="AF725" s="14">
        <v>1</v>
      </c>
      <c r="AG725" s="20">
        <f>IFERROR((VLOOKUP(Tabla13[[#This Row],[ID]],[1]!Mtto_Pesv[[#Headers],[#Data],[Placa]:[Rutina]],3,FALSE)),0)</f>
        <v>0</v>
      </c>
      <c r="AH725" s="20">
        <f>IFERROR((VLOOKUP(Tabla13[[#This Row],[ID]],[1]!Mtto_Pesv[[#Headers],[#Data],[Placa]:[Rutina]],7,FALSE)),0)</f>
        <v>0</v>
      </c>
      <c r="AI725" s="20">
        <f>IFERROR((VLOOKUP(Tabla13[[#This Row],[ID]],[1]!Mtto_Pesv[[#Headers],[#Data],[Placa]:[Rutina]],8,FALSE)),0)</f>
        <v>0</v>
      </c>
      <c r="AJ725" s="20" t="str">
        <f>IFERROR((VLOOKUP(Tabla13[[#This Row],[ID]],[1]!Mtto_Pesv[[#Headers],[#Data],[Placa]:[Rutina]],9,FALSE)),"-")</f>
        <v>-</v>
      </c>
      <c r="AK725" s="20">
        <f>IFERROR((VLOOKUP(Tabla13[[#This Row],[ID]],[1]!Mtto_Pesv[[#Headers],[#Data],[Placa]:[Rutina]],10,FALSE)),0)</f>
        <v>0</v>
      </c>
      <c r="AL725" s="20">
        <f>IF(Tabla13[[#This Row],[Km Anterior]]=0,0,Tabla13[[#This Row],[Km Ejecut]]-Tabla13[[#This Row],[Km Anterior]])</f>
        <v>0</v>
      </c>
      <c r="AM725" s="20">
        <f>IFERROR((VLOOKUP(Tabla13[[#This Row],[ID]],[1]!Mtto_Pesv[[#Headers],[#Data],[Placa]:[Rutina]],4,FALSE)),0)</f>
        <v>0</v>
      </c>
      <c r="AN725" s="21">
        <f>IFERROR((VLOOKUP(Tabla13[[#This Row],[ID]],[1]!Mtto_Pesv[[#Headers],[#Data],[Placa]:[Rutina]],5,FALSE)),0)</f>
        <v>0</v>
      </c>
      <c r="AO725" s="21">
        <f>+Tabla13[[#This Row],[Km Fin]]-Tabla13[[#This Row],[Km Ini]]</f>
        <v>0</v>
      </c>
      <c r="AP725" s="20">
        <f>IFERROR((VLOOKUP(Tabla13[[#This Row],[ID]],[1]!Estilo_Conduccion[[#All],[Placa]:[Puntuacion]],15,FALSE)),0)</f>
        <v>0</v>
      </c>
      <c r="AQ725" s="15" t="s">
        <v>1069</v>
      </c>
      <c r="AR725" s="15" t="s">
        <v>963</v>
      </c>
      <c r="AS725" s="20">
        <v>1013</v>
      </c>
      <c r="AT725" s="21">
        <v>0</v>
      </c>
      <c r="AU725" s="21">
        <f>(Tabla13[[#This Row],[Cap Vh]]*$AX$2)*0.56</f>
        <v>0</v>
      </c>
      <c r="AV725" s="36" t="e">
        <f>(Tabla13[[#This Row],[Cap Util (kg)]]/(Tabla13[[#This Row],[Cap Inst (Kg)]]))</f>
        <v>#DIV/0!</v>
      </c>
    </row>
    <row r="726" spans="1:48" x14ac:dyDescent="0.25">
      <c r="A726" s="13" t="s">
        <v>1068</v>
      </c>
      <c r="B726" s="14" t="s">
        <v>964</v>
      </c>
      <c r="C726" s="14" t="s">
        <v>749</v>
      </c>
      <c r="D726" s="14" t="s">
        <v>749</v>
      </c>
      <c r="E726" s="14" t="s">
        <v>845</v>
      </c>
      <c r="F726" s="14" t="s">
        <v>64</v>
      </c>
      <c r="G726" s="15" t="s">
        <v>47</v>
      </c>
      <c r="H726" s="16" t="s">
        <v>48</v>
      </c>
      <c r="I726" s="14" t="s">
        <v>49</v>
      </c>
      <c r="J726" s="14">
        <v>900335279</v>
      </c>
      <c r="K726" s="14" t="s">
        <v>77</v>
      </c>
      <c r="L726" s="14" t="s">
        <v>405</v>
      </c>
      <c r="M726" s="14" t="s">
        <v>441</v>
      </c>
      <c r="N726" s="14">
        <v>2012</v>
      </c>
      <c r="O726" s="14">
        <v>8</v>
      </c>
      <c r="P726" s="14" t="s">
        <v>53</v>
      </c>
      <c r="Q726" s="14">
        <v>0</v>
      </c>
      <c r="R726" s="14">
        <v>0</v>
      </c>
      <c r="S726" s="17" t="s">
        <v>54</v>
      </c>
      <c r="T726" s="18">
        <v>0</v>
      </c>
      <c r="U726" s="14">
        <v>24</v>
      </c>
      <c r="V726" s="19">
        <v>0.8</v>
      </c>
      <c r="W726" s="14">
        <v>0</v>
      </c>
      <c r="X726" s="14">
        <v>0</v>
      </c>
      <c r="Y726" s="14">
        <v>0</v>
      </c>
      <c r="Z726" s="14">
        <v>0</v>
      </c>
      <c r="AA726" s="14">
        <f>Tabla13[[#This Row],[CheckList App]]+Tabla13[[#This Row],[CheckList Fisc]]</f>
        <v>0</v>
      </c>
      <c r="AB726" s="19">
        <f t="shared" si="11"/>
        <v>0</v>
      </c>
      <c r="AC726" s="14">
        <v>0</v>
      </c>
      <c r="AD726" s="14" t="s">
        <v>70</v>
      </c>
      <c r="AE726" s="15" t="str">
        <f>IFERROR((VLOOKUP(Tabla13[[#This Row],[ID]],[1]!Mtto_Pesv[[#Headers],[#Data],[Placa]:[Rutina]],2,FALSE)),"-")</f>
        <v>-</v>
      </c>
      <c r="AF726" s="14">
        <v>1</v>
      </c>
      <c r="AG726" s="20">
        <f>IFERROR((VLOOKUP(Tabla13[[#This Row],[ID]],[1]!Mtto_Pesv[[#Headers],[#Data],[Placa]:[Rutina]],3,FALSE)),0)</f>
        <v>0</v>
      </c>
      <c r="AH726" s="20">
        <f>IFERROR((VLOOKUP(Tabla13[[#This Row],[ID]],[1]!Mtto_Pesv[[#Headers],[#Data],[Placa]:[Rutina]],7,FALSE)),0)</f>
        <v>0</v>
      </c>
      <c r="AI726" s="20">
        <f>IFERROR((VLOOKUP(Tabla13[[#This Row],[ID]],[1]!Mtto_Pesv[[#Headers],[#Data],[Placa]:[Rutina]],8,FALSE)),0)</f>
        <v>0</v>
      </c>
      <c r="AJ726" s="20" t="str">
        <f>IFERROR((VLOOKUP(Tabla13[[#This Row],[ID]],[1]!Mtto_Pesv[[#Headers],[#Data],[Placa]:[Rutina]],9,FALSE)),"-")</f>
        <v>-</v>
      </c>
      <c r="AK726" s="20">
        <f>IFERROR((VLOOKUP(Tabla13[[#This Row],[ID]],[1]!Mtto_Pesv[[#Headers],[#Data],[Placa]:[Rutina]],10,FALSE)),0)</f>
        <v>0</v>
      </c>
      <c r="AL726" s="20">
        <f>IF(Tabla13[[#This Row],[Km Anterior]]=0,0,Tabla13[[#This Row],[Km Ejecut]]-Tabla13[[#This Row],[Km Anterior]])</f>
        <v>0</v>
      </c>
      <c r="AM726" s="20">
        <f>IFERROR((VLOOKUP(Tabla13[[#This Row],[ID]],[1]!Mtto_Pesv[[#Headers],[#Data],[Placa]:[Rutina]],4,FALSE)),0)</f>
        <v>0</v>
      </c>
      <c r="AN726" s="21">
        <f>IFERROR((VLOOKUP(Tabla13[[#This Row],[ID]],[1]!Mtto_Pesv[[#Headers],[#Data],[Placa]:[Rutina]],5,FALSE)),0)</f>
        <v>0</v>
      </c>
      <c r="AO726" s="21">
        <f>+Tabla13[[#This Row],[Km Fin]]-Tabla13[[#This Row],[Km Ini]]</f>
        <v>0</v>
      </c>
      <c r="AP726" s="20">
        <f>IFERROR((VLOOKUP(Tabla13[[#This Row],[ID]],[1]!Estilo_Conduccion[[#All],[Placa]:[Puntuacion]],15,FALSE)),0)</f>
        <v>0</v>
      </c>
      <c r="AQ726" s="15" t="s">
        <v>54</v>
      </c>
      <c r="AR726" s="15" t="s">
        <v>1474</v>
      </c>
      <c r="AS726" s="20">
        <v>1013</v>
      </c>
      <c r="AT726" s="21">
        <v>0</v>
      </c>
      <c r="AU726" s="21">
        <f>(Tabla13[[#This Row],[Cap Vh]]*$AX$2)*0.56</f>
        <v>0</v>
      </c>
      <c r="AV726" s="36" t="e">
        <f>(Tabla13[[#This Row],[Cap Util (kg)]]/(Tabla13[[#This Row],[Cap Inst (Kg)]]))</f>
        <v>#DIV/0!</v>
      </c>
    </row>
    <row r="727" spans="1:48" x14ac:dyDescent="0.25">
      <c r="A727" s="13" t="s">
        <v>1068</v>
      </c>
      <c r="B727" s="14" t="s">
        <v>966</v>
      </c>
      <c r="C727" s="14" t="s">
        <v>749</v>
      </c>
      <c r="D727" s="14" t="s">
        <v>749</v>
      </c>
      <c r="E727" s="14" t="s">
        <v>842</v>
      </c>
      <c r="F727" s="14" t="s">
        <v>64</v>
      </c>
      <c r="G727" s="15" t="s">
        <v>47</v>
      </c>
      <c r="H727" s="16" t="s">
        <v>48</v>
      </c>
      <c r="I727" s="14" t="s">
        <v>49</v>
      </c>
      <c r="J727" s="14">
        <v>900335279</v>
      </c>
      <c r="K727" s="14" t="s">
        <v>77</v>
      </c>
      <c r="L727" s="14" t="s">
        <v>405</v>
      </c>
      <c r="M727" s="14" t="s">
        <v>441</v>
      </c>
      <c r="N727" s="14">
        <v>2012</v>
      </c>
      <c r="O727" s="14">
        <v>8</v>
      </c>
      <c r="P727" s="14" t="s">
        <v>53</v>
      </c>
      <c r="Q727" s="14">
        <v>0</v>
      </c>
      <c r="R727" s="14">
        <v>0</v>
      </c>
      <c r="S727" s="17" t="s">
        <v>54</v>
      </c>
      <c r="T727" s="18">
        <v>0</v>
      </c>
      <c r="U727" s="14">
        <v>29</v>
      </c>
      <c r="V727" s="19">
        <v>0.96666666666666667</v>
      </c>
      <c r="W727" s="14">
        <v>0</v>
      </c>
      <c r="X727" s="14">
        <v>0</v>
      </c>
      <c r="Y727" s="14">
        <v>0</v>
      </c>
      <c r="Z727" s="14">
        <v>0</v>
      </c>
      <c r="AA727" s="14">
        <f>Tabla13[[#This Row],[CheckList App]]+Tabla13[[#This Row],[CheckList Fisc]]</f>
        <v>0</v>
      </c>
      <c r="AB727" s="19">
        <f t="shared" si="11"/>
        <v>0</v>
      </c>
      <c r="AC727" s="14">
        <v>0</v>
      </c>
      <c r="AD727" s="14" t="s">
        <v>70</v>
      </c>
      <c r="AE727" s="15" t="str">
        <f>IFERROR((VLOOKUP(Tabla13[[#This Row],[ID]],[1]!Mtto_Pesv[[#Headers],[#Data],[Placa]:[Rutina]],2,FALSE)),"-")</f>
        <v>-</v>
      </c>
      <c r="AF727" s="14">
        <v>1</v>
      </c>
      <c r="AG727" s="20">
        <f>IFERROR((VLOOKUP(Tabla13[[#This Row],[ID]],[1]!Mtto_Pesv[[#Headers],[#Data],[Placa]:[Rutina]],3,FALSE)),0)</f>
        <v>0</v>
      </c>
      <c r="AH727" s="20">
        <f>IFERROR((VLOOKUP(Tabla13[[#This Row],[ID]],[1]!Mtto_Pesv[[#Headers],[#Data],[Placa]:[Rutina]],7,FALSE)),0)</f>
        <v>0</v>
      </c>
      <c r="AI727" s="20">
        <f>IFERROR((VLOOKUP(Tabla13[[#This Row],[ID]],[1]!Mtto_Pesv[[#Headers],[#Data],[Placa]:[Rutina]],8,FALSE)),0)</f>
        <v>0</v>
      </c>
      <c r="AJ727" s="20" t="str">
        <f>IFERROR((VLOOKUP(Tabla13[[#This Row],[ID]],[1]!Mtto_Pesv[[#Headers],[#Data],[Placa]:[Rutina]],9,FALSE)),"-")</f>
        <v>-</v>
      </c>
      <c r="AK727" s="20">
        <f>IFERROR((VLOOKUP(Tabla13[[#This Row],[ID]],[1]!Mtto_Pesv[[#Headers],[#Data],[Placa]:[Rutina]],10,FALSE)),0)</f>
        <v>0</v>
      </c>
      <c r="AL727" s="20">
        <f>IF(Tabla13[[#This Row],[Km Anterior]]=0,0,Tabla13[[#This Row],[Km Ejecut]]-Tabla13[[#This Row],[Km Anterior]])</f>
        <v>0</v>
      </c>
      <c r="AM727" s="20">
        <f>IFERROR((VLOOKUP(Tabla13[[#This Row],[ID]],[1]!Mtto_Pesv[[#Headers],[#Data],[Placa]:[Rutina]],4,FALSE)),0)</f>
        <v>0</v>
      </c>
      <c r="AN727" s="21">
        <f>IFERROR((VLOOKUP(Tabla13[[#This Row],[ID]],[1]!Mtto_Pesv[[#Headers],[#Data],[Placa]:[Rutina]],5,FALSE)),0)</f>
        <v>0</v>
      </c>
      <c r="AO727" s="21">
        <f>+Tabla13[[#This Row],[Km Fin]]-Tabla13[[#This Row],[Km Ini]]</f>
        <v>0</v>
      </c>
      <c r="AP727" s="20">
        <f>IFERROR((VLOOKUP(Tabla13[[#This Row],[ID]],[1]!Estilo_Conduccion[[#All],[Placa]:[Puntuacion]],15,FALSE)),0)</f>
        <v>0</v>
      </c>
      <c r="AQ727" s="15" t="s">
        <v>1549</v>
      </c>
      <c r="AR727" s="15" t="s">
        <v>1550</v>
      </c>
      <c r="AS727" s="20">
        <v>1013</v>
      </c>
      <c r="AT727" s="21">
        <v>14650.5</v>
      </c>
      <c r="AU727" s="21">
        <f>(Tabla13[[#This Row],[Cap Vh]]*$AX$2)*0.56</f>
        <v>0</v>
      </c>
      <c r="AV727" s="36" t="e">
        <f>(Tabla13[[#This Row],[Cap Util (kg)]]/(Tabla13[[#This Row],[Cap Inst (Kg)]]))</f>
        <v>#DIV/0!</v>
      </c>
    </row>
    <row r="728" spans="1:48" x14ac:dyDescent="0.25">
      <c r="A728" s="13" t="s">
        <v>1068</v>
      </c>
      <c r="B728" s="14" t="s">
        <v>967</v>
      </c>
      <c r="C728" s="14" t="s">
        <v>749</v>
      </c>
      <c r="D728" s="14" t="s">
        <v>749</v>
      </c>
      <c r="E728" s="14" t="s">
        <v>845</v>
      </c>
      <c r="F728" s="14" t="s">
        <v>64</v>
      </c>
      <c r="G728" s="15" t="s">
        <v>47</v>
      </c>
      <c r="H728" s="16" t="s">
        <v>48</v>
      </c>
      <c r="I728" s="14" t="s">
        <v>49</v>
      </c>
      <c r="J728" s="14">
        <v>900335279</v>
      </c>
      <c r="K728" s="14" t="s">
        <v>77</v>
      </c>
      <c r="L728" s="14" t="s">
        <v>405</v>
      </c>
      <c r="M728" s="14" t="s">
        <v>441</v>
      </c>
      <c r="N728" s="14">
        <v>2012</v>
      </c>
      <c r="O728" s="14">
        <v>8</v>
      </c>
      <c r="P728" s="14" t="s">
        <v>53</v>
      </c>
      <c r="Q728" s="14">
        <v>0</v>
      </c>
      <c r="R728" s="14">
        <v>0</v>
      </c>
      <c r="S728" s="17" t="s">
        <v>54</v>
      </c>
      <c r="T728" s="18">
        <v>0</v>
      </c>
      <c r="U728" s="14">
        <v>30</v>
      </c>
      <c r="V728" s="19">
        <v>1</v>
      </c>
      <c r="W728" s="14">
        <v>0</v>
      </c>
      <c r="X728" s="14">
        <v>0</v>
      </c>
      <c r="Y728" s="14">
        <v>0</v>
      </c>
      <c r="Z728" s="14">
        <v>0</v>
      </c>
      <c r="AA728" s="14">
        <f>Tabla13[[#This Row],[CheckList App]]+Tabla13[[#This Row],[CheckList Fisc]]</f>
        <v>0</v>
      </c>
      <c r="AB728" s="19">
        <f t="shared" si="11"/>
        <v>0</v>
      </c>
      <c r="AC728" s="14">
        <v>0</v>
      </c>
      <c r="AD728" s="14" t="s">
        <v>70</v>
      </c>
      <c r="AE728" s="15" t="str">
        <f>IFERROR((VLOOKUP(Tabla13[[#This Row],[ID]],[1]!Mtto_Pesv[[#Headers],[#Data],[Placa]:[Rutina]],2,FALSE)),"-")</f>
        <v>-</v>
      </c>
      <c r="AF728" s="14">
        <v>1</v>
      </c>
      <c r="AG728" s="20">
        <f>IFERROR((VLOOKUP(Tabla13[[#This Row],[ID]],[1]!Mtto_Pesv[[#Headers],[#Data],[Placa]:[Rutina]],3,FALSE)),0)</f>
        <v>0</v>
      </c>
      <c r="AH728" s="20">
        <f>IFERROR((VLOOKUP(Tabla13[[#This Row],[ID]],[1]!Mtto_Pesv[[#Headers],[#Data],[Placa]:[Rutina]],7,FALSE)),0)</f>
        <v>0</v>
      </c>
      <c r="AI728" s="20">
        <f>IFERROR((VLOOKUP(Tabla13[[#This Row],[ID]],[1]!Mtto_Pesv[[#Headers],[#Data],[Placa]:[Rutina]],8,FALSE)),0)</f>
        <v>0</v>
      </c>
      <c r="AJ728" s="20" t="str">
        <f>IFERROR((VLOOKUP(Tabla13[[#This Row],[ID]],[1]!Mtto_Pesv[[#Headers],[#Data],[Placa]:[Rutina]],9,FALSE)),"-")</f>
        <v>-</v>
      </c>
      <c r="AK728" s="20">
        <f>IFERROR((VLOOKUP(Tabla13[[#This Row],[ID]],[1]!Mtto_Pesv[[#Headers],[#Data],[Placa]:[Rutina]],10,FALSE)),0)</f>
        <v>0</v>
      </c>
      <c r="AL728" s="20">
        <f>IF(Tabla13[[#This Row],[Km Anterior]]=0,0,Tabla13[[#This Row],[Km Ejecut]]-Tabla13[[#This Row],[Km Anterior]])</f>
        <v>0</v>
      </c>
      <c r="AM728" s="20">
        <f>IFERROR((VLOOKUP(Tabla13[[#This Row],[ID]],[1]!Mtto_Pesv[[#Headers],[#Data],[Placa]:[Rutina]],4,FALSE)),0)</f>
        <v>0</v>
      </c>
      <c r="AN728" s="21">
        <f>IFERROR((VLOOKUP(Tabla13[[#This Row],[ID]],[1]!Mtto_Pesv[[#Headers],[#Data],[Placa]:[Rutina]],5,FALSE)),0)</f>
        <v>0</v>
      </c>
      <c r="AO728" s="21">
        <f>+Tabla13[[#This Row],[Km Fin]]-Tabla13[[#This Row],[Km Ini]]</f>
        <v>0</v>
      </c>
      <c r="AP728" s="20">
        <f>IFERROR((VLOOKUP(Tabla13[[#This Row],[ID]],[1]!Estilo_Conduccion[[#All],[Placa]:[Puntuacion]],15,FALSE)),0)</f>
        <v>0</v>
      </c>
      <c r="AQ728" s="15" t="s">
        <v>1551</v>
      </c>
      <c r="AR728" s="15" t="s">
        <v>1552</v>
      </c>
      <c r="AS728" s="20">
        <v>1013</v>
      </c>
      <c r="AT728" s="21">
        <v>4332</v>
      </c>
      <c r="AU728" s="21">
        <f>(Tabla13[[#This Row],[Cap Vh]]*$AX$2)*0.56</f>
        <v>0</v>
      </c>
      <c r="AV728" s="36" t="e">
        <f>(Tabla13[[#This Row],[Cap Util (kg)]]/(Tabla13[[#This Row],[Cap Inst (Kg)]]))</f>
        <v>#DIV/0!</v>
      </c>
    </row>
    <row r="729" spans="1:48" x14ac:dyDescent="0.25">
      <c r="A729" s="13" t="s">
        <v>1068</v>
      </c>
      <c r="B729" s="14" t="s">
        <v>968</v>
      </c>
      <c r="C729" s="14" t="s">
        <v>749</v>
      </c>
      <c r="D729" s="14" t="s">
        <v>749</v>
      </c>
      <c r="E729" s="14" t="s">
        <v>840</v>
      </c>
      <c r="F729" s="14" t="s">
        <v>76</v>
      </c>
      <c r="G729" s="15" t="s">
        <v>89</v>
      </c>
      <c r="H729" s="16" t="s">
        <v>90</v>
      </c>
      <c r="I729" s="14" t="s">
        <v>49</v>
      </c>
      <c r="J729" s="14">
        <v>900335279</v>
      </c>
      <c r="K729" s="14" t="s">
        <v>77</v>
      </c>
      <c r="L729" s="14" t="s">
        <v>405</v>
      </c>
      <c r="M729" s="14" t="s">
        <v>441</v>
      </c>
      <c r="N729" s="14">
        <v>2012</v>
      </c>
      <c r="O729" s="14">
        <v>8</v>
      </c>
      <c r="P729" s="14" t="s">
        <v>53</v>
      </c>
      <c r="Q729" s="14">
        <v>0</v>
      </c>
      <c r="R729" s="14">
        <v>0</v>
      </c>
      <c r="S729" s="17" t="s">
        <v>54</v>
      </c>
      <c r="T729" s="18">
        <v>0</v>
      </c>
      <c r="U729" s="14">
        <v>30</v>
      </c>
      <c r="V729" s="19">
        <v>1</v>
      </c>
      <c r="W729" s="14">
        <v>0</v>
      </c>
      <c r="X729" s="14">
        <v>0</v>
      </c>
      <c r="Y729" s="14">
        <v>0</v>
      </c>
      <c r="Z729" s="14">
        <v>0</v>
      </c>
      <c r="AA729" s="14">
        <f>Tabla13[[#This Row],[CheckList App]]+Tabla13[[#This Row],[CheckList Fisc]]</f>
        <v>0</v>
      </c>
      <c r="AB729" s="19">
        <f t="shared" si="11"/>
        <v>0</v>
      </c>
      <c r="AC729" s="14">
        <v>0</v>
      </c>
      <c r="AD729" s="14" t="s">
        <v>55</v>
      </c>
      <c r="AE729" s="15" t="str">
        <f>IFERROR((VLOOKUP(Tabla13[[#This Row],[ID]],[1]!Mtto_Pesv[[#Headers],[#Data],[Placa]:[Rutina]],2,FALSE)),"-")</f>
        <v>-</v>
      </c>
      <c r="AF729" s="14">
        <v>0</v>
      </c>
      <c r="AG729" s="20">
        <f>IFERROR((VLOOKUP(Tabla13[[#This Row],[ID]],[1]!Mtto_Pesv[[#Headers],[#Data],[Placa]:[Rutina]],3,FALSE)),0)</f>
        <v>0</v>
      </c>
      <c r="AH729" s="20">
        <f>IFERROR((VLOOKUP(Tabla13[[#This Row],[ID]],[1]!Mtto_Pesv[[#Headers],[#Data],[Placa]:[Rutina]],7,FALSE)),0)</f>
        <v>0</v>
      </c>
      <c r="AI729" s="20">
        <f>IFERROR((VLOOKUP(Tabla13[[#This Row],[ID]],[1]!Mtto_Pesv[[#Headers],[#Data],[Placa]:[Rutina]],8,FALSE)),0)</f>
        <v>0</v>
      </c>
      <c r="AJ729" s="20" t="str">
        <f>IFERROR((VLOOKUP(Tabla13[[#This Row],[ID]],[1]!Mtto_Pesv[[#Headers],[#Data],[Placa]:[Rutina]],9,FALSE)),"-")</f>
        <v>-</v>
      </c>
      <c r="AK729" s="20">
        <f>IFERROR((VLOOKUP(Tabla13[[#This Row],[ID]],[1]!Mtto_Pesv[[#Headers],[#Data],[Placa]:[Rutina]],10,FALSE)),0)</f>
        <v>0</v>
      </c>
      <c r="AL729" s="20">
        <f>IF(Tabla13[[#This Row],[Km Anterior]]=0,0,Tabla13[[#This Row],[Km Ejecut]]-Tabla13[[#This Row],[Km Anterior]])</f>
        <v>0</v>
      </c>
      <c r="AM729" s="20">
        <f>IFERROR((VLOOKUP(Tabla13[[#This Row],[ID]],[1]!Mtto_Pesv[[#Headers],[#Data],[Placa]:[Rutina]],4,FALSE)),0)</f>
        <v>0</v>
      </c>
      <c r="AN729" s="21">
        <f>IFERROR((VLOOKUP(Tabla13[[#This Row],[ID]],[1]!Mtto_Pesv[[#Headers],[#Data],[Placa]:[Rutina]],5,FALSE)),0)</f>
        <v>0</v>
      </c>
      <c r="AO729" s="21">
        <f>+Tabla13[[#This Row],[Km Fin]]-Tabla13[[#This Row],[Km Ini]]</f>
        <v>0</v>
      </c>
      <c r="AP729" s="20">
        <f>IFERROR((VLOOKUP(Tabla13[[#This Row],[ID]],[1]!Estilo_Conduccion[[#All],[Placa]:[Puntuacion]],15,FALSE)),0)</f>
        <v>0</v>
      </c>
      <c r="AQ729" s="15" t="s">
        <v>1521</v>
      </c>
      <c r="AR729" s="15" t="s">
        <v>1522</v>
      </c>
      <c r="AS729" s="20">
        <v>1013</v>
      </c>
      <c r="AT729" s="21">
        <v>19364.4375</v>
      </c>
      <c r="AU729" s="21">
        <f>(Tabla13[[#This Row],[Cap Vh]]*$AX$2)*0.56</f>
        <v>0</v>
      </c>
      <c r="AV729" s="36" t="e">
        <f>(Tabla13[[#This Row],[Cap Util (kg)]]/(Tabla13[[#This Row],[Cap Inst (Kg)]]))</f>
        <v>#DIV/0!</v>
      </c>
    </row>
    <row r="730" spans="1:48" x14ac:dyDescent="0.25">
      <c r="A730" s="13" t="s">
        <v>1068</v>
      </c>
      <c r="B730" s="14" t="s">
        <v>969</v>
      </c>
      <c r="C730" s="14" t="s">
        <v>749</v>
      </c>
      <c r="D730" s="14" t="s">
        <v>749</v>
      </c>
      <c r="E730" s="14" t="s">
        <v>842</v>
      </c>
      <c r="F730" s="14" t="s">
        <v>64</v>
      </c>
      <c r="G730" s="15" t="s">
        <v>47</v>
      </c>
      <c r="H730" s="16" t="s">
        <v>48</v>
      </c>
      <c r="I730" s="14" t="s">
        <v>49</v>
      </c>
      <c r="J730" s="14">
        <v>900335279</v>
      </c>
      <c r="K730" s="14" t="s">
        <v>77</v>
      </c>
      <c r="L730" s="14" t="s">
        <v>405</v>
      </c>
      <c r="M730" s="14" t="s">
        <v>441</v>
      </c>
      <c r="N730" s="14">
        <v>2012</v>
      </c>
      <c r="O730" s="14">
        <v>8</v>
      </c>
      <c r="P730" s="14" t="s">
        <v>53</v>
      </c>
      <c r="Q730" s="14">
        <v>0</v>
      </c>
      <c r="R730" s="14">
        <v>0</v>
      </c>
      <c r="S730" s="17" t="s">
        <v>54</v>
      </c>
      <c r="T730" s="18">
        <v>0</v>
      </c>
      <c r="U730" s="14">
        <v>30</v>
      </c>
      <c r="V730" s="19">
        <v>1</v>
      </c>
      <c r="W730" s="14">
        <v>0</v>
      </c>
      <c r="X730" s="14">
        <v>0</v>
      </c>
      <c r="Y730" s="14">
        <v>0</v>
      </c>
      <c r="Z730" s="14">
        <v>0</v>
      </c>
      <c r="AA730" s="14">
        <f>Tabla13[[#This Row],[CheckList App]]+Tabla13[[#This Row],[CheckList Fisc]]</f>
        <v>0</v>
      </c>
      <c r="AB730" s="19">
        <f t="shared" si="11"/>
        <v>0</v>
      </c>
      <c r="AC730" s="14">
        <v>0</v>
      </c>
      <c r="AD730" s="14" t="s">
        <v>70</v>
      </c>
      <c r="AE730" s="15" t="str">
        <f>IFERROR((VLOOKUP(Tabla13[[#This Row],[ID]],[1]!Mtto_Pesv[[#Headers],[#Data],[Placa]:[Rutina]],2,FALSE)),"-")</f>
        <v>-</v>
      </c>
      <c r="AF730" s="14">
        <v>1</v>
      </c>
      <c r="AG730" s="20">
        <f>IFERROR((VLOOKUP(Tabla13[[#This Row],[ID]],[1]!Mtto_Pesv[[#Headers],[#Data],[Placa]:[Rutina]],3,FALSE)),0)</f>
        <v>0</v>
      </c>
      <c r="AH730" s="20">
        <f>IFERROR((VLOOKUP(Tabla13[[#This Row],[ID]],[1]!Mtto_Pesv[[#Headers],[#Data],[Placa]:[Rutina]],7,FALSE)),0)</f>
        <v>0</v>
      </c>
      <c r="AI730" s="20">
        <f>IFERROR((VLOOKUP(Tabla13[[#This Row],[ID]],[1]!Mtto_Pesv[[#Headers],[#Data],[Placa]:[Rutina]],8,FALSE)),0)</f>
        <v>0</v>
      </c>
      <c r="AJ730" s="20" t="str">
        <f>IFERROR((VLOOKUP(Tabla13[[#This Row],[ID]],[1]!Mtto_Pesv[[#Headers],[#Data],[Placa]:[Rutina]],9,FALSE)),"-")</f>
        <v>-</v>
      </c>
      <c r="AK730" s="20">
        <f>IFERROR((VLOOKUP(Tabla13[[#This Row],[ID]],[1]!Mtto_Pesv[[#Headers],[#Data],[Placa]:[Rutina]],10,FALSE)),0)</f>
        <v>0</v>
      </c>
      <c r="AL730" s="20">
        <f>IF(Tabla13[[#This Row],[Km Anterior]]=0,0,Tabla13[[#This Row],[Km Ejecut]]-Tabla13[[#This Row],[Km Anterior]])</f>
        <v>0</v>
      </c>
      <c r="AM730" s="20">
        <f>IFERROR((VLOOKUP(Tabla13[[#This Row],[ID]],[1]!Mtto_Pesv[[#Headers],[#Data],[Placa]:[Rutina]],4,FALSE)),0)</f>
        <v>0</v>
      </c>
      <c r="AN730" s="21">
        <f>IFERROR((VLOOKUP(Tabla13[[#This Row],[ID]],[1]!Mtto_Pesv[[#Headers],[#Data],[Placa]:[Rutina]],5,FALSE)),0)</f>
        <v>0</v>
      </c>
      <c r="AO730" s="21">
        <f>+Tabla13[[#This Row],[Km Fin]]-Tabla13[[#This Row],[Km Ini]]</f>
        <v>0</v>
      </c>
      <c r="AP730" s="20">
        <f>IFERROR((VLOOKUP(Tabla13[[#This Row],[ID]],[1]!Estilo_Conduccion[[#All],[Placa]:[Puntuacion]],15,FALSE)),0)</f>
        <v>0</v>
      </c>
      <c r="AQ730" s="15" t="s">
        <v>1483</v>
      </c>
      <c r="AR730" s="15" t="s">
        <v>1484</v>
      </c>
      <c r="AS730" s="20">
        <v>1013</v>
      </c>
      <c r="AT730" s="21">
        <v>5472</v>
      </c>
      <c r="AU730" s="21">
        <f>(Tabla13[[#This Row],[Cap Vh]]*$AX$2)*0.56</f>
        <v>0</v>
      </c>
      <c r="AV730" s="36" t="e">
        <f>(Tabla13[[#This Row],[Cap Util (kg)]]/(Tabla13[[#This Row],[Cap Inst (Kg)]]))</f>
        <v>#DIV/0!</v>
      </c>
    </row>
    <row r="731" spans="1:48" x14ac:dyDescent="0.25">
      <c r="A731" s="13" t="s">
        <v>1068</v>
      </c>
      <c r="B731" s="14" t="s">
        <v>970</v>
      </c>
      <c r="C731" s="14" t="s">
        <v>749</v>
      </c>
      <c r="D731" s="14" t="s">
        <v>749</v>
      </c>
      <c r="E731" s="14" t="s">
        <v>840</v>
      </c>
      <c r="F731" s="14" t="s">
        <v>76</v>
      </c>
      <c r="G731" s="14" t="s">
        <v>65</v>
      </c>
      <c r="H731" s="16" t="s">
        <v>66</v>
      </c>
      <c r="I731" s="14" t="s">
        <v>49</v>
      </c>
      <c r="J731" s="14">
        <v>900335279</v>
      </c>
      <c r="K731" s="14" t="s">
        <v>77</v>
      </c>
      <c r="L731" s="14" t="s">
        <v>405</v>
      </c>
      <c r="M731" s="14" t="s">
        <v>441</v>
      </c>
      <c r="N731" s="14">
        <v>2012</v>
      </c>
      <c r="O731" s="14">
        <v>8</v>
      </c>
      <c r="P731" s="14" t="s">
        <v>53</v>
      </c>
      <c r="Q731" s="14">
        <v>0</v>
      </c>
      <c r="R731" s="14">
        <v>0</v>
      </c>
      <c r="S731" s="17" t="s">
        <v>54</v>
      </c>
      <c r="T731" s="18">
        <v>0</v>
      </c>
      <c r="U731" s="14">
        <v>0</v>
      </c>
      <c r="V731" s="19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f>Tabla13[[#This Row],[CheckList App]]+Tabla13[[#This Row],[CheckList Fisc]]</f>
        <v>0</v>
      </c>
      <c r="AB731" s="19" t="str">
        <f t="shared" si="11"/>
        <v/>
      </c>
      <c r="AC731" s="14">
        <v>0</v>
      </c>
      <c r="AD731" s="14" t="s">
        <v>70</v>
      </c>
      <c r="AE731" s="15" t="str">
        <f>IFERROR((VLOOKUP(Tabla13[[#This Row],[ID]],[1]!Mtto_Pesv[[#Headers],[#Data],[Placa]:[Rutina]],2,FALSE)),"-")</f>
        <v>-</v>
      </c>
      <c r="AF731" s="14">
        <v>1</v>
      </c>
      <c r="AG731" s="20">
        <f>IFERROR((VLOOKUP(Tabla13[[#This Row],[ID]],[1]!Mtto_Pesv[[#Headers],[#Data],[Placa]:[Rutina]],3,FALSE)),0)</f>
        <v>0</v>
      </c>
      <c r="AH731" s="20">
        <f>IFERROR((VLOOKUP(Tabla13[[#This Row],[ID]],[1]!Mtto_Pesv[[#Headers],[#Data],[Placa]:[Rutina]],7,FALSE)),0)</f>
        <v>0</v>
      </c>
      <c r="AI731" s="20">
        <f>IFERROR((VLOOKUP(Tabla13[[#This Row],[ID]],[1]!Mtto_Pesv[[#Headers],[#Data],[Placa]:[Rutina]],8,FALSE)),0)</f>
        <v>0</v>
      </c>
      <c r="AJ731" s="20" t="str">
        <f>IFERROR((VLOOKUP(Tabla13[[#This Row],[ID]],[1]!Mtto_Pesv[[#Headers],[#Data],[Placa]:[Rutina]],9,FALSE)),"-")</f>
        <v>-</v>
      </c>
      <c r="AK731" s="20">
        <f>IFERROR((VLOOKUP(Tabla13[[#This Row],[ID]],[1]!Mtto_Pesv[[#Headers],[#Data],[Placa]:[Rutina]],10,FALSE)),0)</f>
        <v>0</v>
      </c>
      <c r="AL731" s="20">
        <f>IF(Tabla13[[#This Row],[Km Anterior]]=0,0,Tabla13[[#This Row],[Km Ejecut]]-Tabla13[[#This Row],[Km Anterior]])</f>
        <v>0</v>
      </c>
      <c r="AM731" s="20">
        <f>IFERROR((VLOOKUP(Tabla13[[#This Row],[ID]],[1]!Mtto_Pesv[[#Headers],[#Data],[Placa]:[Rutina]],4,FALSE)),0)</f>
        <v>0</v>
      </c>
      <c r="AN731" s="21">
        <f>IFERROR((VLOOKUP(Tabla13[[#This Row],[ID]],[1]!Mtto_Pesv[[#Headers],[#Data],[Placa]:[Rutina]],5,FALSE)),0)</f>
        <v>0</v>
      </c>
      <c r="AO731" s="21">
        <f>+Tabla13[[#This Row],[Km Fin]]-Tabla13[[#This Row],[Km Ini]]</f>
        <v>0</v>
      </c>
      <c r="AP731" s="20">
        <f>IFERROR((VLOOKUP(Tabla13[[#This Row],[ID]],[1]!Estilo_Conduccion[[#All],[Placa]:[Puntuacion]],15,FALSE)),0)</f>
        <v>0</v>
      </c>
      <c r="AQ731" s="15" t="s">
        <v>54</v>
      </c>
      <c r="AR731" s="15" t="s">
        <v>54</v>
      </c>
      <c r="AS731" s="20">
        <v>1013</v>
      </c>
      <c r="AT731" s="21">
        <v>0</v>
      </c>
      <c r="AU731" s="21">
        <f>(Tabla13[[#This Row],[Cap Vh]]*$AX$2)*0.56</f>
        <v>0</v>
      </c>
      <c r="AV731" s="36" t="e">
        <f>(Tabla13[[#This Row],[Cap Util (kg)]]/(Tabla13[[#This Row],[Cap Inst (Kg)]]))</f>
        <v>#DIV/0!</v>
      </c>
    </row>
    <row r="732" spans="1:48" x14ac:dyDescent="0.25">
      <c r="A732" s="13" t="s">
        <v>1068</v>
      </c>
      <c r="B732" s="14" t="s">
        <v>971</v>
      </c>
      <c r="C732" s="14" t="s">
        <v>749</v>
      </c>
      <c r="D732" s="14" t="s">
        <v>749</v>
      </c>
      <c r="E732" s="14" t="s">
        <v>842</v>
      </c>
      <c r="F732" s="14" t="s">
        <v>64</v>
      </c>
      <c r="G732" s="15" t="s">
        <v>47</v>
      </c>
      <c r="H732" s="16" t="s">
        <v>48</v>
      </c>
      <c r="I732" s="14" t="s">
        <v>49</v>
      </c>
      <c r="J732" s="14">
        <v>900335279</v>
      </c>
      <c r="K732" s="14" t="s">
        <v>77</v>
      </c>
      <c r="L732" s="14" t="s">
        <v>405</v>
      </c>
      <c r="M732" s="14" t="s">
        <v>441</v>
      </c>
      <c r="N732" s="14">
        <v>2012</v>
      </c>
      <c r="O732" s="14">
        <v>8</v>
      </c>
      <c r="P732" s="14" t="s">
        <v>53</v>
      </c>
      <c r="Q732" s="14">
        <v>0</v>
      </c>
      <c r="R732" s="14">
        <v>0</v>
      </c>
      <c r="S732" s="17" t="s">
        <v>54</v>
      </c>
      <c r="T732" s="18">
        <v>0</v>
      </c>
      <c r="U732" s="14">
        <v>30</v>
      </c>
      <c r="V732" s="19">
        <v>1</v>
      </c>
      <c r="W732" s="14">
        <v>0</v>
      </c>
      <c r="X732" s="14">
        <v>0</v>
      </c>
      <c r="Y732" s="14">
        <v>0</v>
      </c>
      <c r="Z732" s="14">
        <v>0</v>
      </c>
      <c r="AA732" s="14">
        <f>Tabla13[[#This Row],[CheckList App]]+Tabla13[[#This Row],[CheckList Fisc]]</f>
        <v>0</v>
      </c>
      <c r="AB732" s="19">
        <f t="shared" si="11"/>
        <v>0</v>
      </c>
      <c r="AC732" s="14">
        <v>0</v>
      </c>
      <c r="AD732" s="14" t="s">
        <v>70</v>
      </c>
      <c r="AE732" s="15" t="str">
        <f>IFERROR((VLOOKUP(Tabla13[[#This Row],[ID]],[1]!Mtto_Pesv[[#Headers],[#Data],[Placa]:[Rutina]],2,FALSE)),"-")</f>
        <v>-</v>
      </c>
      <c r="AF732" s="14">
        <v>1</v>
      </c>
      <c r="AG732" s="20">
        <f>IFERROR((VLOOKUP(Tabla13[[#This Row],[ID]],[1]!Mtto_Pesv[[#Headers],[#Data],[Placa]:[Rutina]],3,FALSE)),0)</f>
        <v>0</v>
      </c>
      <c r="AH732" s="20">
        <f>IFERROR((VLOOKUP(Tabla13[[#This Row],[ID]],[1]!Mtto_Pesv[[#Headers],[#Data],[Placa]:[Rutina]],7,FALSE)),0)</f>
        <v>0</v>
      </c>
      <c r="AI732" s="20">
        <f>IFERROR((VLOOKUP(Tabla13[[#This Row],[ID]],[1]!Mtto_Pesv[[#Headers],[#Data],[Placa]:[Rutina]],8,FALSE)),0)</f>
        <v>0</v>
      </c>
      <c r="AJ732" s="20" t="str">
        <f>IFERROR((VLOOKUP(Tabla13[[#This Row],[ID]],[1]!Mtto_Pesv[[#Headers],[#Data],[Placa]:[Rutina]],9,FALSE)),"-")</f>
        <v>-</v>
      </c>
      <c r="AK732" s="20">
        <f>IFERROR((VLOOKUP(Tabla13[[#This Row],[ID]],[1]!Mtto_Pesv[[#Headers],[#Data],[Placa]:[Rutina]],10,FALSE)),0)</f>
        <v>0</v>
      </c>
      <c r="AL732" s="20">
        <f>IF(Tabla13[[#This Row],[Km Anterior]]=0,0,Tabla13[[#This Row],[Km Ejecut]]-Tabla13[[#This Row],[Km Anterior]])</f>
        <v>0</v>
      </c>
      <c r="AM732" s="20">
        <f>IFERROR((VLOOKUP(Tabla13[[#This Row],[ID]],[1]!Mtto_Pesv[[#Headers],[#Data],[Placa]:[Rutina]],4,FALSE)),0)</f>
        <v>0</v>
      </c>
      <c r="AN732" s="21">
        <f>IFERROR((VLOOKUP(Tabla13[[#This Row],[ID]],[1]!Mtto_Pesv[[#Headers],[#Data],[Placa]:[Rutina]],5,FALSE)),0)</f>
        <v>0</v>
      </c>
      <c r="AO732" s="21">
        <f>+Tabla13[[#This Row],[Km Fin]]-Tabla13[[#This Row],[Km Ini]]</f>
        <v>0</v>
      </c>
      <c r="AP732" s="20">
        <f>IFERROR((VLOOKUP(Tabla13[[#This Row],[ID]],[1]!Estilo_Conduccion[[#All],[Placa]:[Puntuacion]],15,FALSE)),0)</f>
        <v>0</v>
      </c>
      <c r="AQ732" s="15" t="s">
        <v>1553</v>
      </c>
      <c r="AR732" s="15" t="s">
        <v>1554</v>
      </c>
      <c r="AS732" s="20">
        <v>1013</v>
      </c>
      <c r="AT732" s="21">
        <v>6240</v>
      </c>
      <c r="AU732" s="21">
        <f>(Tabla13[[#This Row],[Cap Vh]]*$AX$2)*0.56</f>
        <v>0</v>
      </c>
      <c r="AV732" s="36" t="e">
        <f>(Tabla13[[#This Row],[Cap Util (kg)]]/(Tabla13[[#This Row],[Cap Inst (Kg)]]))</f>
        <v>#DIV/0!</v>
      </c>
    </row>
    <row r="733" spans="1:48" x14ac:dyDescent="0.25">
      <c r="A733" s="13" t="s">
        <v>1068</v>
      </c>
      <c r="B733" s="14" t="s">
        <v>972</v>
      </c>
      <c r="C733" s="14" t="s">
        <v>749</v>
      </c>
      <c r="D733" s="14" t="s">
        <v>749</v>
      </c>
      <c r="E733" s="14" t="s">
        <v>840</v>
      </c>
      <c r="F733" s="14" t="s">
        <v>76</v>
      </c>
      <c r="G733" s="15" t="s">
        <v>89</v>
      </c>
      <c r="H733" s="16" t="s">
        <v>90</v>
      </c>
      <c r="I733" s="14" t="s">
        <v>49</v>
      </c>
      <c r="J733" s="14">
        <v>900335279</v>
      </c>
      <c r="K733" s="14" t="s">
        <v>77</v>
      </c>
      <c r="L733" s="14" t="s">
        <v>405</v>
      </c>
      <c r="M733" s="14" t="s">
        <v>441</v>
      </c>
      <c r="N733" s="14">
        <v>2012</v>
      </c>
      <c r="O733" s="14">
        <v>8</v>
      </c>
      <c r="P733" s="14" t="s">
        <v>53</v>
      </c>
      <c r="Q733" s="14">
        <v>0</v>
      </c>
      <c r="R733" s="14">
        <v>0</v>
      </c>
      <c r="S733" s="17" t="s">
        <v>54</v>
      </c>
      <c r="T733" s="18">
        <v>0</v>
      </c>
      <c r="U733" s="14">
        <v>30</v>
      </c>
      <c r="V733" s="19">
        <v>1</v>
      </c>
      <c r="W733" s="14">
        <v>0</v>
      </c>
      <c r="X733" s="14">
        <v>0</v>
      </c>
      <c r="Y733" s="14">
        <v>0</v>
      </c>
      <c r="Z733" s="14">
        <v>0</v>
      </c>
      <c r="AA733" s="14">
        <f>Tabla13[[#This Row],[CheckList App]]+Tabla13[[#This Row],[CheckList Fisc]]</f>
        <v>0</v>
      </c>
      <c r="AB733" s="19">
        <f t="shared" si="11"/>
        <v>0</v>
      </c>
      <c r="AC733" s="14">
        <v>0</v>
      </c>
      <c r="AD733" s="14" t="s">
        <v>70</v>
      </c>
      <c r="AE733" s="15" t="str">
        <f>IFERROR((VLOOKUP(Tabla13[[#This Row],[ID]],[1]!Mtto_Pesv[[#Headers],[#Data],[Placa]:[Rutina]],2,FALSE)),"-")</f>
        <v>-</v>
      </c>
      <c r="AF733" s="14">
        <v>1</v>
      </c>
      <c r="AG733" s="20">
        <f>IFERROR((VLOOKUP(Tabla13[[#This Row],[ID]],[1]!Mtto_Pesv[[#Headers],[#Data],[Placa]:[Rutina]],3,FALSE)),0)</f>
        <v>0</v>
      </c>
      <c r="AH733" s="20">
        <f>IFERROR((VLOOKUP(Tabla13[[#This Row],[ID]],[1]!Mtto_Pesv[[#Headers],[#Data],[Placa]:[Rutina]],7,FALSE)),0)</f>
        <v>0</v>
      </c>
      <c r="AI733" s="20">
        <f>IFERROR((VLOOKUP(Tabla13[[#This Row],[ID]],[1]!Mtto_Pesv[[#Headers],[#Data],[Placa]:[Rutina]],8,FALSE)),0)</f>
        <v>0</v>
      </c>
      <c r="AJ733" s="20" t="str">
        <f>IFERROR((VLOOKUP(Tabla13[[#This Row],[ID]],[1]!Mtto_Pesv[[#Headers],[#Data],[Placa]:[Rutina]],9,FALSE)),"-")</f>
        <v>-</v>
      </c>
      <c r="AK733" s="20">
        <f>IFERROR((VLOOKUP(Tabla13[[#This Row],[ID]],[1]!Mtto_Pesv[[#Headers],[#Data],[Placa]:[Rutina]],10,FALSE)),0)</f>
        <v>0</v>
      </c>
      <c r="AL733" s="20">
        <f>IF(Tabla13[[#This Row],[Km Anterior]]=0,0,Tabla13[[#This Row],[Km Ejecut]]-Tabla13[[#This Row],[Km Anterior]])</f>
        <v>0</v>
      </c>
      <c r="AM733" s="20">
        <f>IFERROR((VLOOKUP(Tabla13[[#This Row],[ID]],[1]!Mtto_Pesv[[#Headers],[#Data],[Placa]:[Rutina]],4,FALSE)),0)</f>
        <v>0</v>
      </c>
      <c r="AN733" s="21">
        <f>IFERROR((VLOOKUP(Tabla13[[#This Row],[ID]],[1]!Mtto_Pesv[[#Headers],[#Data],[Placa]:[Rutina]],5,FALSE)),0)</f>
        <v>0</v>
      </c>
      <c r="AO733" s="21">
        <f>+Tabla13[[#This Row],[Km Fin]]-Tabla13[[#This Row],[Km Ini]]</f>
        <v>0</v>
      </c>
      <c r="AP733" s="20">
        <f>IFERROR((VLOOKUP(Tabla13[[#This Row],[ID]],[1]!Estilo_Conduccion[[#All],[Placa]:[Puntuacion]],15,FALSE)),0)</f>
        <v>0</v>
      </c>
      <c r="AQ733" s="15" t="s">
        <v>1555</v>
      </c>
      <c r="AR733" s="15" t="s">
        <v>1556</v>
      </c>
      <c r="AS733" s="20">
        <v>1013</v>
      </c>
      <c r="AT733" s="21">
        <v>5503.5</v>
      </c>
      <c r="AU733" s="21">
        <f>(Tabla13[[#This Row],[Cap Vh]]*$AX$2)*0.56</f>
        <v>0</v>
      </c>
      <c r="AV733" s="36" t="e">
        <f>(Tabla13[[#This Row],[Cap Util (kg)]]/(Tabla13[[#This Row],[Cap Inst (Kg)]]))</f>
        <v>#DIV/0!</v>
      </c>
    </row>
    <row r="734" spans="1:48" x14ac:dyDescent="0.25">
      <c r="A734" s="13" t="s">
        <v>1068</v>
      </c>
      <c r="B734" s="14" t="s">
        <v>973</v>
      </c>
      <c r="C734" s="14" t="s">
        <v>749</v>
      </c>
      <c r="D734" s="14" t="s">
        <v>749</v>
      </c>
      <c r="E734" s="14" t="s">
        <v>872</v>
      </c>
      <c r="F734" s="14" t="s">
        <v>76</v>
      </c>
      <c r="G734" s="15" t="s">
        <v>89</v>
      </c>
      <c r="H734" s="16" t="s">
        <v>90</v>
      </c>
      <c r="I734" s="14" t="s">
        <v>49</v>
      </c>
      <c r="J734" s="14">
        <v>900335279</v>
      </c>
      <c r="K734" s="14" t="s">
        <v>77</v>
      </c>
      <c r="L734" s="14" t="s">
        <v>405</v>
      </c>
      <c r="M734" s="14" t="s">
        <v>441</v>
      </c>
      <c r="N734" s="14">
        <v>2012</v>
      </c>
      <c r="O734" s="14">
        <v>8</v>
      </c>
      <c r="P734" s="14" t="s">
        <v>53</v>
      </c>
      <c r="Q734" s="14">
        <v>0</v>
      </c>
      <c r="R734" s="14">
        <v>0</v>
      </c>
      <c r="S734" s="17" t="s">
        <v>54</v>
      </c>
      <c r="T734" s="18">
        <v>0</v>
      </c>
      <c r="U734" s="14">
        <v>30</v>
      </c>
      <c r="V734" s="19">
        <v>1</v>
      </c>
      <c r="W734" s="14">
        <v>0</v>
      </c>
      <c r="X734" s="14">
        <v>0</v>
      </c>
      <c r="Y734" s="14">
        <v>0</v>
      </c>
      <c r="Z734" s="14">
        <v>0</v>
      </c>
      <c r="AA734" s="14">
        <f>Tabla13[[#This Row],[CheckList App]]+Tabla13[[#This Row],[CheckList Fisc]]</f>
        <v>0</v>
      </c>
      <c r="AB734" s="19">
        <f t="shared" si="11"/>
        <v>0</v>
      </c>
      <c r="AC734" s="14">
        <v>0</v>
      </c>
      <c r="AD734" s="14" t="s">
        <v>70</v>
      </c>
      <c r="AE734" s="15" t="str">
        <f>IFERROR((VLOOKUP(Tabla13[[#This Row],[ID]],[1]!Mtto_Pesv[[#Headers],[#Data],[Placa]:[Rutina]],2,FALSE)),"-")</f>
        <v>-</v>
      </c>
      <c r="AF734" s="14">
        <v>1</v>
      </c>
      <c r="AG734" s="20">
        <f>IFERROR((VLOOKUP(Tabla13[[#This Row],[ID]],[1]!Mtto_Pesv[[#Headers],[#Data],[Placa]:[Rutina]],3,FALSE)),0)</f>
        <v>0</v>
      </c>
      <c r="AH734" s="20">
        <f>IFERROR((VLOOKUP(Tabla13[[#This Row],[ID]],[1]!Mtto_Pesv[[#Headers],[#Data],[Placa]:[Rutina]],7,FALSE)),0)</f>
        <v>0</v>
      </c>
      <c r="AI734" s="20">
        <f>IFERROR((VLOOKUP(Tabla13[[#This Row],[ID]],[1]!Mtto_Pesv[[#Headers],[#Data],[Placa]:[Rutina]],8,FALSE)),0)</f>
        <v>0</v>
      </c>
      <c r="AJ734" s="20" t="str">
        <f>IFERROR((VLOOKUP(Tabla13[[#This Row],[ID]],[1]!Mtto_Pesv[[#Headers],[#Data],[Placa]:[Rutina]],9,FALSE)),"-")</f>
        <v>-</v>
      </c>
      <c r="AK734" s="20">
        <f>IFERROR((VLOOKUP(Tabla13[[#This Row],[ID]],[1]!Mtto_Pesv[[#Headers],[#Data],[Placa]:[Rutina]],10,FALSE)),0)</f>
        <v>0</v>
      </c>
      <c r="AL734" s="20">
        <f>IF(Tabla13[[#This Row],[Km Anterior]]=0,0,Tabla13[[#This Row],[Km Ejecut]]-Tabla13[[#This Row],[Km Anterior]])</f>
        <v>0</v>
      </c>
      <c r="AM734" s="20">
        <f>IFERROR((VLOOKUP(Tabla13[[#This Row],[ID]],[1]!Mtto_Pesv[[#Headers],[#Data],[Placa]:[Rutina]],4,FALSE)),0)</f>
        <v>0</v>
      </c>
      <c r="AN734" s="21">
        <f>IFERROR((VLOOKUP(Tabla13[[#This Row],[ID]],[1]!Mtto_Pesv[[#Headers],[#Data],[Placa]:[Rutina]],5,FALSE)),0)</f>
        <v>0</v>
      </c>
      <c r="AO734" s="21">
        <f>+Tabla13[[#This Row],[Km Fin]]-Tabla13[[#This Row],[Km Ini]]</f>
        <v>0</v>
      </c>
      <c r="AP734" s="20">
        <f>IFERROR((VLOOKUP(Tabla13[[#This Row],[ID]],[1]!Estilo_Conduccion[[#All],[Placa]:[Puntuacion]],15,FALSE)),0)</f>
        <v>0</v>
      </c>
      <c r="AQ734" s="15" t="s">
        <v>1557</v>
      </c>
      <c r="AR734" s="15" t="s">
        <v>1558</v>
      </c>
      <c r="AS734" s="20">
        <v>1013</v>
      </c>
      <c r="AT734" s="21">
        <v>51064.5</v>
      </c>
      <c r="AU734" s="21">
        <f>(Tabla13[[#This Row],[Cap Vh]]*$AX$2)*0.56</f>
        <v>0</v>
      </c>
      <c r="AV734" s="36" t="e">
        <f>(Tabla13[[#This Row],[Cap Util (kg)]]/(Tabla13[[#This Row],[Cap Inst (Kg)]]))</f>
        <v>#DIV/0!</v>
      </c>
    </row>
    <row r="735" spans="1:48" x14ac:dyDescent="0.25">
      <c r="A735" s="13" t="s">
        <v>1068</v>
      </c>
      <c r="B735" s="14" t="s">
        <v>975</v>
      </c>
      <c r="C735" s="14" t="s">
        <v>749</v>
      </c>
      <c r="D735" s="14" t="s">
        <v>749</v>
      </c>
      <c r="E735" s="14" t="s">
        <v>848</v>
      </c>
      <c r="F735" s="14" t="s">
        <v>76</v>
      </c>
      <c r="G735" s="15" t="s">
        <v>89</v>
      </c>
      <c r="H735" s="16" t="s">
        <v>90</v>
      </c>
      <c r="I735" s="14" t="s">
        <v>49</v>
      </c>
      <c r="J735" s="14">
        <v>900335279</v>
      </c>
      <c r="K735" s="14" t="s">
        <v>77</v>
      </c>
      <c r="L735" s="14" t="s">
        <v>405</v>
      </c>
      <c r="M735" s="14" t="s">
        <v>441</v>
      </c>
      <c r="N735" s="14">
        <v>2012</v>
      </c>
      <c r="O735" s="14">
        <v>8</v>
      </c>
      <c r="P735" s="14" t="s">
        <v>53</v>
      </c>
      <c r="Q735" s="14">
        <v>0</v>
      </c>
      <c r="R735" s="14">
        <v>0</v>
      </c>
      <c r="S735" s="17" t="s">
        <v>54</v>
      </c>
      <c r="T735" s="18">
        <v>0</v>
      </c>
      <c r="U735" s="14">
        <v>30</v>
      </c>
      <c r="V735" s="19">
        <v>1</v>
      </c>
      <c r="W735" s="14">
        <v>0</v>
      </c>
      <c r="X735" s="14">
        <v>0</v>
      </c>
      <c r="Y735" s="14">
        <v>0</v>
      </c>
      <c r="Z735" s="14">
        <v>0</v>
      </c>
      <c r="AA735" s="14">
        <f>Tabla13[[#This Row],[CheckList App]]+Tabla13[[#This Row],[CheckList Fisc]]</f>
        <v>0</v>
      </c>
      <c r="AB735" s="19">
        <f t="shared" si="11"/>
        <v>0</v>
      </c>
      <c r="AC735" s="14">
        <v>0</v>
      </c>
      <c r="AD735" s="14" t="s">
        <v>70</v>
      </c>
      <c r="AE735" s="15" t="str">
        <f>IFERROR((VLOOKUP(Tabla13[[#This Row],[ID]],[1]!Mtto_Pesv[[#Headers],[#Data],[Placa]:[Rutina]],2,FALSE)),"-")</f>
        <v>-</v>
      </c>
      <c r="AF735" s="14">
        <v>1</v>
      </c>
      <c r="AG735" s="20">
        <f>IFERROR((VLOOKUP(Tabla13[[#This Row],[ID]],[1]!Mtto_Pesv[[#Headers],[#Data],[Placa]:[Rutina]],3,FALSE)),0)</f>
        <v>0</v>
      </c>
      <c r="AH735" s="20">
        <f>IFERROR((VLOOKUP(Tabla13[[#This Row],[ID]],[1]!Mtto_Pesv[[#Headers],[#Data],[Placa]:[Rutina]],7,FALSE)),0)</f>
        <v>0</v>
      </c>
      <c r="AI735" s="20">
        <f>IFERROR((VLOOKUP(Tabla13[[#This Row],[ID]],[1]!Mtto_Pesv[[#Headers],[#Data],[Placa]:[Rutina]],8,FALSE)),0)</f>
        <v>0</v>
      </c>
      <c r="AJ735" s="20" t="str">
        <f>IFERROR((VLOOKUP(Tabla13[[#This Row],[ID]],[1]!Mtto_Pesv[[#Headers],[#Data],[Placa]:[Rutina]],9,FALSE)),"-")</f>
        <v>-</v>
      </c>
      <c r="AK735" s="20">
        <f>IFERROR((VLOOKUP(Tabla13[[#This Row],[ID]],[1]!Mtto_Pesv[[#Headers],[#Data],[Placa]:[Rutina]],10,FALSE)),0)</f>
        <v>0</v>
      </c>
      <c r="AL735" s="20">
        <f>IF(Tabla13[[#This Row],[Km Anterior]]=0,0,Tabla13[[#This Row],[Km Ejecut]]-Tabla13[[#This Row],[Km Anterior]])</f>
        <v>0</v>
      </c>
      <c r="AM735" s="20">
        <f>IFERROR((VLOOKUP(Tabla13[[#This Row],[ID]],[1]!Mtto_Pesv[[#Headers],[#Data],[Placa]:[Rutina]],4,FALSE)),0)</f>
        <v>0</v>
      </c>
      <c r="AN735" s="21">
        <f>IFERROR((VLOOKUP(Tabla13[[#This Row],[ID]],[1]!Mtto_Pesv[[#Headers],[#Data],[Placa]:[Rutina]],5,FALSE)),0)</f>
        <v>0</v>
      </c>
      <c r="AO735" s="21">
        <f>+Tabla13[[#This Row],[Km Fin]]-Tabla13[[#This Row],[Km Ini]]</f>
        <v>0</v>
      </c>
      <c r="AP735" s="20">
        <f>IFERROR((VLOOKUP(Tabla13[[#This Row],[ID]],[1]!Estilo_Conduccion[[#All],[Placa]:[Puntuacion]],15,FALSE)),0)</f>
        <v>0</v>
      </c>
      <c r="AQ735" s="15" t="s">
        <v>1457</v>
      </c>
      <c r="AR735" s="15" t="s">
        <v>1458</v>
      </c>
      <c r="AS735" s="20">
        <v>1013</v>
      </c>
      <c r="AT735" s="21">
        <v>8189.25</v>
      </c>
      <c r="AU735" s="21">
        <f>(Tabla13[[#This Row],[Cap Vh]]*$AX$2)*0.56</f>
        <v>0</v>
      </c>
      <c r="AV735" s="36" t="e">
        <f>(Tabla13[[#This Row],[Cap Util (kg)]]/(Tabla13[[#This Row],[Cap Inst (Kg)]]))</f>
        <v>#DIV/0!</v>
      </c>
    </row>
    <row r="736" spans="1:48" x14ac:dyDescent="0.25">
      <c r="A736" s="13" t="s">
        <v>1068</v>
      </c>
      <c r="B736" s="14" t="s">
        <v>976</v>
      </c>
      <c r="C736" s="14" t="s">
        <v>749</v>
      </c>
      <c r="D736" s="14" t="s">
        <v>749</v>
      </c>
      <c r="E736" s="14" t="s">
        <v>842</v>
      </c>
      <c r="F736" s="14" t="s">
        <v>64</v>
      </c>
      <c r="G736" s="15" t="s">
        <v>47</v>
      </c>
      <c r="H736" s="16" t="s">
        <v>48</v>
      </c>
      <c r="I736" s="14" t="s">
        <v>49</v>
      </c>
      <c r="J736" s="14">
        <v>900335279</v>
      </c>
      <c r="K736" s="14" t="s">
        <v>77</v>
      </c>
      <c r="L736" s="14" t="s">
        <v>405</v>
      </c>
      <c r="M736" s="14" t="s">
        <v>441</v>
      </c>
      <c r="N736" s="14">
        <v>2012</v>
      </c>
      <c r="O736" s="14">
        <v>8</v>
      </c>
      <c r="P736" s="14" t="s">
        <v>53</v>
      </c>
      <c r="Q736" s="14">
        <v>0</v>
      </c>
      <c r="R736" s="14">
        <v>0</v>
      </c>
      <c r="S736" s="17" t="s">
        <v>54</v>
      </c>
      <c r="T736" s="18">
        <v>0</v>
      </c>
      <c r="U736" s="14">
        <v>30</v>
      </c>
      <c r="V736" s="19">
        <v>1</v>
      </c>
      <c r="W736" s="14">
        <v>0</v>
      </c>
      <c r="X736" s="14">
        <v>0</v>
      </c>
      <c r="Y736" s="14">
        <v>0</v>
      </c>
      <c r="Z736" s="14">
        <v>0</v>
      </c>
      <c r="AA736" s="14">
        <f>Tabla13[[#This Row],[CheckList App]]+Tabla13[[#This Row],[CheckList Fisc]]</f>
        <v>0</v>
      </c>
      <c r="AB736" s="19">
        <f t="shared" si="11"/>
        <v>0</v>
      </c>
      <c r="AC736" s="14">
        <v>0</v>
      </c>
      <c r="AD736" s="14" t="s">
        <v>70</v>
      </c>
      <c r="AE736" s="15" t="str">
        <f>IFERROR((VLOOKUP(Tabla13[[#This Row],[ID]],[1]!Mtto_Pesv[[#Headers],[#Data],[Placa]:[Rutina]],2,FALSE)),"-")</f>
        <v>-</v>
      </c>
      <c r="AF736" s="14">
        <v>1</v>
      </c>
      <c r="AG736" s="20">
        <f>IFERROR((VLOOKUP(Tabla13[[#This Row],[ID]],[1]!Mtto_Pesv[[#Headers],[#Data],[Placa]:[Rutina]],3,FALSE)),0)</f>
        <v>0</v>
      </c>
      <c r="AH736" s="20">
        <f>IFERROR((VLOOKUP(Tabla13[[#This Row],[ID]],[1]!Mtto_Pesv[[#Headers],[#Data],[Placa]:[Rutina]],7,FALSE)),0)</f>
        <v>0</v>
      </c>
      <c r="AI736" s="20">
        <f>IFERROR((VLOOKUP(Tabla13[[#This Row],[ID]],[1]!Mtto_Pesv[[#Headers],[#Data],[Placa]:[Rutina]],8,FALSE)),0)</f>
        <v>0</v>
      </c>
      <c r="AJ736" s="20" t="str">
        <f>IFERROR((VLOOKUP(Tabla13[[#This Row],[ID]],[1]!Mtto_Pesv[[#Headers],[#Data],[Placa]:[Rutina]],9,FALSE)),"-")</f>
        <v>-</v>
      </c>
      <c r="AK736" s="20">
        <f>IFERROR((VLOOKUP(Tabla13[[#This Row],[ID]],[1]!Mtto_Pesv[[#Headers],[#Data],[Placa]:[Rutina]],10,FALSE)),0)</f>
        <v>0</v>
      </c>
      <c r="AL736" s="20">
        <f>IF(Tabla13[[#This Row],[Km Anterior]]=0,0,Tabla13[[#This Row],[Km Ejecut]]-Tabla13[[#This Row],[Km Anterior]])</f>
        <v>0</v>
      </c>
      <c r="AM736" s="20">
        <f>IFERROR((VLOOKUP(Tabla13[[#This Row],[ID]],[1]!Mtto_Pesv[[#Headers],[#Data],[Placa]:[Rutina]],4,FALSE)),0)</f>
        <v>0</v>
      </c>
      <c r="AN736" s="21">
        <f>IFERROR((VLOOKUP(Tabla13[[#This Row],[ID]],[1]!Mtto_Pesv[[#Headers],[#Data],[Placa]:[Rutina]],5,FALSE)),0)</f>
        <v>0</v>
      </c>
      <c r="AO736" s="21">
        <f>+Tabla13[[#This Row],[Km Fin]]-Tabla13[[#This Row],[Km Ini]]</f>
        <v>0</v>
      </c>
      <c r="AP736" s="20">
        <f>IFERROR((VLOOKUP(Tabla13[[#This Row],[ID]],[1]!Estilo_Conduccion[[#All],[Placa]:[Puntuacion]],15,FALSE)),0)</f>
        <v>0</v>
      </c>
      <c r="AQ736" s="15" t="s">
        <v>1069</v>
      </c>
      <c r="AR736" s="15" t="s">
        <v>1559</v>
      </c>
      <c r="AS736" s="20">
        <v>1013</v>
      </c>
      <c r="AT736" s="21">
        <v>0</v>
      </c>
      <c r="AU736" s="21">
        <f>(Tabla13[[#This Row],[Cap Vh]]*$AX$2)*0.56</f>
        <v>0</v>
      </c>
      <c r="AV736" s="36" t="e">
        <f>(Tabla13[[#This Row],[Cap Util (kg)]]/(Tabla13[[#This Row],[Cap Inst (Kg)]]))</f>
        <v>#DIV/0!</v>
      </c>
    </row>
    <row r="737" spans="1:48" x14ac:dyDescent="0.25">
      <c r="A737" s="13" t="s">
        <v>1068</v>
      </c>
      <c r="B737" s="14" t="s">
        <v>978</v>
      </c>
      <c r="C737" s="14" t="s">
        <v>749</v>
      </c>
      <c r="D737" s="14" t="s">
        <v>749</v>
      </c>
      <c r="E737" s="14" t="s">
        <v>897</v>
      </c>
      <c r="F737" s="14" t="s">
        <v>76</v>
      </c>
      <c r="G737" s="15" t="s">
        <v>89</v>
      </c>
      <c r="H737" s="16" t="s">
        <v>90</v>
      </c>
      <c r="I737" s="14" t="s">
        <v>49</v>
      </c>
      <c r="J737" s="14">
        <v>900335279</v>
      </c>
      <c r="K737" s="14" t="s">
        <v>77</v>
      </c>
      <c r="L737" s="14" t="s">
        <v>405</v>
      </c>
      <c r="M737" s="14" t="s">
        <v>441</v>
      </c>
      <c r="N737" s="14">
        <v>2012</v>
      </c>
      <c r="O737" s="14">
        <v>8</v>
      </c>
      <c r="P737" s="14" t="s">
        <v>53</v>
      </c>
      <c r="Q737" s="14">
        <v>0</v>
      </c>
      <c r="R737" s="14">
        <v>0</v>
      </c>
      <c r="S737" s="17" t="s">
        <v>54</v>
      </c>
      <c r="T737" s="18">
        <v>0</v>
      </c>
      <c r="U737" s="14">
        <v>30</v>
      </c>
      <c r="V737" s="19">
        <v>1</v>
      </c>
      <c r="W737" s="14">
        <v>0</v>
      </c>
      <c r="X737" s="14">
        <v>0</v>
      </c>
      <c r="Y737" s="14">
        <v>0</v>
      </c>
      <c r="Z737" s="14">
        <v>0</v>
      </c>
      <c r="AA737" s="14">
        <f>Tabla13[[#This Row],[CheckList App]]+Tabla13[[#This Row],[CheckList Fisc]]</f>
        <v>0</v>
      </c>
      <c r="AB737" s="19">
        <f t="shared" si="11"/>
        <v>0</v>
      </c>
      <c r="AC737" s="14">
        <v>0</v>
      </c>
      <c r="AD737" s="14" t="s">
        <v>70</v>
      </c>
      <c r="AE737" s="15" t="str">
        <f>IFERROR((VLOOKUP(Tabla13[[#This Row],[ID]],[1]!Mtto_Pesv[[#Headers],[#Data],[Placa]:[Rutina]],2,FALSE)),"-")</f>
        <v>-</v>
      </c>
      <c r="AF737" s="14">
        <v>1</v>
      </c>
      <c r="AG737" s="20">
        <f>IFERROR((VLOOKUP(Tabla13[[#This Row],[ID]],[1]!Mtto_Pesv[[#Headers],[#Data],[Placa]:[Rutina]],3,FALSE)),0)</f>
        <v>0</v>
      </c>
      <c r="AH737" s="20">
        <f>IFERROR((VLOOKUP(Tabla13[[#This Row],[ID]],[1]!Mtto_Pesv[[#Headers],[#Data],[Placa]:[Rutina]],7,FALSE)),0)</f>
        <v>0</v>
      </c>
      <c r="AI737" s="20">
        <f>IFERROR((VLOOKUP(Tabla13[[#This Row],[ID]],[1]!Mtto_Pesv[[#Headers],[#Data],[Placa]:[Rutina]],8,FALSE)),0)</f>
        <v>0</v>
      </c>
      <c r="AJ737" s="20" t="str">
        <f>IFERROR((VLOOKUP(Tabla13[[#This Row],[ID]],[1]!Mtto_Pesv[[#Headers],[#Data],[Placa]:[Rutina]],9,FALSE)),"-")</f>
        <v>-</v>
      </c>
      <c r="AK737" s="20">
        <f>IFERROR((VLOOKUP(Tabla13[[#This Row],[ID]],[1]!Mtto_Pesv[[#Headers],[#Data],[Placa]:[Rutina]],10,FALSE)),0)</f>
        <v>0</v>
      </c>
      <c r="AL737" s="20">
        <f>IF(Tabla13[[#This Row],[Km Anterior]]=0,0,Tabla13[[#This Row],[Km Ejecut]]-Tabla13[[#This Row],[Km Anterior]])</f>
        <v>0</v>
      </c>
      <c r="AM737" s="20">
        <f>IFERROR((VLOOKUP(Tabla13[[#This Row],[ID]],[1]!Mtto_Pesv[[#Headers],[#Data],[Placa]:[Rutina]],4,FALSE)),0)</f>
        <v>0</v>
      </c>
      <c r="AN737" s="21">
        <f>IFERROR((VLOOKUP(Tabla13[[#This Row],[ID]],[1]!Mtto_Pesv[[#Headers],[#Data],[Placa]:[Rutina]],5,FALSE)),0)</f>
        <v>0</v>
      </c>
      <c r="AO737" s="21">
        <f>+Tabla13[[#This Row],[Km Fin]]-Tabla13[[#This Row],[Km Ini]]</f>
        <v>0</v>
      </c>
      <c r="AP737" s="20">
        <f>IFERROR((VLOOKUP(Tabla13[[#This Row],[ID]],[1]!Estilo_Conduccion[[#All],[Placa]:[Puntuacion]],15,FALSE)),0)</f>
        <v>0</v>
      </c>
      <c r="AQ737" s="15" t="s">
        <v>1538</v>
      </c>
      <c r="AR737" s="15" t="s">
        <v>1539</v>
      </c>
      <c r="AS737" s="20">
        <v>1013</v>
      </c>
      <c r="AT737" s="21">
        <v>3337</v>
      </c>
      <c r="AU737" s="21">
        <f>(Tabla13[[#This Row],[Cap Vh]]*$AX$2)*0.56</f>
        <v>0</v>
      </c>
      <c r="AV737" s="36" t="e">
        <f>(Tabla13[[#This Row],[Cap Util (kg)]]/(Tabla13[[#This Row],[Cap Inst (Kg)]]))</f>
        <v>#DIV/0!</v>
      </c>
    </row>
    <row r="738" spans="1:48" x14ac:dyDescent="0.25">
      <c r="A738" s="13" t="s">
        <v>1068</v>
      </c>
      <c r="B738" s="14" t="s">
        <v>979</v>
      </c>
      <c r="C738" s="14" t="s">
        <v>749</v>
      </c>
      <c r="D738" s="14" t="s">
        <v>749</v>
      </c>
      <c r="E738" s="14" t="s">
        <v>840</v>
      </c>
      <c r="F738" s="14" t="s">
        <v>76</v>
      </c>
      <c r="G738" s="15" t="s">
        <v>47</v>
      </c>
      <c r="H738" s="16" t="s">
        <v>48</v>
      </c>
      <c r="I738" s="14" t="s">
        <v>49</v>
      </c>
      <c r="J738" s="14">
        <v>900335279</v>
      </c>
      <c r="K738" s="14" t="s">
        <v>77</v>
      </c>
      <c r="L738" s="14" t="s">
        <v>405</v>
      </c>
      <c r="M738" s="14" t="s">
        <v>441</v>
      </c>
      <c r="N738" s="14">
        <v>2012</v>
      </c>
      <c r="O738" s="14">
        <v>8</v>
      </c>
      <c r="P738" s="14" t="s">
        <v>53</v>
      </c>
      <c r="Q738" s="14">
        <v>0</v>
      </c>
      <c r="R738" s="14">
        <v>0</v>
      </c>
      <c r="S738" s="17" t="s">
        <v>54</v>
      </c>
      <c r="T738" s="18">
        <v>0</v>
      </c>
      <c r="U738" s="14">
        <v>30</v>
      </c>
      <c r="V738" s="19">
        <v>1</v>
      </c>
      <c r="W738" s="14">
        <v>0</v>
      </c>
      <c r="X738" s="14">
        <v>0</v>
      </c>
      <c r="Y738" s="14">
        <v>0</v>
      </c>
      <c r="Z738" s="14">
        <v>0</v>
      </c>
      <c r="AA738" s="14">
        <f>Tabla13[[#This Row],[CheckList App]]+Tabla13[[#This Row],[CheckList Fisc]]</f>
        <v>0</v>
      </c>
      <c r="AB738" s="19">
        <f t="shared" si="11"/>
        <v>0</v>
      </c>
      <c r="AC738" s="14">
        <v>0</v>
      </c>
      <c r="AD738" s="14" t="s">
        <v>70</v>
      </c>
      <c r="AE738" s="15" t="str">
        <f>IFERROR((VLOOKUP(Tabla13[[#This Row],[ID]],[1]!Mtto_Pesv[[#Headers],[#Data],[Placa]:[Rutina]],2,FALSE)),"-")</f>
        <v>-</v>
      </c>
      <c r="AF738" s="14">
        <v>1</v>
      </c>
      <c r="AG738" s="20">
        <f>IFERROR((VLOOKUP(Tabla13[[#This Row],[ID]],[1]!Mtto_Pesv[[#Headers],[#Data],[Placa]:[Rutina]],3,FALSE)),0)</f>
        <v>0</v>
      </c>
      <c r="AH738" s="20">
        <f>IFERROR((VLOOKUP(Tabla13[[#This Row],[ID]],[1]!Mtto_Pesv[[#Headers],[#Data],[Placa]:[Rutina]],7,FALSE)),0)</f>
        <v>0</v>
      </c>
      <c r="AI738" s="20">
        <f>IFERROR((VLOOKUP(Tabla13[[#This Row],[ID]],[1]!Mtto_Pesv[[#Headers],[#Data],[Placa]:[Rutina]],8,FALSE)),0)</f>
        <v>0</v>
      </c>
      <c r="AJ738" s="20" t="str">
        <f>IFERROR((VLOOKUP(Tabla13[[#This Row],[ID]],[1]!Mtto_Pesv[[#Headers],[#Data],[Placa]:[Rutina]],9,FALSE)),"-")</f>
        <v>-</v>
      </c>
      <c r="AK738" s="20">
        <f>IFERROR((VLOOKUP(Tabla13[[#This Row],[ID]],[1]!Mtto_Pesv[[#Headers],[#Data],[Placa]:[Rutina]],10,FALSE)),0)</f>
        <v>0</v>
      </c>
      <c r="AL738" s="20">
        <f>IF(Tabla13[[#This Row],[Km Anterior]]=0,0,Tabla13[[#This Row],[Km Ejecut]]-Tabla13[[#This Row],[Km Anterior]])</f>
        <v>0</v>
      </c>
      <c r="AM738" s="20">
        <f>IFERROR((VLOOKUP(Tabla13[[#This Row],[ID]],[1]!Mtto_Pesv[[#Headers],[#Data],[Placa]:[Rutina]],4,FALSE)),0)</f>
        <v>0</v>
      </c>
      <c r="AN738" s="21">
        <f>IFERROR((VLOOKUP(Tabla13[[#This Row],[ID]],[1]!Mtto_Pesv[[#Headers],[#Data],[Placa]:[Rutina]],5,FALSE)),0)</f>
        <v>0</v>
      </c>
      <c r="AO738" s="21">
        <f>+Tabla13[[#This Row],[Km Fin]]-Tabla13[[#This Row],[Km Ini]]</f>
        <v>0</v>
      </c>
      <c r="AP738" s="20">
        <f>IFERROR((VLOOKUP(Tabla13[[#This Row],[ID]],[1]!Estilo_Conduccion[[#All],[Placa]:[Puntuacion]],15,FALSE)),0)</f>
        <v>0</v>
      </c>
      <c r="AQ738" s="15" t="s">
        <v>1526</v>
      </c>
      <c r="AR738" s="15" t="s">
        <v>1527</v>
      </c>
      <c r="AS738" s="20">
        <v>1013</v>
      </c>
      <c r="AT738" s="21">
        <v>4015.0714285714284</v>
      </c>
      <c r="AU738" s="21">
        <f>(Tabla13[[#This Row],[Cap Vh]]*$AX$2)*0.56</f>
        <v>0</v>
      </c>
      <c r="AV738" s="36" t="e">
        <f>(Tabla13[[#This Row],[Cap Util (kg)]]/(Tabla13[[#This Row],[Cap Inst (Kg)]]))</f>
        <v>#DIV/0!</v>
      </c>
    </row>
    <row r="739" spans="1:48" x14ac:dyDescent="0.25">
      <c r="A739" s="13" t="s">
        <v>1068</v>
      </c>
      <c r="B739" s="14" t="s">
        <v>980</v>
      </c>
      <c r="C739" s="14" t="s">
        <v>749</v>
      </c>
      <c r="D739" s="14" t="s">
        <v>749</v>
      </c>
      <c r="E739" s="14" t="s">
        <v>840</v>
      </c>
      <c r="F739" s="14" t="s">
        <v>64</v>
      </c>
      <c r="G739" s="15" t="s">
        <v>119</v>
      </c>
      <c r="H739" s="16" t="s">
        <v>120</v>
      </c>
      <c r="I739" s="14" t="s">
        <v>49</v>
      </c>
      <c r="J739" s="14">
        <v>900335279</v>
      </c>
      <c r="K739" s="14" t="s">
        <v>77</v>
      </c>
      <c r="L739" s="14" t="s">
        <v>405</v>
      </c>
      <c r="M739" s="14" t="s">
        <v>441</v>
      </c>
      <c r="N739" s="14">
        <v>2012</v>
      </c>
      <c r="O739" s="14">
        <v>8</v>
      </c>
      <c r="P739" s="14" t="s">
        <v>53</v>
      </c>
      <c r="Q739" s="14">
        <v>0</v>
      </c>
      <c r="R739" s="14">
        <v>0</v>
      </c>
      <c r="S739" s="17" t="s">
        <v>54</v>
      </c>
      <c r="T739" s="18">
        <v>0</v>
      </c>
      <c r="U739" s="14">
        <v>0</v>
      </c>
      <c r="V739" s="19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f>Tabla13[[#This Row],[CheckList App]]+Tabla13[[#This Row],[CheckList Fisc]]</f>
        <v>0</v>
      </c>
      <c r="AB739" s="19" t="str">
        <f t="shared" si="11"/>
        <v/>
      </c>
      <c r="AC739" s="14">
        <v>0</v>
      </c>
      <c r="AD739" s="14" t="s">
        <v>70</v>
      </c>
      <c r="AE739" s="15" t="str">
        <f>IFERROR((VLOOKUP(Tabla13[[#This Row],[ID]],[1]!Mtto_Pesv[[#Headers],[#Data],[Placa]:[Rutina]],2,FALSE)),"-")</f>
        <v>-</v>
      </c>
      <c r="AF739" s="14">
        <v>1</v>
      </c>
      <c r="AG739" s="20">
        <f>IFERROR((VLOOKUP(Tabla13[[#This Row],[ID]],[1]!Mtto_Pesv[[#Headers],[#Data],[Placa]:[Rutina]],3,FALSE)),0)</f>
        <v>0</v>
      </c>
      <c r="AH739" s="20">
        <f>IFERROR((VLOOKUP(Tabla13[[#This Row],[ID]],[1]!Mtto_Pesv[[#Headers],[#Data],[Placa]:[Rutina]],7,FALSE)),0)</f>
        <v>0</v>
      </c>
      <c r="AI739" s="20">
        <f>IFERROR((VLOOKUP(Tabla13[[#This Row],[ID]],[1]!Mtto_Pesv[[#Headers],[#Data],[Placa]:[Rutina]],8,FALSE)),0)</f>
        <v>0</v>
      </c>
      <c r="AJ739" s="20" t="str">
        <f>IFERROR((VLOOKUP(Tabla13[[#This Row],[ID]],[1]!Mtto_Pesv[[#Headers],[#Data],[Placa]:[Rutina]],9,FALSE)),"-")</f>
        <v>-</v>
      </c>
      <c r="AK739" s="20">
        <f>IFERROR((VLOOKUP(Tabla13[[#This Row],[ID]],[1]!Mtto_Pesv[[#Headers],[#Data],[Placa]:[Rutina]],10,FALSE)),0)</f>
        <v>0</v>
      </c>
      <c r="AL739" s="20">
        <f>IF(Tabla13[[#This Row],[Km Anterior]]=0,0,Tabla13[[#This Row],[Km Ejecut]]-Tabla13[[#This Row],[Km Anterior]])</f>
        <v>0</v>
      </c>
      <c r="AM739" s="20">
        <f>IFERROR((VLOOKUP(Tabla13[[#This Row],[ID]],[1]!Mtto_Pesv[[#Headers],[#Data],[Placa]:[Rutina]],4,FALSE)),0)</f>
        <v>0</v>
      </c>
      <c r="AN739" s="21">
        <f>IFERROR((VLOOKUP(Tabla13[[#This Row],[ID]],[1]!Mtto_Pesv[[#Headers],[#Data],[Placa]:[Rutina]],5,FALSE)),0)</f>
        <v>0</v>
      </c>
      <c r="AO739" s="21">
        <f>+Tabla13[[#This Row],[Km Fin]]-Tabla13[[#This Row],[Km Ini]]</f>
        <v>0</v>
      </c>
      <c r="AP739" s="20">
        <f>IFERROR((VLOOKUP(Tabla13[[#This Row],[ID]],[1]!Estilo_Conduccion[[#All],[Placa]:[Puntuacion]],15,FALSE)),0)</f>
        <v>0</v>
      </c>
      <c r="AQ739" s="15" t="s">
        <v>54</v>
      </c>
      <c r="AR739" s="15" t="s">
        <v>977</v>
      </c>
      <c r="AS739" s="20">
        <v>1013</v>
      </c>
      <c r="AT739" s="21">
        <v>0</v>
      </c>
      <c r="AU739" s="21">
        <f>(Tabla13[[#This Row],[Cap Vh]]*$AX$2)*0.56</f>
        <v>0</v>
      </c>
      <c r="AV739" s="36" t="e">
        <f>(Tabla13[[#This Row],[Cap Util (kg)]]/(Tabla13[[#This Row],[Cap Inst (Kg)]]))</f>
        <v>#DIV/0!</v>
      </c>
    </row>
    <row r="740" spans="1:48" x14ac:dyDescent="0.25">
      <c r="A740" s="13" t="s">
        <v>1068</v>
      </c>
      <c r="B740" s="14" t="s">
        <v>981</v>
      </c>
      <c r="C740" s="14" t="s">
        <v>749</v>
      </c>
      <c r="D740" s="14" t="s">
        <v>749</v>
      </c>
      <c r="E740" s="14" t="s">
        <v>842</v>
      </c>
      <c r="F740" s="14" t="s">
        <v>64</v>
      </c>
      <c r="G740" s="14" t="s">
        <v>65</v>
      </c>
      <c r="H740" s="16" t="s">
        <v>66</v>
      </c>
      <c r="I740" s="14" t="s">
        <v>49</v>
      </c>
      <c r="J740" s="14">
        <v>900335279</v>
      </c>
      <c r="K740" s="14" t="s">
        <v>77</v>
      </c>
      <c r="L740" s="14" t="s">
        <v>405</v>
      </c>
      <c r="M740" s="14" t="s">
        <v>441</v>
      </c>
      <c r="N740" s="14">
        <v>2012</v>
      </c>
      <c r="O740" s="14">
        <v>8</v>
      </c>
      <c r="P740" s="14" t="s">
        <v>53</v>
      </c>
      <c r="Q740" s="14">
        <v>0</v>
      </c>
      <c r="R740" s="14">
        <v>0</v>
      </c>
      <c r="S740" s="17" t="s">
        <v>54</v>
      </c>
      <c r="T740" s="18">
        <v>0</v>
      </c>
      <c r="U740" s="14">
        <v>0</v>
      </c>
      <c r="V740" s="19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f>Tabla13[[#This Row],[CheckList App]]+Tabla13[[#This Row],[CheckList Fisc]]</f>
        <v>0</v>
      </c>
      <c r="AB740" s="19" t="str">
        <f t="shared" si="11"/>
        <v/>
      </c>
      <c r="AC740" s="14">
        <v>0</v>
      </c>
      <c r="AD740" s="14" t="s">
        <v>70</v>
      </c>
      <c r="AE740" s="15" t="str">
        <f>IFERROR((VLOOKUP(Tabla13[[#This Row],[ID]],[1]!Mtto_Pesv[[#Headers],[#Data],[Placa]:[Rutina]],2,FALSE)),"-")</f>
        <v>-</v>
      </c>
      <c r="AF740" s="14">
        <v>1</v>
      </c>
      <c r="AG740" s="20">
        <f>IFERROR((VLOOKUP(Tabla13[[#This Row],[ID]],[1]!Mtto_Pesv[[#Headers],[#Data],[Placa]:[Rutina]],3,FALSE)),0)</f>
        <v>0</v>
      </c>
      <c r="AH740" s="20">
        <f>IFERROR((VLOOKUP(Tabla13[[#This Row],[ID]],[1]!Mtto_Pesv[[#Headers],[#Data],[Placa]:[Rutina]],7,FALSE)),0)</f>
        <v>0</v>
      </c>
      <c r="AI740" s="20">
        <f>IFERROR((VLOOKUP(Tabla13[[#This Row],[ID]],[1]!Mtto_Pesv[[#Headers],[#Data],[Placa]:[Rutina]],8,FALSE)),0)</f>
        <v>0</v>
      </c>
      <c r="AJ740" s="20" t="str">
        <f>IFERROR((VLOOKUP(Tabla13[[#This Row],[ID]],[1]!Mtto_Pesv[[#Headers],[#Data],[Placa]:[Rutina]],9,FALSE)),"-")</f>
        <v>-</v>
      </c>
      <c r="AK740" s="20">
        <f>IFERROR((VLOOKUP(Tabla13[[#This Row],[ID]],[1]!Mtto_Pesv[[#Headers],[#Data],[Placa]:[Rutina]],10,FALSE)),0)</f>
        <v>0</v>
      </c>
      <c r="AL740" s="20">
        <f>IF(Tabla13[[#This Row],[Km Anterior]]=0,0,Tabla13[[#This Row],[Km Ejecut]]-Tabla13[[#This Row],[Km Anterior]])</f>
        <v>0</v>
      </c>
      <c r="AM740" s="20">
        <f>IFERROR((VLOOKUP(Tabla13[[#This Row],[ID]],[1]!Mtto_Pesv[[#Headers],[#Data],[Placa]:[Rutina]],4,FALSE)),0)</f>
        <v>0</v>
      </c>
      <c r="AN740" s="21">
        <f>IFERROR((VLOOKUP(Tabla13[[#This Row],[ID]],[1]!Mtto_Pesv[[#Headers],[#Data],[Placa]:[Rutina]],5,FALSE)),0)</f>
        <v>0</v>
      </c>
      <c r="AO740" s="21">
        <f>+Tabla13[[#This Row],[Km Fin]]-Tabla13[[#This Row],[Km Ini]]</f>
        <v>0</v>
      </c>
      <c r="AP740" s="20">
        <f>IFERROR((VLOOKUP(Tabla13[[#This Row],[ID]],[1]!Estilo_Conduccion[[#All],[Placa]:[Puntuacion]],15,FALSE)),0)</f>
        <v>0</v>
      </c>
      <c r="AQ740" s="15" t="s">
        <v>54</v>
      </c>
      <c r="AR740" s="15" t="s">
        <v>54</v>
      </c>
      <c r="AS740" s="20">
        <v>1013</v>
      </c>
      <c r="AT740" s="21">
        <v>0</v>
      </c>
      <c r="AU740" s="21">
        <f>(Tabla13[[#This Row],[Cap Vh]]*$AX$2)*0.56</f>
        <v>0</v>
      </c>
      <c r="AV740" s="36" t="e">
        <f>(Tabla13[[#This Row],[Cap Util (kg)]]/(Tabla13[[#This Row],[Cap Inst (Kg)]]))</f>
        <v>#DIV/0!</v>
      </c>
    </row>
    <row r="741" spans="1:48" x14ac:dyDescent="0.25">
      <c r="A741" s="13" t="s">
        <v>1068</v>
      </c>
      <c r="B741" s="14" t="s">
        <v>982</v>
      </c>
      <c r="C741" s="14" t="s">
        <v>749</v>
      </c>
      <c r="D741" s="14" t="s">
        <v>749</v>
      </c>
      <c r="E741" s="14" t="s">
        <v>845</v>
      </c>
      <c r="F741" s="14" t="s">
        <v>76</v>
      </c>
      <c r="G741" s="15" t="s">
        <v>47</v>
      </c>
      <c r="H741" s="16" t="s">
        <v>48</v>
      </c>
      <c r="I741" s="14" t="s">
        <v>49</v>
      </c>
      <c r="J741" s="14">
        <v>900335279</v>
      </c>
      <c r="K741" s="14" t="s">
        <v>77</v>
      </c>
      <c r="L741" s="14" t="s">
        <v>405</v>
      </c>
      <c r="M741" s="14" t="s">
        <v>441</v>
      </c>
      <c r="N741" s="14">
        <v>2012</v>
      </c>
      <c r="O741" s="14">
        <v>8</v>
      </c>
      <c r="P741" s="14" t="s">
        <v>53</v>
      </c>
      <c r="Q741" s="14">
        <v>0</v>
      </c>
      <c r="R741" s="14">
        <v>0</v>
      </c>
      <c r="S741" s="17" t="s">
        <v>54</v>
      </c>
      <c r="T741" s="18">
        <v>0</v>
      </c>
      <c r="U741" s="14">
        <v>30</v>
      </c>
      <c r="V741" s="19">
        <v>1</v>
      </c>
      <c r="W741" s="14">
        <v>0</v>
      </c>
      <c r="X741" s="14">
        <v>0</v>
      </c>
      <c r="Y741" s="14">
        <v>0</v>
      </c>
      <c r="Z741" s="14">
        <v>0</v>
      </c>
      <c r="AA741" s="14">
        <f>Tabla13[[#This Row],[CheckList App]]+Tabla13[[#This Row],[CheckList Fisc]]</f>
        <v>0</v>
      </c>
      <c r="AB741" s="19">
        <f t="shared" si="11"/>
        <v>0</v>
      </c>
      <c r="AC741" s="14">
        <v>0</v>
      </c>
      <c r="AD741" s="14" t="s">
        <v>55</v>
      </c>
      <c r="AE741" s="15" t="str">
        <f>IFERROR((VLOOKUP(Tabla13[[#This Row],[ID]],[1]!Mtto_Pesv[[#Headers],[#Data],[Placa]:[Rutina]],2,FALSE)),"-")</f>
        <v>-</v>
      </c>
      <c r="AF741" s="14">
        <v>0</v>
      </c>
      <c r="AG741" s="20">
        <f>IFERROR((VLOOKUP(Tabla13[[#This Row],[ID]],[1]!Mtto_Pesv[[#Headers],[#Data],[Placa]:[Rutina]],3,FALSE)),0)</f>
        <v>0</v>
      </c>
      <c r="AH741" s="20">
        <f>IFERROR((VLOOKUP(Tabla13[[#This Row],[ID]],[1]!Mtto_Pesv[[#Headers],[#Data],[Placa]:[Rutina]],7,FALSE)),0)</f>
        <v>0</v>
      </c>
      <c r="AI741" s="20">
        <f>IFERROR((VLOOKUP(Tabla13[[#This Row],[ID]],[1]!Mtto_Pesv[[#Headers],[#Data],[Placa]:[Rutina]],8,FALSE)),0)</f>
        <v>0</v>
      </c>
      <c r="AJ741" s="20" t="str">
        <f>IFERROR((VLOOKUP(Tabla13[[#This Row],[ID]],[1]!Mtto_Pesv[[#Headers],[#Data],[Placa]:[Rutina]],9,FALSE)),"-")</f>
        <v>-</v>
      </c>
      <c r="AK741" s="20">
        <f>IFERROR((VLOOKUP(Tabla13[[#This Row],[ID]],[1]!Mtto_Pesv[[#Headers],[#Data],[Placa]:[Rutina]],10,FALSE)),0)</f>
        <v>0</v>
      </c>
      <c r="AL741" s="20">
        <f>IF(Tabla13[[#This Row],[Km Anterior]]=0,0,Tabla13[[#This Row],[Km Ejecut]]-Tabla13[[#This Row],[Km Anterior]])</f>
        <v>0</v>
      </c>
      <c r="AM741" s="20">
        <f>IFERROR((VLOOKUP(Tabla13[[#This Row],[ID]],[1]!Mtto_Pesv[[#Headers],[#Data],[Placa]:[Rutina]],4,FALSE)),0)</f>
        <v>0</v>
      </c>
      <c r="AN741" s="21">
        <f>IFERROR((VLOOKUP(Tabla13[[#This Row],[ID]],[1]!Mtto_Pesv[[#Headers],[#Data],[Placa]:[Rutina]],5,FALSE)),0)</f>
        <v>0</v>
      </c>
      <c r="AO741" s="21">
        <f>+Tabla13[[#This Row],[Km Fin]]-Tabla13[[#This Row],[Km Ini]]</f>
        <v>0</v>
      </c>
      <c r="AP741" s="20">
        <f>IFERROR((VLOOKUP(Tabla13[[#This Row],[ID]],[1]!Estilo_Conduccion[[#All],[Placa]:[Puntuacion]],15,FALSE)),0)</f>
        <v>0</v>
      </c>
      <c r="AQ741" s="15" t="s">
        <v>1506</v>
      </c>
      <c r="AR741" s="15" t="s">
        <v>1507</v>
      </c>
      <c r="AS741" s="20">
        <v>1013</v>
      </c>
      <c r="AT741" s="21">
        <v>9068.7000000000007</v>
      </c>
      <c r="AU741" s="21">
        <f>(Tabla13[[#This Row],[Cap Vh]]*$AX$2)*0.56</f>
        <v>0</v>
      </c>
      <c r="AV741" s="36" t="e">
        <f>(Tabla13[[#This Row],[Cap Util (kg)]]/(Tabla13[[#This Row],[Cap Inst (Kg)]]))</f>
        <v>#DIV/0!</v>
      </c>
    </row>
    <row r="742" spans="1:48" x14ac:dyDescent="0.25">
      <c r="A742" s="13" t="s">
        <v>1068</v>
      </c>
      <c r="B742" s="14" t="s">
        <v>983</v>
      </c>
      <c r="C742" s="14" t="s">
        <v>749</v>
      </c>
      <c r="D742" s="14" t="s">
        <v>749</v>
      </c>
      <c r="E742" s="14" t="s">
        <v>840</v>
      </c>
      <c r="F742" s="14" t="s">
        <v>76</v>
      </c>
      <c r="G742" s="15" t="s">
        <v>89</v>
      </c>
      <c r="H742" s="16" t="s">
        <v>90</v>
      </c>
      <c r="I742" s="14" t="s">
        <v>49</v>
      </c>
      <c r="J742" s="14">
        <v>900335279</v>
      </c>
      <c r="K742" s="14" t="s">
        <v>77</v>
      </c>
      <c r="L742" s="14" t="s">
        <v>405</v>
      </c>
      <c r="M742" s="14" t="s">
        <v>441</v>
      </c>
      <c r="N742" s="14">
        <v>2012</v>
      </c>
      <c r="O742" s="14">
        <v>8</v>
      </c>
      <c r="P742" s="14" t="s">
        <v>53</v>
      </c>
      <c r="Q742" s="14">
        <v>0</v>
      </c>
      <c r="R742" s="14">
        <v>0</v>
      </c>
      <c r="S742" s="17" t="s">
        <v>54</v>
      </c>
      <c r="T742" s="18">
        <v>0</v>
      </c>
      <c r="U742" s="14">
        <v>30</v>
      </c>
      <c r="V742" s="19">
        <v>1</v>
      </c>
      <c r="W742" s="14">
        <v>0</v>
      </c>
      <c r="X742" s="14">
        <v>0</v>
      </c>
      <c r="Y742" s="14">
        <v>0</v>
      </c>
      <c r="Z742" s="14">
        <v>0</v>
      </c>
      <c r="AA742" s="14">
        <f>Tabla13[[#This Row],[CheckList App]]+Tabla13[[#This Row],[CheckList Fisc]]</f>
        <v>0</v>
      </c>
      <c r="AB742" s="19">
        <f t="shared" si="11"/>
        <v>0</v>
      </c>
      <c r="AC742" s="14">
        <v>0</v>
      </c>
      <c r="AD742" s="14" t="s">
        <v>70</v>
      </c>
      <c r="AE742" s="15" t="str">
        <f>IFERROR((VLOOKUP(Tabla13[[#This Row],[ID]],[1]!Mtto_Pesv[[#Headers],[#Data],[Placa]:[Rutina]],2,FALSE)),"-")</f>
        <v>-</v>
      </c>
      <c r="AF742" s="14">
        <v>1</v>
      </c>
      <c r="AG742" s="20">
        <f>IFERROR((VLOOKUP(Tabla13[[#This Row],[ID]],[1]!Mtto_Pesv[[#Headers],[#Data],[Placa]:[Rutina]],3,FALSE)),0)</f>
        <v>0</v>
      </c>
      <c r="AH742" s="20">
        <f>IFERROR((VLOOKUP(Tabla13[[#This Row],[ID]],[1]!Mtto_Pesv[[#Headers],[#Data],[Placa]:[Rutina]],7,FALSE)),0)</f>
        <v>0</v>
      </c>
      <c r="AI742" s="20">
        <f>IFERROR((VLOOKUP(Tabla13[[#This Row],[ID]],[1]!Mtto_Pesv[[#Headers],[#Data],[Placa]:[Rutina]],8,FALSE)),0)</f>
        <v>0</v>
      </c>
      <c r="AJ742" s="20" t="str">
        <f>IFERROR((VLOOKUP(Tabla13[[#This Row],[ID]],[1]!Mtto_Pesv[[#Headers],[#Data],[Placa]:[Rutina]],9,FALSE)),"-")</f>
        <v>-</v>
      </c>
      <c r="AK742" s="20">
        <f>IFERROR((VLOOKUP(Tabla13[[#This Row],[ID]],[1]!Mtto_Pesv[[#Headers],[#Data],[Placa]:[Rutina]],10,FALSE)),0)</f>
        <v>0</v>
      </c>
      <c r="AL742" s="20">
        <f>IF(Tabla13[[#This Row],[Km Anterior]]=0,0,Tabla13[[#This Row],[Km Ejecut]]-Tabla13[[#This Row],[Km Anterior]])</f>
        <v>0</v>
      </c>
      <c r="AM742" s="20">
        <f>IFERROR((VLOOKUP(Tabla13[[#This Row],[ID]],[1]!Mtto_Pesv[[#Headers],[#Data],[Placa]:[Rutina]],4,FALSE)),0)</f>
        <v>0</v>
      </c>
      <c r="AN742" s="21">
        <f>IFERROR((VLOOKUP(Tabla13[[#This Row],[ID]],[1]!Mtto_Pesv[[#Headers],[#Data],[Placa]:[Rutina]],5,FALSE)),0)</f>
        <v>0</v>
      </c>
      <c r="AO742" s="21">
        <f>+Tabla13[[#This Row],[Km Fin]]-Tabla13[[#This Row],[Km Ini]]</f>
        <v>0</v>
      </c>
      <c r="AP742" s="20">
        <f>IFERROR((VLOOKUP(Tabla13[[#This Row],[ID]],[1]!Estilo_Conduccion[[#All],[Placa]:[Puntuacion]],15,FALSE)),0)</f>
        <v>0</v>
      </c>
      <c r="AQ742" s="15" t="s">
        <v>1555</v>
      </c>
      <c r="AR742" s="15" t="s">
        <v>1556</v>
      </c>
      <c r="AS742" s="20">
        <v>1013</v>
      </c>
      <c r="AT742" s="21">
        <v>5503.5</v>
      </c>
      <c r="AU742" s="21">
        <f>(Tabla13[[#This Row],[Cap Vh]]*$AX$2)*0.56</f>
        <v>0</v>
      </c>
      <c r="AV742" s="36" t="e">
        <f>(Tabla13[[#This Row],[Cap Util (kg)]]/(Tabla13[[#This Row],[Cap Inst (Kg)]]))</f>
        <v>#DIV/0!</v>
      </c>
    </row>
    <row r="743" spans="1:48" x14ac:dyDescent="0.25">
      <c r="A743" s="13" t="s">
        <v>1068</v>
      </c>
      <c r="B743" s="14" t="s">
        <v>984</v>
      </c>
      <c r="C743" s="14" t="s">
        <v>749</v>
      </c>
      <c r="D743" s="14" t="s">
        <v>749</v>
      </c>
      <c r="E743" s="14" t="s">
        <v>840</v>
      </c>
      <c r="F743" s="14" t="s">
        <v>76</v>
      </c>
      <c r="G743" s="15" t="s">
        <v>47</v>
      </c>
      <c r="H743" s="16" t="s">
        <v>48</v>
      </c>
      <c r="I743" s="14" t="s">
        <v>49</v>
      </c>
      <c r="J743" s="14">
        <v>900335279</v>
      </c>
      <c r="K743" s="14" t="s">
        <v>77</v>
      </c>
      <c r="L743" s="14" t="s">
        <v>405</v>
      </c>
      <c r="M743" s="14" t="s">
        <v>441</v>
      </c>
      <c r="N743" s="14">
        <v>2012</v>
      </c>
      <c r="O743" s="14">
        <v>8</v>
      </c>
      <c r="P743" s="14" t="s">
        <v>53</v>
      </c>
      <c r="Q743" s="14">
        <v>1</v>
      </c>
      <c r="R743" s="14">
        <v>0</v>
      </c>
      <c r="S743" s="17" t="s">
        <v>54</v>
      </c>
      <c r="T743" s="18">
        <v>0</v>
      </c>
      <c r="U743" s="14">
        <v>30</v>
      </c>
      <c r="V743" s="19">
        <v>1</v>
      </c>
      <c r="W743" s="14">
        <v>0</v>
      </c>
      <c r="X743" s="14">
        <v>26</v>
      </c>
      <c r="Y743" s="14">
        <v>25</v>
      </c>
      <c r="Z743" s="14">
        <v>0</v>
      </c>
      <c r="AA743" s="14">
        <f>Tabla13[[#This Row],[CheckList App]]+Tabla13[[#This Row],[CheckList Fisc]]</f>
        <v>25</v>
      </c>
      <c r="AB743" s="19">
        <f t="shared" si="11"/>
        <v>0.96153846153846156</v>
      </c>
      <c r="AC743" s="14">
        <v>0</v>
      </c>
      <c r="AD743" s="14" t="s">
        <v>70</v>
      </c>
      <c r="AE743" s="15" t="str">
        <f>IFERROR((VLOOKUP(Tabla13[[#This Row],[ID]],[1]!Mtto_Pesv[[#Headers],[#Data],[Placa]:[Rutina]],2,FALSE)),"-")</f>
        <v>-</v>
      </c>
      <c r="AF743" s="14">
        <v>1</v>
      </c>
      <c r="AG743" s="20">
        <f>IFERROR((VLOOKUP(Tabla13[[#This Row],[ID]],[1]!Mtto_Pesv[[#Headers],[#Data],[Placa]:[Rutina]],3,FALSE)),0)</f>
        <v>0</v>
      </c>
      <c r="AH743" s="20">
        <f>IFERROR((VLOOKUP(Tabla13[[#This Row],[ID]],[1]!Mtto_Pesv[[#Headers],[#Data],[Placa]:[Rutina]],7,FALSE)),0)</f>
        <v>0</v>
      </c>
      <c r="AI743" s="20">
        <f>IFERROR((VLOOKUP(Tabla13[[#This Row],[ID]],[1]!Mtto_Pesv[[#Headers],[#Data],[Placa]:[Rutina]],8,FALSE)),0)</f>
        <v>0</v>
      </c>
      <c r="AJ743" s="20" t="str">
        <f>IFERROR((VLOOKUP(Tabla13[[#This Row],[ID]],[1]!Mtto_Pesv[[#Headers],[#Data],[Placa]:[Rutina]],9,FALSE)),"-")</f>
        <v>-</v>
      </c>
      <c r="AK743" s="20">
        <f>IFERROR((VLOOKUP(Tabla13[[#This Row],[ID]],[1]!Mtto_Pesv[[#Headers],[#Data],[Placa]:[Rutina]],10,FALSE)),0)</f>
        <v>0</v>
      </c>
      <c r="AL743" s="20">
        <f>IF(Tabla13[[#This Row],[Km Anterior]]=0,0,Tabla13[[#This Row],[Km Ejecut]]-Tabla13[[#This Row],[Km Anterior]])</f>
        <v>0</v>
      </c>
      <c r="AM743" s="20">
        <f>IFERROR((VLOOKUP(Tabla13[[#This Row],[ID]],[1]!Mtto_Pesv[[#Headers],[#Data],[Placa]:[Rutina]],4,FALSE)),0)</f>
        <v>0</v>
      </c>
      <c r="AN743" s="21">
        <f>IFERROR((VLOOKUP(Tabla13[[#This Row],[ID]],[1]!Mtto_Pesv[[#Headers],[#Data],[Placa]:[Rutina]],5,FALSE)),0)</f>
        <v>0</v>
      </c>
      <c r="AO743" s="21">
        <f>+Tabla13[[#This Row],[Km Fin]]-Tabla13[[#This Row],[Km Ini]]</f>
        <v>0</v>
      </c>
      <c r="AP743" s="20">
        <f>IFERROR((VLOOKUP(Tabla13[[#This Row],[ID]],[1]!Estilo_Conduccion[[#All],[Placa]:[Puntuacion]],15,FALSE)),0)</f>
        <v>242.4</v>
      </c>
      <c r="AQ743" s="15" t="s">
        <v>1459</v>
      </c>
      <c r="AR743" s="15" t="s">
        <v>1460</v>
      </c>
      <c r="AS743" s="20">
        <v>1013</v>
      </c>
      <c r="AT743" s="21">
        <v>9152.5</v>
      </c>
      <c r="AU743" s="21">
        <f>(Tabla13[[#This Row],[Cap Vh]]*$AX$2)*0.56</f>
        <v>0</v>
      </c>
      <c r="AV743" s="36" t="e">
        <f>(Tabla13[[#This Row],[Cap Util (kg)]]/(Tabla13[[#This Row],[Cap Inst (Kg)]]))</f>
        <v>#DIV/0!</v>
      </c>
    </row>
    <row r="744" spans="1:48" x14ac:dyDescent="0.25">
      <c r="A744" s="13" t="s">
        <v>1068</v>
      </c>
      <c r="B744" s="14" t="s">
        <v>985</v>
      </c>
      <c r="C744" s="14" t="s">
        <v>749</v>
      </c>
      <c r="D744" s="14" t="s">
        <v>749</v>
      </c>
      <c r="E744" s="14" t="s">
        <v>897</v>
      </c>
      <c r="F744" s="14" t="s">
        <v>76</v>
      </c>
      <c r="G744" s="15" t="s">
        <v>89</v>
      </c>
      <c r="H744" s="16" t="s">
        <v>90</v>
      </c>
      <c r="I744" s="14" t="s">
        <v>49</v>
      </c>
      <c r="J744" s="14">
        <v>900335279</v>
      </c>
      <c r="K744" s="14" t="s">
        <v>77</v>
      </c>
      <c r="L744" s="14" t="s">
        <v>405</v>
      </c>
      <c r="M744" s="14" t="s">
        <v>441</v>
      </c>
      <c r="N744" s="14">
        <v>2012</v>
      </c>
      <c r="O744" s="14">
        <v>8</v>
      </c>
      <c r="P744" s="14" t="s">
        <v>53</v>
      </c>
      <c r="Q744" s="14">
        <v>0</v>
      </c>
      <c r="R744" s="14">
        <v>0</v>
      </c>
      <c r="S744" s="17" t="s">
        <v>54</v>
      </c>
      <c r="T744" s="18">
        <v>0</v>
      </c>
      <c r="U744" s="14">
        <v>30</v>
      </c>
      <c r="V744" s="19">
        <v>1</v>
      </c>
      <c r="W744" s="14">
        <v>0</v>
      </c>
      <c r="X744" s="14">
        <v>0</v>
      </c>
      <c r="Y744" s="14">
        <v>0</v>
      </c>
      <c r="Z744" s="14">
        <v>0</v>
      </c>
      <c r="AA744" s="14">
        <f>Tabla13[[#This Row],[CheckList App]]+Tabla13[[#This Row],[CheckList Fisc]]</f>
        <v>0</v>
      </c>
      <c r="AB744" s="19">
        <f t="shared" si="11"/>
        <v>0</v>
      </c>
      <c r="AC744" s="14">
        <v>0</v>
      </c>
      <c r="AD744" s="14" t="s">
        <v>70</v>
      </c>
      <c r="AE744" s="15" t="str">
        <f>IFERROR((VLOOKUP(Tabla13[[#This Row],[ID]],[1]!Mtto_Pesv[[#Headers],[#Data],[Placa]:[Rutina]],2,FALSE)),"-")</f>
        <v>-</v>
      </c>
      <c r="AF744" s="14">
        <v>1</v>
      </c>
      <c r="AG744" s="20">
        <f>IFERROR((VLOOKUP(Tabla13[[#This Row],[ID]],[1]!Mtto_Pesv[[#Headers],[#Data],[Placa]:[Rutina]],3,FALSE)),0)</f>
        <v>0</v>
      </c>
      <c r="AH744" s="20">
        <f>IFERROR((VLOOKUP(Tabla13[[#This Row],[ID]],[1]!Mtto_Pesv[[#Headers],[#Data],[Placa]:[Rutina]],7,FALSE)),0)</f>
        <v>0</v>
      </c>
      <c r="AI744" s="20">
        <f>IFERROR((VLOOKUP(Tabla13[[#This Row],[ID]],[1]!Mtto_Pesv[[#Headers],[#Data],[Placa]:[Rutina]],8,FALSE)),0)</f>
        <v>0</v>
      </c>
      <c r="AJ744" s="20" t="str">
        <f>IFERROR((VLOOKUP(Tabla13[[#This Row],[ID]],[1]!Mtto_Pesv[[#Headers],[#Data],[Placa]:[Rutina]],9,FALSE)),"-")</f>
        <v>-</v>
      </c>
      <c r="AK744" s="20">
        <f>IFERROR((VLOOKUP(Tabla13[[#This Row],[ID]],[1]!Mtto_Pesv[[#Headers],[#Data],[Placa]:[Rutina]],10,FALSE)),0)</f>
        <v>0</v>
      </c>
      <c r="AL744" s="20">
        <f>IF(Tabla13[[#This Row],[Km Anterior]]=0,0,Tabla13[[#This Row],[Km Ejecut]]-Tabla13[[#This Row],[Km Anterior]])</f>
        <v>0</v>
      </c>
      <c r="AM744" s="20">
        <f>IFERROR((VLOOKUP(Tabla13[[#This Row],[ID]],[1]!Mtto_Pesv[[#Headers],[#Data],[Placa]:[Rutina]],4,FALSE)),0)</f>
        <v>0</v>
      </c>
      <c r="AN744" s="21">
        <f>IFERROR((VLOOKUP(Tabla13[[#This Row],[ID]],[1]!Mtto_Pesv[[#Headers],[#Data],[Placa]:[Rutina]],5,FALSE)),0)</f>
        <v>0</v>
      </c>
      <c r="AO744" s="21">
        <f>+Tabla13[[#This Row],[Km Fin]]-Tabla13[[#This Row],[Km Ini]]</f>
        <v>0</v>
      </c>
      <c r="AP744" s="20">
        <f>IFERROR((VLOOKUP(Tabla13[[#This Row],[ID]],[1]!Estilo_Conduccion[[#All],[Placa]:[Puntuacion]],15,FALSE)),0)</f>
        <v>0</v>
      </c>
      <c r="AQ744" s="15" t="s">
        <v>1533</v>
      </c>
      <c r="AR744" s="15" t="s">
        <v>1534</v>
      </c>
      <c r="AS744" s="20">
        <v>1013</v>
      </c>
      <c r="AT744" s="21">
        <v>6414</v>
      </c>
      <c r="AU744" s="21">
        <f>(Tabla13[[#This Row],[Cap Vh]]*$AX$2)*0.56</f>
        <v>0</v>
      </c>
      <c r="AV744" s="36" t="e">
        <f>(Tabla13[[#This Row],[Cap Util (kg)]]/(Tabla13[[#This Row],[Cap Inst (Kg)]]))</f>
        <v>#DIV/0!</v>
      </c>
    </row>
    <row r="745" spans="1:48" x14ac:dyDescent="0.25">
      <c r="A745" s="13" t="s">
        <v>1068</v>
      </c>
      <c r="B745" s="14" t="s">
        <v>986</v>
      </c>
      <c r="C745" s="14" t="s">
        <v>749</v>
      </c>
      <c r="D745" s="14" t="s">
        <v>749</v>
      </c>
      <c r="E745" s="14" t="s">
        <v>848</v>
      </c>
      <c r="F745" s="14" t="s">
        <v>76</v>
      </c>
      <c r="G745" s="15" t="s">
        <v>89</v>
      </c>
      <c r="H745" s="16" t="s">
        <v>90</v>
      </c>
      <c r="I745" s="14" t="s">
        <v>49</v>
      </c>
      <c r="J745" s="14">
        <v>900335279</v>
      </c>
      <c r="K745" s="14" t="s">
        <v>77</v>
      </c>
      <c r="L745" s="14" t="s">
        <v>405</v>
      </c>
      <c r="M745" s="14" t="s">
        <v>441</v>
      </c>
      <c r="N745" s="14">
        <v>2012</v>
      </c>
      <c r="O745" s="14">
        <v>8</v>
      </c>
      <c r="P745" s="14" t="s">
        <v>53</v>
      </c>
      <c r="Q745" s="14">
        <v>0</v>
      </c>
      <c r="R745" s="14">
        <v>0</v>
      </c>
      <c r="S745" s="17" t="s">
        <v>54</v>
      </c>
      <c r="T745" s="18">
        <v>0</v>
      </c>
      <c r="U745" s="14">
        <v>30</v>
      </c>
      <c r="V745" s="19">
        <v>1</v>
      </c>
      <c r="W745" s="14">
        <v>0</v>
      </c>
      <c r="X745" s="14">
        <v>26</v>
      </c>
      <c r="Y745" s="14">
        <v>1</v>
      </c>
      <c r="Z745" s="14">
        <v>0</v>
      </c>
      <c r="AA745" s="14">
        <f>Tabla13[[#This Row],[CheckList App]]+Tabla13[[#This Row],[CheckList Fisc]]</f>
        <v>1</v>
      </c>
      <c r="AB745" s="19">
        <f t="shared" si="11"/>
        <v>3.8461538461538464E-2</v>
      </c>
      <c r="AC745" s="14">
        <v>0</v>
      </c>
      <c r="AD745" s="14" t="s">
        <v>70</v>
      </c>
      <c r="AE745" s="15" t="str">
        <f>IFERROR((VLOOKUP(Tabla13[[#This Row],[ID]],[1]!Mtto_Pesv[[#Headers],[#Data],[Placa]:[Rutina]],2,FALSE)),"-")</f>
        <v>-</v>
      </c>
      <c r="AF745" s="14">
        <v>1</v>
      </c>
      <c r="AG745" s="20">
        <f>IFERROR((VLOOKUP(Tabla13[[#This Row],[ID]],[1]!Mtto_Pesv[[#Headers],[#Data],[Placa]:[Rutina]],3,FALSE)),0)</f>
        <v>0</v>
      </c>
      <c r="AH745" s="20">
        <f>IFERROR((VLOOKUP(Tabla13[[#This Row],[ID]],[1]!Mtto_Pesv[[#Headers],[#Data],[Placa]:[Rutina]],7,FALSE)),0)</f>
        <v>0</v>
      </c>
      <c r="AI745" s="20">
        <f>IFERROR((VLOOKUP(Tabla13[[#This Row],[ID]],[1]!Mtto_Pesv[[#Headers],[#Data],[Placa]:[Rutina]],8,FALSE)),0)</f>
        <v>0</v>
      </c>
      <c r="AJ745" s="20" t="str">
        <f>IFERROR((VLOOKUP(Tabla13[[#This Row],[ID]],[1]!Mtto_Pesv[[#Headers],[#Data],[Placa]:[Rutina]],9,FALSE)),"-")</f>
        <v>-</v>
      </c>
      <c r="AK745" s="20">
        <f>IFERROR((VLOOKUP(Tabla13[[#This Row],[ID]],[1]!Mtto_Pesv[[#Headers],[#Data],[Placa]:[Rutina]],10,FALSE)),0)</f>
        <v>0</v>
      </c>
      <c r="AL745" s="20">
        <f>IF(Tabla13[[#This Row],[Km Anterior]]=0,0,Tabla13[[#This Row],[Km Ejecut]]-Tabla13[[#This Row],[Km Anterior]])</f>
        <v>0</v>
      </c>
      <c r="AM745" s="20">
        <f>IFERROR((VLOOKUP(Tabla13[[#This Row],[ID]],[1]!Mtto_Pesv[[#Headers],[#Data],[Placa]:[Rutina]],4,FALSE)),0)</f>
        <v>0</v>
      </c>
      <c r="AN745" s="21">
        <f>IFERROR((VLOOKUP(Tabla13[[#This Row],[ID]],[1]!Mtto_Pesv[[#Headers],[#Data],[Placa]:[Rutina]],5,FALSE)),0)</f>
        <v>0</v>
      </c>
      <c r="AO745" s="21">
        <f>+Tabla13[[#This Row],[Km Fin]]-Tabla13[[#This Row],[Km Ini]]</f>
        <v>0</v>
      </c>
      <c r="AP745" s="20">
        <f>IFERROR((VLOOKUP(Tabla13[[#This Row],[ID]],[1]!Estilo_Conduccion[[#All],[Placa]:[Puntuacion]],15,FALSE)),0)</f>
        <v>0</v>
      </c>
      <c r="AQ745" s="15" t="s">
        <v>1560</v>
      </c>
      <c r="AR745" s="15" t="s">
        <v>1561</v>
      </c>
      <c r="AS745" s="20">
        <v>1013</v>
      </c>
      <c r="AT745" s="21">
        <v>28431</v>
      </c>
      <c r="AU745" s="21">
        <f>(Tabla13[[#This Row],[Cap Vh]]*$AX$2)*0.56</f>
        <v>0</v>
      </c>
      <c r="AV745" s="36" t="e">
        <f>(Tabla13[[#This Row],[Cap Util (kg)]]/(Tabla13[[#This Row],[Cap Inst (Kg)]]))</f>
        <v>#DIV/0!</v>
      </c>
    </row>
    <row r="746" spans="1:48" x14ac:dyDescent="0.25">
      <c r="A746" s="13" t="s">
        <v>1068</v>
      </c>
      <c r="B746" s="14" t="s">
        <v>988</v>
      </c>
      <c r="C746" s="14" t="s">
        <v>749</v>
      </c>
      <c r="D746" s="14" t="s">
        <v>749</v>
      </c>
      <c r="E746" s="14" t="s">
        <v>840</v>
      </c>
      <c r="F746" s="14" t="s">
        <v>76</v>
      </c>
      <c r="G746" s="15" t="s">
        <v>89</v>
      </c>
      <c r="H746" s="16" t="s">
        <v>90</v>
      </c>
      <c r="I746" s="14" t="s">
        <v>49</v>
      </c>
      <c r="J746" s="14">
        <v>900335279</v>
      </c>
      <c r="K746" s="14" t="s">
        <v>77</v>
      </c>
      <c r="L746" s="14" t="s">
        <v>405</v>
      </c>
      <c r="M746" s="14" t="s">
        <v>441</v>
      </c>
      <c r="N746" s="14">
        <v>2012</v>
      </c>
      <c r="O746" s="14">
        <v>8</v>
      </c>
      <c r="P746" s="14" t="s">
        <v>53</v>
      </c>
      <c r="Q746" s="14">
        <v>0</v>
      </c>
      <c r="R746" s="14">
        <v>0</v>
      </c>
      <c r="S746" s="17" t="s">
        <v>54</v>
      </c>
      <c r="T746" s="18">
        <v>0</v>
      </c>
      <c r="U746" s="14">
        <v>30</v>
      </c>
      <c r="V746" s="19">
        <v>1</v>
      </c>
      <c r="W746" s="14">
        <v>0</v>
      </c>
      <c r="X746" s="14">
        <v>0</v>
      </c>
      <c r="Y746" s="14">
        <v>0</v>
      </c>
      <c r="Z746" s="14">
        <v>0</v>
      </c>
      <c r="AA746" s="14">
        <f>Tabla13[[#This Row],[CheckList App]]+Tabla13[[#This Row],[CheckList Fisc]]</f>
        <v>0</v>
      </c>
      <c r="AB746" s="19">
        <f t="shared" si="11"/>
        <v>0</v>
      </c>
      <c r="AC746" s="14">
        <v>0</v>
      </c>
      <c r="AD746" s="14" t="s">
        <v>55</v>
      </c>
      <c r="AE746" s="15" t="str">
        <f>IFERROR((VLOOKUP(Tabla13[[#This Row],[ID]],[1]!Mtto_Pesv[[#Headers],[#Data],[Placa]:[Rutina]],2,FALSE)),"-")</f>
        <v>-</v>
      </c>
      <c r="AF746" s="14">
        <v>0</v>
      </c>
      <c r="AG746" s="20">
        <f>IFERROR((VLOOKUP(Tabla13[[#This Row],[ID]],[1]!Mtto_Pesv[[#Headers],[#Data],[Placa]:[Rutina]],3,FALSE)),0)</f>
        <v>0</v>
      </c>
      <c r="AH746" s="20">
        <f>IFERROR((VLOOKUP(Tabla13[[#This Row],[ID]],[1]!Mtto_Pesv[[#Headers],[#Data],[Placa]:[Rutina]],7,FALSE)),0)</f>
        <v>0</v>
      </c>
      <c r="AI746" s="20">
        <f>IFERROR((VLOOKUP(Tabla13[[#This Row],[ID]],[1]!Mtto_Pesv[[#Headers],[#Data],[Placa]:[Rutina]],8,FALSE)),0)</f>
        <v>0</v>
      </c>
      <c r="AJ746" s="20" t="str">
        <f>IFERROR((VLOOKUP(Tabla13[[#This Row],[ID]],[1]!Mtto_Pesv[[#Headers],[#Data],[Placa]:[Rutina]],9,FALSE)),"-")</f>
        <v>-</v>
      </c>
      <c r="AK746" s="20">
        <f>IFERROR((VLOOKUP(Tabla13[[#This Row],[ID]],[1]!Mtto_Pesv[[#Headers],[#Data],[Placa]:[Rutina]],10,FALSE)),0)</f>
        <v>0</v>
      </c>
      <c r="AL746" s="20">
        <f>IF(Tabla13[[#This Row],[Km Anterior]]=0,0,Tabla13[[#This Row],[Km Ejecut]]-Tabla13[[#This Row],[Km Anterior]])</f>
        <v>0</v>
      </c>
      <c r="AM746" s="20">
        <f>IFERROR((VLOOKUP(Tabla13[[#This Row],[ID]],[1]!Mtto_Pesv[[#Headers],[#Data],[Placa]:[Rutina]],4,FALSE)),0)</f>
        <v>0</v>
      </c>
      <c r="AN746" s="21">
        <f>IFERROR((VLOOKUP(Tabla13[[#This Row],[ID]],[1]!Mtto_Pesv[[#Headers],[#Data],[Placa]:[Rutina]],5,FALSE)),0)</f>
        <v>0</v>
      </c>
      <c r="AO746" s="21">
        <f>+Tabla13[[#This Row],[Km Fin]]-Tabla13[[#This Row],[Km Ini]]</f>
        <v>0</v>
      </c>
      <c r="AP746" s="20">
        <f>IFERROR((VLOOKUP(Tabla13[[#This Row],[ID]],[1]!Estilo_Conduccion[[#All],[Placa]:[Puntuacion]],15,FALSE)),0)</f>
        <v>0</v>
      </c>
      <c r="AQ746" s="15" t="s">
        <v>1521</v>
      </c>
      <c r="AR746" s="15" t="s">
        <v>1522</v>
      </c>
      <c r="AS746" s="20">
        <v>1013</v>
      </c>
      <c r="AT746" s="21">
        <v>19364.4375</v>
      </c>
      <c r="AU746" s="21">
        <f>(Tabla13[[#This Row],[Cap Vh]]*$AX$2)*0.56</f>
        <v>0</v>
      </c>
      <c r="AV746" s="36" t="e">
        <f>(Tabla13[[#This Row],[Cap Util (kg)]]/(Tabla13[[#This Row],[Cap Inst (Kg)]]))</f>
        <v>#DIV/0!</v>
      </c>
    </row>
    <row r="747" spans="1:48" x14ac:dyDescent="0.25">
      <c r="A747" s="13" t="s">
        <v>1068</v>
      </c>
      <c r="B747" s="14" t="s">
        <v>989</v>
      </c>
      <c r="C747" s="14" t="s">
        <v>749</v>
      </c>
      <c r="D747" s="14" t="s">
        <v>749</v>
      </c>
      <c r="E747" s="14" t="s">
        <v>840</v>
      </c>
      <c r="F747" s="14" t="s">
        <v>64</v>
      </c>
      <c r="G747" s="14" t="s">
        <v>65</v>
      </c>
      <c r="H747" s="16" t="s">
        <v>66</v>
      </c>
      <c r="I747" s="14" t="s">
        <v>49</v>
      </c>
      <c r="J747" s="14">
        <v>900335279</v>
      </c>
      <c r="K747" s="14" t="s">
        <v>77</v>
      </c>
      <c r="L747" s="14" t="s">
        <v>405</v>
      </c>
      <c r="M747" s="14" t="s">
        <v>441</v>
      </c>
      <c r="N747" s="14">
        <v>2012</v>
      </c>
      <c r="O747" s="14">
        <v>8</v>
      </c>
      <c r="P747" s="14" t="s">
        <v>53</v>
      </c>
      <c r="Q747" s="14">
        <v>0</v>
      </c>
      <c r="R747" s="14">
        <v>0</v>
      </c>
      <c r="S747" s="17" t="s">
        <v>54</v>
      </c>
      <c r="T747" s="18">
        <v>0</v>
      </c>
      <c r="U747" s="14">
        <v>0</v>
      </c>
      <c r="V747" s="19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f>Tabla13[[#This Row],[CheckList App]]+Tabla13[[#This Row],[CheckList Fisc]]</f>
        <v>0</v>
      </c>
      <c r="AB747" s="19" t="str">
        <f t="shared" si="11"/>
        <v/>
      </c>
      <c r="AC747" s="14">
        <v>0</v>
      </c>
      <c r="AD747" s="14" t="s">
        <v>70</v>
      </c>
      <c r="AE747" s="15" t="str">
        <f>IFERROR((VLOOKUP(Tabla13[[#This Row],[ID]],[1]!Mtto_Pesv[[#Headers],[#Data],[Placa]:[Rutina]],2,FALSE)),"-")</f>
        <v>-</v>
      </c>
      <c r="AF747" s="14">
        <v>1</v>
      </c>
      <c r="AG747" s="20">
        <f>IFERROR((VLOOKUP(Tabla13[[#This Row],[ID]],[1]!Mtto_Pesv[[#Headers],[#Data],[Placa]:[Rutina]],3,FALSE)),0)</f>
        <v>0</v>
      </c>
      <c r="AH747" s="20">
        <f>IFERROR((VLOOKUP(Tabla13[[#This Row],[ID]],[1]!Mtto_Pesv[[#Headers],[#Data],[Placa]:[Rutina]],7,FALSE)),0)</f>
        <v>0</v>
      </c>
      <c r="AI747" s="20">
        <f>IFERROR((VLOOKUP(Tabla13[[#This Row],[ID]],[1]!Mtto_Pesv[[#Headers],[#Data],[Placa]:[Rutina]],8,FALSE)),0)</f>
        <v>0</v>
      </c>
      <c r="AJ747" s="20" t="str">
        <f>IFERROR((VLOOKUP(Tabla13[[#This Row],[ID]],[1]!Mtto_Pesv[[#Headers],[#Data],[Placa]:[Rutina]],9,FALSE)),"-")</f>
        <v>-</v>
      </c>
      <c r="AK747" s="20">
        <f>IFERROR((VLOOKUP(Tabla13[[#This Row],[ID]],[1]!Mtto_Pesv[[#Headers],[#Data],[Placa]:[Rutina]],10,FALSE)),0)</f>
        <v>0</v>
      </c>
      <c r="AL747" s="20">
        <f>IF(Tabla13[[#This Row],[Km Anterior]]=0,0,Tabla13[[#This Row],[Km Ejecut]]-Tabla13[[#This Row],[Km Anterior]])</f>
        <v>0</v>
      </c>
      <c r="AM747" s="20">
        <f>IFERROR((VLOOKUP(Tabla13[[#This Row],[ID]],[1]!Mtto_Pesv[[#Headers],[#Data],[Placa]:[Rutina]],4,FALSE)),0)</f>
        <v>0</v>
      </c>
      <c r="AN747" s="21">
        <f>IFERROR((VLOOKUP(Tabla13[[#This Row],[ID]],[1]!Mtto_Pesv[[#Headers],[#Data],[Placa]:[Rutina]],5,FALSE)),0)</f>
        <v>0</v>
      </c>
      <c r="AO747" s="21">
        <f>+Tabla13[[#This Row],[Km Fin]]-Tabla13[[#This Row],[Km Ini]]</f>
        <v>0</v>
      </c>
      <c r="AP747" s="20">
        <f>IFERROR((VLOOKUP(Tabla13[[#This Row],[ID]],[1]!Estilo_Conduccion[[#All],[Placa]:[Puntuacion]],15,FALSE)),0)</f>
        <v>0</v>
      </c>
      <c r="AQ747" s="15" t="s">
        <v>54</v>
      </c>
      <c r="AR747" s="15" t="s">
        <v>54</v>
      </c>
      <c r="AS747" s="20">
        <v>1013</v>
      </c>
      <c r="AT747" s="21">
        <v>0</v>
      </c>
      <c r="AU747" s="21">
        <f>(Tabla13[[#This Row],[Cap Vh]]*$AX$2)*0.56</f>
        <v>0</v>
      </c>
      <c r="AV747" s="36" t="e">
        <f>(Tabla13[[#This Row],[Cap Util (kg)]]/(Tabla13[[#This Row],[Cap Inst (Kg)]]))</f>
        <v>#DIV/0!</v>
      </c>
    </row>
    <row r="748" spans="1:48" x14ac:dyDescent="0.25">
      <c r="A748" s="13" t="s">
        <v>1068</v>
      </c>
      <c r="B748" s="14" t="s">
        <v>990</v>
      </c>
      <c r="C748" s="14" t="s">
        <v>749</v>
      </c>
      <c r="D748" s="14" t="s">
        <v>749</v>
      </c>
      <c r="E748" s="14" t="s">
        <v>897</v>
      </c>
      <c r="F748" s="14" t="s">
        <v>76</v>
      </c>
      <c r="G748" s="15" t="s">
        <v>89</v>
      </c>
      <c r="H748" s="16" t="s">
        <v>90</v>
      </c>
      <c r="I748" s="14" t="s">
        <v>49</v>
      </c>
      <c r="J748" s="14">
        <v>900335279</v>
      </c>
      <c r="K748" s="14" t="s">
        <v>77</v>
      </c>
      <c r="L748" s="14" t="s">
        <v>405</v>
      </c>
      <c r="M748" s="14" t="s">
        <v>441</v>
      </c>
      <c r="N748" s="14">
        <v>2012</v>
      </c>
      <c r="O748" s="14">
        <v>8</v>
      </c>
      <c r="P748" s="14" t="s">
        <v>53</v>
      </c>
      <c r="Q748" s="14">
        <v>0</v>
      </c>
      <c r="R748" s="14">
        <v>0</v>
      </c>
      <c r="S748" s="17" t="s">
        <v>54</v>
      </c>
      <c r="T748" s="18">
        <v>0</v>
      </c>
      <c r="U748" s="14">
        <v>30</v>
      </c>
      <c r="V748" s="19">
        <v>1</v>
      </c>
      <c r="W748" s="14">
        <v>0</v>
      </c>
      <c r="X748" s="14">
        <v>0</v>
      </c>
      <c r="Y748" s="14">
        <v>0</v>
      </c>
      <c r="Z748" s="14">
        <v>0</v>
      </c>
      <c r="AA748" s="14">
        <f>Tabla13[[#This Row],[CheckList App]]+Tabla13[[#This Row],[CheckList Fisc]]</f>
        <v>0</v>
      </c>
      <c r="AB748" s="19">
        <f t="shared" si="11"/>
        <v>0</v>
      </c>
      <c r="AC748" s="14">
        <v>0</v>
      </c>
      <c r="AD748" s="14" t="s">
        <v>70</v>
      </c>
      <c r="AE748" s="15" t="str">
        <f>IFERROR((VLOOKUP(Tabla13[[#This Row],[ID]],[1]!Mtto_Pesv[[#Headers],[#Data],[Placa]:[Rutina]],2,FALSE)),"-")</f>
        <v>-</v>
      </c>
      <c r="AF748" s="14">
        <v>1</v>
      </c>
      <c r="AG748" s="20">
        <f>IFERROR((VLOOKUP(Tabla13[[#This Row],[ID]],[1]!Mtto_Pesv[[#Headers],[#Data],[Placa]:[Rutina]],3,FALSE)),0)</f>
        <v>0</v>
      </c>
      <c r="AH748" s="20">
        <f>IFERROR((VLOOKUP(Tabla13[[#This Row],[ID]],[1]!Mtto_Pesv[[#Headers],[#Data],[Placa]:[Rutina]],7,FALSE)),0)</f>
        <v>0</v>
      </c>
      <c r="AI748" s="20">
        <f>IFERROR((VLOOKUP(Tabla13[[#This Row],[ID]],[1]!Mtto_Pesv[[#Headers],[#Data],[Placa]:[Rutina]],8,FALSE)),0)</f>
        <v>0</v>
      </c>
      <c r="AJ748" s="20" t="str">
        <f>IFERROR((VLOOKUP(Tabla13[[#This Row],[ID]],[1]!Mtto_Pesv[[#Headers],[#Data],[Placa]:[Rutina]],9,FALSE)),"-")</f>
        <v>-</v>
      </c>
      <c r="AK748" s="20">
        <f>IFERROR((VLOOKUP(Tabla13[[#This Row],[ID]],[1]!Mtto_Pesv[[#Headers],[#Data],[Placa]:[Rutina]],10,FALSE)),0)</f>
        <v>0</v>
      </c>
      <c r="AL748" s="20">
        <f>IF(Tabla13[[#This Row],[Km Anterior]]=0,0,Tabla13[[#This Row],[Km Ejecut]]-Tabla13[[#This Row],[Km Anterior]])</f>
        <v>0</v>
      </c>
      <c r="AM748" s="20">
        <f>IFERROR((VLOOKUP(Tabla13[[#This Row],[ID]],[1]!Mtto_Pesv[[#Headers],[#Data],[Placa]:[Rutina]],4,FALSE)),0)</f>
        <v>0</v>
      </c>
      <c r="AN748" s="21">
        <f>IFERROR((VLOOKUP(Tabla13[[#This Row],[ID]],[1]!Mtto_Pesv[[#Headers],[#Data],[Placa]:[Rutina]],5,FALSE)),0)</f>
        <v>0</v>
      </c>
      <c r="AO748" s="21">
        <f>+Tabla13[[#This Row],[Km Fin]]-Tabla13[[#This Row],[Km Ini]]</f>
        <v>0</v>
      </c>
      <c r="AP748" s="20">
        <f>IFERROR((VLOOKUP(Tabla13[[#This Row],[ID]],[1]!Estilo_Conduccion[[#All],[Placa]:[Puntuacion]],15,FALSE)),0)</f>
        <v>0</v>
      </c>
      <c r="AQ748" s="15" t="s">
        <v>1545</v>
      </c>
      <c r="AR748" s="15" t="s">
        <v>1546</v>
      </c>
      <c r="AS748" s="20">
        <v>1013</v>
      </c>
      <c r="AT748" s="21">
        <v>5307</v>
      </c>
      <c r="AU748" s="21">
        <f>(Tabla13[[#This Row],[Cap Vh]]*$AX$2)*0.56</f>
        <v>0</v>
      </c>
      <c r="AV748" s="36" t="e">
        <f>(Tabla13[[#This Row],[Cap Util (kg)]]/(Tabla13[[#This Row],[Cap Inst (Kg)]]))</f>
        <v>#DIV/0!</v>
      </c>
    </row>
    <row r="749" spans="1:48" x14ac:dyDescent="0.25">
      <c r="A749" s="13" t="s">
        <v>1068</v>
      </c>
      <c r="B749" s="14" t="s">
        <v>991</v>
      </c>
      <c r="C749" s="14" t="s">
        <v>749</v>
      </c>
      <c r="D749" s="14" t="s">
        <v>749</v>
      </c>
      <c r="E749" s="14" t="s">
        <v>897</v>
      </c>
      <c r="F749" s="14" t="s">
        <v>76</v>
      </c>
      <c r="G749" s="15" t="s">
        <v>89</v>
      </c>
      <c r="H749" s="16" t="s">
        <v>90</v>
      </c>
      <c r="I749" s="14" t="s">
        <v>49</v>
      </c>
      <c r="J749" s="14">
        <v>900335279</v>
      </c>
      <c r="K749" s="14" t="s">
        <v>77</v>
      </c>
      <c r="L749" s="14" t="s">
        <v>405</v>
      </c>
      <c r="M749" s="14" t="s">
        <v>441</v>
      </c>
      <c r="N749" s="14">
        <v>2012</v>
      </c>
      <c r="O749" s="14">
        <v>8</v>
      </c>
      <c r="P749" s="14" t="s">
        <v>53</v>
      </c>
      <c r="Q749" s="14">
        <v>0</v>
      </c>
      <c r="R749" s="14">
        <v>0</v>
      </c>
      <c r="S749" s="17" t="s">
        <v>54</v>
      </c>
      <c r="T749" s="18">
        <v>0</v>
      </c>
      <c r="U749" s="14">
        <v>30</v>
      </c>
      <c r="V749" s="19">
        <v>1</v>
      </c>
      <c r="W749" s="14">
        <v>0</v>
      </c>
      <c r="X749" s="14">
        <v>0</v>
      </c>
      <c r="Y749" s="14">
        <v>0</v>
      </c>
      <c r="Z749" s="14">
        <v>0</v>
      </c>
      <c r="AA749" s="14">
        <f>Tabla13[[#This Row],[CheckList App]]+Tabla13[[#This Row],[CheckList Fisc]]</f>
        <v>0</v>
      </c>
      <c r="AB749" s="19">
        <f t="shared" si="11"/>
        <v>0</v>
      </c>
      <c r="AC749" s="14">
        <v>0</v>
      </c>
      <c r="AD749" s="14" t="s">
        <v>70</v>
      </c>
      <c r="AE749" s="15" t="str">
        <f>IFERROR((VLOOKUP(Tabla13[[#This Row],[ID]],[1]!Mtto_Pesv[[#Headers],[#Data],[Placa]:[Rutina]],2,FALSE)),"-")</f>
        <v>-</v>
      </c>
      <c r="AF749" s="14">
        <v>1</v>
      </c>
      <c r="AG749" s="20">
        <f>IFERROR((VLOOKUP(Tabla13[[#This Row],[ID]],[1]!Mtto_Pesv[[#Headers],[#Data],[Placa]:[Rutina]],3,FALSE)),0)</f>
        <v>0</v>
      </c>
      <c r="AH749" s="20">
        <f>IFERROR((VLOOKUP(Tabla13[[#This Row],[ID]],[1]!Mtto_Pesv[[#Headers],[#Data],[Placa]:[Rutina]],7,FALSE)),0)</f>
        <v>0</v>
      </c>
      <c r="AI749" s="20">
        <f>IFERROR((VLOOKUP(Tabla13[[#This Row],[ID]],[1]!Mtto_Pesv[[#Headers],[#Data],[Placa]:[Rutina]],8,FALSE)),0)</f>
        <v>0</v>
      </c>
      <c r="AJ749" s="20" t="str">
        <f>IFERROR((VLOOKUP(Tabla13[[#This Row],[ID]],[1]!Mtto_Pesv[[#Headers],[#Data],[Placa]:[Rutina]],9,FALSE)),"-")</f>
        <v>-</v>
      </c>
      <c r="AK749" s="20">
        <f>IFERROR((VLOOKUP(Tabla13[[#This Row],[ID]],[1]!Mtto_Pesv[[#Headers],[#Data],[Placa]:[Rutina]],10,FALSE)),0)</f>
        <v>0</v>
      </c>
      <c r="AL749" s="20">
        <f>IF(Tabla13[[#This Row],[Km Anterior]]=0,0,Tabla13[[#This Row],[Km Ejecut]]-Tabla13[[#This Row],[Km Anterior]])</f>
        <v>0</v>
      </c>
      <c r="AM749" s="20">
        <f>IFERROR((VLOOKUP(Tabla13[[#This Row],[ID]],[1]!Mtto_Pesv[[#Headers],[#Data],[Placa]:[Rutina]],4,FALSE)),0)</f>
        <v>0</v>
      </c>
      <c r="AN749" s="21">
        <f>IFERROR((VLOOKUP(Tabla13[[#This Row],[ID]],[1]!Mtto_Pesv[[#Headers],[#Data],[Placa]:[Rutina]],5,FALSE)),0)</f>
        <v>0</v>
      </c>
      <c r="AO749" s="21">
        <f>+Tabla13[[#This Row],[Km Fin]]-Tabla13[[#This Row],[Km Ini]]</f>
        <v>0</v>
      </c>
      <c r="AP749" s="20">
        <f>IFERROR((VLOOKUP(Tabla13[[#This Row],[ID]],[1]!Estilo_Conduccion[[#All],[Placa]:[Puntuacion]],15,FALSE)),0)</f>
        <v>0</v>
      </c>
      <c r="AQ749" s="15" t="s">
        <v>1545</v>
      </c>
      <c r="AR749" s="15" t="s">
        <v>1546</v>
      </c>
      <c r="AS749" s="20">
        <v>1013</v>
      </c>
      <c r="AT749" s="21">
        <v>5307</v>
      </c>
      <c r="AU749" s="21">
        <f>(Tabla13[[#This Row],[Cap Vh]]*$AX$2)*0.56</f>
        <v>0</v>
      </c>
      <c r="AV749" s="36" t="e">
        <f>(Tabla13[[#This Row],[Cap Util (kg)]]/(Tabla13[[#This Row],[Cap Inst (Kg)]]))</f>
        <v>#DIV/0!</v>
      </c>
    </row>
    <row r="750" spans="1:48" x14ac:dyDescent="0.25">
      <c r="A750" s="13" t="s">
        <v>1068</v>
      </c>
      <c r="B750" s="14" t="s">
        <v>992</v>
      </c>
      <c r="C750" s="14" t="s">
        <v>749</v>
      </c>
      <c r="D750" s="14" t="s">
        <v>749</v>
      </c>
      <c r="E750" s="14" t="s">
        <v>872</v>
      </c>
      <c r="F750" s="14" t="s">
        <v>64</v>
      </c>
      <c r="G750" s="15" t="s">
        <v>47</v>
      </c>
      <c r="H750" s="16" t="s">
        <v>48</v>
      </c>
      <c r="I750" s="14" t="s">
        <v>49</v>
      </c>
      <c r="J750" s="14">
        <v>900335279</v>
      </c>
      <c r="K750" s="14" t="s">
        <v>77</v>
      </c>
      <c r="L750" s="14" t="s">
        <v>405</v>
      </c>
      <c r="M750" s="14" t="s">
        <v>441</v>
      </c>
      <c r="N750" s="14">
        <v>2012</v>
      </c>
      <c r="O750" s="14">
        <v>8</v>
      </c>
      <c r="P750" s="14" t="s">
        <v>53</v>
      </c>
      <c r="Q750" s="14">
        <v>0</v>
      </c>
      <c r="R750" s="14">
        <v>0</v>
      </c>
      <c r="S750" s="17" t="s">
        <v>54</v>
      </c>
      <c r="T750" s="18">
        <v>0</v>
      </c>
      <c r="U750" s="14">
        <v>30</v>
      </c>
      <c r="V750" s="19">
        <v>1</v>
      </c>
      <c r="W750" s="14">
        <v>0</v>
      </c>
      <c r="X750" s="14">
        <v>26</v>
      </c>
      <c r="Y750" s="14">
        <v>23</v>
      </c>
      <c r="Z750" s="14">
        <v>0</v>
      </c>
      <c r="AA750" s="14">
        <f>Tabla13[[#This Row],[CheckList App]]+Tabla13[[#This Row],[CheckList Fisc]]</f>
        <v>23</v>
      </c>
      <c r="AB750" s="19">
        <f t="shared" si="11"/>
        <v>0.88461538461538458</v>
      </c>
      <c r="AC750" s="14">
        <v>0</v>
      </c>
      <c r="AD750" s="14" t="s">
        <v>70</v>
      </c>
      <c r="AE750" s="15" t="str">
        <f>IFERROR((VLOOKUP(Tabla13[[#This Row],[ID]],[1]!Mtto_Pesv[[#Headers],[#Data],[Placa]:[Rutina]],2,FALSE)),"-")</f>
        <v>-</v>
      </c>
      <c r="AF750" s="14">
        <v>1</v>
      </c>
      <c r="AG750" s="20">
        <f>IFERROR((VLOOKUP(Tabla13[[#This Row],[ID]],[1]!Mtto_Pesv[[#Headers],[#Data],[Placa]:[Rutina]],3,FALSE)),0)</f>
        <v>0</v>
      </c>
      <c r="AH750" s="20">
        <f>IFERROR((VLOOKUP(Tabla13[[#This Row],[ID]],[1]!Mtto_Pesv[[#Headers],[#Data],[Placa]:[Rutina]],7,FALSE)),0)</f>
        <v>0</v>
      </c>
      <c r="AI750" s="20">
        <f>IFERROR((VLOOKUP(Tabla13[[#This Row],[ID]],[1]!Mtto_Pesv[[#Headers],[#Data],[Placa]:[Rutina]],8,FALSE)),0)</f>
        <v>0</v>
      </c>
      <c r="AJ750" s="20" t="str">
        <f>IFERROR((VLOOKUP(Tabla13[[#This Row],[ID]],[1]!Mtto_Pesv[[#Headers],[#Data],[Placa]:[Rutina]],9,FALSE)),"-")</f>
        <v>-</v>
      </c>
      <c r="AK750" s="20">
        <f>IFERROR((VLOOKUP(Tabla13[[#This Row],[ID]],[1]!Mtto_Pesv[[#Headers],[#Data],[Placa]:[Rutina]],10,FALSE)),0)</f>
        <v>0</v>
      </c>
      <c r="AL750" s="20">
        <f>IF(Tabla13[[#This Row],[Km Anterior]]=0,0,Tabla13[[#This Row],[Km Ejecut]]-Tabla13[[#This Row],[Km Anterior]])</f>
        <v>0</v>
      </c>
      <c r="AM750" s="20">
        <f>IFERROR((VLOOKUP(Tabla13[[#This Row],[ID]],[1]!Mtto_Pesv[[#Headers],[#Data],[Placa]:[Rutina]],4,FALSE)),0)</f>
        <v>0</v>
      </c>
      <c r="AN750" s="21">
        <f>IFERROR((VLOOKUP(Tabla13[[#This Row],[ID]],[1]!Mtto_Pesv[[#Headers],[#Data],[Placa]:[Rutina]],5,FALSE)),0)</f>
        <v>0</v>
      </c>
      <c r="AO750" s="21">
        <f>+Tabla13[[#This Row],[Km Fin]]-Tabla13[[#This Row],[Km Ini]]</f>
        <v>0</v>
      </c>
      <c r="AP750" s="20">
        <f>IFERROR((VLOOKUP(Tabla13[[#This Row],[ID]],[1]!Estilo_Conduccion[[#All],[Placa]:[Puntuacion]],15,FALSE)),0)</f>
        <v>0</v>
      </c>
      <c r="AQ750" s="15" t="s">
        <v>1562</v>
      </c>
      <c r="AR750" s="15" t="s">
        <v>1563</v>
      </c>
      <c r="AS750" s="20">
        <v>1013</v>
      </c>
      <c r="AT750" s="21">
        <v>3013.5</v>
      </c>
      <c r="AU750" s="21">
        <f>(Tabla13[[#This Row],[Cap Vh]]*$AX$2)*0.56</f>
        <v>0</v>
      </c>
      <c r="AV750" s="36" t="e">
        <f>(Tabla13[[#This Row],[Cap Util (kg)]]/(Tabla13[[#This Row],[Cap Inst (Kg)]]))</f>
        <v>#DIV/0!</v>
      </c>
    </row>
    <row r="751" spans="1:48" x14ac:dyDescent="0.25">
      <c r="A751" s="13" t="s">
        <v>1068</v>
      </c>
      <c r="B751" s="14" t="s">
        <v>993</v>
      </c>
      <c r="C751" s="14" t="s">
        <v>749</v>
      </c>
      <c r="D751" s="14" t="s">
        <v>749</v>
      </c>
      <c r="E751" s="14" t="s">
        <v>897</v>
      </c>
      <c r="F751" s="14" t="s">
        <v>64</v>
      </c>
      <c r="G751" s="15" t="s">
        <v>47</v>
      </c>
      <c r="H751" s="16" t="s">
        <v>48</v>
      </c>
      <c r="I751" s="14" t="s">
        <v>49</v>
      </c>
      <c r="J751" s="14">
        <v>900335279</v>
      </c>
      <c r="K751" s="14" t="s">
        <v>77</v>
      </c>
      <c r="L751" s="14" t="s">
        <v>405</v>
      </c>
      <c r="M751" s="14" t="s">
        <v>441</v>
      </c>
      <c r="N751" s="14">
        <v>2012</v>
      </c>
      <c r="O751" s="14">
        <v>8</v>
      </c>
      <c r="P751" s="14" t="s">
        <v>53</v>
      </c>
      <c r="Q751" s="14">
        <v>0</v>
      </c>
      <c r="R751" s="14">
        <v>0</v>
      </c>
      <c r="S751" s="17" t="s">
        <v>54</v>
      </c>
      <c r="T751" s="18">
        <v>0</v>
      </c>
      <c r="U751" s="14">
        <v>24</v>
      </c>
      <c r="V751" s="19">
        <v>0.8</v>
      </c>
      <c r="W751" s="14">
        <v>0</v>
      </c>
      <c r="X751" s="14">
        <v>0</v>
      </c>
      <c r="Y751" s="14">
        <v>0</v>
      </c>
      <c r="Z751" s="14">
        <v>0</v>
      </c>
      <c r="AA751" s="14">
        <f>Tabla13[[#This Row],[CheckList App]]+Tabla13[[#This Row],[CheckList Fisc]]</f>
        <v>0</v>
      </c>
      <c r="AB751" s="19">
        <f t="shared" si="11"/>
        <v>0</v>
      </c>
      <c r="AC751" s="14">
        <v>0</v>
      </c>
      <c r="AD751" s="14" t="s">
        <v>70</v>
      </c>
      <c r="AE751" s="15" t="str">
        <f>IFERROR((VLOOKUP(Tabla13[[#This Row],[ID]],[1]!Mtto_Pesv[[#Headers],[#Data],[Placa]:[Rutina]],2,FALSE)),"-")</f>
        <v>-</v>
      </c>
      <c r="AF751" s="14">
        <v>1</v>
      </c>
      <c r="AG751" s="20">
        <f>IFERROR((VLOOKUP(Tabla13[[#This Row],[ID]],[1]!Mtto_Pesv[[#Headers],[#Data],[Placa]:[Rutina]],3,FALSE)),0)</f>
        <v>0</v>
      </c>
      <c r="AH751" s="20">
        <f>IFERROR((VLOOKUP(Tabla13[[#This Row],[ID]],[1]!Mtto_Pesv[[#Headers],[#Data],[Placa]:[Rutina]],7,FALSE)),0)</f>
        <v>0</v>
      </c>
      <c r="AI751" s="20">
        <f>IFERROR((VLOOKUP(Tabla13[[#This Row],[ID]],[1]!Mtto_Pesv[[#Headers],[#Data],[Placa]:[Rutina]],8,FALSE)),0)</f>
        <v>0</v>
      </c>
      <c r="AJ751" s="20" t="str">
        <f>IFERROR((VLOOKUP(Tabla13[[#This Row],[ID]],[1]!Mtto_Pesv[[#Headers],[#Data],[Placa]:[Rutina]],9,FALSE)),"-")</f>
        <v>-</v>
      </c>
      <c r="AK751" s="20">
        <f>IFERROR((VLOOKUP(Tabla13[[#This Row],[ID]],[1]!Mtto_Pesv[[#Headers],[#Data],[Placa]:[Rutina]],10,FALSE)),0)</f>
        <v>0</v>
      </c>
      <c r="AL751" s="20">
        <f>IF(Tabla13[[#This Row],[Km Anterior]]=0,0,Tabla13[[#This Row],[Km Ejecut]]-Tabla13[[#This Row],[Km Anterior]])</f>
        <v>0</v>
      </c>
      <c r="AM751" s="20">
        <f>IFERROR((VLOOKUP(Tabla13[[#This Row],[ID]],[1]!Mtto_Pesv[[#Headers],[#Data],[Placa]:[Rutina]],4,FALSE)),0)</f>
        <v>0</v>
      </c>
      <c r="AN751" s="21">
        <f>IFERROR((VLOOKUP(Tabla13[[#This Row],[ID]],[1]!Mtto_Pesv[[#Headers],[#Data],[Placa]:[Rutina]],5,FALSE)),0)</f>
        <v>0</v>
      </c>
      <c r="AO751" s="21">
        <f>+Tabla13[[#This Row],[Km Fin]]-Tabla13[[#This Row],[Km Ini]]</f>
        <v>0</v>
      </c>
      <c r="AP751" s="20">
        <f>IFERROR((VLOOKUP(Tabla13[[#This Row],[ID]],[1]!Estilo_Conduccion[[#All],[Placa]:[Puntuacion]],15,FALSE)),0)</f>
        <v>0</v>
      </c>
      <c r="AQ751" s="15" t="s">
        <v>1564</v>
      </c>
      <c r="AR751" s="15" t="s">
        <v>1565</v>
      </c>
      <c r="AS751" s="20">
        <v>1013</v>
      </c>
      <c r="AT751" s="21">
        <v>5004</v>
      </c>
      <c r="AU751" s="21">
        <f>(Tabla13[[#This Row],[Cap Vh]]*$AX$2)*0.56</f>
        <v>0</v>
      </c>
      <c r="AV751" s="36" t="e">
        <f>(Tabla13[[#This Row],[Cap Util (kg)]]/(Tabla13[[#This Row],[Cap Inst (Kg)]]))</f>
        <v>#DIV/0!</v>
      </c>
    </row>
    <row r="752" spans="1:48" x14ac:dyDescent="0.25">
      <c r="A752" s="13" t="s">
        <v>1068</v>
      </c>
      <c r="B752" s="14" t="s">
        <v>994</v>
      </c>
      <c r="C752" s="14" t="s">
        <v>749</v>
      </c>
      <c r="D752" s="14" t="s">
        <v>749</v>
      </c>
      <c r="E752" s="14" t="s">
        <v>840</v>
      </c>
      <c r="F752" s="14" t="s">
        <v>64</v>
      </c>
      <c r="G752" s="15" t="s">
        <v>47</v>
      </c>
      <c r="H752" s="16" t="s">
        <v>48</v>
      </c>
      <c r="I752" s="14" t="s">
        <v>49</v>
      </c>
      <c r="J752" s="14">
        <v>900335279</v>
      </c>
      <c r="K752" s="14" t="s">
        <v>77</v>
      </c>
      <c r="L752" s="14" t="s">
        <v>405</v>
      </c>
      <c r="M752" s="14" t="s">
        <v>441</v>
      </c>
      <c r="N752" s="14">
        <v>2012</v>
      </c>
      <c r="O752" s="14">
        <v>8</v>
      </c>
      <c r="P752" s="14" t="s">
        <v>53</v>
      </c>
      <c r="Q752" s="14">
        <v>0</v>
      </c>
      <c r="R752" s="14">
        <v>0</v>
      </c>
      <c r="S752" s="17" t="s">
        <v>54</v>
      </c>
      <c r="T752" s="18">
        <v>0</v>
      </c>
      <c r="U752" s="14">
        <v>30</v>
      </c>
      <c r="V752" s="19">
        <v>1</v>
      </c>
      <c r="W752" s="14">
        <v>0</v>
      </c>
      <c r="X752" s="14">
        <v>0</v>
      </c>
      <c r="Y752" s="14">
        <v>0</v>
      </c>
      <c r="Z752" s="14">
        <v>0</v>
      </c>
      <c r="AA752" s="14">
        <f>Tabla13[[#This Row],[CheckList App]]+Tabla13[[#This Row],[CheckList Fisc]]</f>
        <v>0</v>
      </c>
      <c r="AB752" s="19">
        <f t="shared" si="11"/>
        <v>0</v>
      </c>
      <c r="AC752" s="14">
        <v>0</v>
      </c>
      <c r="AD752" s="14" t="s">
        <v>70</v>
      </c>
      <c r="AE752" s="22" t="str">
        <f>IFERROR((VLOOKUP(Tabla13[[#This Row],[ID]],[1]!Mtto_Pesv[[#Headers],[#Data],[Placa]:[Rutina]],2,FALSE)),"-")</f>
        <v>-</v>
      </c>
      <c r="AF752" s="14">
        <v>1</v>
      </c>
      <c r="AG752" s="20">
        <f>IFERROR((VLOOKUP(Tabla13[[#This Row],[ID]],[1]!Mtto_Pesv[[#Headers],[#Data],[Placa]:[Rutina]],3,FALSE)),0)</f>
        <v>0</v>
      </c>
      <c r="AH752" s="20">
        <f>IFERROR((VLOOKUP(Tabla13[[#This Row],[ID]],[1]!Mtto_Pesv[[#Headers],[#Data],[Placa]:[Rutina]],7,FALSE)),0)</f>
        <v>0</v>
      </c>
      <c r="AI752" s="20">
        <f>IFERROR((VLOOKUP(Tabla13[[#This Row],[ID]],[1]!Mtto_Pesv[[#Headers],[#Data],[Placa]:[Rutina]],8,FALSE)),0)</f>
        <v>0</v>
      </c>
      <c r="AJ752" s="20" t="str">
        <f>IFERROR((VLOOKUP(Tabla13[[#This Row],[ID]],[1]!Mtto_Pesv[[#Headers],[#Data],[Placa]:[Rutina]],9,FALSE)),"-")</f>
        <v>-</v>
      </c>
      <c r="AK752" s="20">
        <f>IFERROR((VLOOKUP(Tabla13[[#This Row],[ID]],[1]!Mtto_Pesv[[#Headers],[#Data],[Placa]:[Rutina]],10,FALSE)),0)</f>
        <v>0</v>
      </c>
      <c r="AL752" s="20">
        <f>IF(Tabla13[[#This Row],[Km Anterior]]=0,0,Tabla13[[#This Row],[Km Ejecut]]-Tabla13[[#This Row],[Km Anterior]])</f>
        <v>0</v>
      </c>
      <c r="AM752" s="20">
        <f>IFERROR((VLOOKUP(Tabla13[[#This Row],[ID]],[1]!Mtto_Pesv[[#Headers],[#Data],[Placa]:[Rutina]],4,FALSE)),0)</f>
        <v>0</v>
      </c>
      <c r="AN752" s="21">
        <f>IFERROR((VLOOKUP(Tabla13[[#This Row],[ID]],[1]!Mtto_Pesv[[#Headers],[#Data],[Placa]:[Rutina]],5,FALSE)),0)</f>
        <v>0</v>
      </c>
      <c r="AO752" s="21">
        <f>+Tabla13[[#This Row],[Km Fin]]-Tabla13[[#This Row],[Km Ini]]</f>
        <v>0</v>
      </c>
      <c r="AP752" s="20">
        <f>IFERROR((VLOOKUP(Tabla13[[#This Row],[ID]],[1]!Estilo_Conduccion[[#All],[Placa]:[Puntuacion]],15,FALSE)),0)</f>
        <v>0</v>
      </c>
      <c r="AQ752" s="15" t="s">
        <v>1069</v>
      </c>
      <c r="AR752" s="15" t="s">
        <v>927</v>
      </c>
      <c r="AS752" s="20">
        <v>1013</v>
      </c>
      <c r="AT752" s="21">
        <v>0</v>
      </c>
      <c r="AU752" s="21">
        <f>(Tabla13[[#This Row],[Cap Vh]]*$AX$2)*0.56</f>
        <v>0</v>
      </c>
      <c r="AV752" s="36" t="e">
        <f>(Tabla13[[#This Row],[Cap Util (kg)]]/(Tabla13[[#This Row],[Cap Inst (Kg)]]))</f>
        <v>#DIV/0!</v>
      </c>
    </row>
    <row r="753" spans="1:48" x14ac:dyDescent="0.25">
      <c r="A753" s="13" t="s">
        <v>1068</v>
      </c>
      <c r="B753" s="14" t="s">
        <v>995</v>
      </c>
      <c r="C753" s="14" t="s">
        <v>749</v>
      </c>
      <c r="D753" s="14" t="s">
        <v>749</v>
      </c>
      <c r="E753" s="14" t="s">
        <v>840</v>
      </c>
      <c r="F753" s="14" t="s">
        <v>76</v>
      </c>
      <c r="G753" s="15" t="s">
        <v>89</v>
      </c>
      <c r="H753" s="16" t="s">
        <v>90</v>
      </c>
      <c r="I753" s="14" t="s">
        <v>49</v>
      </c>
      <c r="J753" s="14">
        <v>900335279</v>
      </c>
      <c r="K753" s="14" t="s">
        <v>77</v>
      </c>
      <c r="L753" s="14" t="s">
        <v>405</v>
      </c>
      <c r="M753" s="14" t="s">
        <v>441</v>
      </c>
      <c r="N753" s="14">
        <v>2012</v>
      </c>
      <c r="O753" s="14">
        <v>8</v>
      </c>
      <c r="P753" s="14" t="s">
        <v>53</v>
      </c>
      <c r="Q753" s="14">
        <v>0</v>
      </c>
      <c r="R753" s="14">
        <v>0</v>
      </c>
      <c r="S753" s="17" t="s">
        <v>54</v>
      </c>
      <c r="T753" s="18">
        <v>0</v>
      </c>
      <c r="U753" s="14">
        <v>30</v>
      </c>
      <c r="V753" s="19">
        <v>1</v>
      </c>
      <c r="W753" s="14">
        <v>0</v>
      </c>
      <c r="X753" s="14">
        <v>0</v>
      </c>
      <c r="Y753" s="14">
        <v>0</v>
      </c>
      <c r="Z753" s="14">
        <v>0</v>
      </c>
      <c r="AA753" s="14">
        <f>Tabla13[[#This Row],[CheckList App]]+Tabla13[[#This Row],[CheckList Fisc]]</f>
        <v>0</v>
      </c>
      <c r="AB753" s="19">
        <f t="shared" si="11"/>
        <v>0</v>
      </c>
      <c r="AC753" s="14">
        <v>0</v>
      </c>
      <c r="AD753" s="14" t="s">
        <v>55</v>
      </c>
      <c r="AE753" s="15" t="str">
        <f>IFERROR((VLOOKUP(Tabla13[[#This Row],[ID]],[1]!Mtto_Pesv[[#Headers],[#Data],[Placa]:[Rutina]],2,FALSE)),"-")</f>
        <v>-</v>
      </c>
      <c r="AF753" s="14">
        <v>0</v>
      </c>
      <c r="AG753" s="20">
        <f>IFERROR((VLOOKUP(Tabla13[[#This Row],[ID]],[1]!Mtto_Pesv[[#Headers],[#Data],[Placa]:[Rutina]],3,FALSE)),0)</f>
        <v>0</v>
      </c>
      <c r="AH753" s="20">
        <f>IFERROR((VLOOKUP(Tabla13[[#This Row],[ID]],[1]!Mtto_Pesv[[#Headers],[#Data],[Placa]:[Rutina]],7,FALSE)),0)</f>
        <v>0</v>
      </c>
      <c r="AI753" s="20">
        <f>IFERROR((VLOOKUP(Tabla13[[#This Row],[ID]],[1]!Mtto_Pesv[[#Headers],[#Data],[Placa]:[Rutina]],8,FALSE)),0)</f>
        <v>0</v>
      </c>
      <c r="AJ753" s="20" t="str">
        <f>IFERROR((VLOOKUP(Tabla13[[#This Row],[ID]],[1]!Mtto_Pesv[[#Headers],[#Data],[Placa]:[Rutina]],9,FALSE)),"-")</f>
        <v>-</v>
      </c>
      <c r="AK753" s="20">
        <f>IFERROR((VLOOKUP(Tabla13[[#This Row],[ID]],[1]!Mtto_Pesv[[#Headers],[#Data],[Placa]:[Rutina]],10,FALSE)),0)</f>
        <v>0</v>
      </c>
      <c r="AL753" s="20">
        <f>IF(Tabla13[[#This Row],[Km Anterior]]=0,0,Tabla13[[#This Row],[Km Ejecut]]-Tabla13[[#This Row],[Km Anterior]])</f>
        <v>0</v>
      </c>
      <c r="AM753" s="20">
        <f>IFERROR((VLOOKUP(Tabla13[[#This Row],[ID]],[1]!Mtto_Pesv[[#Headers],[#Data],[Placa]:[Rutina]],4,FALSE)),0)</f>
        <v>0</v>
      </c>
      <c r="AN753" s="21">
        <f>IFERROR((VLOOKUP(Tabla13[[#This Row],[ID]],[1]!Mtto_Pesv[[#Headers],[#Data],[Placa]:[Rutina]],5,FALSE)),0)</f>
        <v>0</v>
      </c>
      <c r="AO753" s="21">
        <f>+Tabla13[[#This Row],[Km Fin]]-Tabla13[[#This Row],[Km Ini]]</f>
        <v>0</v>
      </c>
      <c r="AP753" s="20">
        <f>IFERROR((VLOOKUP(Tabla13[[#This Row],[ID]],[1]!Estilo_Conduccion[[#All],[Placa]:[Puntuacion]],15,FALSE)),0)</f>
        <v>0</v>
      </c>
      <c r="AQ753" s="15" t="s">
        <v>1521</v>
      </c>
      <c r="AR753" s="15" t="s">
        <v>1522</v>
      </c>
      <c r="AS753" s="20">
        <v>1013</v>
      </c>
      <c r="AT753" s="21">
        <v>19364.4375</v>
      </c>
      <c r="AU753" s="21">
        <f>(Tabla13[[#This Row],[Cap Vh]]*$AX$2)*0.56</f>
        <v>0</v>
      </c>
      <c r="AV753" s="36" t="e">
        <f>(Tabla13[[#This Row],[Cap Util (kg)]]/(Tabla13[[#This Row],[Cap Inst (Kg)]]))</f>
        <v>#DIV/0!</v>
      </c>
    </row>
    <row r="754" spans="1:48" x14ac:dyDescent="0.25">
      <c r="A754" s="13" t="s">
        <v>1068</v>
      </c>
      <c r="B754" s="14" t="s">
        <v>996</v>
      </c>
      <c r="C754" s="14" t="s">
        <v>749</v>
      </c>
      <c r="D754" s="14" t="s">
        <v>749</v>
      </c>
      <c r="E754" s="14" t="s">
        <v>845</v>
      </c>
      <c r="F754" s="14" t="s">
        <v>64</v>
      </c>
      <c r="G754" s="15" t="s">
        <v>47</v>
      </c>
      <c r="H754" s="16" t="s">
        <v>48</v>
      </c>
      <c r="I754" s="14" t="s">
        <v>49</v>
      </c>
      <c r="J754" s="14">
        <v>900335279</v>
      </c>
      <c r="K754" s="14" t="s">
        <v>77</v>
      </c>
      <c r="L754" s="14" t="s">
        <v>405</v>
      </c>
      <c r="M754" s="14" t="s">
        <v>441</v>
      </c>
      <c r="N754" s="14">
        <v>2012</v>
      </c>
      <c r="O754" s="14">
        <v>8</v>
      </c>
      <c r="P754" s="14" t="s">
        <v>53</v>
      </c>
      <c r="Q754" s="14">
        <v>0</v>
      </c>
      <c r="R754" s="14">
        <v>0</v>
      </c>
      <c r="S754" s="17" t="s">
        <v>54</v>
      </c>
      <c r="T754" s="18">
        <v>0</v>
      </c>
      <c r="U754" s="14">
        <v>14</v>
      </c>
      <c r="V754" s="19">
        <v>0.46666666666666667</v>
      </c>
      <c r="W754" s="14">
        <v>0</v>
      </c>
      <c r="X754" s="14">
        <v>0</v>
      </c>
      <c r="Y754" s="14">
        <v>0</v>
      </c>
      <c r="Z754" s="14">
        <v>0</v>
      </c>
      <c r="AA754" s="14">
        <f>Tabla13[[#This Row],[CheckList App]]+Tabla13[[#This Row],[CheckList Fisc]]</f>
        <v>0</v>
      </c>
      <c r="AB754" s="19">
        <f t="shared" si="11"/>
        <v>0</v>
      </c>
      <c r="AC754" s="14">
        <v>0</v>
      </c>
      <c r="AD754" s="14" t="s">
        <v>70</v>
      </c>
      <c r="AE754" s="15" t="str">
        <f>IFERROR((VLOOKUP(Tabla13[[#This Row],[ID]],[1]!Mtto_Pesv[[#Headers],[#Data],[Placa]:[Rutina]],2,FALSE)),"-")</f>
        <v>-</v>
      </c>
      <c r="AF754" s="14">
        <v>1</v>
      </c>
      <c r="AG754" s="20">
        <f>IFERROR((VLOOKUP(Tabla13[[#This Row],[ID]],[1]!Mtto_Pesv[[#Headers],[#Data],[Placa]:[Rutina]],3,FALSE)),0)</f>
        <v>0</v>
      </c>
      <c r="AH754" s="20">
        <f>IFERROR((VLOOKUP(Tabla13[[#This Row],[ID]],[1]!Mtto_Pesv[[#Headers],[#Data],[Placa]:[Rutina]],7,FALSE)),0)</f>
        <v>0</v>
      </c>
      <c r="AI754" s="20">
        <f>IFERROR((VLOOKUP(Tabla13[[#This Row],[ID]],[1]!Mtto_Pesv[[#Headers],[#Data],[Placa]:[Rutina]],8,FALSE)),0)</f>
        <v>0</v>
      </c>
      <c r="AJ754" s="20" t="str">
        <f>IFERROR((VLOOKUP(Tabla13[[#This Row],[ID]],[1]!Mtto_Pesv[[#Headers],[#Data],[Placa]:[Rutina]],9,FALSE)),"-")</f>
        <v>-</v>
      </c>
      <c r="AK754" s="20">
        <f>IFERROR((VLOOKUP(Tabla13[[#This Row],[ID]],[1]!Mtto_Pesv[[#Headers],[#Data],[Placa]:[Rutina]],10,FALSE)),0)</f>
        <v>0</v>
      </c>
      <c r="AL754" s="20">
        <f>IF(Tabla13[[#This Row],[Km Anterior]]=0,0,Tabla13[[#This Row],[Km Ejecut]]-Tabla13[[#This Row],[Km Anterior]])</f>
        <v>0</v>
      </c>
      <c r="AM754" s="20">
        <f>IFERROR((VLOOKUP(Tabla13[[#This Row],[ID]],[1]!Mtto_Pesv[[#Headers],[#Data],[Placa]:[Rutina]],4,FALSE)),0)</f>
        <v>0</v>
      </c>
      <c r="AN754" s="21">
        <f>IFERROR((VLOOKUP(Tabla13[[#This Row],[ID]],[1]!Mtto_Pesv[[#Headers],[#Data],[Placa]:[Rutina]],5,FALSE)),0)</f>
        <v>0</v>
      </c>
      <c r="AO754" s="21">
        <f>+Tabla13[[#This Row],[Km Fin]]-Tabla13[[#This Row],[Km Ini]]</f>
        <v>0</v>
      </c>
      <c r="AP754" s="20">
        <f>IFERROR((VLOOKUP(Tabla13[[#This Row],[ID]],[1]!Estilo_Conduccion[[#All],[Placa]:[Puntuacion]],15,FALSE)),0)</f>
        <v>0</v>
      </c>
      <c r="AQ754" s="15" t="s">
        <v>54</v>
      </c>
      <c r="AR754" s="15" t="s">
        <v>1474</v>
      </c>
      <c r="AS754" s="20">
        <v>1013</v>
      </c>
      <c r="AT754" s="21">
        <v>0</v>
      </c>
      <c r="AU754" s="21">
        <f>(Tabla13[[#This Row],[Cap Vh]]*$AX$2)*0.56</f>
        <v>0</v>
      </c>
      <c r="AV754" s="36" t="e">
        <f>(Tabla13[[#This Row],[Cap Util (kg)]]/(Tabla13[[#This Row],[Cap Inst (Kg)]]))</f>
        <v>#DIV/0!</v>
      </c>
    </row>
    <row r="755" spans="1:48" x14ac:dyDescent="0.25">
      <c r="A755" s="13" t="s">
        <v>1068</v>
      </c>
      <c r="B755" s="14" t="s">
        <v>997</v>
      </c>
      <c r="C755" s="14" t="s">
        <v>749</v>
      </c>
      <c r="D755" s="14" t="s">
        <v>749</v>
      </c>
      <c r="E755" s="14" t="s">
        <v>842</v>
      </c>
      <c r="F755" s="14" t="s">
        <v>64</v>
      </c>
      <c r="G755" s="14" t="s">
        <v>65</v>
      </c>
      <c r="H755" s="16" t="s">
        <v>66</v>
      </c>
      <c r="I755" s="14" t="s">
        <v>49</v>
      </c>
      <c r="J755" s="14">
        <v>900335279</v>
      </c>
      <c r="K755" s="14" t="s">
        <v>77</v>
      </c>
      <c r="L755" s="14" t="s">
        <v>405</v>
      </c>
      <c r="M755" s="14" t="s">
        <v>461</v>
      </c>
      <c r="N755" s="14">
        <v>2012</v>
      </c>
      <c r="O755" s="14">
        <v>8</v>
      </c>
      <c r="P755" s="14" t="s">
        <v>53</v>
      </c>
      <c r="Q755" s="14">
        <v>0</v>
      </c>
      <c r="R755" s="14">
        <v>0</v>
      </c>
      <c r="S755" s="17" t="s">
        <v>54</v>
      </c>
      <c r="T755" s="18">
        <v>0</v>
      </c>
      <c r="U755" s="14">
        <v>0</v>
      </c>
      <c r="V755" s="19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f>Tabla13[[#This Row],[CheckList App]]+Tabla13[[#This Row],[CheckList Fisc]]</f>
        <v>0</v>
      </c>
      <c r="AB755" s="19" t="str">
        <f t="shared" si="11"/>
        <v/>
      </c>
      <c r="AC755" s="14">
        <v>0</v>
      </c>
      <c r="AD755" s="14" t="s">
        <v>70</v>
      </c>
      <c r="AE755" s="15" t="str">
        <f>IFERROR((VLOOKUP(Tabla13[[#This Row],[ID]],[1]!Mtto_Pesv[[#Headers],[#Data],[Placa]:[Rutina]],2,FALSE)),"-")</f>
        <v>-</v>
      </c>
      <c r="AF755" s="14">
        <v>1</v>
      </c>
      <c r="AG755" s="20">
        <f>IFERROR((VLOOKUP(Tabla13[[#This Row],[ID]],[1]!Mtto_Pesv[[#Headers],[#Data],[Placa]:[Rutina]],3,FALSE)),0)</f>
        <v>0</v>
      </c>
      <c r="AH755" s="20">
        <f>IFERROR((VLOOKUP(Tabla13[[#This Row],[ID]],[1]!Mtto_Pesv[[#Headers],[#Data],[Placa]:[Rutina]],7,FALSE)),0)</f>
        <v>0</v>
      </c>
      <c r="AI755" s="20">
        <f>IFERROR((VLOOKUP(Tabla13[[#This Row],[ID]],[1]!Mtto_Pesv[[#Headers],[#Data],[Placa]:[Rutina]],8,FALSE)),0)</f>
        <v>0</v>
      </c>
      <c r="AJ755" s="20" t="str">
        <f>IFERROR((VLOOKUP(Tabla13[[#This Row],[ID]],[1]!Mtto_Pesv[[#Headers],[#Data],[Placa]:[Rutina]],9,FALSE)),"-")</f>
        <v>-</v>
      </c>
      <c r="AK755" s="20">
        <f>IFERROR((VLOOKUP(Tabla13[[#This Row],[ID]],[1]!Mtto_Pesv[[#Headers],[#Data],[Placa]:[Rutina]],10,FALSE)),0)</f>
        <v>0</v>
      </c>
      <c r="AL755" s="20">
        <f>IF(Tabla13[[#This Row],[Km Anterior]]=0,0,Tabla13[[#This Row],[Km Ejecut]]-Tabla13[[#This Row],[Km Anterior]])</f>
        <v>0</v>
      </c>
      <c r="AM755" s="20">
        <f>IFERROR((VLOOKUP(Tabla13[[#This Row],[ID]],[1]!Mtto_Pesv[[#Headers],[#Data],[Placa]:[Rutina]],4,FALSE)),0)</f>
        <v>0</v>
      </c>
      <c r="AN755" s="21">
        <f>IFERROR((VLOOKUP(Tabla13[[#This Row],[ID]],[1]!Mtto_Pesv[[#Headers],[#Data],[Placa]:[Rutina]],5,FALSE)),0)</f>
        <v>0</v>
      </c>
      <c r="AO755" s="21">
        <f>+Tabla13[[#This Row],[Km Fin]]-Tabla13[[#This Row],[Km Ini]]</f>
        <v>0</v>
      </c>
      <c r="AP755" s="20">
        <f>IFERROR((VLOOKUP(Tabla13[[#This Row],[ID]],[1]!Estilo_Conduccion[[#All],[Placa]:[Puntuacion]],15,FALSE)),0)</f>
        <v>0</v>
      </c>
      <c r="AQ755" s="15" t="s">
        <v>54</v>
      </c>
      <c r="AR755" s="15" t="s">
        <v>54</v>
      </c>
      <c r="AS755" s="20">
        <v>3526</v>
      </c>
      <c r="AT755" s="21">
        <v>0</v>
      </c>
      <c r="AU755" s="21">
        <f>(Tabla13[[#This Row],[Cap Vh]]*$AX$2)*0.56</f>
        <v>0</v>
      </c>
      <c r="AV755" s="36" t="e">
        <f>(Tabla13[[#This Row],[Cap Util (kg)]]/(Tabla13[[#This Row],[Cap Inst (Kg)]]))</f>
        <v>#DIV/0!</v>
      </c>
    </row>
    <row r="756" spans="1:48" x14ac:dyDescent="0.25">
      <c r="A756" s="13" t="s">
        <v>1068</v>
      </c>
      <c r="B756" s="14" t="s">
        <v>998</v>
      </c>
      <c r="C756" s="14" t="s">
        <v>749</v>
      </c>
      <c r="D756" s="14" t="s">
        <v>749</v>
      </c>
      <c r="E756" s="14" t="s">
        <v>900</v>
      </c>
      <c r="F756" s="14" t="s">
        <v>64</v>
      </c>
      <c r="G756" s="15" t="s">
        <v>119</v>
      </c>
      <c r="H756" s="16" t="s">
        <v>120</v>
      </c>
      <c r="I756" s="14" t="s">
        <v>109</v>
      </c>
      <c r="J756" s="14">
        <v>900335279</v>
      </c>
      <c r="K756" s="14" t="s">
        <v>77</v>
      </c>
      <c r="L756" s="14" t="s">
        <v>405</v>
      </c>
      <c r="M756" s="14" t="s">
        <v>461</v>
      </c>
      <c r="N756" s="14">
        <v>2012</v>
      </c>
      <c r="O756" s="14">
        <v>8</v>
      </c>
      <c r="P756" s="14" t="s">
        <v>53</v>
      </c>
      <c r="Q756" s="14">
        <v>1</v>
      </c>
      <c r="R756" s="14">
        <v>1</v>
      </c>
      <c r="S756" s="17">
        <v>44832.619479166657</v>
      </c>
      <c r="T756" s="18">
        <v>115.392</v>
      </c>
      <c r="U756" s="14">
        <v>30</v>
      </c>
      <c r="V756" s="19">
        <v>1</v>
      </c>
      <c r="W756" s="14">
        <v>0</v>
      </c>
      <c r="X756" s="14">
        <v>24</v>
      </c>
      <c r="Y756" s="14">
        <v>24</v>
      </c>
      <c r="Z756" s="14">
        <v>0</v>
      </c>
      <c r="AA756" s="14">
        <f>Tabla13[[#This Row],[CheckList App]]+Tabla13[[#This Row],[CheckList Fisc]]</f>
        <v>24</v>
      </c>
      <c r="AB756" s="19">
        <f t="shared" si="11"/>
        <v>1</v>
      </c>
      <c r="AC756" s="14">
        <v>0</v>
      </c>
      <c r="AD756" s="14" t="s">
        <v>70</v>
      </c>
      <c r="AE756" s="22" t="str">
        <f>IFERROR((VLOOKUP(Tabla13[[#This Row],[ID]],[1]!Mtto_Pesv[[#Headers],[#Data],[Placa]:[Rutina]],2,FALSE)),"-")</f>
        <v>-</v>
      </c>
      <c r="AF756" s="14">
        <v>1</v>
      </c>
      <c r="AG756" s="20">
        <f>IFERROR((VLOOKUP(Tabla13[[#This Row],[ID]],[1]!Mtto_Pesv[[#Headers],[#Data],[Placa]:[Rutina]],3,FALSE)),0)</f>
        <v>0</v>
      </c>
      <c r="AH756" s="20">
        <f>IFERROR((VLOOKUP(Tabla13[[#This Row],[ID]],[1]!Mtto_Pesv[[#Headers],[#Data],[Placa]:[Rutina]],7,FALSE)),0)</f>
        <v>0</v>
      </c>
      <c r="AI756" s="20">
        <f>IFERROR((VLOOKUP(Tabla13[[#This Row],[ID]],[1]!Mtto_Pesv[[#Headers],[#Data],[Placa]:[Rutina]],8,FALSE)),0)</f>
        <v>0</v>
      </c>
      <c r="AJ756" s="20" t="str">
        <f>IFERROR((VLOOKUP(Tabla13[[#This Row],[ID]],[1]!Mtto_Pesv[[#Headers],[#Data],[Placa]:[Rutina]],9,FALSE)),"-")</f>
        <v>-</v>
      </c>
      <c r="AK756" s="20">
        <f>IFERROR((VLOOKUP(Tabla13[[#This Row],[ID]],[1]!Mtto_Pesv[[#Headers],[#Data],[Placa]:[Rutina]],10,FALSE)),0)</f>
        <v>0</v>
      </c>
      <c r="AL756" s="20">
        <f>IF(Tabla13[[#This Row],[Km Anterior]]=0,0,Tabla13[[#This Row],[Km Ejecut]]-Tabla13[[#This Row],[Km Anterior]])</f>
        <v>0</v>
      </c>
      <c r="AM756" s="20">
        <f>IFERROR((VLOOKUP(Tabla13[[#This Row],[ID]],[1]!Mtto_Pesv[[#Headers],[#Data],[Placa]:[Rutina]],4,FALSE)),0)</f>
        <v>0</v>
      </c>
      <c r="AN756" s="21">
        <f>IFERROR((VLOOKUP(Tabla13[[#This Row],[ID]],[1]!Mtto_Pesv[[#Headers],[#Data],[Placa]:[Rutina]],5,FALSE)),0)</f>
        <v>0</v>
      </c>
      <c r="AO756" s="21">
        <f>+Tabla13[[#This Row],[Km Fin]]-Tabla13[[#This Row],[Km Ini]]</f>
        <v>0</v>
      </c>
      <c r="AP756" s="20">
        <f>IFERROR((VLOOKUP(Tabla13[[#This Row],[ID]],[1]!Estilo_Conduccion[[#All],[Placa]:[Puntuacion]],15,FALSE)),0)</f>
        <v>2.1999999999999997</v>
      </c>
      <c r="AQ756" s="15" t="s">
        <v>54</v>
      </c>
      <c r="AR756" s="15" t="s">
        <v>1566</v>
      </c>
      <c r="AS756" s="20">
        <v>3526</v>
      </c>
      <c r="AT756" s="21">
        <v>0</v>
      </c>
      <c r="AU756" s="21">
        <f>(Tabla13[[#This Row],[Cap Vh]]*$AX$2)*0.56</f>
        <v>0</v>
      </c>
      <c r="AV756" s="36" t="e">
        <f>(Tabla13[[#This Row],[Cap Util (kg)]]/(Tabla13[[#This Row],[Cap Inst (Kg)]]))</f>
        <v>#DIV/0!</v>
      </c>
    </row>
    <row r="757" spans="1:48" x14ac:dyDescent="0.25">
      <c r="A757" s="13" t="s">
        <v>1068</v>
      </c>
      <c r="B757" s="14" t="s">
        <v>999</v>
      </c>
      <c r="C757" s="14" t="s">
        <v>749</v>
      </c>
      <c r="D757" s="14" t="s">
        <v>749</v>
      </c>
      <c r="E757" s="14" t="s">
        <v>845</v>
      </c>
      <c r="F757" s="14" t="s">
        <v>64</v>
      </c>
      <c r="G757" s="15" t="s">
        <v>47</v>
      </c>
      <c r="H757" s="16" t="s">
        <v>48</v>
      </c>
      <c r="I757" s="14" t="s">
        <v>49</v>
      </c>
      <c r="J757" s="14">
        <v>900335279</v>
      </c>
      <c r="K757" s="14" t="s">
        <v>77</v>
      </c>
      <c r="L757" s="14" t="s">
        <v>405</v>
      </c>
      <c r="M757" s="14" t="s">
        <v>461</v>
      </c>
      <c r="N757" s="14">
        <v>2012</v>
      </c>
      <c r="O757" s="14">
        <v>8</v>
      </c>
      <c r="P757" s="14" t="s">
        <v>53</v>
      </c>
      <c r="Q757" s="14">
        <v>0</v>
      </c>
      <c r="R757" s="14">
        <v>0</v>
      </c>
      <c r="S757" s="17" t="s">
        <v>54</v>
      </c>
      <c r="T757" s="18">
        <v>0</v>
      </c>
      <c r="U757" s="14">
        <v>29</v>
      </c>
      <c r="V757" s="19">
        <v>0.96666666666666667</v>
      </c>
      <c r="W757" s="14">
        <v>0</v>
      </c>
      <c r="X757" s="14">
        <v>0</v>
      </c>
      <c r="Y757" s="14">
        <v>0</v>
      </c>
      <c r="Z757" s="14">
        <v>0</v>
      </c>
      <c r="AA757" s="14">
        <f>Tabla13[[#This Row],[CheckList App]]+Tabla13[[#This Row],[CheckList Fisc]]</f>
        <v>0</v>
      </c>
      <c r="AB757" s="19">
        <f t="shared" si="11"/>
        <v>0</v>
      </c>
      <c r="AC757" s="14">
        <v>0</v>
      </c>
      <c r="AD757" s="14" t="s">
        <v>70</v>
      </c>
      <c r="AE757" s="15" t="str">
        <f>IFERROR((VLOOKUP(Tabla13[[#This Row],[ID]],[1]!Mtto_Pesv[[#Headers],[#Data],[Placa]:[Rutina]],2,FALSE)),"-")</f>
        <v>-</v>
      </c>
      <c r="AF757" s="14">
        <v>1</v>
      </c>
      <c r="AG757" s="20">
        <f>IFERROR((VLOOKUP(Tabla13[[#This Row],[ID]],[1]!Mtto_Pesv[[#Headers],[#Data],[Placa]:[Rutina]],3,FALSE)),0)</f>
        <v>0</v>
      </c>
      <c r="AH757" s="20">
        <f>IFERROR((VLOOKUP(Tabla13[[#This Row],[ID]],[1]!Mtto_Pesv[[#Headers],[#Data],[Placa]:[Rutina]],7,FALSE)),0)</f>
        <v>0</v>
      </c>
      <c r="AI757" s="20">
        <f>IFERROR((VLOOKUP(Tabla13[[#This Row],[ID]],[1]!Mtto_Pesv[[#Headers],[#Data],[Placa]:[Rutina]],8,FALSE)),0)</f>
        <v>0</v>
      </c>
      <c r="AJ757" s="20" t="str">
        <f>IFERROR((VLOOKUP(Tabla13[[#This Row],[ID]],[1]!Mtto_Pesv[[#Headers],[#Data],[Placa]:[Rutina]],9,FALSE)),"-")</f>
        <v>-</v>
      </c>
      <c r="AK757" s="20">
        <f>IFERROR((VLOOKUP(Tabla13[[#This Row],[ID]],[1]!Mtto_Pesv[[#Headers],[#Data],[Placa]:[Rutina]],10,FALSE)),0)</f>
        <v>0</v>
      </c>
      <c r="AL757" s="20">
        <f>IF(Tabla13[[#This Row],[Km Anterior]]=0,0,Tabla13[[#This Row],[Km Ejecut]]-Tabla13[[#This Row],[Km Anterior]])</f>
        <v>0</v>
      </c>
      <c r="AM757" s="20">
        <f>IFERROR((VLOOKUP(Tabla13[[#This Row],[ID]],[1]!Mtto_Pesv[[#Headers],[#Data],[Placa]:[Rutina]],4,FALSE)),0)</f>
        <v>0</v>
      </c>
      <c r="AN757" s="21">
        <f>IFERROR((VLOOKUP(Tabla13[[#This Row],[ID]],[1]!Mtto_Pesv[[#Headers],[#Data],[Placa]:[Rutina]],5,FALSE)),0)</f>
        <v>0</v>
      </c>
      <c r="AO757" s="21">
        <f>+Tabla13[[#This Row],[Km Fin]]-Tabla13[[#This Row],[Km Ini]]</f>
        <v>0</v>
      </c>
      <c r="AP757" s="20">
        <f>IFERROR((VLOOKUP(Tabla13[[#This Row],[ID]],[1]!Estilo_Conduccion[[#All],[Placa]:[Puntuacion]],15,FALSE)),0)</f>
        <v>0</v>
      </c>
      <c r="AQ757" s="15" t="s">
        <v>1567</v>
      </c>
      <c r="AR757" s="15" t="s">
        <v>1568</v>
      </c>
      <c r="AS757" s="20">
        <v>3526</v>
      </c>
      <c r="AT757" s="21">
        <v>11320.5</v>
      </c>
      <c r="AU757" s="21">
        <f>(Tabla13[[#This Row],[Cap Vh]]*$AX$2)*0.56</f>
        <v>0</v>
      </c>
      <c r="AV757" s="36" t="e">
        <f>(Tabla13[[#This Row],[Cap Util (kg)]]/(Tabla13[[#This Row],[Cap Inst (Kg)]]))</f>
        <v>#DIV/0!</v>
      </c>
    </row>
    <row r="758" spans="1:48" x14ac:dyDescent="0.25">
      <c r="A758" s="13" t="s">
        <v>1068</v>
      </c>
      <c r="B758" s="14" t="s">
        <v>1000</v>
      </c>
      <c r="C758" s="14" t="s">
        <v>749</v>
      </c>
      <c r="D758" s="14" t="s">
        <v>749</v>
      </c>
      <c r="E758" s="14" t="s">
        <v>897</v>
      </c>
      <c r="F758" s="14" t="s">
        <v>64</v>
      </c>
      <c r="G758" s="15" t="s">
        <v>119</v>
      </c>
      <c r="H758" s="16" t="s">
        <v>120</v>
      </c>
      <c r="I758" s="14" t="s">
        <v>109</v>
      </c>
      <c r="J758" s="14">
        <v>900335279</v>
      </c>
      <c r="K758" s="14" t="s">
        <v>77</v>
      </c>
      <c r="L758" s="14" t="s">
        <v>405</v>
      </c>
      <c r="M758" s="14" t="s">
        <v>461</v>
      </c>
      <c r="N758" s="14">
        <v>2012</v>
      </c>
      <c r="O758" s="14">
        <v>8</v>
      </c>
      <c r="P758" s="14" t="s">
        <v>53</v>
      </c>
      <c r="Q758" s="14">
        <v>1</v>
      </c>
      <c r="R758" s="14">
        <v>1</v>
      </c>
      <c r="S758" s="17">
        <v>44834.304930555547</v>
      </c>
      <c r="T758" s="18">
        <v>147.65900000000002</v>
      </c>
      <c r="U758" s="14">
        <v>30</v>
      </c>
      <c r="V758" s="19">
        <v>1</v>
      </c>
      <c r="W758" s="14">
        <v>0</v>
      </c>
      <c r="X758" s="14">
        <v>26</v>
      </c>
      <c r="Y758" s="14">
        <v>26</v>
      </c>
      <c r="Z758" s="14">
        <v>0</v>
      </c>
      <c r="AA758" s="14">
        <f>Tabla13[[#This Row],[CheckList App]]+Tabla13[[#This Row],[CheckList Fisc]]</f>
        <v>26</v>
      </c>
      <c r="AB758" s="19">
        <f t="shared" si="11"/>
        <v>1</v>
      </c>
      <c r="AC758" s="14">
        <v>0</v>
      </c>
      <c r="AD758" s="14" t="s">
        <v>70</v>
      </c>
      <c r="AE758" s="22" t="str">
        <f>IFERROR((VLOOKUP(Tabla13[[#This Row],[ID]],[1]!Mtto_Pesv[[#Headers],[#Data],[Placa]:[Rutina]],2,FALSE)),"-")</f>
        <v>-</v>
      </c>
      <c r="AF758" s="14">
        <v>1</v>
      </c>
      <c r="AG758" s="20">
        <f>IFERROR((VLOOKUP(Tabla13[[#This Row],[ID]],[1]!Mtto_Pesv[[#Headers],[#Data],[Placa]:[Rutina]],3,FALSE)),0)</f>
        <v>0</v>
      </c>
      <c r="AH758" s="20">
        <f>IFERROR((VLOOKUP(Tabla13[[#This Row],[ID]],[1]!Mtto_Pesv[[#Headers],[#Data],[Placa]:[Rutina]],7,FALSE)),0)</f>
        <v>0</v>
      </c>
      <c r="AI758" s="20">
        <f>IFERROR((VLOOKUP(Tabla13[[#This Row],[ID]],[1]!Mtto_Pesv[[#Headers],[#Data],[Placa]:[Rutina]],8,FALSE)),0)</f>
        <v>0</v>
      </c>
      <c r="AJ758" s="20" t="str">
        <f>IFERROR((VLOOKUP(Tabla13[[#This Row],[ID]],[1]!Mtto_Pesv[[#Headers],[#Data],[Placa]:[Rutina]],9,FALSE)),"-")</f>
        <v>-</v>
      </c>
      <c r="AK758" s="20">
        <f>IFERROR((VLOOKUP(Tabla13[[#This Row],[ID]],[1]!Mtto_Pesv[[#Headers],[#Data],[Placa]:[Rutina]],10,FALSE)),0)</f>
        <v>0</v>
      </c>
      <c r="AL758" s="20">
        <f>IF(Tabla13[[#This Row],[Km Anterior]]=0,0,Tabla13[[#This Row],[Km Ejecut]]-Tabla13[[#This Row],[Km Anterior]])</f>
        <v>0</v>
      </c>
      <c r="AM758" s="20">
        <f>IFERROR((VLOOKUP(Tabla13[[#This Row],[ID]],[1]!Mtto_Pesv[[#Headers],[#Data],[Placa]:[Rutina]],4,FALSE)),0)</f>
        <v>0</v>
      </c>
      <c r="AN758" s="21">
        <f>IFERROR((VLOOKUP(Tabla13[[#This Row],[ID]],[1]!Mtto_Pesv[[#Headers],[#Data],[Placa]:[Rutina]],5,FALSE)),0)</f>
        <v>0</v>
      </c>
      <c r="AO758" s="21">
        <f>+Tabla13[[#This Row],[Km Fin]]-Tabla13[[#This Row],[Km Ini]]</f>
        <v>0</v>
      </c>
      <c r="AP758" s="20">
        <f>IFERROR((VLOOKUP(Tabla13[[#This Row],[ID]],[1]!Estilo_Conduccion[[#All],[Placa]:[Puntuacion]],15,FALSE)),0)</f>
        <v>2411.4</v>
      </c>
      <c r="AQ758" s="15" t="s">
        <v>54</v>
      </c>
      <c r="AR758" s="15" t="s">
        <v>1569</v>
      </c>
      <c r="AS758" s="20">
        <v>3526</v>
      </c>
      <c r="AT758" s="21">
        <v>0</v>
      </c>
      <c r="AU758" s="21">
        <f>(Tabla13[[#This Row],[Cap Vh]]*$AX$2)*0.56</f>
        <v>0</v>
      </c>
      <c r="AV758" s="36" t="e">
        <f>(Tabla13[[#This Row],[Cap Util (kg)]]/(Tabla13[[#This Row],[Cap Inst (Kg)]]))</f>
        <v>#DIV/0!</v>
      </c>
    </row>
    <row r="759" spans="1:48" x14ac:dyDescent="0.25">
      <c r="A759" s="13" t="s">
        <v>1068</v>
      </c>
      <c r="B759" s="14" t="s">
        <v>1001</v>
      </c>
      <c r="C759" s="14" t="s">
        <v>749</v>
      </c>
      <c r="D759" s="14" t="s">
        <v>749</v>
      </c>
      <c r="E759" s="14" t="s">
        <v>897</v>
      </c>
      <c r="F759" s="14" t="s">
        <v>76</v>
      </c>
      <c r="G759" s="15" t="s">
        <v>89</v>
      </c>
      <c r="H759" s="16" t="s">
        <v>90</v>
      </c>
      <c r="I759" s="14" t="s">
        <v>49</v>
      </c>
      <c r="J759" s="14">
        <v>900335279</v>
      </c>
      <c r="K759" s="14" t="s">
        <v>77</v>
      </c>
      <c r="L759" s="14" t="s">
        <v>405</v>
      </c>
      <c r="M759" s="14" t="s">
        <v>651</v>
      </c>
      <c r="N759" s="14">
        <v>2011</v>
      </c>
      <c r="O759" s="14">
        <v>9</v>
      </c>
      <c r="P759" s="14" t="s">
        <v>53</v>
      </c>
      <c r="Q759" s="14">
        <v>0</v>
      </c>
      <c r="R759" s="14">
        <v>0</v>
      </c>
      <c r="S759" s="17" t="s">
        <v>54</v>
      </c>
      <c r="T759" s="18">
        <v>0</v>
      </c>
      <c r="U759" s="14">
        <v>30</v>
      </c>
      <c r="V759" s="19">
        <v>1</v>
      </c>
      <c r="W759" s="14">
        <v>0</v>
      </c>
      <c r="X759" s="14">
        <v>0</v>
      </c>
      <c r="Y759" s="14">
        <v>0</v>
      </c>
      <c r="Z759" s="14">
        <v>0</v>
      </c>
      <c r="AA759" s="14">
        <f>Tabla13[[#This Row],[CheckList App]]+Tabla13[[#This Row],[CheckList Fisc]]</f>
        <v>0</v>
      </c>
      <c r="AB759" s="19">
        <f t="shared" si="11"/>
        <v>0</v>
      </c>
      <c r="AC759" s="14">
        <v>0</v>
      </c>
      <c r="AD759" s="14" t="s">
        <v>70</v>
      </c>
      <c r="AE759" s="15" t="str">
        <f>IFERROR((VLOOKUP(Tabla13[[#This Row],[ID]],[1]!Mtto_Pesv[[#Headers],[#Data],[Placa]:[Rutina]],2,FALSE)),"-")</f>
        <v>-</v>
      </c>
      <c r="AF759" s="14">
        <v>1</v>
      </c>
      <c r="AG759" s="20">
        <f>IFERROR((VLOOKUP(Tabla13[[#This Row],[ID]],[1]!Mtto_Pesv[[#Headers],[#Data],[Placa]:[Rutina]],3,FALSE)),0)</f>
        <v>0</v>
      </c>
      <c r="AH759" s="20">
        <f>IFERROR((VLOOKUP(Tabla13[[#This Row],[ID]],[1]!Mtto_Pesv[[#Headers],[#Data],[Placa]:[Rutina]],7,FALSE)),0)</f>
        <v>0</v>
      </c>
      <c r="AI759" s="20">
        <f>IFERROR((VLOOKUP(Tabla13[[#This Row],[ID]],[1]!Mtto_Pesv[[#Headers],[#Data],[Placa]:[Rutina]],8,FALSE)),0)</f>
        <v>0</v>
      </c>
      <c r="AJ759" s="20" t="str">
        <f>IFERROR((VLOOKUP(Tabla13[[#This Row],[ID]],[1]!Mtto_Pesv[[#Headers],[#Data],[Placa]:[Rutina]],9,FALSE)),"-")</f>
        <v>-</v>
      </c>
      <c r="AK759" s="20">
        <f>IFERROR((VLOOKUP(Tabla13[[#This Row],[ID]],[1]!Mtto_Pesv[[#Headers],[#Data],[Placa]:[Rutina]],10,FALSE)),0)</f>
        <v>0</v>
      </c>
      <c r="AL759" s="20">
        <f>IF(Tabla13[[#This Row],[Km Anterior]]=0,0,Tabla13[[#This Row],[Km Ejecut]]-Tabla13[[#This Row],[Km Anterior]])</f>
        <v>0</v>
      </c>
      <c r="AM759" s="20">
        <f>IFERROR((VLOOKUP(Tabla13[[#This Row],[ID]],[1]!Mtto_Pesv[[#Headers],[#Data],[Placa]:[Rutina]],4,FALSE)),0)</f>
        <v>0</v>
      </c>
      <c r="AN759" s="21">
        <f>IFERROR((VLOOKUP(Tabla13[[#This Row],[ID]],[1]!Mtto_Pesv[[#Headers],[#Data],[Placa]:[Rutina]],5,FALSE)),0)</f>
        <v>0</v>
      </c>
      <c r="AO759" s="21">
        <f>+Tabla13[[#This Row],[Km Fin]]-Tabla13[[#This Row],[Km Ini]]</f>
        <v>0</v>
      </c>
      <c r="AP759" s="20">
        <f>IFERROR((VLOOKUP(Tabla13[[#This Row],[ID]],[1]!Estilo_Conduccion[[#All],[Placa]:[Puntuacion]],15,FALSE)),0)</f>
        <v>0</v>
      </c>
      <c r="AQ759" s="15" t="s">
        <v>1570</v>
      </c>
      <c r="AR759" s="15" t="s">
        <v>1571</v>
      </c>
      <c r="AS759" s="20">
        <v>3789</v>
      </c>
      <c r="AT759" s="21">
        <v>52059</v>
      </c>
      <c r="AU759" s="21">
        <f>(Tabla13[[#This Row],[Cap Vh]]*$AX$2)*0.56</f>
        <v>0</v>
      </c>
      <c r="AV759" s="36" t="e">
        <f>(Tabla13[[#This Row],[Cap Util (kg)]]/(Tabla13[[#This Row],[Cap Inst (Kg)]]))</f>
        <v>#DIV/0!</v>
      </c>
    </row>
    <row r="760" spans="1:48" x14ac:dyDescent="0.25">
      <c r="A760" s="13" t="s">
        <v>1068</v>
      </c>
      <c r="B760" s="14" t="s">
        <v>1002</v>
      </c>
      <c r="C760" s="14" t="s">
        <v>749</v>
      </c>
      <c r="D760" s="14" t="s">
        <v>749</v>
      </c>
      <c r="E760" s="14" t="s">
        <v>840</v>
      </c>
      <c r="F760" s="14" t="s">
        <v>76</v>
      </c>
      <c r="G760" s="15" t="s">
        <v>89</v>
      </c>
      <c r="H760" s="16" t="s">
        <v>90</v>
      </c>
      <c r="I760" s="14" t="s">
        <v>49</v>
      </c>
      <c r="J760" s="14">
        <v>900335279</v>
      </c>
      <c r="K760" s="14" t="s">
        <v>77</v>
      </c>
      <c r="L760" s="14" t="s">
        <v>103</v>
      </c>
      <c r="M760" s="14" t="s">
        <v>121</v>
      </c>
      <c r="N760" s="14">
        <v>2012</v>
      </c>
      <c r="O760" s="14">
        <v>8</v>
      </c>
      <c r="P760" s="14" t="s">
        <v>53</v>
      </c>
      <c r="Q760" s="14">
        <v>0</v>
      </c>
      <c r="R760" s="14">
        <v>0</v>
      </c>
      <c r="S760" s="17" t="s">
        <v>54</v>
      </c>
      <c r="T760" s="18">
        <v>0</v>
      </c>
      <c r="U760" s="14">
        <v>30</v>
      </c>
      <c r="V760" s="19">
        <v>1</v>
      </c>
      <c r="W760" s="14">
        <v>0</v>
      </c>
      <c r="X760" s="14">
        <v>0</v>
      </c>
      <c r="Y760" s="14">
        <v>0</v>
      </c>
      <c r="Z760" s="14">
        <v>0</v>
      </c>
      <c r="AA760" s="14">
        <f>Tabla13[[#This Row],[CheckList App]]+Tabla13[[#This Row],[CheckList Fisc]]</f>
        <v>0</v>
      </c>
      <c r="AB760" s="19">
        <f t="shared" si="11"/>
        <v>0</v>
      </c>
      <c r="AC760" s="14">
        <v>0</v>
      </c>
      <c r="AD760" s="14" t="s">
        <v>55</v>
      </c>
      <c r="AE760" s="15" t="str">
        <f>IFERROR((VLOOKUP(Tabla13[[#This Row],[ID]],[1]!Mtto_Pesv[[#Headers],[#Data],[Placa]:[Rutina]],2,FALSE)),"-")</f>
        <v>-</v>
      </c>
      <c r="AF760" s="14">
        <v>0</v>
      </c>
      <c r="AG760" s="20">
        <f>IFERROR((VLOOKUP(Tabla13[[#This Row],[ID]],[1]!Mtto_Pesv[[#Headers],[#Data],[Placa]:[Rutina]],3,FALSE)),0)</f>
        <v>0</v>
      </c>
      <c r="AH760" s="20">
        <f>IFERROR((VLOOKUP(Tabla13[[#This Row],[ID]],[1]!Mtto_Pesv[[#Headers],[#Data],[Placa]:[Rutina]],7,FALSE)),0)</f>
        <v>0</v>
      </c>
      <c r="AI760" s="20">
        <f>IFERROR((VLOOKUP(Tabla13[[#This Row],[ID]],[1]!Mtto_Pesv[[#Headers],[#Data],[Placa]:[Rutina]],8,FALSE)),0)</f>
        <v>0</v>
      </c>
      <c r="AJ760" s="20" t="str">
        <f>IFERROR((VLOOKUP(Tabla13[[#This Row],[ID]],[1]!Mtto_Pesv[[#Headers],[#Data],[Placa]:[Rutina]],9,FALSE)),"-")</f>
        <v>-</v>
      </c>
      <c r="AK760" s="20">
        <f>IFERROR((VLOOKUP(Tabla13[[#This Row],[ID]],[1]!Mtto_Pesv[[#Headers],[#Data],[Placa]:[Rutina]],10,FALSE)),0)</f>
        <v>0</v>
      </c>
      <c r="AL760" s="20">
        <f>IF(Tabla13[[#This Row],[Km Anterior]]=0,0,Tabla13[[#This Row],[Km Ejecut]]-Tabla13[[#This Row],[Km Anterior]])</f>
        <v>0</v>
      </c>
      <c r="AM760" s="20">
        <f>IFERROR((VLOOKUP(Tabla13[[#This Row],[ID]],[1]!Mtto_Pesv[[#Headers],[#Data],[Placa]:[Rutina]],4,FALSE)),0)</f>
        <v>0</v>
      </c>
      <c r="AN760" s="21">
        <f>IFERROR((VLOOKUP(Tabla13[[#This Row],[ID]],[1]!Mtto_Pesv[[#Headers],[#Data],[Placa]:[Rutina]],5,FALSE)),0)</f>
        <v>0</v>
      </c>
      <c r="AO760" s="21">
        <f>+Tabla13[[#This Row],[Km Fin]]-Tabla13[[#This Row],[Km Ini]]</f>
        <v>0</v>
      </c>
      <c r="AP760" s="20">
        <f>IFERROR((VLOOKUP(Tabla13[[#This Row],[ID]],[1]!Estilo_Conduccion[[#All],[Placa]:[Puntuacion]],15,FALSE)),0)</f>
        <v>0</v>
      </c>
      <c r="AQ760" s="15" t="s">
        <v>1521</v>
      </c>
      <c r="AR760" s="15" t="s">
        <v>1522</v>
      </c>
      <c r="AS760" s="20">
        <v>2630</v>
      </c>
      <c r="AT760" s="21">
        <v>19364.4375</v>
      </c>
      <c r="AU760" s="21">
        <f>(Tabla13[[#This Row],[Cap Vh]]*$AX$2)*0.56</f>
        <v>0</v>
      </c>
      <c r="AV760" s="36" t="e">
        <f>(Tabla13[[#This Row],[Cap Util (kg)]]/(Tabla13[[#This Row],[Cap Inst (Kg)]]))</f>
        <v>#DIV/0!</v>
      </c>
    </row>
    <row r="761" spans="1:48" x14ac:dyDescent="0.25">
      <c r="A761" s="13" t="s">
        <v>1068</v>
      </c>
      <c r="B761" s="14" t="s">
        <v>1003</v>
      </c>
      <c r="C761" s="14" t="s">
        <v>749</v>
      </c>
      <c r="D761" s="14" t="s">
        <v>749</v>
      </c>
      <c r="E761" s="14" t="s">
        <v>840</v>
      </c>
      <c r="F761" s="14" t="s">
        <v>76</v>
      </c>
      <c r="G761" s="15" t="s">
        <v>89</v>
      </c>
      <c r="H761" s="16" t="s">
        <v>90</v>
      </c>
      <c r="I761" s="14" t="s">
        <v>49</v>
      </c>
      <c r="J761" s="14">
        <v>900335279</v>
      </c>
      <c r="K761" s="14" t="s">
        <v>77</v>
      </c>
      <c r="L761" s="14" t="s">
        <v>103</v>
      </c>
      <c r="M761" s="14" t="s">
        <v>121</v>
      </c>
      <c r="N761" s="14">
        <v>2012</v>
      </c>
      <c r="O761" s="14">
        <v>8</v>
      </c>
      <c r="P761" s="14" t="s">
        <v>53</v>
      </c>
      <c r="Q761" s="14">
        <v>0</v>
      </c>
      <c r="R761" s="14">
        <v>0</v>
      </c>
      <c r="S761" s="17" t="s">
        <v>54</v>
      </c>
      <c r="T761" s="18">
        <v>0</v>
      </c>
      <c r="U761" s="14">
        <v>30</v>
      </c>
      <c r="V761" s="19">
        <v>1</v>
      </c>
      <c r="W761" s="14">
        <v>0</v>
      </c>
      <c r="X761" s="14">
        <v>0</v>
      </c>
      <c r="Y761" s="14">
        <v>0</v>
      </c>
      <c r="Z761" s="14">
        <v>0</v>
      </c>
      <c r="AA761" s="14">
        <f>Tabla13[[#This Row],[CheckList App]]+Tabla13[[#This Row],[CheckList Fisc]]</f>
        <v>0</v>
      </c>
      <c r="AB761" s="19">
        <f t="shared" si="11"/>
        <v>0</v>
      </c>
      <c r="AC761" s="14">
        <v>0</v>
      </c>
      <c r="AD761" s="14" t="s">
        <v>70</v>
      </c>
      <c r="AE761" s="15" t="str">
        <f>IFERROR((VLOOKUP(Tabla13[[#This Row],[ID]],[1]!Mtto_Pesv[[#Headers],[#Data],[Placa]:[Rutina]],2,FALSE)),"-")</f>
        <v>-</v>
      </c>
      <c r="AF761" s="14">
        <v>1</v>
      </c>
      <c r="AG761" s="20">
        <f>IFERROR((VLOOKUP(Tabla13[[#This Row],[ID]],[1]!Mtto_Pesv[[#Headers],[#Data],[Placa]:[Rutina]],3,FALSE)),0)</f>
        <v>0</v>
      </c>
      <c r="AH761" s="20">
        <f>IFERROR((VLOOKUP(Tabla13[[#This Row],[ID]],[1]!Mtto_Pesv[[#Headers],[#Data],[Placa]:[Rutina]],7,FALSE)),0)</f>
        <v>0</v>
      </c>
      <c r="AI761" s="20">
        <f>IFERROR((VLOOKUP(Tabla13[[#This Row],[ID]],[1]!Mtto_Pesv[[#Headers],[#Data],[Placa]:[Rutina]],8,FALSE)),0)</f>
        <v>0</v>
      </c>
      <c r="AJ761" s="20" t="str">
        <f>IFERROR((VLOOKUP(Tabla13[[#This Row],[ID]],[1]!Mtto_Pesv[[#Headers],[#Data],[Placa]:[Rutina]],9,FALSE)),"-")</f>
        <v>-</v>
      </c>
      <c r="AK761" s="20">
        <f>IFERROR((VLOOKUP(Tabla13[[#This Row],[ID]],[1]!Mtto_Pesv[[#Headers],[#Data],[Placa]:[Rutina]],10,FALSE)),0)</f>
        <v>0</v>
      </c>
      <c r="AL761" s="20">
        <f>IF(Tabla13[[#This Row],[Km Anterior]]=0,0,Tabla13[[#This Row],[Km Ejecut]]-Tabla13[[#This Row],[Km Anterior]])</f>
        <v>0</v>
      </c>
      <c r="AM761" s="20">
        <f>IFERROR((VLOOKUP(Tabla13[[#This Row],[ID]],[1]!Mtto_Pesv[[#Headers],[#Data],[Placa]:[Rutina]],4,FALSE)),0)</f>
        <v>0</v>
      </c>
      <c r="AN761" s="21">
        <f>IFERROR((VLOOKUP(Tabla13[[#This Row],[ID]],[1]!Mtto_Pesv[[#Headers],[#Data],[Placa]:[Rutina]],5,FALSE)),0)</f>
        <v>0</v>
      </c>
      <c r="AO761" s="21">
        <f>+Tabla13[[#This Row],[Km Fin]]-Tabla13[[#This Row],[Km Ini]]</f>
        <v>0</v>
      </c>
      <c r="AP761" s="20">
        <f>IFERROR((VLOOKUP(Tabla13[[#This Row],[ID]],[1]!Estilo_Conduccion[[#All],[Placa]:[Puntuacion]],15,FALSE)),0)</f>
        <v>0</v>
      </c>
      <c r="AQ761" s="15" t="s">
        <v>1521</v>
      </c>
      <c r="AR761" s="15" t="s">
        <v>1522</v>
      </c>
      <c r="AS761" s="20">
        <v>2630</v>
      </c>
      <c r="AT761" s="21">
        <v>19364.4375</v>
      </c>
      <c r="AU761" s="21">
        <f>(Tabla13[[#This Row],[Cap Vh]]*$AX$2)*0.56</f>
        <v>0</v>
      </c>
      <c r="AV761" s="36" t="e">
        <f>(Tabla13[[#This Row],[Cap Util (kg)]]/(Tabla13[[#This Row],[Cap Inst (Kg)]]))</f>
        <v>#DIV/0!</v>
      </c>
    </row>
    <row r="762" spans="1:48" x14ac:dyDescent="0.25">
      <c r="A762" s="13" t="s">
        <v>1068</v>
      </c>
      <c r="B762" s="14" t="s">
        <v>1004</v>
      </c>
      <c r="C762" s="14" t="s">
        <v>749</v>
      </c>
      <c r="D762" s="14" t="s">
        <v>749</v>
      </c>
      <c r="E762" s="14" t="s">
        <v>845</v>
      </c>
      <c r="F762" s="14" t="s">
        <v>76</v>
      </c>
      <c r="G762" s="15" t="s">
        <v>89</v>
      </c>
      <c r="H762" s="16" t="s">
        <v>90</v>
      </c>
      <c r="I762" s="14" t="s">
        <v>49</v>
      </c>
      <c r="J762" s="14">
        <v>8605033701</v>
      </c>
      <c r="K762" s="14" t="s">
        <v>244</v>
      </c>
      <c r="L762" s="14" t="s">
        <v>103</v>
      </c>
      <c r="M762" s="14" t="s">
        <v>231</v>
      </c>
      <c r="N762" s="14">
        <v>2007</v>
      </c>
      <c r="O762" s="14">
        <v>13</v>
      </c>
      <c r="P762" s="14" t="s">
        <v>173</v>
      </c>
      <c r="Q762" s="14">
        <v>0</v>
      </c>
      <c r="R762" s="14">
        <v>0</v>
      </c>
      <c r="S762" s="17" t="s">
        <v>54</v>
      </c>
      <c r="T762" s="18">
        <v>0</v>
      </c>
      <c r="U762" s="14">
        <v>30</v>
      </c>
      <c r="V762" s="19">
        <v>1</v>
      </c>
      <c r="W762" s="14">
        <v>0</v>
      </c>
      <c r="X762" s="14">
        <v>0</v>
      </c>
      <c r="Y762" s="14">
        <v>0</v>
      </c>
      <c r="Z762" s="14">
        <v>0</v>
      </c>
      <c r="AA762" s="14">
        <f>Tabla13[[#This Row],[CheckList App]]+Tabla13[[#This Row],[CheckList Fisc]]</f>
        <v>0</v>
      </c>
      <c r="AB762" s="19">
        <f t="shared" si="11"/>
        <v>0</v>
      </c>
      <c r="AC762" s="14">
        <v>0</v>
      </c>
      <c r="AD762" s="14" t="s">
        <v>55</v>
      </c>
      <c r="AE762" s="15" t="str">
        <f>IFERROR((VLOOKUP(Tabla13[[#This Row],[ID]],[1]!Mtto_Pesv[[#Headers],[#Data],[Placa]:[Rutina]],2,FALSE)),"-")</f>
        <v>-</v>
      </c>
      <c r="AF762" s="14">
        <v>0</v>
      </c>
      <c r="AG762" s="20">
        <f>IFERROR((VLOOKUP(Tabla13[[#This Row],[ID]],[1]!Mtto_Pesv[[#Headers],[#Data],[Placa]:[Rutina]],3,FALSE)),0)</f>
        <v>0</v>
      </c>
      <c r="AH762" s="20">
        <f>IFERROR((VLOOKUP(Tabla13[[#This Row],[ID]],[1]!Mtto_Pesv[[#Headers],[#Data],[Placa]:[Rutina]],7,FALSE)),0)</f>
        <v>0</v>
      </c>
      <c r="AI762" s="20">
        <f>IFERROR((VLOOKUP(Tabla13[[#This Row],[ID]],[1]!Mtto_Pesv[[#Headers],[#Data],[Placa]:[Rutina]],8,FALSE)),0)</f>
        <v>0</v>
      </c>
      <c r="AJ762" s="20" t="str">
        <f>IFERROR((VLOOKUP(Tabla13[[#This Row],[ID]],[1]!Mtto_Pesv[[#Headers],[#Data],[Placa]:[Rutina]],9,FALSE)),"-")</f>
        <v>-</v>
      </c>
      <c r="AK762" s="20">
        <f>IFERROR((VLOOKUP(Tabla13[[#This Row],[ID]],[1]!Mtto_Pesv[[#Headers],[#Data],[Placa]:[Rutina]],10,FALSE)),0)</f>
        <v>0</v>
      </c>
      <c r="AL762" s="20">
        <f>IF(Tabla13[[#This Row],[Km Anterior]]=0,0,Tabla13[[#This Row],[Km Ejecut]]-Tabla13[[#This Row],[Km Anterior]])</f>
        <v>0</v>
      </c>
      <c r="AM762" s="20">
        <f>IFERROR((VLOOKUP(Tabla13[[#This Row],[ID]],[1]!Mtto_Pesv[[#Headers],[#Data],[Placa]:[Rutina]],4,FALSE)),0)</f>
        <v>0</v>
      </c>
      <c r="AN762" s="21">
        <f>IFERROR((VLOOKUP(Tabla13[[#This Row],[ID]],[1]!Mtto_Pesv[[#Headers],[#Data],[Placa]:[Rutina]],5,FALSE)),0)</f>
        <v>0</v>
      </c>
      <c r="AO762" s="21">
        <f>+Tabla13[[#This Row],[Km Fin]]-Tabla13[[#This Row],[Km Ini]]</f>
        <v>0</v>
      </c>
      <c r="AP762" s="20">
        <f>IFERROR((VLOOKUP(Tabla13[[#This Row],[ID]],[1]!Estilo_Conduccion[[#All],[Placa]:[Puntuacion]],15,FALSE)),0)</f>
        <v>0</v>
      </c>
      <c r="AQ762" s="15" t="s">
        <v>1506</v>
      </c>
      <c r="AR762" s="15" t="s">
        <v>1507</v>
      </c>
      <c r="AS762" s="20">
        <v>3500</v>
      </c>
      <c r="AT762" s="21">
        <v>9068.7000000000007</v>
      </c>
      <c r="AU762" s="21">
        <f>(Tabla13[[#This Row],[Cap Vh]]*$AX$2)*0.56</f>
        <v>0</v>
      </c>
      <c r="AV762" s="36" t="e">
        <f>(Tabla13[[#This Row],[Cap Util (kg)]]/(Tabla13[[#This Row],[Cap Inst (Kg)]]))</f>
        <v>#DIV/0!</v>
      </c>
    </row>
    <row r="763" spans="1:48" x14ac:dyDescent="0.25">
      <c r="A763" s="13" t="s">
        <v>1068</v>
      </c>
      <c r="B763" s="14" t="s">
        <v>1005</v>
      </c>
      <c r="C763" s="14" t="s">
        <v>749</v>
      </c>
      <c r="D763" s="14" t="s">
        <v>749</v>
      </c>
      <c r="E763" s="14" t="s">
        <v>840</v>
      </c>
      <c r="F763" s="14" t="s">
        <v>76</v>
      </c>
      <c r="G763" s="15" t="s">
        <v>47</v>
      </c>
      <c r="H763" s="16" t="s">
        <v>48</v>
      </c>
      <c r="I763" s="14" t="s">
        <v>49</v>
      </c>
      <c r="J763" s="14">
        <v>9003352790</v>
      </c>
      <c r="K763" s="14" t="s">
        <v>77</v>
      </c>
      <c r="L763" s="14" t="s">
        <v>103</v>
      </c>
      <c r="M763" s="14" t="s">
        <v>285</v>
      </c>
      <c r="N763" s="14">
        <v>2004</v>
      </c>
      <c r="O763" s="14">
        <v>16</v>
      </c>
      <c r="P763" s="14" t="s">
        <v>173</v>
      </c>
      <c r="Q763" s="14">
        <v>0</v>
      </c>
      <c r="R763" s="14">
        <v>0</v>
      </c>
      <c r="S763" s="17" t="s">
        <v>54</v>
      </c>
      <c r="T763" s="18">
        <v>0</v>
      </c>
      <c r="U763" s="14">
        <v>30</v>
      </c>
      <c r="V763" s="19">
        <v>1</v>
      </c>
      <c r="W763" s="14">
        <v>0</v>
      </c>
      <c r="X763" s="14">
        <v>0</v>
      </c>
      <c r="Y763" s="14">
        <v>0</v>
      </c>
      <c r="Z763" s="14">
        <v>0</v>
      </c>
      <c r="AA763" s="14">
        <f>Tabla13[[#This Row],[CheckList App]]+Tabla13[[#This Row],[CheckList Fisc]]</f>
        <v>0</v>
      </c>
      <c r="AB763" s="19">
        <f t="shared" si="11"/>
        <v>0</v>
      </c>
      <c r="AC763" s="14">
        <v>0</v>
      </c>
      <c r="AD763" s="14" t="s">
        <v>70</v>
      </c>
      <c r="AE763" s="15" t="str">
        <f>IFERROR((VLOOKUP(Tabla13[[#This Row],[ID]],[1]!Mtto_Pesv[[#Headers],[#Data],[Placa]:[Rutina]],2,FALSE)),"-")</f>
        <v>-</v>
      </c>
      <c r="AF763" s="14">
        <v>1</v>
      </c>
      <c r="AG763" s="20">
        <f>IFERROR((VLOOKUP(Tabla13[[#This Row],[ID]],[1]!Mtto_Pesv[[#Headers],[#Data],[Placa]:[Rutina]],3,FALSE)),0)</f>
        <v>0</v>
      </c>
      <c r="AH763" s="20">
        <f>IFERROR((VLOOKUP(Tabla13[[#This Row],[ID]],[1]!Mtto_Pesv[[#Headers],[#Data],[Placa]:[Rutina]],7,FALSE)),0)</f>
        <v>0</v>
      </c>
      <c r="AI763" s="20">
        <f>IFERROR((VLOOKUP(Tabla13[[#This Row],[ID]],[1]!Mtto_Pesv[[#Headers],[#Data],[Placa]:[Rutina]],8,FALSE)),0)</f>
        <v>0</v>
      </c>
      <c r="AJ763" s="20" t="str">
        <f>IFERROR((VLOOKUP(Tabla13[[#This Row],[ID]],[1]!Mtto_Pesv[[#Headers],[#Data],[Placa]:[Rutina]],9,FALSE)),"-")</f>
        <v>-</v>
      </c>
      <c r="AK763" s="20">
        <f>IFERROR((VLOOKUP(Tabla13[[#This Row],[ID]],[1]!Mtto_Pesv[[#Headers],[#Data],[Placa]:[Rutina]],10,FALSE)),0)</f>
        <v>0</v>
      </c>
      <c r="AL763" s="20">
        <f>IF(Tabla13[[#This Row],[Km Anterior]]=0,0,Tabla13[[#This Row],[Km Ejecut]]-Tabla13[[#This Row],[Km Anterior]])</f>
        <v>0</v>
      </c>
      <c r="AM763" s="20">
        <f>IFERROR((VLOOKUP(Tabla13[[#This Row],[ID]],[1]!Mtto_Pesv[[#Headers],[#Data],[Placa]:[Rutina]],4,FALSE)),0)</f>
        <v>0</v>
      </c>
      <c r="AN763" s="21">
        <f>IFERROR((VLOOKUP(Tabla13[[#This Row],[ID]],[1]!Mtto_Pesv[[#Headers],[#Data],[Placa]:[Rutina]],5,FALSE)),0)</f>
        <v>0</v>
      </c>
      <c r="AO763" s="21">
        <f>+Tabla13[[#This Row],[Km Fin]]-Tabla13[[#This Row],[Km Ini]]</f>
        <v>0</v>
      </c>
      <c r="AP763" s="20">
        <f>IFERROR((VLOOKUP(Tabla13[[#This Row],[ID]],[1]!Estilo_Conduccion[[#All],[Placa]:[Puntuacion]],15,FALSE)),0)</f>
        <v>0</v>
      </c>
      <c r="AQ763" s="15" t="s">
        <v>1526</v>
      </c>
      <c r="AR763" s="15" t="s">
        <v>1527</v>
      </c>
      <c r="AS763" s="20">
        <v>1000</v>
      </c>
      <c r="AT763" s="21">
        <v>4015.0714285714284</v>
      </c>
      <c r="AU763" s="21">
        <f>(Tabla13[[#This Row],[Cap Vh]]*$AX$2)*0.56</f>
        <v>0</v>
      </c>
      <c r="AV763" s="36" t="e">
        <f>(Tabla13[[#This Row],[Cap Util (kg)]]/(Tabla13[[#This Row],[Cap Inst (Kg)]]))</f>
        <v>#DIV/0!</v>
      </c>
    </row>
    <row r="764" spans="1:48" x14ac:dyDescent="0.25">
      <c r="A764" s="13" t="s">
        <v>1068</v>
      </c>
      <c r="B764" s="14" t="s">
        <v>1006</v>
      </c>
      <c r="C764" s="14" t="s">
        <v>749</v>
      </c>
      <c r="D764" s="14" t="s">
        <v>749</v>
      </c>
      <c r="E764" s="14" t="s">
        <v>848</v>
      </c>
      <c r="F764" s="14" t="s">
        <v>76</v>
      </c>
      <c r="G764" s="15" t="s">
        <v>89</v>
      </c>
      <c r="H764" s="16" t="s">
        <v>90</v>
      </c>
      <c r="I764" s="14" t="s">
        <v>109</v>
      </c>
      <c r="J764" s="14">
        <v>900335279</v>
      </c>
      <c r="K764" s="14" t="s">
        <v>77</v>
      </c>
      <c r="L764" s="14" t="s">
        <v>103</v>
      </c>
      <c r="M764" s="14" t="s">
        <v>121</v>
      </c>
      <c r="N764" s="14">
        <v>2014</v>
      </c>
      <c r="O764" s="14">
        <v>6</v>
      </c>
      <c r="P764" s="14" t="s">
        <v>53</v>
      </c>
      <c r="Q764" s="14">
        <v>1</v>
      </c>
      <c r="R764" s="14">
        <v>0</v>
      </c>
      <c r="S764" s="17" t="s">
        <v>54</v>
      </c>
      <c r="T764" s="18">
        <v>0</v>
      </c>
      <c r="U764" s="14">
        <v>30</v>
      </c>
      <c r="V764" s="19">
        <v>1</v>
      </c>
      <c r="W764" s="14">
        <v>0</v>
      </c>
      <c r="X764" s="14">
        <v>0</v>
      </c>
      <c r="Y764" s="14">
        <v>0</v>
      </c>
      <c r="Z764" s="14">
        <v>0</v>
      </c>
      <c r="AA764" s="14">
        <f>Tabla13[[#This Row],[CheckList App]]+Tabla13[[#This Row],[CheckList Fisc]]</f>
        <v>0</v>
      </c>
      <c r="AB764" s="19">
        <f t="shared" si="11"/>
        <v>0</v>
      </c>
      <c r="AC764" s="14">
        <v>0</v>
      </c>
      <c r="AD764" s="14" t="s">
        <v>70</v>
      </c>
      <c r="AE764" s="15" t="str">
        <f>IFERROR((VLOOKUP(Tabla13[[#This Row],[ID]],[1]!Mtto_Pesv[[#Headers],[#Data],[Placa]:[Rutina]],2,FALSE)),"-")</f>
        <v>-</v>
      </c>
      <c r="AF764" s="14">
        <v>1</v>
      </c>
      <c r="AG764" s="20">
        <f>IFERROR((VLOOKUP(Tabla13[[#This Row],[ID]],[1]!Mtto_Pesv[[#Headers],[#Data],[Placa]:[Rutina]],3,FALSE)),0)</f>
        <v>0</v>
      </c>
      <c r="AH764" s="20">
        <f>IFERROR((VLOOKUP(Tabla13[[#This Row],[ID]],[1]!Mtto_Pesv[[#Headers],[#Data],[Placa]:[Rutina]],7,FALSE)),0)</f>
        <v>0</v>
      </c>
      <c r="AI764" s="20">
        <f>IFERROR((VLOOKUP(Tabla13[[#This Row],[ID]],[1]!Mtto_Pesv[[#Headers],[#Data],[Placa]:[Rutina]],8,FALSE)),0)</f>
        <v>0</v>
      </c>
      <c r="AJ764" s="20" t="str">
        <f>IFERROR((VLOOKUP(Tabla13[[#This Row],[ID]],[1]!Mtto_Pesv[[#Headers],[#Data],[Placa]:[Rutina]],9,FALSE)),"-")</f>
        <v>-</v>
      </c>
      <c r="AK764" s="20">
        <f>IFERROR((VLOOKUP(Tabla13[[#This Row],[ID]],[1]!Mtto_Pesv[[#Headers],[#Data],[Placa]:[Rutina]],10,FALSE)),0)</f>
        <v>0</v>
      </c>
      <c r="AL764" s="20">
        <f>IF(Tabla13[[#This Row],[Km Anterior]]=0,0,Tabla13[[#This Row],[Km Ejecut]]-Tabla13[[#This Row],[Km Anterior]])</f>
        <v>0</v>
      </c>
      <c r="AM764" s="20">
        <f>IFERROR((VLOOKUP(Tabla13[[#This Row],[ID]],[1]!Mtto_Pesv[[#Headers],[#Data],[Placa]:[Rutina]],4,FALSE)),0)</f>
        <v>0</v>
      </c>
      <c r="AN764" s="21">
        <f>IFERROR((VLOOKUP(Tabla13[[#This Row],[ID]],[1]!Mtto_Pesv[[#Headers],[#Data],[Placa]:[Rutina]],5,FALSE)),0)</f>
        <v>0</v>
      </c>
      <c r="AO764" s="21">
        <f>+Tabla13[[#This Row],[Km Fin]]-Tabla13[[#This Row],[Km Ini]]</f>
        <v>0</v>
      </c>
      <c r="AP764" s="20">
        <f>IFERROR((VLOOKUP(Tabla13[[#This Row],[ID]],[1]!Estilo_Conduccion[[#All],[Placa]:[Puntuacion]],15,FALSE)),0)</f>
        <v>11.1</v>
      </c>
      <c r="AQ764" s="15" t="s">
        <v>1457</v>
      </c>
      <c r="AR764" s="15" t="s">
        <v>1458</v>
      </c>
      <c r="AS764" s="20">
        <v>2601</v>
      </c>
      <c r="AT764" s="21">
        <v>8189.25</v>
      </c>
      <c r="AU764" s="21">
        <f>(Tabla13[[#This Row],[Cap Vh]]*$AX$2)*0.56</f>
        <v>0</v>
      </c>
      <c r="AV764" s="36" t="e">
        <f>(Tabla13[[#This Row],[Cap Util (kg)]]/(Tabla13[[#This Row],[Cap Inst (Kg)]]))</f>
        <v>#DIV/0!</v>
      </c>
    </row>
    <row r="765" spans="1:48" x14ac:dyDescent="0.25">
      <c r="A765" s="13" t="s">
        <v>1068</v>
      </c>
      <c r="B765" s="14" t="s">
        <v>1007</v>
      </c>
      <c r="C765" s="14" t="s">
        <v>749</v>
      </c>
      <c r="D765" s="14" t="s">
        <v>749</v>
      </c>
      <c r="E765" s="14" t="s">
        <v>897</v>
      </c>
      <c r="F765" s="14" t="s">
        <v>64</v>
      </c>
      <c r="G765" s="15" t="s">
        <v>47</v>
      </c>
      <c r="H765" s="16" t="s">
        <v>48</v>
      </c>
      <c r="I765" s="14" t="s">
        <v>49</v>
      </c>
      <c r="J765" s="14">
        <v>900335279</v>
      </c>
      <c r="K765" s="14" t="s">
        <v>77</v>
      </c>
      <c r="L765" s="14" t="s">
        <v>103</v>
      </c>
      <c r="M765" s="14" t="s">
        <v>104</v>
      </c>
      <c r="N765" s="14">
        <v>2014</v>
      </c>
      <c r="O765" s="14">
        <v>6</v>
      </c>
      <c r="P765" s="14" t="s">
        <v>53</v>
      </c>
      <c r="Q765" s="14">
        <v>1</v>
      </c>
      <c r="R765" s="14">
        <v>0</v>
      </c>
      <c r="S765" s="17" t="s">
        <v>54</v>
      </c>
      <c r="T765" s="18">
        <v>0</v>
      </c>
      <c r="U765" s="14">
        <v>30</v>
      </c>
      <c r="V765" s="19">
        <v>1</v>
      </c>
      <c r="W765" s="14">
        <v>0</v>
      </c>
      <c r="X765" s="14">
        <v>0</v>
      </c>
      <c r="Y765" s="14">
        <v>0</v>
      </c>
      <c r="Z765" s="14">
        <v>0</v>
      </c>
      <c r="AA765" s="14">
        <f>Tabla13[[#This Row],[CheckList App]]+Tabla13[[#This Row],[CheckList Fisc]]</f>
        <v>0</v>
      </c>
      <c r="AB765" s="19">
        <f t="shared" si="11"/>
        <v>0</v>
      </c>
      <c r="AC765" s="14">
        <v>0</v>
      </c>
      <c r="AD765" s="14" t="s">
        <v>70</v>
      </c>
      <c r="AE765" s="15" t="str">
        <f>IFERROR((VLOOKUP(Tabla13[[#This Row],[ID]],[1]!Mtto_Pesv[[#Headers],[#Data],[Placa]:[Rutina]],2,FALSE)),"-")</f>
        <v>-</v>
      </c>
      <c r="AF765" s="14">
        <v>1</v>
      </c>
      <c r="AG765" s="20">
        <f>IFERROR((VLOOKUP(Tabla13[[#This Row],[ID]],[1]!Mtto_Pesv[[#Headers],[#Data],[Placa]:[Rutina]],3,FALSE)),0)</f>
        <v>0</v>
      </c>
      <c r="AH765" s="20">
        <f>IFERROR((VLOOKUP(Tabla13[[#This Row],[ID]],[1]!Mtto_Pesv[[#Headers],[#Data],[Placa]:[Rutina]],7,FALSE)),0)</f>
        <v>0</v>
      </c>
      <c r="AI765" s="20">
        <f>IFERROR((VLOOKUP(Tabla13[[#This Row],[ID]],[1]!Mtto_Pesv[[#Headers],[#Data],[Placa]:[Rutina]],8,FALSE)),0)</f>
        <v>0</v>
      </c>
      <c r="AJ765" s="20" t="str">
        <f>IFERROR((VLOOKUP(Tabla13[[#This Row],[ID]],[1]!Mtto_Pesv[[#Headers],[#Data],[Placa]:[Rutina]],9,FALSE)),"-")</f>
        <v>-</v>
      </c>
      <c r="AK765" s="20">
        <f>IFERROR((VLOOKUP(Tabla13[[#This Row],[ID]],[1]!Mtto_Pesv[[#Headers],[#Data],[Placa]:[Rutina]],10,FALSE)),0)</f>
        <v>0</v>
      </c>
      <c r="AL765" s="20">
        <f>IF(Tabla13[[#This Row],[Km Anterior]]=0,0,Tabla13[[#This Row],[Km Ejecut]]-Tabla13[[#This Row],[Km Anterior]])</f>
        <v>0</v>
      </c>
      <c r="AM765" s="20">
        <f>IFERROR((VLOOKUP(Tabla13[[#This Row],[ID]],[1]!Mtto_Pesv[[#Headers],[#Data],[Placa]:[Rutina]],4,FALSE)),0)</f>
        <v>0</v>
      </c>
      <c r="AN765" s="21">
        <f>IFERROR((VLOOKUP(Tabla13[[#This Row],[ID]],[1]!Mtto_Pesv[[#Headers],[#Data],[Placa]:[Rutina]],5,FALSE)),0)</f>
        <v>0</v>
      </c>
      <c r="AO765" s="21">
        <f>+Tabla13[[#This Row],[Km Fin]]-Tabla13[[#This Row],[Km Ini]]</f>
        <v>0</v>
      </c>
      <c r="AP765" s="20">
        <f>IFERROR((VLOOKUP(Tabla13[[#This Row],[ID]],[1]!Estilo_Conduccion[[#All],[Placa]:[Puntuacion]],15,FALSE)),0)</f>
        <v>792.6</v>
      </c>
      <c r="AQ765" s="15" t="s">
        <v>1533</v>
      </c>
      <c r="AR765" s="15" t="s">
        <v>1534</v>
      </c>
      <c r="AS765" s="20">
        <v>1300</v>
      </c>
      <c r="AT765" s="21">
        <v>6414</v>
      </c>
      <c r="AU765" s="21">
        <f>(Tabla13[[#This Row],[Cap Vh]]*$AX$2)*0.56</f>
        <v>0</v>
      </c>
      <c r="AV765" s="36" t="e">
        <f>(Tabla13[[#This Row],[Cap Util (kg)]]/(Tabla13[[#This Row],[Cap Inst (Kg)]]))</f>
        <v>#DIV/0!</v>
      </c>
    </row>
    <row r="766" spans="1:48" x14ac:dyDescent="0.25">
      <c r="A766" s="13" t="s">
        <v>1068</v>
      </c>
      <c r="B766" s="14" t="s">
        <v>1008</v>
      </c>
      <c r="C766" s="14" t="s">
        <v>749</v>
      </c>
      <c r="D766" s="14" t="s">
        <v>749</v>
      </c>
      <c r="E766" s="14" t="s">
        <v>840</v>
      </c>
      <c r="F766" s="14" t="s">
        <v>76</v>
      </c>
      <c r="G766" s="15" t="s">
        <v>47</v>
      </c>
      <c r="H766" s="16" t="s">
        <v>48</v>
      </c>
      <c r="I766" s="14" t="s">
        <v>49</v>
      </c>
      <c r="J766" s="14">
        <v>890300279</v>
      </c>
      <c r="K766" s="14" t="s">
        <v>282</v>
      </c>
      <c r="L766" s="14" t="s">
        <v>103</v>
      </c>
      <c r="M766" s="14" t="s">
        <v>104</v>
      </c>
      <c r="N766" s="14">
        <v>2015</v>
      </c>
      <c r="O766" s="14">
        <v>5</v>
      </c>
      <c r="P766" s="14" t="s">
        <v>53</v>
      </c>
      <c r="Q766" s="14">
        <v>1</v>
      </c>
      <c r="R766" s="14">
        <v>0</v>
      </c>
      <c r="S766" s="17" t="s">
        <v>54</v>
      </c>
      <c r="T766" s="18">
        <v>0</v>
      </c>
      <c r="U766" s="14">
        <v>30</v>
      </c>
      <c r="V766" s="19">
        <v>1</v>
      </c>
      <c r="W766" s="14">
        <v>0</v>
      </c>
      <c r="X766" s="14">
        <v>26</v>
      </c>
      <c r="Y766" s="14">
        <v>26</v>
      </c>
      <c r="Z766" s="14">
        <v>0</v>
      </c>
      <c r="AA766" s="14">
        <f>Tabla13[[#This Row],[CheckList App]]+Tabla13[[#This Row],[CheckList Fisc]]</f>
        <v>26</v>
      </c>
      <c r="AB766" s="19">
        <f t="shared" si="11"/>
        <v>1</v>
      </c>
      <c r="AC766" s="14">
        <v>0</v>
      </c>
      <c r="AD766" s="14" t="s">
        <v>70</v>
      </c>
      <c r="AE766" s="15" t="str">
        <f>IFERROR((VLOOKUP(Tabla13[[#This Row],[ID]],[1]!Mtto_Pesv[[#Headers],[#Data],[Placa]:[Rutina]],2,FALSE)),"-")</f>
        <v>-</v>
      </c>
      <c r="AF766" s="14">
        <v>1</v>
      </c>
      <c r="AG766" s="20">
        <f>IFERROR((VLOOKUP(Tabla13[[#This Row],[ID]],[1]!Mtto_Pesv[[#Headers],[#Data],[Placa]:[Rutina]],3,FALSE)),0)</f>
        <v>0</v>
      </c>
      <c r="AH766" s="20">
        <f>IFERROR((VLOOKUP(Tabla13[[#This Row],[ID]],[1]!Mtto_Pesv[[#Headers],[#Data],[Placa]:[Rutina]],7,FALSE)),0)</f>
        <v>0</v>
      </c>
      <c r="AI766" s="20">
        <f>IFERROR((VLOOKUP(Tabla13[[#This Row],[ID]],[1]!Mtto_Pesv[[#Headers],[#Data],[Placa]:[Rutina]],8,FALSE)),0)</f>
        <v>0</v>
      </c>
      <c r="AJ766" s="20" t="str">
        <f>IFERROR((VLOOKUP(Tabla13[[#This Row],[ID]],[1]!Mtto_Pesv[[#Headers],[#Data],[Placa]:[Rutina]],9,FALSE)),"-")</f>
        <v>-</v>
      </c>
      <c r="AK766" s="20">
        <f>IFERROR((VLOOKUP(Tabla13[[#This Row],[ID]],[1]!Mtto_Pesv[[#Headers],[#Data],[Placa]:[Rutina]],10,FALSE)),0)</f>
        <v>0</v>
      </c>
      <c r="AL766" s="20">
        <f>IF(Tabla13[[#This Row],[Km Anterior]]=0,0,Tabla13[[#This Row],[Km Ejecut]]-Tabla13[[#This Row],[Km Anterior]])</f>
        <v>0</v>
      </c>
      <c r="AM766" s="20">
        <f>IFERROR((VLOOKUP(Tabla13[[#This Row],[ID]],[1]!Mtto_Pesv[[#Headers],[#Data],[Placa]:[Rutina]],4,FALSE)),0)</f>
        <v>0</v>
      </c>
      <c r="AN766" s="21">
        <f>IFERROR((VLOOKUP(Tabla13[[#This Row],[ID]],[1]!Mtto_Pesv[[#Headers],[#Data],[Placa]:[Rutina]],5,FALSE)),0)</f>
        <v>0</v>
      </c>
      <c r="AO766" s="21">
        <f>+Tabla13[[#This Row],[Km Fin]]-Tabla13[[#This Row],[Km Ini]]</f>
        <v>0</v>
      </c>
      <c r="AP766" s="20">
        <f>IFERROR((VLOOKUP(Tabla13[[#This Row],[ID]],[1]!Estilo_Conduccion[[#All],[Placa]:[Puntuacion]],15,FALSE)),0)</f>
        <v>383.8</v>
      </c>
      <c r="AQ766" s="15" t="s">
        <v>1459</v>
      </c>
      <c r="AR766" s="15" t="s">
        <v>1460</v>
      </c>
      <c r="AS766" s="20">
        <v>1300</v>
      </c>
      <c r="AT766" s="21">
        <v>9152.5</v>
      </c>
      <c r="AU766" s="21">
        <f>(Tabla13[[#This Row],[Cap Vh]]*$AX$2)*0.56</f>
        <v>0</v>
      </c>
      <c r="AV766" s="36" t="e">
        <f>(Tabla13[[#This Row],[Cap Util (kg)]]/(Tabla13[[#This Row],[Cap Inst (Kg)]]))</f>
        <v>#DIV/0!</v>
      </c>
    </row>
    <row r="767" spans="1:48" x14ac:dyDescent="0.25">
      <c r="A767" s="13" t="s">
        <v>1068</v>
      </c>
      <c r="B767" s="14" t="s">
        <v>1010</v>
      </c>
      <c r="C767" s="14" t="s">
        <v>749</v>
      </c>
      <c r="D767" s="14" t="s">
        <v>749</v>
      </c>
      <c r="E767" s="14" t="s">
        <v>848</v>
      </c>
      <c r="F767" s="14" t="s">
        <v>64</v>
      </c>
      <c r="G767" s="15" t="s">
        <v>128</v>
      </c>
      <c r="H767" s="16" t="s">
        <v>143</v>
      </c>
      <c r="I767" s="14" t="s">
        <v>49</v>
      </c>
      <c r="J767" s="14">
        <v>890300279</v>
      </c>
      <c r="K767" s="14" t="s">
        <v>282</v>
      </c>
      <c r="L767" s="14" t="s">
        <v>103</v>
      </c>
      <c r="M767" s="14" t="s">
        <v>104</v>
      </c>
      <c r="N767" s="14">
        <v>2015</v>
      </c>
      <c r="O767" s="14">
        <v>5</v>
      </c>
      <c r="P767" s="14" t="s">
        <v>53</v>
      </c>
      <c r="Q767" s="14">
        <v>1</v>
      </c>
      <c r="R767" s="14">
        <v>0</v>
      </c>
      <c r="S767" s="17" t="s">
        <v>54</v>
      </c>
      <c r="T767" s="18">
        <v>0</v>
      </c>
      <c r="U767" s="14">
        <v>30</v>
      </c>
      <c r="V767" s="19">
        <v>1</v>
      </c>
      <c r="W767" s="14">
        <v>0</v>
      </c>
      <c r="X767" s="14">
        <v>0</v>
      </c>
      <c r="Y767" s="14">
        <v>0</v>
      </c>
      <c r="Z767" s="14">
        <v>0</v>
      </c>
      <c r="AA767" s="14">
        <f>Tabla13[[#This Row],[CheckList App]]+Tabla13[[#This Row],[CheckList Fisc]]</f>
        <v>0</v>
      </c>
      <c r="AB767" s="19">
        <f t="shared" si="11"/>
        <v>0</v>
      </c>
      <c r="AC767" s="14">
        <v>0</v>
      </c>
      <c r="AD767" s="14" t="s">
        <v>70</v>
      </c>
      <c r="AE767" s="15" t="str">
        <f>IFERROR((VLOOKUP(Tabla13[[#This Row],[ID]],[1]!Mtto_Pesv[[#Headers],[#Data],[Placa]:[Rutina]],2,FALSE)),"-")</f>
        <v>-</v>
      </c>
      <c r="AF767" s="14">
        <v>1</v>
      </c>
      <c r="AG767" s="20">
        <f>IFERROR((VLOOKUP(Tabla13[[#This Row],[ID]],[1]!Mtto_Pesv[[#Headers],[#Data],[Placa]:[Rutina]],3,FALSE)),0)</f>
        <v>0</v>
      </c>
      <c r="AH767" s="20">
        <f>IFERROR((VLOOKUP(Tabla13[[#This Row],[ID]],[1]!Mtto_Pesv[[#Headers],[#Data],[Placa]:[Rutina]],7,FALSE)),0)</f>
        <v>0</v>
      </c>
      <c r="AI767" s="20">
        <f>IFERROR((VLOOKUP(Tabla13[[#This Row],[ID]],[1]!Mtto_Pesv[[#Headers],[#Data],[Placa]:[Rutina]],8,FALSE)),0)</f>
        <v>0</v>
      </c>
      <c r="AJ767" s="20" t="str">
        <f>IFERROR((VLOOKUP(Tabla13[[#This Row],[ID]],[1]!Mtto_Pesv[[#Headers],[#Data],[Placa]:[Rutina]],9,FALSE)),"-")</f>
        <v>-</v>
      </c>
      <c r="AK767" s="20">
        <f>IFERROR((VLOOKUP(Tabla13[[#This Row],[ID]],[1]!Mtto_Pesv[[#Headers],[#Data],[Placa]:[Rutina]],10,FALSE)),0)</f>
        <v>0</v>
      </c>
      <c r="AL767" s="20">
        <f>IF(Tabla13[[#This Row],[Km Anterior]]=0,0,Tabla13[[#This Row],[Km Ejecut]]-Tabla13[[#This Row],[Km Anterior]])</f>
        <v>0</v>
      </c>
      <c r="AM767" s="20">
        <f>IFERROR((VLOOKUP(Tabla13[[#This Row],[ID]],[1]!Mtto_Pesv[[#Headers],[#Data],[Placa]:[Rutina]],4,FALSE)),0)</f>
        <v>0</v>
      </c>
      <c r="AN767" s="21">
        <f>IFERROR((VLOOKUP(Tabla13[[#This Row],[ID]],[1]!Mtto_Pesv[[#Headers],[#Data],[Placa]:[Rutina]],5,FALSE)),0)</f>
        <v>0</v>
      </c>
      <c r="AO767" s="21">
        <f>+Tabla13[[#This Row],[Km Fin]]-Tabla13[[#This Row],[Km Ini]]</f>
        <v>0</v>
      </c>
      <c r="AP767" s="20">
        <f>IFERROR((VLOOKUP(Tabla13[[#This Row],[ID]],[1]!Estilo_Conduccion[[#All],[Placa]:[Puntuacion]],15,FALSE)),0)</f>
        <v>727.09999999999991</v>
      </c>
      <c r="AQ767" s="15" t="s">
        <v>54</v>
      </c>
      <c r="AR767" s="15" t="s">
        <v>987</v>
      </c>
      <c r="AS767" s="20">
        <v>1300</v>
      </c>
      <c r="AT767" s="21">
        <v>0</v>
      </c>
      <c r="AU767" s="21">
        <f>(Tabla13[[#This Row],[Cap Vh]]*$AX$2)*0.56</f>
        <v>0</v>
      </c>
      <c r="AV767" s="36" t="e">
        <f>(Tabla13[[#This Row],[Cap Util (kg)]]/(Tabla13[[#This Row],[Cap Inst (Kg)]]))</f>
        <v>#DIV/0!</v>
      </c>
    </row>
    <row r="768" spans="1:48" x14ac:dyDescent="0.25">
      <c r="A768" s="13" t="s">
        <v>1068</v>
      </c>
      <c r="B768" s="14" t="s">
        <v>1011</v>
      </c>
      <c r="C768" s="14" t="s">
        <v>749</v>
      </c>
      <c r="D768" s="14" t="s">
        <v>749</v>
      </c>
      <c r="E768" s="14" t="s">
        <v>840</v>
      </c>
      <c r="F768" s="14" t="s">
        <v>76</v>
      </c>
      <c r="G768" s="15" t="s">
        <v>89</v>
      </c>
      <c r="H768" s="16" t="s">
        <v>90</v>
      </c>
      <c r="I768" s="14" t="s">
        <v>49</v>
      </c>
      <c r="J768" s="14">
        <v>890300279</v>
      </c>
      <c r="K768" s="14" t="s">
        <v>282</v>
      </c>
      <c r="L768" s="14" t="s">
        <v>103</v>
      </c>
      <c r="M768" s="14" t="s">
        <v>104</v>
      </c>
      <c r="N768" s="14">
        <v>2015</v>
      </c>
      <c r="O768" s="14">
        <v>5</v>
      </c>
      <c r="P768" s="14" t="s">
        <v>53</v>
      </c>
      <c r="Q768" s="14">
        <v>0</v>
      </c>
      <c r="R768" s="14">
        <v>0</v>
      </c>
      <c r="S768" s="17" t="s">
        <v>54</v>
      </c>
      <c r="T768" s="18">
        <v>0</v>
      </c>
      <c r="U768" s="14">
        <v>30</v>
      </c>
      <c r="V768" s="19">
        <v>1</v>
      </c>
      <c r="W768" s="14">
        <v>0</v>
      </c>
      <c r="X768" s="14">
        <v>0</v>
      </c>
      <c r="Y768" s="14">
        <v>0</v>
      </c>
      <c r="Z768" s="14">
        <v>0</v>
      </c>
      <c r="AA768" s="14">
        <f>Tabla13[[#This Row],[CheckList App]]+Tabla13[[#This Row],[CheckList Fisc]]</f>
        <v>0</v>
      </c>
      <c r="AB768" s="19">
        <f t="shared" si="11"/>
        <v>0</v>
      </c>
      <c r="AC768" s="14">
        <v>0</v>
      </c>
      <c r="AD768" s="14" t="s">
        <v>55</v>
      </c>
      <c r="AE768" s="15" t="str">
        <f>IFERROR((VLOOKUP(Tabla13[[#This Row],[ID]],[1]!Mtto_Pesv[[#Headers],[#Data],[Placa]:[Rutina]],2,FALSE)),"-")</f>
        <v>-</v>
      </c>
      <c r="AF768" s="14">
        <v>0</v>
      </c>
      <c r="AG768" s="20">
        <f>IFERROR((VLOOKUP(Tabla13[[#This Row],[ID]],[1]!Mtto_Pesv[[#Headers],[#Data],[Placa]:[Rutina]],3,FALSE)),0)</f>
        <v>0</v>
      </c>
      <c r="AH768" s="20">
        <f>IFERROR((VLOOKUP(Tabla13[[#This Row],[ID]],[1]!Mtto_Pesv[[#Headers],[#Data],[Placa]:[Rutina]],7,FALSE)),0)</f>
        <v>0</v>
      </c>
      <c r="AI768" s="20">
        <f>IFERROR((VLOOKUP(Tabla13[[#This Row],[ID]],[1]!Mtto_Pesv[[#Headers],[#Data],[Placa]:[Rutina]],8,FALSE)),0)</f>
        <v>0</v>
      </c>
      <c r="AJ768" s="20" t="str">
        <f>IFERROR((VLOOKUP(Tabla13[[#This Row],[ID]],[1]!Mtto_Pesv[[#Headers],[#Data],[Placa]:[Rutina]],9,FALSE)),"-")</f>
        <v>-</v>
      </c>
      <c r="AK768" s="20">
        <f>IFERROR((VLOOKUP(Tabla13[[#This Row],[ID]],[1]!Mtto_Pesv[[#Headers],[#Data],[Placa]:[Rutina]],10,FALSE)),0)</f>
        <v>0</v>
      </c>
      <c r="AL768" s="20">
        <f>IF(Tabla13[[#This Row],[Km Anterior]]=0,0,Tabla13[[#This Row],[Km Ejecut]]-Tabla13[[#This Row],[Km Anterior]])</f>
        <v>0</v>
      </c>
      <c r="AM768" s="20">
        <f>IFERROR((VLOOKUP(Tabla13[[#This Row],[ID]],[1]!Mtto_Pesv[[#Headers],[#Data],[Placa]:[Rutina]],4,FALSE)),0)</f>
        <v>0</v>
      </c>
      <c r="AN768" s="21">
        <f>IFERROR((VLOOKUP(Tabla13[[#This Row],[ID]],[1]!Mtto_Pesv[[#Headers],[#Data],[Placa]:[Rutina]],5,FALSE)),0)</f>
        <v>0</v>
      </c>
      <c r="AO768" s="21">
        <f>+Tabla13[[#This Row],[Km Fin]]-Tabla13[[#This Row],[Km Ini]]</f>
        <v>0</v>
      </c>
      <c r="AP768" s="20">
        <f>IFERROR((VLOOKUP(Tabla13[[#This Row],[ID]],[1]!Estilo_Conduccion[[#All],[Placa]:[Puntuacion]],15,FALSE)),0)</f>
        <v>0</v>
      </c>
      <c r="AQ768" s="15" t="s">
        <v>1521</v>
      </c>
      <c r="AR768" s="15" t="s">
        <v>1522</v>
      </c>
      <c r="AS768" s="20">
        <v>1300</v>
      </c>
      <c r="AT768" s="21">
        <v>19364.4375</v>
      </c>
      <c r="AU768" s="21">
        <f>(Tabla13[[#This Row],[Cap Vh]]*$AX$2)*0.56</f>
        <v>0</v>
      </c>
      <c r="AV768" s="36" t="e">
        <f>(Tabla13[[#This Row],[Cap Util (kg)]]/(Tabla13[[#This Row],[Cap Inst (Kg)]]))</f>
        <v>#DIV/0!</v>
      </c>
    </row>
    <row r="769" spans="1:48" x14ac:dyDescent="0.25">
      <c r="A769" s="13" t="s">
        <v>1068</v>
      </c>
      <c r="B769" s="14" t="s">
        <v>1012</v>
      </c>
      <c r="C769" s="14" t="s">
        <v>749</v>
      </c>
      <c r="D769" s="14" t="s">
        <v>749</v>
      </c>
      <c r="E769" s="14" t="s">
        <v>840</v>
      </c>
      <c r="F769" s="14" t="s">
        <v>76</v>
      </c>
      <c r="G769" s="15" t="s">
        <v>89</v>
      </c>
      <c r="H769" s="16" t="s">
        <v>90</v>
      </c>
      <c r="I769" s="14" t="s">
        <v>49</v>
      </c>
      <c r="J769" s="14">
        <v>900335279</v>
      </c>
      <c r="K769" s="14" t="s">
        <v>77</v>
      </c>
      <c r="L769" s="14" t="s">
        <v>103</v>
      </c>
      <c r="M769" s="14" t="s">
        <v>104</v>
      </c>
      <c r="N769" s="14">
        <v>2017</v>
      </c>
      <c r="O769" s="14">
        <v>3</v>
      </c>
      <c r="P769" s="14" t="s">
        <v>105</v>
      </c>
      <c r="Q769" s="14">
        <v>0</v>
      </c>
      <c r="R769" s="14">
        <v>0</v>
      </c>
      <c r="S769" s="17" t="s">
        <v>54</v>
      </c>
      <c r="T769" s="18">
        <v>0</v>
      </c>
      <c r="U769" s="14">
        <v>30</v>
      </c>
      <c r="V769" s="19">
        <v>1</v>
      </c>
      <c r="W769" s="14">
        <v>0</v>
      </c>
      <c r="X769" s="14">
        <v>0</v>
      </c>
      <c r="Y769" s="14">
        <v>0</v>
      </c>
      <c r="Z769" s="14">
        <v>0</v>
      </c>
      <c r="AA769" s="14">
        <f>Tabla13[[#This Row],[CheckList App]]+Tabla13[[#This Row],[CheckList Fisc]]</f>
        <v>0</v>
      </c>
      <c r="AB769" s="19">
        <f t="shared" si="11"/>
        <v>0</v>
      </c>
      <c r="AC769" s="14">
        <v>16</v>
      </c>
      <c r="AD769" s="14" t="s">
        <v>70</v>
      </c>
      <c r="AE769" s="15" t="str">
        <f>IFERROR((VLOOKUP(Tabla13[[#This Row],[ID]],[1]!Mtto_Pesv[[#Headers],[#Data],[Placa]:[Rutina]],2,FALSE)),"-")</f>
        <v>-</v>
      </c>
      <c r="AF769" s="14">
        <v>1</v>
      </c>
      <c r="AG769" s="20">
        <f>IFERROR((VLOOKUP(Tabla13[[#This Row],[ID]],[1]!Mtto_Pesv[[#Headers],[#Data],[Placa]:[Rutina]],3,FALSE)),0)</f>
        <v>0</v>
      </c>
      <c r="AH769" s="20">
        <f>IFERROR((VLOOKUP(Tabla13[[#This Row],[ID]],[1]!Mtto_Pesv[[#Headers],[#Data],[Placa]:[Rutina]],7,FALSE)),0)</f>
        <v>0</v>
      </c>
      <c r="AI769" s="20">
        <f>IFERROR((VLOOKUP(Tabla13[[#This Row],[ID]],[1]!Mtto_Pesv[[#Headers],[#Data],[Placa]:[Rutina]],8,FALSE)),0)</f>
        <v>0</v>
      </c>
      <c r="AJ769" s="20" t="str">
        <f>IFERROR((VLOOKUP(Tabla13[[#This Row],[ID]],[1]!Mtto_Pesv[[#Headers],[#Data],[Placa]:[Rutina]],9,FALSE)),"-")</f>
        <v>-</v>
      </c>
      <c r="AK769" s="20">
        <f>IFERROR((VLOOKUP(Tabla13[[#This Row],[ID]],[1]!Mtto_Pesv[[#Headers],[#Data],[Placa]:[Rutina]],10,FALSE)),0)</f>
        <v>0</v>
      </c>
      <c r="AL769" s="20">
        <f>IF(Tabla13[[#This Row],[Km Anterior]]=0,0,Tabla13[[#This Row],[Km Ejecut]]-Tabla13[[#This Row],[Km Anterior]])</f>
        <v>0</v>
      </c>
      <c r="AM769" s="20">
        <f>IFERROR((VLOOKUP(Tabla13[[#This Row],[ID]],[1]!Mtto_Pesv[[#Headers],[#Data],[Placa]:[Rutina]],4,FALSE)),0)</f>
        <v>0</v>
      </c>
      <c r="AN769" s="21">
        <f>IFERROR((VLOOKUP(Tabla13[[#This Row],[ID]],[1]!Mtto_Pesv[[#Headers],[#Data],[Placa]:[Rutina]],5,FALSE)),0)</f>
        <v>0</v>
      </c>
      <c r="AO769" s="21">
        <f>+Tabla13[[#This Row],[Km Fin]]-Tabla13[[#This Row],[Km Ini]]</f>
        <v>0</v>
      </c>
      <c r="AP769" s="20">
        <f>IFERROR((VLOOKUP(Tabla13[[#This Row],[ID]],[1]!Estilo_Conduccion[[#All],[Placa]:[Puntuacion]],15,FALSE)),0)</f>
        <v>0</v>
      </c>
      <c r="AQ769" s="15" t="s">
        <v>1521</v>
      </c>
      <c r="AR769" s="15" t="s">
        <v>1522</v>
      </c>
      <c r="AS769" s="20">
        <v>1750</v>
      </c>
      <c r="AT769" s="21">
        <v>19364.4375</v>
      </c>
      <c r="AU769" s="21">
        <f>(Tabla13[[#This Row],[Cap Vh]]*$AX$2)*0.56</f>
        <v>0</v>
      </c>
      <c r="AV769" s="36" t="e">
        <f>(Tabla13[[#This Row],[Cap Util (kg)]]/(Tabla13[[#This Row],[Cap Inst (Kg)]]))</f>
        <v>#DIV/0!</v>
      </c>
    </row>
    <row r="770" spans="1:48" x14ac:dyDescent="0.25">
      <c r="A770" s="13" t="s">
        <v>1068</v>
      </c>
      <c r="B770" s="14" t="s">
        <v>1013</v>
      </c>
      <c r="C770" s="14" t="s">
        <v>749</v>
      </c>
      <c r="D770" s="14" t="s">
        <v>749</v>
      </c>
      <c r="E770" s="14" t="s">
        <v>897</v>
      </c>
      <c r="F770" s="14" t="s">
        <v>76</v>
      </c>
      <c r="G770" s="15" t="s">
        <v>89</v>
      </c>
      <c r="H770" s="16" t="s">
        <v>90</v>
      </c>
      <c r="I770" s="14" t="s">
        <v>49</v>
      </c>
      <c r="J770" s="14">
        <v>900335279</v>
      </c>
      <c r="K770" s="14" t="s">
        <v>77</v>
      </c>
      <c r="L770" s="14" t="s">
        <v>103</v>
      </c>
      <c r="M770" s="14" t="s">
        <v>104</v>
      </c>
      <c r="N770" s="14">
        <v>2017</v>
      </c>
      <c r="O770" s="14">
        <v>4</v>
      </c>
      <c r="P770" s="14" t="s">
        <v>105</v>
      </c>
      <c r="Q770" s="14">
        <v>0</v>
      </c>
      <c r="R770" s="14">
        <v>0</v>
      </c>
      <c r="S770" s="17" t="s">
        <v>54</v>
      </c>
      <c r="T770" s="18">
        <v>0</v>
      </c>
      <c r="U770" s="14">
        <v>30</v>
      </c>
      <c r="V770" s="19">
        <v>1</v>
      </c>
      <c r="W770" s="14">
        <v>0</v>
      </c>
      <c r="X770" s="14">
        <v>0</v>
      </c>
      <c r="Y770" s="14">
        <v>0</v>
      </c>
      <c r="Z770" s="14">
        <v>0</v>
      </c>
      <c r="AA770" s="14">
        <f>Tabla13[[#This Row],[CheckList App]]+Tabla13[[#This Row],[CheckList Fisc]]</f>
        <v>0</v>
      </c>
      <c r="AB770" s="19">
        <f t="shared" ref="AB770:AB816" si="12">IF(U770=0,"",(IFERROR((AA770/X770),0)))</f>
        <v>0</v>
      </c>
      <c r="AC770" s="14">
        <v>0</v>
      </c>
      <c r="AD770" s="14" t="s">
        <v>54</v>
      </c>
      <c r="AE770" s="15" t="str">
        <f>IFERROR((VLOOKUP(Tabla13[[#This Row],[ID]],[1]!Mtto_Pesv[[#Headers],[#Data],[Placa]:[Rutina]],2,FALSE)),"-")</f>
        <v>-</v>
      </c>
      <c r="AF770" s="14">
        <v>0</v>
      </c>
      <c r="AG770" s="20">
        <f>IFERROR((VLOOKUP(Tabla13[[#This Row],[ID]],[1]!Mtto_Pesv[[#Headers],[#Data],[Placa]:[Rutina]],3,FALSE)),0)</f>
        <v>0</v>
      </c>
      <c r="AH770" s="20">
        <f>IFERROR((VLOOKUP(Tabla13[[#This Row],[ID]],[1]!Mtto_Pesv[[#Headers],[#Data],[Placa]:[Rutina]],7,FALSE)),0)</f>
        <v>0</v>
      </c>
      <c r="AI770" s="20">
        <f>IFERROR((VLOOKUP(Tabla13[[#This Row],[ID]],[1]!Mtto_Pesv[[#Headers],[#Data],[Placa]:[Rutina]],8,FALSE)),0)</f>
        <v>0</v>
      </c>
      <c r="AJ770" s="20" t="str">
        <f>IFERROR((VLOOKUP(Tabla13[[#This Row],[ID]],[1]!Mtto_Pesv[[#Headers],[#Data],[Placa]:[Rutina]],9,FALSE)),"-")</f>
        <v>-</v>
      </c>
      <c r="AK770" s="20">
        <f>IFERROR((VLOOKUP(Tabla13[[#This Row],[ID]],[1]!Mtto_Pesv[[#Headers],[#Data],[Placa]:[Rutina]],10,FALSE)),0)</f>
        <v>0</v>
      </c>
      <c r="AL770" s="20">
        <f>IF(Tabla13[[#This Row],[Km Anterior]]=0,0,Tabla13[[#This Row],[Km Ejecut]]-Tabla13[[#This Row],[Km Anterior]])</f>
        <v>0</v>
      </c>
      <c r="AM770" s="20">
        <f>IFERROR((VLOOKUP(Tabla13[[#This Row],[ID]],[1]!Mtto_Pesv[[#Headers],[#Data],[Placa]:[Rutina]],4,FALSE)),0)</f>
        <v>0</v>
      </c>
      <c r="AN770" s="21">
        <f>IFERROR((VLOOKUP(Tabla13[[#This Row],[ID]],[1]!Mtto_Pesv[[#Headers],[#Data],[Placa]:[Rutina]],5,FALSE)),0)</f>
        <v>0</v>
      </c>
      <c r="AO770" s="21">
        <f>+Tabla13[[#This Row],[Km Fin]]-Tabla13[[#This Row],[Km Ini]]</f>
        <v>0</v>
      </c>
      <c r="AP770" s="20">
        <f>IFERROR((VLOOKUP(Tabla13[[#This Row],[ID]],[1]!Estilo_Conduccion[[#All],[Placa]:[Puntuacion]],15,FALSE)),0)</f>
        <v>0</v>
      </c>
      <c r="AQ770" s="15" t="s">
        <v>1545</v>
      </c>
      <c r="AR770" s="15" t="s">
        <v>1546</v>
      </c>
      <c r="AS770" s="20">
        <v>1650</v>
      </c>
      <c r="AT770" s="21">
        <v>5307</v>
      </c>
      <c r="AU770" s="21">
        <f>(Tabla13[[#This Row],[Cap Vh]]*$AX$2)*0.56</f>
        <v>0</v>
      </c>
      <c r="AV770" s="36" t="e">
        <f>(Tabla13[[#This Row],[Cap Util (kg)]]/(Tabla13[[#This Row],[Cap Inst (Kg)]]))</f>
        <v>#DIV/0!</v>
      </c>
    </row>
    <row r="771" spans="1:48" x14ac:dyDescent="0.25">
      <c r="A771" s="13" t="s">
        <v>1068</v>
      </c>
      <c r="B771" s="14" t="s">
        <v>1014</v>
      </c>
      <c r="C771" s="14" t="s">
        <v>749</v>
      </c>
      <c r="D771" s="14" t="s">
        <v>749</v>
      </c>
      <c r="E771" s="14" t="s">
        <v>872</v>
      </c>
      <c r="F771" s="14" t="s">
        <v>76</v>
      </c>
      <c r="G771" s="15" t="s">
        <v>89</v>
      </c>
      <c r="H771" s="16" t="s">
        <v>90</v>
      </c>
      <c r="I771" s="14" t="s">
        <v>49</v>
      </c>
      <c r="J771" s="14">
        <v>900335279</v>
      </c>
      <c r="K771" s="14" t="s">
        <v>77</v>
      </c>
      <c r="L771" s="14" t="s">
        <v>103</v>
      </c>
      <c r="M771" s="14" t="s">
        <v>1015</v>
      </c>
      <c r="N771" s="14">
        <v>2017</v>
      </c>
      <c r="O771" s="14">
        <v>4</v>
      </c>
      <c r="P771" s="14" t="s">
        <v>105</v>
      </c>
      <c r="Q771" s="14">
        <v>0</v>
      </c>
      <c r="R771" s="14">
        <v>0</v>
      </c>
      <c r="S771" s="17" t="s">
        <v>54</v>
      </c>
      <c r="T771" s="18">
        <v>0</v>
      </c>
      <c r="U771" s="14">
        <v>30</v>
      </c>
      <c r="V771" s="19">
        <v>1</v>
      </c>
      <c r="W771" s="14">
        <v>0</v>
      </c>
      <c r="X771" s="14">
        <v>0</v>
      </c>
      <c r="Y771" s="14">
        <v>0</v>
      </c>
      <c r="Z771" s="14">
        <v>0</v>
      </c>
      <c r="AA771" s="14">
        <f>Tabla13[[#This Row],[CheckList App]]+Tabla13[[#This Row],[CheckList Fisc]]</f>
        <v>0</v>
      </c>
      <c r="AB771" s="19">
        <f t="shared" si="12"/>
        <v>0</v>
      </c>
      <c r="AC771" s="14">
        <v>0</v>
      </c>
      <c r="AD771" s="14" t="s">
        <v>54</v>
      </c>
      <c r="AE771" s="15" t="str">
        <f>IFERROR((VLOOKUP(Tabla13[[#This Row],[ID]],[1]!Mtto_Pesv[[#Headers],[#Data],[Placa]:[Rutina]],2,FALSE)),"-")</f>
        <v>-</v>
      </c>
      <c r="AF771" s="14">
        <v>0</v>
      </c>
      <c r="AG771" s="20">
        <f>IFERROR((VLOOKUP(Tabla13[[#This Row],[ID]],[1]!Mtto_Pesv[[#Headers],[#Data],[Placa]:[Rutina]],3,FALSE)),0)</f>
        <v>0</v>
      </c>
      <c r="AH771" s="20">
        <f>IFERROR((VLOOKUP(Tabla13[[#This Row],[ID]],[1]!Mtto_Pesv[[#Headers],[#Data],[Placa]:[Rutina]],7,FALSE)),0)</f>
        <v>0</v>
      </c>
      <c r="AI771" s="20">
        <f>IFERROR((VLOOKUP(Tabla13[[#This Row],[ID]],[1]!Mtto_Pesv[[#Headers],[#Data],[Placa]:[Rutina]],8,FALSE)),0)</f>
        <v>0</v>
      </c>
      <c r="AJ771" s="20" t="str">
        <f>IFERROR((VLOOKUP(Tabla13[[#This Row],[ID]],[1]!Mtto_Pesv[[#Headers],[#Data],[Placa]:[Rutina]],9,FALSE)),"-")</f>
        <v>-</v>
      </c>
      <c r="AK771" s="20">
        <f>IFERROR((VLOOKUP(Tabla13[[#This Row],[ID]],[1]!Mtto_Pesv[[#Headers],[#Data],[Placa]:[Rutina]],10,FALSE)),0)</f>
        <v>0</v>
      </c>
      <c r="AL771" s="20">
        <f>IF(Tabla13[[#This Row],[Km Anterior]]=0,0,Tabla13[[#This Row],[Km Ejecut]]-Tabla13[[#This Row],[Km Anterior]])</f>
        <v>0</v>
      </c>
      <c r="AM771" s="20">
        <f>IFERROR((VLOOKUP(Tabla13[[#This Row],[ID]],[1]!Mtto_Pesv[[#Headers],[#Data],[Placa]:[Rutina]],4,FALSE)),0)</f>
        <v>0</v>
      </c>
      <c r="AN771" s="21">
        <f>IFERROR((VLOOKUP(Tabla13[[#This Row],[ID]],[1]!Mtto_Pesv[[#Headers],[#Data],[Placa]:[Rutina]],5,FALSE)),0)</f>
        <v>0</v>
      </c>
      <c r="AO771" s="21">
        <f>+Tabla13[[#This Row],[Km Fin]]-Tabla13[[#This Row],[Km Ini]]</f>
        <v>0</v>
      </c>
      <c r="AP771" s="20">
        <f>IFERROR((VLOOKUP(Tabla13[[#This Row],[ID]],[1]!Estilo_Conduccion[[#All],[Placa]:[Puntuacion]],15,FALSE)),0)</f>
        <v>0</v>
      </c>
      <c r="AQ771" s="15" t="s">
        <v>1572</v>
      </c>
      <c r="AR771" s="15" t="s">
        <v>1573</v>
      </c>
      <c r="AS771" s="20">
        <v>800</v>
      </c>
      <c r="AT771" s="21">
        <v>7260</v>
      </c>
      <c r="AU771" s="21">
        <f>(Tabla13[[#This Row],[Cap Vh]]*$AX$2)*0.56</f>
        <v>0</v>
      </c>
      <c r="AV771" s="36" t="e">
        <f>(Tabla13[[#This Row],[Cap Util (kg)]]/(Tabla13[[#This Row],[Cap Inst (Kg)]]))</f>
        <v>#DIV/0!</v>
      </c>
    </row>
    <row r="772" spans="1:48" x14ac:dyDescent="0.25">
      <c r="A772" s="13" t="s">
        <v>1068</v>
      </c>
      <c r="B772" s="14" t="s">
        <v>1016</v>
      </c>
      <c r="C772" s="14" t="s">
        <v>749</v>
      </c>
      <c r="D772" s="14" t="s">
        <v>749</v>
      </c>
      <c r="E772" s="14" t="s">
        <v>840</v>
      </c>
      <c r="F772" s="14" t="s">
        <v>76</v>
      </c>
      <c r="G772" s="15" t="s">
        <v>89</v>
      </c>
      <c r="H772" s="16" t="s">
        <v>90</v>
      </c>
      <c r="I772" s="14" t="s">
        <v>49</v>
      </c>
      <c r="J772" s="14">
        <v>900335279</v>
      </c>
      <c r="K772" s="14" t="s">
        <v>77</v>
      </c>
      <c r="L772" s="14" t="s">
        <v>103</v>
      </c>
      <c r="M772" s="14" t="s">
        <v>1015</v>
      </c>
      <c r="N772" s="14">
        <v>2017</v>
      </c>
      <c r="O772" s="14">
        <v>4</v>
      </c>
      <c r="P772" s="14" t="s">
        <v>105</v>
      </c>
      <c r="Q772" s="14">
        <v>0</v>
      </c>
      <c r="R772" s="14">
        <v>0</v>
      </c>
      <c r="S772" s="17" t="s">
        <v>54</v>
      </c>
      <c r="T772" s="18">
        <v>0</v>
      </c>
      <c r="U772" s="14">
        <v>30</v>
      </c>
      <c r="V772" s="19">
        <v>1</v>
      </c>
      <c r="W772" s="14">
        <v>0</v>
      </c>
      <c r="X772" s="14">
        <v>0</v>
      </c>
      <c r="Y772" s="14">
        <v>0</v>
      </c>
      <c r="Z772" s="14">
        <v>0</v>
      </c>
      <c r="AA772" s="14">
        <f>Tabla13[[#This Row],[CheckList App]]+Tabla13[[#This Row],[CheckList Fisc]]</f>
        <v>0</v>
      </c>
      <c r="AB772" s="19">
        <f t="shared" si="12"/>
        <v>0</v>
      </c>
      <c r="AC772" s="14">
        <v>0</v>
      </c>
      <c r="AD772" s="14" t="s">
        <v>54</v>
      </c>
      <c r="AE772" s="15" t="str">
        <f>IFERROR((VLOOKUP(Tabla13[[#This Row],[ID]],[1]!Mtto_Pesv[[#Headers],[#Data],[Placa]:[Rutina]],2,FALSE)),"-")</f>
        <v>-</v>
      </c>
      <c r="AF772" s="14">
        <v>0</v>
      </c>
      <c r="AG772" s="20">
        <f>IFERROR((VLOOKUP(Tabla13[[#This Row],[ID]],[1]!Mtto_Pesv[[#Headers],[#Data],[Placa]:[Rutina]],3,FALSE)),0)</f>
        <v>0</v>
      </c>
      <c r="AH772" s="20">
        <f>IFERROR((VLOOKUP(Tabla13[[#This Row],[ID]],[1]!Mtto_Pesv[[#Headers],[#Data],[Placa]:[Rutina]],7,FALSE)),0)</f>
        <v>0</v>
      </c>
      <c r="AI772" s="20">
        <f>IFERROR((VLOOKUP(Tabla13[[#This Row],[ID]],[1]!Mtto_Pesv[[#Headers],[#Data],[Placa]:[Rutina]],8,FALSE)),0)</f>
        <v>0</v>
      </c>
      <c r="AJ772" s="20" t="str">
        <f>IFERROR((VLOOKUP(Tabla13[[#This Row],[ID]],[1]!Mtto_Pesv[[#Headers],[#Data],[Placa]:[Rutina]],9,FALSE)),"-")</f>
        <v>-</v>
      </c>
      <c r="AK772" s="20">
        <f>IFERROR((VLOOKUP(Tabla13[[#This Row],[ID]],[1]!Mtto_Pesv[[#Headers],[#Data],[Placa]:[Rutina]],10,FALSE)),0)</f>
        <v>0</v>
      </c>
      <c r="AL772" s="20">
        <f>IF(Tabla13[[#This Row],[Km Anterior]]=0,0,Tabla13[[#This Row],[Km Ejecut]]-Tabla13[[#This Row],[Km Anterior]])</f>
        <v>0</v>
      </c>
      <c r="AM772" s="20">
        <f>IFERROR((VLOOKUP(Tabla13[[#This Row],[ID]],[1]!Mtto_Pesv[[#Headers],[#Data],[Placa]:[Rutina]],4,FALSE)),0)</f>
        <v>0</v>
      </c>
      <c r="AN772" s="21">
        <f>IFERROR((VLOOKUP(Tabla13[[#This Row],[ID]],[1]!Mtto_Pesv[[#Headers],[#Data],[Placa]:[Rutina]],5,FALSE)),0)</f>
        <v>0</v>
      </c>
      <c r="AO772" s="21">
        <f>+Tabla13[[#This Row],[Km Fin]]-Tabla13[[#This Row],[Km Ini]]</f>
        <v>0</v>
      </c>
      <c r="AP772" s="20">
        <f>IFERROR((VLOOKUP(Tabla13[[#This Row],[ID]],[1]!Estilo_Conduccion[[#All],[Placa]:[Puntuacion]],15,FALSE)),0)</f>
        <v>0</v>
      </c>
      <c r="AQ772" s="15" t="s">
        <v>1574</v>
      </c>
      <c r="AR772" s="15" t="s">
        <v>1575</v>
      </c>
      <c r="AS772" s="20">
        <v>800</v>
      </c>
      <c r="AT772" s="21">
        <v>5868</v>
      </c>
      <c r="AU772" s="21">
        <f>(Tabla13[[#This Row],[Cap Vh]]*$AX$2)*0.56</f>
        <v>0</v>
      </c>
      <c r="AV772" s="36" t="e">
        <f>(Tabla13[[#This Row],[Cap Util (kg)]]/(Tabla13[[#This Row],[Cap Inst (Kg)]]))</f>
        <v>#DIV/0!</v>
      </c>
    </row>
    <row r="773" spans="1:48" x14ac:dyDescent="0.25">
      <c r="A773" s="13" t="s">
        <v>1068</v>
      </c>
      <c r="B773" s="14" t="s">
        <v>1017</v>
      </c>
      <c r="C773" s="14" t="s">
        <v>749</v>
      </c>
      <c r="D773" s="14" t="s">
        <v>749</v>
      </c>
      <c r="E773" s="14" t="s">
        <v>840</v>
      </c>
      <c r="F773" s="14" t="s">
        <v>76</v>
      </c>
      <c r="G773" s="15" t="s">
        <v>89</v>
      </c>
      <c r="H773" s="16" t="s">
        <v>90</v>
      </c>
      <c r="I773" s="14" t="s">
        <v>49</v>
      </c>
      <c r="J773" s="14">
        <v>900335279</v>
      </c>
      <c r="K773" s="14" t="s">
        <v>77</v>
      </c>
      <c r="L773" s="14" t="s">
        <v>103</v>
      </c>
      <c r="M773" s="14" t="s">
        <v>104</v>
      </c>
      <c r="N773" s="14">
        <v>2017</v>
      </c>
      <c r="O773" s="14">
        <v>3</v>
      </c>
      <c r="P773" s="14" t="s">
        <v>105</v>
      </c>
      <c r="Q773" s="14">
        <v>1</v>
      </c>
      <c r="R773" s="14">
        <v>0</v>
      </c>
      <c r="S773" s="17" t="s">
        <v>54</v>
      </c>
      <c r="T773" s="18">
        <v>0</v>
      </c>
      <c r="U773" s="14">
        <v>30</v>
      </c>
      <c r="V773" s="19">
        <v>1</v>
      </c>
      <c r="W773" s="14">
        <v>0</v>
      </c>
      <c r="X773" s="14">
        <v>0</v>
      </c>
      <c r="Y773" s="14">
        <v>0</v>
      </c>
      <c r="Z773" s="14">
        <v>0</v>
      </c>
      <c r="AA773" s="14">
        <f>Tabla13[[#This Row],[CheckList App]]+Tabla13[[#This Row],[CheckList Fisc]]</f>
        <v>0</v>
      </c>
      <c r="AB773" s="19">
        <f t="shared" si="12"/>
        <v>0</v>
      </c>
      <c r="AC773" s="14">
        <v>0</v>
      </c>
      <c r="AD773" s="14" t="s">
        <v>70</v>
      </c>
      <c r="AE773" s="15" t="str">
        <f>IFERROR((VLOOKUP(Tabla13[[#This Row],[ID]],[1]!Mtto_Pesv[[#Headers],[#Data],[Placa]:[Rutina]],2,FALSE)),"-")</f>
        <v>-</v>
      </c>
      <c r="AF773" s="14">
        <v>1</v>
      </c>
      <c r="AG773" s="20">
        <f>IFERROR((VLOOKUP(Tabla13[[#This Row],[ID]],[1]!Mtto_Pesv[[#Headers],[#Data],[Placa]:[Rutina]],3,FALSE)),0)</f>
        <v>0</v>
      </c>
      <c r="AH773" s="20">
        <f>IFERROR((VLOOKUP(Tabla13[[#This Row],[ID]],[1]!Mtto_Pesv[[#Headers],[#Data],[Placa]:[Rutina]],7,FALSE)),0)</f>
        <v>0</v>
      </c>
      <c r="AI773" s="20">
        <f>IFERROR((VLOOKUP(Tabla13[[#This Row],[ID]],[1]!Mtto_Pesv[[#Headers],[#Data],[Placa]:[Rutina]],8,FALSE)),0)</f>
        <v>0</v>
      </c>
      <c r="AJ773" s="20" t="str">
        <f>IFERROR((VLOOKUP(Tabla13[[#This Row],[ID]],[1]!Mtto_Pesv[[#Headers],[#Data],[Placa]:[Rutina]],9,FALSE)),"-")</f>
        <v>-</v>
      </c>
      <c r="AK773" s="20">
        <f>IFERROR((VLOOKUP(Tabla13[[#This Row],[ID]],[1]!Mtto_Pesv[[#Headers],[#Data],[Placa]:[Rutina]],10,FALSE)),0)</f>
        <v>0</v>
      </c>
      <c r="AL773" s="20">
        <f>IF(Tabla13[[#This Row],[Km Anterior]]=0,0,Tabla13[[#This Row],[Km Ejecut]]-Tabla13[[#This Row],[Km Anterior]])</f>
        <v>0</v>
      </c>
      <c r="AM773" s="20">
        <f>IFERROR((VLOOKUP(Tabla13[[#This Row],[ID]],[1]!Mtto_Pesv[[#Headers],[#Data],[Placa]:[Rutina]],4,FALSE)),0)</f>
        <v>0</v>
      </c>
      <c r="AN773" s="21">
        <f>IFERROR((VLOOKUP(Tabla13[[#This Row],[ID]],[1]!Mtto_Pesv[[#Headers],[#Data],[Placa]:[Rutina]],5,FALSE)),0)</f>
        <v>0</v>
      </c>
      <c r="AO773" s="21">
        <f>+Tabla13[[#This Row],[Km Fin]]-Tabla13[[#This Row],[Km Ini]]</f>
        <v>0</v>
      </c>
      <c r="AP773" s="20">
        <f>IFERROR((VLOOKUP(Tabla13[[#This Row],[ID]],[1]!Estilo_Conduccion[[#All],[Placa]:[Puntuacion]],15,FALSE)),0)</f>
        <v>298.8</v>
      </c>
      <c r="AQ773" s="15" t="s">
        <v>1576</v>
      </c>
      <c r="AR773" s="15" t="s">
        <v>1577</v>
      </c>
      <c r="AS773" s="20">
        <v>1750</v>
      </c>
      <c r="AT773" s="21">
        <v>6012</v>
      </c>
      <c r="AU773" s="21">
        <f>(Tabla13[[#This Row],[Cap Vh]]*$AX$2)*0.56</f>
        <v>0</v>
      </c>
      <c r="AV773" s="36" t="e">
        <f>(Tabla13[[#This Row],[Cap Util (kg)]]/(Tabla13[[#This Row],[Cap Inst (Kg)]]))</f>
        <v>#DIV/0!</v>
      </c>
    </row>
    <row r="774" spans="1:48" x14ac:dyDescent="0.25">
      <c r="A774" s="13" t="s">
        <v>1068</v>
      </c>
      <c r="B774" s="14" t="s">
        <v>1018</v>
      </c>
      <c r="C774" s="14" t="s">
        <v>749</v>
      </c>
      <c r="D774" s="14" t="s">
        <v>749</v>
      </c>
      <c r="E774" s="14" t="s">
        <v>840</v>
      </c>
      <c r="F774" s="14" t="s">
        <v>76</v>
      </c>
      <c r="G774" s="15" t="s">
        <v>47</v>
      </c>
      <c r="H774" s="16" t="s">
        <v>48</v>
      </c>
      <c r="I774" s="14" t="s">
        <v>49</v>
      </c>
      <c r="J774" s="14">
        <v>900335279</v>
      </c>
      <c r="K774" s="14" t="s">
        <v>77</v>
      </c>
      <c r="L774" s="14" t="s">
        <v>103</v>
      </c>
      <c r="M774" s="14" t="s">
        <v>285</v>
      </c>
      <c r="N774" s="14">
        <v>2003</v>
      </c>
      <c r="O774" s="14">
        <v>17</v>
      </c>
      <c r="P774" s="14" t="s">
        <v>173</v>
      </c>
      <c r="Q774" s="14">
        <v>0</v>
      </c>
      <c r="R774" s="14">
        <v>0</v>
      </c>
      <c r="S774" s="17" t="s">
        <v>54</v>
      </c>
      <c r="T774" s="18">
        <v>0</v>
      </c>
      <c r="U774" s="14">
        <v>30</v>
      </c>
      <c r="V774" s="19">
        <v>1</v>
      </c>
      <c r="W774" s="14">
        <v>0</v>
      </c>
      <c r="X774" s="14">
        <v>0</v>
      </c>
      <c r="Y774" s="14">
        <v>0</v>
      </c>
      <c r="Z774" s="14">
        <v>0</v>
      </c>
      <c r="AA774" s="14">
        <f>Tabla13[[#This Row],[CheckList App]]+Tabla13[[#This Row],[CheckList Fisc]]</f>
        <v>0</v>
      </c>
      <c r="AB774" s="19">
        <f t="shared" si="12"/>
        <v>0</v>
      </c>
      <c r="AC774" s="14">
        <v>0</v>
      </c>
      <c r="AD774" s="14" t="s">
        <v>70</v>
      </c>
      <c r="AE774" s="15" t="str">
        <f>IFERROR((VLOOKUP(Tabla13[[#This Row],[ID]],[1]!Mtto_Pesv[[#Headers],[#Data],[Placa]:[Rutina]],2,FALSE)),"-")</f>
        <v>-</v>
      </c>
      <c r="AF774" s="14">
        <v>1</v>
      </c>
      <c r="AG774" s="20">
        <f>IFERROR((VLOOKUP(Tabla13[[#This Row],[ID]],[1]!Mtto_Pesv[[#Headers],[#Data],[Placa]:[Rutina]],3,FALSE)),0)</f>
        <v>0</v>
      </c>
      <c r="AH774" s="20">
        <f>IFERROR((VLOOKUP(Tabla13[[#This Row],[ID]],[1]!Mtto_Pesv[[#Headers],[#Data],[Placa]:[Rutina]],7,FALSE)),0)</f>
        <v>0</v>
      </c>
      <c r="AI774" s="20">
        <f>IFERROR((VLOOKUP(Tabla13[[#This Row],[ID]],[1]!Mtto_Pesv[[#Headers],[#Data],[Placa]:[Rutina]],8,FALSE)),0)</f>
        <v>0</v>
      </c>
      <c r="AJ774" s="20" t="str">
        <f>IFERROR((VLOOKUP(Tabla13[[#This Row],[ID]],[1]!Mtto_Pesv[[#Headers],[#Data],[Placa]:[Rutina]],9,FALSE)),"-")</f>
        <v>-</v>
      </c>
      <c r="AK774" s="20">
        <f>IFERROR((VLOOKUP(Tabla13[[#This Row],[ID]],[1]!Mtto_Pesv[[#Headers],[#Data],[Placa]:[Rutina]],10,FALSE)),0)</f>
        <v>0</v>
      </c>
      <c r="AL774" s="20">
        <f>IF(Tabla13[[#This Row],[Km Anterior]]=0,0,Tabla13[[#This Row],[Km Ejecut]]-Tabla13[[#This Row],[Km Anterior]])</f>
        <v>0</v>
      </c>
      <c r="AM774" s="20">
        <f>IFERROR((VLOOKUP(Tabla13[[#This Row],[ID]],[1]!Mtto_Pesv[[#Headers],[#Data],[Placa]:[Rutina]],4,FALSE)),0)</f>
        <v>0</v>
      </c>
      <c r="AN774" s="21">
        <f>IFERROR((VLOOKUP(Tabla13[[#This Row],[ID]],[1]!Mtto_Pesv[[#Headers],[#Data],[Placa]:[Rutina]],5,FALSE)),0)</f>
        <v>0</v>
      </c>
      <c r="AO774" s="21">
        <f>+Tabla13[[#This Row],[Km Fin]]-Tabla13[[#This Row],[Km Ini]]</f>
        <v>0</v>
      </c>
      <c r="AP774" s="20">
        <f>IFERROR((VLOOKUP(Tabla13[[#This Row],[ID]],[1]!Estilo_Conduccion[[#All],[Placa]:[Puntuacion]],15,FALSE)),0)</f>
        <v>0</v>
      </c>
      <c r="AQ774" s="15" t="s">
        <v>1069</v>
      </c>
      <c r="AR774" s="15" t="s">
        <v>927</v>
      </c>
      <c r="AS774" s="20">
        <v>800</v>
      </c>
      <c r="AT774" s="21">
        <v>0</v>
      </c>
      <c r="AU774" s="21">
        <f>(Tabla13[[#This Row],[Cap Vh]]*$AX$2)*0.56</f>
        <v>0</v>
      </c>
      <c r="AV774" s="36" t="e">
        <f>(Tabla13[[#This Row],[Cap Util (kg)]]/(Tabla13[[#This Row],[Cap Inst (Kg)]]))</f>
        <v>#DIV/0!</v>
      </c>
    </row>
    <row r="775" spans="1:48" x14ac:dyDescent="0.25">
      <c r="A775" s="13" t="s">
        <v>1068</v>
      </c>
      <c r="B775" s="14" t="s">
        <v>1019</v>
      </c>
      <c r="C775" s="14" t="s">
        <v>749</v>
      </c>
      <c r="D775" s="14" t="s">
        <v>749</v>
      </c>
      <c r="E775" s="14" t="s">
        <v>840</v>
      </c>
      <c r="F775" s="14" t="s">
        <v>76</v>
      </c>
      <c r="G775" s="14" t="s">
        <v>65</v>
      </c>
      <c r="H775" s="16" t="s">
        <v>66</v>
      </c>
      <c r="I775" s="14" t="s">
        <v>49</v>
      </c>
      <c r="J775" s="14">
        <v>900335279</v>
      </c>
      <c r="K775" s="14" t="s">
        <v>77</v>
      </c>
      <c r="L775" s="14" t="s">
        <v>103</v>
      </c>
      <c r="M775" s="14" t="s">
        <v>1020</v>
      </c>
      <c r="N775" s="14">
        <v>2003</v>
      </c>
      <c r="O775" s="14">
        <v>17</v>
      </c>
      <c r="P775" s="14" t="s">
        <v>173</v>
      </c>
      <c r="Q775" s="14">
        <v>0</v>
      </c>
      <c r="R775" s="14">
        <v>0</v>
      </c>
      <c r="S775" s="17" t="s">
        <v>54</v>
      </c>
      <c r="T775" s="18">
        <v>0</v>
      </c>
      <c r="U775" s="14">
        <v>0</v>
      </c>
      <c r="V775" s="19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f>Tabla13[[#This Row],[CheckList App]]+Tabla13[[#This Row],[CheckList Fisc]]</f>
        <v>0</v>
      </c>
      <c r="AB775" s="19" t="str">
        <f t="shared" si="12"/>
        <v/>
      </c>
      <c r="AC775" s="14">
        <v>0</v>
      </c>
      <c r="AD775" s="14" t="s">
        <v>55</v>
      </c>
      <c r="AE775" s="15" t="str">
        <f>IFERROR((VLOOKUP(Tabla13[[#This Row],[ID]],[1]!Mtto_Pesv[[#Headers],[#Data],[Placa]:[Rutina]],2,FALSE)),"-")</f>
        <v>-</v>
      </c>
      <c r="AF775" s="14">
        <v>0</v>
      </c>
      <c r="AG775" s="20">
        <f>IFERROR((VLOOKUP(Tabla13[[#This Row],[ID]],[1]!Mtto_Pesv[[#Headers],[#Data],[Placa]:[Rutina]],3,FALSE)),0)</f>
        <v>0</v>
      </c>
      <c r="AH775" s="20">
        <f>IFERROR((VLOOKUP(Tabla13[[#This Row],[ID]],[1]!Mtto_Pesv[[#Headers],[#Data],[Placa]:[Rutina]],7,FALSE)),0)</f>
        <v>0</v>
      </c>
      <c r="AI775" s="20">
        <f>IFERROR((VLOOKUP(Tabla13[[#This Row],[ID]],[1]!Mtto_Pesv[[#Headers],[#Data],[Placa]:[Rutina]],8,FALSE)),0)</f>
        <v>0</v>
      </c>
      <c r="AJ775" s="20" t="str">
        <f>IFERROR((VLOOKUP(Tabla13[[#This Row],[ID]],[1]!Mtto_Pesv[[#Headers],[#Data],[Placa]:[Rutina]],9,FALSE)),"-")</f>
        <v>-</v>
      </c>
      <c r="AK775" s="20">
        <f>IFERROR((VLOOKUP(Tabla13[[#This Row],[ID]],[1]!Mtto_Pesv[[#Headers],[#Data],[Placa]:[Rutina]],10,FALSE)),0)</f>
        <v>0</v>
      </c>
      <c r="AL775" s="20">
        <f>IF(Tabla13[[#This Row],[Km Anterior]]=0,0,Tabla13[[#This Row],[Km Ejecut]]-Tabla13[[#This Row],[Km Anterior]])</f>
        <v>0</v>
      </c>
      <c r="AM775" s="20">
        <f>IFERROR((VLOOKUP(Tabla13[[#This Row],[ID]],[1]!Mtto_Pesv[[#Headers],[#Data],[Placa]:[Rutina]],4,FALSE)),0)</f>
        <v>0</v>
      </c>
      <c r="AN775" s="21">
        <f>IFERROR((VLOOKUP(Tabla13[[#This Row],[ID]],[1]!Mtto_Pesv[[#Headers],[#Data],[Placa]:[Rutina]],5,FALSE)),0)</f>
        <v>0</v>
      </c>
      <c r="AO775" s="21">
        <f>+Tabla13[[#This Row],[Km Fin]]-Tabla13[[#This Row],[Km Ini]]</f>
        <v>0</v>
      </c>
      <c r="AP775" s="20">
        <f>IFERROR((VLOOKUP(Tabla13[[#This Row],[ID]],[1]!Estilo_Conduccion[[#All],[Placa]:[Puntuacion]],15,FALSE)),0)</f>
        <v>0</v>
      </c>
      <c r="AQ775" s="15" t="s">
        <v>54</v>
      </c>
      <c r="AR775" s="15" t="s">
        <v>54</v>
      </c>
      <c r="AS775" s="20">
        <v>800</v>
      </c>
      <c r="AT775" s="21">
        <v>0</v>
      </c>
      <c r="AU775" s="21">
        <f>(Tabla13[[#This Row],[Cap Vh]]*$AX$2)*0.56</f>
        <v>0</v>
      </c>
      <c r="AV775" s="36" t="e">
        <f>(Tabla13[[#This Row],[Cap Util (kg)]]/(Tabla13[[#This Row],[Cap Inst (Kg)]]))</f>
        <v>#DIV/0!</v>
      </c>
    </row>
    <row r="776" spans="1:48" x14ac:dyDescent="0.25">
      <c r="A776" s="13" t="s">
        <v>1068</v>
      </c>
      <c r="B776" s="14" t="s">
        <v>1021</v>
      </c>
      <c r="C776" s="14" t="s">
        <v>749</v>
      </c>
      <c r="D776" s="14" t="s">
        <v>749</v>
      </c>
      <c r="E776" s="14" t="s">
        <v>840</v>
      </c>
      <c r="F776" s="14" t="s">
        <v>76</v>
      </c>
      <c r="G776" s="14" t="s">
        <v>65</v>
      </c>
      <c r="H776" s="16" t="s">
        <v>66</v>
      </c>
      <c r="I776" s="14" t="s">
        <v>49</v>
      </c>
      <c r="J776" s="14">
        <v>900335279</v>
      </c>
      <c r="K776" s="14" t="s">
        <v>77</v>
      </c>
      <c r="L776" s="14" t="s">
        <v>103</v>
      </c>
      <c r="M776" s="14" t="s">
        <v>285</v>
      </c>
      <c r="N776" s="14">
        <v>2003</v>
      </c>
      <c r="O776" s="14">
        <v>17</v>
      </c>
      <c r="P776" s="14" t="s">
        <v>173</v>
      </c>
      <c r="Q776" s="14">
        <v>0</v>
      </c>
      <c r="R776" s="14">
        <v>0</v>
      </c>
      <c r="S776" s="17" t="s">
        <v>54</v>
      </c>
      <c r="T776" s="18">
        <v>0</v>
      </c>
      <c r="U776" s="14">
        <v>0</v>
      </c>
      <c r="V776" s="19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f>Tabla13[[#This Row],[CheckList App]]+Tabla13[[#This Row],[CheckList Fisc]]</f>
        <v>0</v>
      </c>
      <c r="AB776" s="19" t="str">
        <f t="shared" si="12"/>
        <v/>
      </c>
      <c r="AC776" s="14">
        <v>0</v>
      </c>
      <c r="AD776" s="14" t="s">
        <v>70</v>
      </c>
      <c r="AE776" s="15" t="str">
        <f>IFERROR((VLOOKUP(Tabla13[[#This Row],[ID]],[1]!Mtto_Pesv[[#Headers],[#Data],[Placa]:[Rutina]],2,FALSE)),"-")</f>
        <v>-</v>
      </c>
      <c r="AF776" s="14">
        <v>1</v>
      </c>
      <c r="AG776" s="20">
        <f>IFERROR((VLOOKUP(Tabla13[[#This Row],[ID]],[1]!Mtto_Pesv[[#Headers],[#Data],[Placa]:[Rutina]],3,FALSE)),0)</f>
        <v>0</v>
      </c>
      <c r="AH776" s="20">
        <f>IFERROR((VLOOKUP(Tabla13[[#This Row],[ID]],[1]!Mtto_Pesv[[#Headers],[#Data],[Placa]:[Rutina]],7,FALSE)),0)</f>
        <v>0</v>
      </c>
      <c r="AI776" s="20">
        <f>IFERROR((VLOOKUP(Tabla13[[#This Row],[ID]],[1]!Mtto_Pesv[[#Headers],[#Data],[Placa]:[Rutina]],8,FALSE)),0)</f>
        <v>0</v>
      </c>
      <c r="AJ776" s="20" t="str">
        <f>IFERROR((VLOOKUP(Tabla13[[#This Row],[ID]],[1]!Mtto_Pesv[[#Headers],[#Data],[Placa]:[Rutina]],9,FALSE)),"-")</f>
        <v>-</v>
      </c>
      <c r="AK776" s="20">
        <f>IFERROR((VLOOKUP(Tabla13[[#This Row],[ID]],[1]!Mtto_Pesv[[#Headers],[#Data],[Placa]:[Rutina]],10,FALSE)),0)</f>
        <v>0</v>
      </c>
      <c r="AL776" s="20">
        <f>IF(Tabla13[[#This Row],[Km Anterior]]=0,0,Tabla13[[#This Row],[Km Ejecut]]-Tabla13[[#This Row],[Km Anterior]])</f>
        <v>0</v>
      </c>
      <c r="AM776" s="20">
        <f>IFERROR((VLOOKUP(Tabla13[[#This Row],[ID]],[1]!Mtto_Pesv[[#Headers],[#Data],[Placa]:[Rutina]],4,FALSE)),0)</f>
        <v>0</v>
      </c>
      <c r="AN776" s="21">
        <f>IFERROR((VLOOKUP(Tabla13[[#This Row],[ID]],[1]!Mtto_Pesv[[#Headers],[#Data],[Placa]:[Rutina]],5,FALSE)),0)</f>
        <v>0</v>
      </c>
      <c r="AO776" s="21">
        <f>+Tabla13[[#This Row],[Km Fin]]-Tabla13[[#This Row],[Km Ini]]</f>
        <v>0</v>
      </c>
      <c r="AP776" s="20">
        <f>IFERROR((VLOOKUP(Tabla13[[#This Row],[ID]],[1]!Estilo_Conduccion[[#All],[Placa]:[Puntuacion]],15,FALSE)),0)</f>
        <v>0</v>
      </c>
      <c r="AQ776" s="15" t="s">
        <v>54</v>
      </c>
      <c r="AR776" s="15" t="s">
        <v>54</v>
      </c>
      <c r="AS776" s="20">
        <v>750</v>
      </c>
      <c r="AT776" s="21">
        <v>0</v>
      </c>
      <c r="AU776" s="21">
        <f>(Tabla13[[#This Row],[Cap Vh]]*$AX$2)*0.56</f>
        <v>0</v>
      </c>
      <c r="AV776" s="36" t="e">
        <f>(Tabla13[[#This Row],[Cap Util (kg)]]/(Tabla13[[#This Row],[Cap Inst (Kg)]]))</f>
        <v>#DIV/0!</v>
      </c>
    </row>
    <row r="777" spans="1:48" x14ac:dyDescent="0.25">
      <c r="A777" s="13" t="s">
        <v>1068</v>
      </c>
      <c r="B777" s="14" t="s">
        <v>1022</v>
      </c>
      <c r="C777" s="14" t="s">
        <v>749</v>
      </c>
      <c r="D777" s="14" t="s">
        <v>749</v>
      </c>
      <c r="E777" s="14" t="s">
        <v>842</v>
      </c>
      <c r="F777" s="14" t="s">
        <v>76</v>
      </c>
      <c r="G777" s="15" t="s">
        <v>89</v>
      </c>
      <c r="H777" s="16" t="s">
        <v>90</v>
      </c>
      <c r="I777" s="14" t="s">
        <v>49</v>
      </c>
      <c r="J777" s="14">
        <v>900335279</v>
      </c>
      <c r="K777" s="14" t="s">
        <v>77</v>
      </c>
      <c r="L777" s="14" t="s">
        <v>103</v>
      </c>
      <c r="M777" s="14" t="s">
        <v>104</v>
      </c>
      <c r="N777" s="14">
        <v>2003</v>
      </c>
      <c r="O777" s="14">
        <v>17</v>
      </c>
      <c r="P777" s="14" t="s">
        <v>173</v>
      </c>
      <c r="Q777" s="14">
        <v>0</v>
      </c>
      <c r="R777" s="14">
        <v>0</v>
      </c>
      <c r="S777" s="17" t="s">
        <v>54</v>
      </c>
      <c r="T777" s="18">
        <v>0</v>
      </c>
      <c r="U777" s="14">
        <v>30</v>
      </c>
      <c r="V777" s="19">
        <v>1</v>
      </c>
      <c r="W777" s="14">
        <v>0</v>
      </c>
      <c r="X777" s="14">
        <v>0</v>
      </c>
      <c r="Y777" s="14">
        <v>0</v>
      </c>
      <c r="Z777" s="14">
        <v>0</v>
      </c>
      <c r="AA777" s="14">
        <f>Tabla13[[#This Row],[CheckList App]]+Tabla13[[#This Row],[CheckList Fisc]]</f>
        <v>0</v>
      </c>
      <c r="AB777" s="19">
        <f t="shared" si="12"/>
        <v>0</v>
      </c>
      <c r="AC777" s="14">
        <v>0</v>
      </c>
      <c r="AD777" s="14" t="s">
        <v>55</v>
      </c>
      <c r="AE777" s="15" t="str">
        <f>IFERROR((VLOOKUP(Tabla13[[#This Row],[ID]],[1]!Mtto_Pesv[[#Headers],[#Data],[Placa]:[Rutina]],2,FALSE)),"-")</f>
        <v>-</v>
      </c>
      <c r="AF777" s="14">
        <v>0</v>
      </c>
      <c r="AG777" s="20">
        <f>IFERROR((VLOOKUP(Tabla13[[#This Row],[ID]],[1]!Mtto_Pesv[[#Headers],[#Data],[Placa]:[Rutina]],3,FALSE)),0)</f>
        <v>0</v>
      </c>
      <c r="AH777" s="20">
        <f>IFERROR((VLOOKUP(Tabla13[[#This Row],[ID]],[1]!Mtto_Pesv[[#Headers],[#Data],[Placa]:[Rutina]],7,FALSE)),0)</f>
        <v>0</v>
      </c>
      <c r="AI777" s="20">
        <f>IFERROR((VLOOKUP(Tabla13[[#This Row],[ID]],[1]!Mtto_Pesv[[#Headers],[#Data],[Placa]:[Rutina]],8,FALSE)),0)</f>
        <v>0</v>
      </c>
      <c r="AJ777" s="20" t="str">
        <f>IFERROR((VLOOKUP(Tabla13[[#This Row],[ID]],[1]!Mtto_Pesv[[#Headers],[#Data],[Placa]:[Rutina]],9,FALSE)),"-")</f>
        <v>-</v>
      </c>
      <c r="AK777" s="20">
        <f>IFERROR((VLOOKUP(Tabla13[[#This Row],[ID]],[1]!Mtto_Pesv[[#Headers],[#Data],[Placa]:[Rutina]],10,FALSE)),0)</f>
        <v>0</v>
      </c>
      <c r="AL777" s="20">
        <f>IF(Tabla13[[#This Row],[Km Anterior]]=0,0,Tabla13[[#This Row],[Km Ejecut]]-Tabla13[[#This Row],[Km Anterior]])</f>
        <v>0</v>
      </c>
      <c r="AM777" s="20">
        <f>IFERROR((VLOOKUP(Tabla13[[#This Row],[ID]],[1]!Mtto_Pesv[[#Headers],[#Data],[Placa]:[Rutina]],4,FALSE)),0)</f>
        <v>0</v>
      </c>
      <c r="AN777" s="21">
        <f>IFERROR((VLOOKUP(Tabla13[[#This Row],[ID]],[1]!Mtto_Pesv[[#Headers],[#Data],[Placa]:[Rutina]],5,FALSE)),0)</f>
        <v>0</v>
      </c>
      <c r="AO777" s="21">
        <f>+Tabla13[[#This Row],[Km Fin]]-Tabla13[[#This Row],[Km Ini]]</f>
        <v>0</v>
      </c>
      <c r="AP777" s="20">
        <f>IFERROR((VLOOKUP(Tabla13[[#This Row],[ID]],[1]!Estilo_Conduccion[[#All],[Placa]:[Puntuacion]],15,FALSE)),0)</f>
        <v>0</v>
      </c>
      <c r="AQ777" s="15" t="s">
        <v>1500</v>
      </c>
      <c r="AR777" s="15" t="s">
        <v>1501</v>
      </c>
      <c r="AS777" s="20">
        <v>3500</v>
      </c>
      <c r="AT777" s="21">
        <v>7888.7142857142853</v>
      </c>
      <c r="AU777" s="21">
        <f>(Tabla13[[#This Row],[Cap Vh]]*$AX$2)*0.56</f>
        <v>0</v>
      </c>
      <c r="AV777" s="36" t="e">
        <f>(Tabla13[[#This Row],[Cap Util (kg)]]/(Tabla13[[#This Row],[Cap Inst (Kg)]]))</f>
        <v>#DIV/0!</v>
      </c>
    </row>
    <row r="778" spans="1:48" x14ac:dyDescent="0.25">
      <c r="A778" s="13" t="s">
        <v>1068</v>
      </c>
      <c r="B778" s="14" t="s">
        <v>1023</v>
      </c>
      <c r="C778" s="14" t="s">
        <v>749</v>
      </c>
      <c r="D778" s="14" t="s">
        <v>749</v>
      </c>
      <c r="E778" s="14" t="s">
        <v>897</v>
      </c>
      <c r="F778" s="14" t="s">
        <v>76</v>
      </c>
      <c r="G778" s="15" t="s">
        <v>89</v>
      </c>
      <c r="H778" s="16" t="s">
        <v>90</v>
      </c>
      <c r="I778" s="14" t="s">
        <v>49</v>
      </c>
      <c r="J778" s="14">
        <v>900335279</v>
      </c>
      <c r="K778" s="14" t="s">
        <v>77</v>
      </c>
      <c r="L778" s="14" t="s">
        <v>103</v>
      </c>
      <c r="M778" s="14" t="s">
        <v>104</v>
      </c>
      <c r="N778" s="14">
        <v>2003</v>
      </c>
      <c r="O778" s="14">
        <v>17</v>
      </c>
      <c r="P778" s="14" t="s">
        <v>173</v>
      </c>
      <c r="Q778" s="14">
        <v>0</v>
      </c>
      <c r="R778" s="14">
        <v>0</v>
      </c>
      <c r="S778" s="17" t="s">
        <v>54</v>
      </c>
      <c r="T778" s="18">
        <v>0</v>
      </c>
      <c r="U778" s="14">
        <v>30</v>
      </c>
      <c r="V778" s="19">
        <v>1</v>
      </c>
      <c r="W778" s="14">
        <v>0</v>
      </c>
      <c r="X778" s="14">
        <v>0</v>
      </c>
      <c r="Y778" s="14">
        <v>0</v>
      </c>
      <c r="Z778" s="14">
        <v>0</v>
      </c>
      <c r="AA778" s="14">
        <f>Tabla13[[#This Row],[CheckList App]]+Tabla13[[#This Row],[CheckList Fisc]]</f>
        <v>0</v>
      </c>
      <c r="AB778" s="19">
        <f t="shared" si="12"/>
        <v>0</v>
      </c>
      <c r="AC778" s="14">
        <v>0</v>
      </c>
      <c r="AD778" s="14" t="s">
        <v>70</v>
      </c>
      <c r="AE778" s="15" t="str">
        <f>IFERROR((VLOOKUP(Tabla13[[#This Row],[ID]],[1]!Mtto_Pesv[[#Headers],[#Data],[Placa]:[Rutina]],2,FALSE)),"-")</f>
        <v>-</v>
      </c>
      <c r="AF778" s="14">
        <v>1</v>
      </c>
      <c r="AG778" s="20">
        <f>IFERROR((VLOOKUP(Tabla13[[#This Row],[ID]],[1]!Mtto_Pesv[[#Headers],[#Data],[Placa]:[Rutina]],3,FALSE)),0)</f>
        <v>0</v>
      </c>
      <c r="AH778" s="20">
        <f>IFERROR((VLOOKUP(Tabla13[[#This Row],[ID]],[1]!Mtto_Pesv[[#Headers],[#Data],[Placa]:[Rutina]],7,FALSE)),0)</f>
        <v>0</v>
      </c>
      <c r="AI778" s="20">
        <f>IFERROR((VLOOKUP(Tabla13[[#This Row],[ID]],[1]!Mtto_Pesv[[#Headers],[#Data],[Placa]:[Rutina]],8,FALSE)),0)</f>
        <v>0</v>
      </c>
      <c r="AJ778" s="20" t="str">
        <f>IFERROR((VLOOKUP(Tabla13[[#This Row],[ID]],[1]!Mtto_Pesv[[#Headers],[#Data],[Placa]:[Rutina]],9,FALSE)),"-")</f>
        <v>-</v>
      </c>
      <c r="AK778" s="20">
        <f>IFERROR((VLOOKUP(Tabla13[[#This Row],[ID]],[1]!Mtto_Pesv[[#Headers],[#Data],[Placa]:[Rutina]],10,FALSE)),0)</f>
        <v>0</v>
      </c>
      <c r="AL778" s="20">
        <f>IF(Tabla13[[#This Row],[Km Anterior]]=0,0,Tabla13[[#This Row],[Km Ejecut]]-Tabla13[[#This Row],[Km Anterior]])</f>
        <v>0</v>
      </c>
      <c r="AM778" s="20">
        <f>IFERROR((VLOOKUP(Tabla13[[#This Row],[ID]],[1]!Mtto_Pesv[[#Headers],[#Data],[Placa]:[Rutina]],4,FALSE)),0)</f>
        <v>0</v>
      </c>
      <c r="AN778" s="21">
        <f>IFERROR((VLOOKUP(Tabla13[[#This Row],[ID]],[1]!Mtto_Pesv[[#Headers],[#Data],[Placa]:[Rutina]],5,FALSE)),0)</f>
        <v>0</v>
      </c>
      <c r="AO778" s="21">
        <f>+Tabla13[[#This Row],[Km Fin]]-Tabla13[[#This Row],[Km Ini]]</f>
        <v>0</v>
      </c>
      <c r="AP778" s="20">
        <f>IFERROR((VLOOKUP(Tabla13[[#This Row],[ID]],[1]!Estilo_Conduccion[[#All],[Placa]:[Puntuacion]],15,FALSE)),0)</f>
        <v>0</v>
      </c>
      <c r="AQ778" s="15" t="s">
        <v>1578</v>
      </c>
      <c r="AR778" s="15" t="s">
        <v>1579</v>
      </c>
      <c r="AS778" s="20">
        <v>3000</v>
      </c>
      <c r="AT778" s="21">
        <v>1485</v>
      </c>
      <c r="AU778" s="21">
        <f>(Tabla13[[#This Row],[Cap Vh]]*$AX$2)*0.56</f>
        <v>0</v>
      </c>
      <c r="AV778" s="36" t="e">
        <f>(Tabla13[[#This Row],[Cap Util (kg)]]/(Tabla13[[#This Row],[Cap Inst (Kg)]]))</f>
        <v>#DIV/0!</v>
      </c>
    </row>
    <row r="779" spans="1:48" x14ac:dyDescent="0.25">
      <c r="A779" s="13" t="s">
        <v>1068</v>
      </c>
      <c r="B779" s="14" t="s">
        <v>1024</v>
      </c>
      <c r="C779" s="14" t="s">
        <v>749</v>
      </c>
      <c r="D779" s="14" t="s">
        <v>749</v>
      </c>
      <c r="E779" s="14" t="s">
        <v>842</v>
      </c>
      <c r="F779" s="14" t="s">
        <v>76</v>
      </c>
      <c r="G779" s="15" t="s">
        <v>89</v>
      </c>
      <c r="H779" s="16" t="s">
        <v>90</v>
      </c>
      <c r="I779" s="14" t="s">
        <v>49</v>
      </c>
      <c r="J779" s="14">
        <v>900335279</v>
      </c>
      <c r="K779" s="14" t="s">
        <v>77</v>
      </c>
      <c r="L779" s="14" t="s">
        <v>103</v>
      </c>
      <c r="M779" s="14" t="s">
        <v>285</v>
      </c>
      <c r="N779" s="14">
        <v>2003</v>
      </c>
      <c r="O779" s="14">
        <v>17</v>
      </c>
      <c r="P779" s="14" t="s">
        <v>173</v>
      </c>
      <c r="Q779" s="14">
        <v>0</v>
      </c>
      <c r="R779" s="14">
        <v>0</v>
      </c>
      <c r="S779" s="17" t="s">
        <v>54</v>
      </c>
      <c r="T779" s="18">
        <v>0</v>
      </c>
      <c r="U779" s="14">
        <v>30</v>
      </c>
      <c r="V779" s="19">
        <v>1</v>
      </c>
      <c r="W779" s="14">
        <v>0</v>
      </c>
      <c r="X779" s="14">
        <v>0</v>
      </c>
      <c r="Y779" s="14">
        <v>0</v>
      </c>
      <c r="Z779" s="14">
        <v>0</v>
      </c>
      <c r="AA779" s="14">
        <f>Tabla13[[#This Row],[CheckList App]]+Tabla13[[#This Row],[CheckList Fisc]]</f>
        <v>0</v>
      </c>
      <c r="AB779" s="19">
        <f t="shared" si="12"/>
        <v>0</v>
      </c>
      <c r="AC779" s="14">
        <v>0</v>
      </c>
      <c r="AD779" s="14" t="s">
        <v>70</v>
      </c>
      <c r="AE779" s="15" t="str">
        <f>IFERROR((VLOOKUP(Tabla13[[#This Row],[ID]],[1]!Mtto_Pesv[[#Headers],[#Data],[Placa]:[Rutina]],2,FALSE)),"-")</f>
        <v>-</v>
      </c>
      <c r="AF779" s="14">
        <v>1</v>
      </c>
      <c r="AG779" s="20">
        <f>IFERROR((VLOOKUP(Tabla13[[#This Row],[ID]],[1]!Mtto_Pesv[[#Headers],[#Data],[Placa]:[Rutina]],3,FALSE)),0)</f>
        <v>0</v>
      </c>
      <c r="AH779" s="20">
        <f>IFERROR((VLOOKUP(Tabla13[[#This Row],[ID]],[1]!Mtto_Pesv[[#Headers],[#Data],[Placa]:[Rutina]],7,FALSE)),0)</f>
        <v>0</v>
      </c>
      <c r="AI779" s="20">
        <f>IFERROR((VLOOKUP(Tabla13[[#This Row],[ID]],[1]!Mtto_Pesv[[#Headers],[#Data],[Placa]:[Rutina]],8,FALSE)),0)</f>
        <v>0</v>
      </c>
      <c r="AJ779" s="20" t="str">
        <f>IFERROR((VLOOKUP(Tabla13[[#This Row],[ID]],[1]!Mtto_Pesv[[#Headers],[#Data],[Placa]:[Rutina]],9,FALSE)),"-")</f>
        <v>-</v>
      </c>
      <c r="AK779" s="20">
        <f>IFERROR((VLOOKUP(Tabla13[[#This Row],[ID]],[1]!Mtto_Pesv[[#Headers],[#Data],[Placa]:[Rutina]],10,FALSE)),0)</f>
        <v>0</v>
      </c>
      <c r="AL779" s="20">
        <f>IF(Tabla13[[#This Row],[Km Anterior]]=0,0,Tabla13[[#This Row],[Km Ejecut]]-Tabla13[[#This Row],[Km Anterior]])</f>
        <v>0</v>
      </c>
      <c r="AM779" s="20">
        <f>IFERROR((VLOOKUP(Tabla13[[#This Row],[ID]],[1]!Mtto_Pesv[[#Headers],[#Data],[Placa]:[Rutina]],4,FALSE)),0)</f>
        <v>0</v>
      </c>
      <c r="AN779" s="21">
        <f>IFERROR((VLOOKUP(Tabla13[[#This Row],[ID]],[1]!Mtto_Pesv[[#Headers],[#Data],[Placa]:[Rutina]],5,FALSE)),0)</f>
        <v>0</v>
      </c>
      <c r="AO779" s="21">
        <f>+Tabla13[[#This Row],[Km Fin]]-Tabla13[[#This Row],[Km Ini]]</f>
        <v>0</v>
      </c>
      <c r="AP779" s="20">
        <f>IFERROR((VLOOKUP(Tabla13[[#This Row],[ID]],[1]!Estilo_Conduccion[[#All],[Placa]:[Puntuacion]],15,FALSE)),0)</f>
        <v>0</v>
      </c>
      <c r="AQ779" s="15" t="s">
        <v>1487</v>
      </c>
      <c r="AR779" s="15" t="s">
        <v>1488</v>
      </c>
      <c r="AS779" s="20">
        <v>800</v>
      </c>
      <c r="AT779" s="21">
        <v>8179.5</v>
      </c>
      <c r="AU779" s="21">
        <f>(Tabla13[[#This Row],[Cap Vh]]*$AX$2)*0.56</f>
        <v>0</v>
      </c>
      <c r="AV779" s="36" t="e">
        <f>(Tabla13[[#This Row],[Cap Util (kg)]]/(Tabla13[[#This Row],[Cap Inst (Kg)]]))</f>
        <v>#DIV/0!</v>
      </c>
    </row>
    <row r="780" spans="1:48" x14ac:dyDescent="0.25">
      <c r="A780" s="13" t="s">
        <v>1068</v>
      </c>
      <c r="B780" s="14" t="s">
        <v>1025</v>
      </c>
      <c r="C780" s="14" t="s">
        <v>749</v>
      </c>
      <c r="D780" s="14" t="s">
        <v>749</v>
      </c>
      <c r="E780" s="14" t="s">
        <v>897</v>
      </c>
      <c r="F780" s="14" t="s">
        <v>76</v>
      </c>
      <c r="G780" s="15" t="s">
        <v>89</v>
      </c>
      <c r="H780" s="16" t="s">
        <v>90</v>
      </c>
      <c r="I780" s="14" t="s">
        <v>49</v>
      </c>
      <c r="J780" s="14">
        <v>900335279</v>
      </c>
      <c r="K780" s="14" t="s">
        <v>77</v>
      </c>
      <c r="L780" s="14" t="s">
        <v>103</v>
      </c>
      <c r="M780" s="14" t="s">
        <v>285</v>
      </c>
      <c r="N780" s="14">
        <v>2005</v>
      </c>
      <c r="O780" s="14">
        <v>15</v>
      </c>
      <c r="P780" s="14" t="s">
        <v>173</v>
      </c>
      <c r="Q780" s="14">
        <v>0</v>
      </c>
      <c r="R780" s="14">
        <v>0</v>
      </c>
      <c r="S780" s="17" t="s">
        <v>54</v>
      </c>
      <c r="T780" s="18">
        <v>0</v>
      </c>
      <c r="U780" s="14">
        <v>30</v>
      </c>
      <c r="V780" s="19">
        <v>1</v>
      </c>
      <c r="W780" s="14">
        <v>0</v>
      </c>
      <c r="X780" s="14">
        <v>0</v>
      </c>
      <c r="Y780" s="14">
        <v>0</v>
      </c>
      <c r="Z780" s="14">
        <v>0</v>
      </c>
      <c r="AA780" s="14">
        <f>Tabla13[[#This Row],[CheckList App]]+Tabla13[[#This Row],[CheckList Fisc]]</f>
        <v>0</v>
      </c>
      <c r="AB780" s="19">
        <f t="shared" si="12"/>
        <v>0</v>
      </c>
      <c r="AC780" s="14">
        <v>0</v>
      </c>
      <c r="AD780" s="14" t="s">
        <v>70</v>
      </c>
      <c r="AE780" s="15" t="str">
        <f>IFERROR((VLOOKUP(Tabla13[[#This Row],[ID]],[1]!Mtto_Pesv[[#Headers],[#Data],[Placa]:[Rutina]],2,FALSE)),"-")</f>
        <v>-</v>
      </c>
      <c r="AF780" s="14">
        <v>1</v>
      </c>
      <c r="AG780" s="20">
        <f>IFERROR((VLOOKUP(Tabla13[[#This Row],[ID]],[1]!Mtto_Pesv[[#Headers],[#Data],[Placa]:[Rutina]],3,FALSE)),0)</f>
        <v>0</v>
      </c>
      <c r="AH780" s="20">
        <f>IFERROR((VLOOKUP(Tabla13[[#This Row],[ID]],[1]!Mtto_Pesv[[#Headers],[#Data],[Placa]:[Rutina]],7,FALSE)),0)</f>
        <v>0</v>
      </c>
      <c r="AI780" s="20">
        <f>IFERROR((VLOOKUP(Tabla13[[#This Row],[ID]],[1]!Mtto_Pesv[[#Headers],[#Data],[Placa]:[Rutina]],8,FALSE)),0)</f>
        <v>0</v>
      </c>
      <c r="AJ780" s="20" t="str">
        <f>IFERROR((VLOOKUP(Tabla13[[#This Row],[ID]],[1]!Mtto_Pesv[[#Headers],[#Data],[Placa]:[Rutina]],9,FALSE)),"-")</f>
        <v>-</v>
      </c>
      <c r="AK780" s="20">
        <f>IFERROR((VLOOKUP(Tabla13[[#This Row],[ID]],[1]!Mtto_Pesv[[#Headers],[#Data],[Placa]:[Rutina]],10,FALSE)),0)</f>
        <v>0</v>
      </c>
      <c r="AL780" s="20">
        <f>IF(Tabla13[[#This Row],[Km Anterior]]=0,0,Tabla13[[#This Row],[Km Ejecut]]-Tabla13[[#This Row],[Km Anterior]])</f>
        <v>0</v>
      </c>
      <c r="AM780" s="20">
        <f>IFERROR((VLOOKUP(Tabla13[[#This Row],[ID]],[1]!Mtto_Pesv[[#Headers],[#Data],[Placa]:[Rutina]],4,FALSE)),0)</f>
        <v>0</v>
      </c>
      <c r="AN780" s="21">
        <f>IFERROR((VLOOKUP(Tabla13[[#This Row],[ID]],[1]!Mtto_Pesv[[#Headers],[#Data],[Placa]:[Rutina]],5,FALSE)),0)</f>
        <v>0</v>
      </c>
      <c r="AO780" s="21">
        <f>+Tabla13[[#This Row],[Km Fin]]-Tabla13[[#This Row],[Km Ini]]</f>
        <v>0</v>
      </c>
      <c r="AP780" s="20">
        <f>IFERROR((VLOOKUP(Tabla13[[#This Row],[ID]],[1]!Estilo_Conduccion[[#All],[Placa]:[Puntuacion]],15,FALSE)),0)</f>
        <v>0</v>
      </c>
      <c r="AQ780" s="15" t="s">
        <v>1538</v>
      </c>
      <c r="AR780" s="15" t="s">
        <v>1539</v>
      </c>
      <c r="AS780" s="20">
        <v>750</v>
      </c>
      <c r="AT780" s="21">
        <v>3337</v>
      </c>
      <c r="AU780" s="21">
        <f>(Tabla13[[#This Row],[Cap Vh]]*$AX$2)*0.56</f>
        <v>0</v>
      </c>
      <c r="AV780" s="36" t="e">
        <f>(Tabla13[[#This Row],[Cap Util (kg)]]/(Tabla13[[#This Row],[Cap Inst (Kg)]]))</f>
        <v>#DIV/0!</v>
      </c>
    </row>
    <row r="781" spans="1:48" x14ac:dyDescent="0.25">
      <c r="A781" s="13" t="s">
        <v>1068</v>
      </c>
      <c r="B781" s="14" t="s">
        <v>1026</v>
      </c>
      <c r="C781" s="14" t="s">
        <v>749</v>
      </c>
      <c r="D781" s="14" t="s">
        <v>749</v>
      </c>
      <c r="E781" s="14" t="s">
        <v>845</v>
      </c>
      <c r="F781" s="14" t="s">
        <v>64</v>
      </c>
      <c r="G781" s="15" t="s">
        <v>47</v>
      </c>
      <c r="H781" s="16" t="s">
        <v>48</v>
      </c>
      <c r="I781" s="14" t="s">
        <v>49</v>
      </c>
      <c r="J781" s="14">
        <v>900335279</v>
      </c>
      <c r="K781" s="14" t="s">
        <v>77</v>
      </c>
      <c r="L781" s="14" t="s">
        <v>103</v>
      </c>
      <c r="M781" s="14" t="s">
        <v>285</v>
      </c>
      <c r="N781" s="14">
        <v>2005</v>
      </c>
      <c r="O781" s="14">
        <v>15</v>
      </c>
      <c r="P781" s="14" t="s">
        <v>173</v>
      </c>
      <c r="Q781" s="14">
        <v>0</v>
      </c>
      <c r="R781" s="14">
        <v>0</v>
      </c>
      <c r="S781" s="17" t="s">
        <v>54</v>
      </c>
      <c r="T781" s="18">
        <v>0</v>
      </c>
      <c r="U781" s="14">
        <v>30</v>
      </c>
      <c r="V781" s="19">
        <v>1</v>
      </c>
      <c r="W781" s="14">
        <v>0</v>
      </c>
      <c r="X781" s="14">
        <v>0</v>
      </c>
      <c r="Y781" s="14">
        <v>0</v>
      </c>
      <c r="Z781" s="14">
        <v>0</v>
      </c>
      <c r="AA781" s="14">
        <f>Tabla13[[#This Row],[CheckList App]]+Tabla13[[#This Row],[CheckList Fisc]]</f>
        <v>0</v>
      </c>
      <c r="AB781" s="19">
        <f t="shared" si="12"/>
        <v>0</v>
      </c>
      <c r="AC781" s="14">
        <v>0</v>
      </c>
      <c r="AD781" s="14" t="s">
        <v>70</v>
      </c>
      <c r="AE781" s="15" t="str">
        <f>IFERROR((VLOOKUP(Tabla13[[#This Row],[ID]],[1]!Mtto_Pesv[[#Headers],[#Data],[Placa]:[Rutina]],2,FALSE)),"-")</f>
        <v>-</v>
      </c>
      <c r="AF781" s="14">
        <v>1</v>
      </c>
      <c r="AG781" s="20">
        <f>IFERROR((VLOOKUP(Tabla13[[#This Row],[ID]],[1]!Mtto_Pesv[[#Headers],[#Data],[Placa]:[Rutina]],3,FALSE)),0)</f>
        <v>0</v>
      </c>
      <c r="AH781" s="20">
        <f>IFERROR((VLOOKUP(Tabla13[[#This Row],[ID]],[1]!Mtto_Pesv[[#Headers],[#Data],[Placa]:[Rutina]],7,FALSE)),0)</f>
        <v>0</v>
      </c>
      <c r="AI781" s="20">
        <f>IFERROR((VLOOKUP(Tabla13[[#This Row],[ID]],[1]!Mtto_Pesv[[#Headers],[#Data],[Placa]:[Rutina]],8,FALSE)),0)</f>
        <v>0</v>
      </c>
      <c r="AJ781" s="20" t="str">
        <f>IFERROR((VLOOKUP(Tabla13[[#This Row],[ID]],[1]!Mtto_Pesv[[#Headers],[#Data],[Placa]:[Rutina]],9,FALSE)),"-")</f>
        <v>-</v>
      </c>
      <c r="AK781" s="20">
        <f>IFERROR((VLOOKUP(Tabla13[[#This Row],[ID]],[1]!Mtto_Pesv[[#Headers],[#Data],[Placa]:[Rutina]],10,FALSE)),0)</f>
        <v>0</v>
      </c>
      <c r="AL781" s="20">
        <f>IF(Tabla13[[#This Row],[Km Anterior]]=0,0,Tabla13[[#This Row],[Km Ejecut]]-Tabla13[[#This Row],[Km Anterior]])</f>
        <v>0</v>
      </c>
      <c r="AM781" s="20">
        <f>IFERROR((VLOOKUP(Tabla13[[#This Row],[ID]],[1]!Mtto_Pesv[[#Headers],[#Data],[Placa]:[Rutina]],4,FALSE)),0)</f>
        <v>0</v>
      </c>
      <c r="AN781" s="21">
        <f>IFERROR((VLOOKUP(Tabla13[[#This Row],[ID]],[1]!Mtto_Pesv[[#Headers],[#Data],[Placa]:[Rutina]],5,FALSE)),0)</f>
        <v>0</v>
      </c>
      <c r="AO781" s="21">
        <f>+Tabla13[[#This Row],[Km Fin]]-Tabla13[[#This Row],[Km Ini]]</f>
        <v>0</v>
      </c>
      <c r="AP781" s="20">
        <f>IFERROR((VLOOKUP(Tabla13[[#This Row],[ID]],[1]!Estilo_Conduccion[[#All],[Placa]:[Puntuacion]],15,FALSE)),0)</f>
        <v>0</v>
      </c>
      <c r="AQ781" s="15" t="s">
        <v>1580</v>
      </c>
      <c r="AR781" s="15" t="s">
        <v>1581</v>
      </c>
      <c r="AS781" s="20">
        <v>1000</v>
      </c>
      <c r="AT781" s="21">
        <v>18</v>
      </c>
      <c r="AU781" s="21">
        <f>(Tabla13[[#This Row],[Cap Vh]]*$AX$2)*0.56</f>
        <v>0</v>
      </c>
      <c r="AV781" s="36" t="e">
        <f>(Tabla13[[#This Row],[Cap Util (kg)]]/(Tabla13[[#This Row],[Cap Inst (Kg)]]))</f>
        <v>#DIV/0!</v>
      </c>
    </row>
    <row r="782" spans="1:48" x14ac:dyDescent="0.25">
      <c r="A782" s="13" t="s">
        <v>1068</v>
      </c>
      <c r="B782" s="14" t="s">
        <v>1027</v>
      </c>
      <c r="C782" s="14" t="s">
        <v>749</v>
      </c>
      <c r="D782" s="14" t="s">
        <v>749</v>
      </c>
      <c r="E782" s="14" t="s">
        <v>900</v>
      </c>
      <c r="F782" s="14" t="s">
        <v>64</v>
      </c>
      <c r="G782" s="15" t="s">
        <v>47</v>
      </c>
      <c r="H782" s="16" t="s">
        <v>48</v>
      </c>
      <c r="I782" s="14" t="s">
        <v>49</v>
      </c>
      <c r="J782" s="14">
        <v>900335279</v>
      </c>
      <c r="K782" s="14" t="s">
        <v>77</v>
      </c>
      <c r="L782" s="14" t="s">
        <v>103</v>
      </c>
      <c r="M782" s="14" t="s">
        <v>285</v>
      </c>
      <c r="N782" s="14">
        <v>2006</v>
      </c>
      <c r="O782" s="14">
        <v>14</v>
      </c>
      <c r="P782" s="14" t="s">
        <v>173</v>
      </c>
      <c r="Q782" s="14">
        <v>0</v>
      </c>
      <c r="R782" s="14">
        <v>0</v>
      </c>
      <c r="S782" s="17" t="s">
        <v>54</v>
      </c>
      <c r="T782" s="18">
        <v>0</v>
      </c>
      <c r="U782" s="14">
        <v>30</v>
      </c>
      <c r="V782" s="19">
        <v>1</v>
      </c>
      <c r="W782" s="14">
        <v>0</v>
      </c>
      <c r="X782" s="14">
        <v>0</v>
      </c>
      <c r="Y782" s="14">
        <v>0</v>
      </c>
      <c r="Z782" s="14">
        <v>0</v>
      </c>
      <c r="AA782" s="14">
        <f>Tabla13[[#This Row],[CheckList App]]+Tabla13[[#This Row],[CheckList Fisc]]</f>
        <v>0</v>
      </c>
      <c r="AB782" s="19">
        <f t="shared" si="12"/>
        <v>0</v>
      </c>
      <c r="AC782" s="14">
        <v>0</v>
      </c>
      <c r="AD782" s="14" t="s">
        <v>70</v>
      </c>
      <c r="AE782" s="15" t="str">
        <f>IFERROR((VLOOKUP(Tabla13[[#This Row],[ID]],[1]!Mtto_Pesv[[#Headers],[#Data],[Placa]:[Rutina]],2,FALSE)),"-")</f>
        <v>-</v>
      </c>
      <c r="AF782" s="14">
        <v>1</v>
      </c>
      <c r="AG782" s="20">
        <f>IFERROR((VLOOKUP(Tabla13[[#This Row],[ID]],[1]!Mtto_Pesv[[#Headers],[#Data],[Placa]:[Rutina]],3,FALSE)),0)</f>
        <v>0</v>
      </c>
      <c r="AH782" s="20">
        <f>IFERROR((VLOOKUP(Tabla13[[#This Row],[ID]],[1]!Mtto_Pesv[[#Headers],[#Data],[Placa]:[Rutina]],7,FALSE)),0)</f>
        <v>0</v>
      </c>
      <c r="AI782" s="20">
        <f>IFERROR((VLOOKUP(Tabla13[[#This Row],[ID]],[1]!Mtto_Pesv[[#Headers],[#Data],[Placa]:[Rutina]],8,FALSE)),0)</f>
        <v>0</v>
      </c>
      <c r="AJ782" s="20" t="str">
        <f>IFERROR((VLOOKUP(Tabla13[[#This Row],[ID]],[1]!Mtto_Pesv[[#Headers],[#Data],[Placa]:[Rutina]],9,FALSE)),"-")</f>
        <v>-</v>
      </c>
      <c r="AK782" s="20">
        <f>IFERROR((VLOOKUP(Tabla13[[#This Row],[ID]],[1]!Mtto_Pesv[[#Headers],[#Data],[Placa]:[Rutina]],10,FALSE)),0)</f>
        <v>0</v>
      </c>
      <c r="AL782" s="20">
        <f>IF(Tabla13[[#This Row],[Km Anterior]]=0,0,Tabla13[[#This Row],[Km Ejecut]]-Tabla13[[#This Row],[Km Anterior]])</f>
        <v>0</v>
      </c>
      <c r="AM782" s="20">
        <f>IFERROR((VLOOKUP(Tabla13[[#This Row],[ID]],[1]!Mtto_Pesv[[#Headers],[#Data],[Placa]:[Rutina]],4,FALSE)),0)</f>
        <v>0</v>
      </c>
      <c r="AN782" s="21">
        <f>IFERROR((VLOOKUP(Tabla13[[#This Row],[ID]],[1]!Mtto_Pesv[[#Headers],[#Data],[Placa]:[Rutina]],5,FALSE)),0)</f>
        <v>0</v>
      </c>
      <c r="AO782" s="21">
        <f>+Tabla13[[#This Row],[Km Fin]]-Tabla13[[#This Row],[Km Ini]]</f>
        <v>0</v>
      </c>
      <c r="AP782" s="20">
        <f>IFERROR((VLOOKUP(Tabla13[[#This Row],[ID]],[1]!Estilo_Conduccion[[#All],[Placa]:[Puntuacion]],15,FALSE)),0)</f>
        <v>0</v>
      </c>
      <c r="AQ782" s="15" t="s">
        <v>1582</v>
      </c>
      <c r="AR782" s="15" t="s">
        <v>1583</v>
      </c>
      <c r="AS782" s="20">
        <v>1000</v>
      </c>
      <c r="AT782" s="21">
        <v>1353</v>
      </c>
      <c r="AU782" s="21">
        <f>(Tabla13[[#This Row],[Cap Vh]]*$AX$2)*0.56</f>
        <v>0</v>
      </c>
      <c r="AV782" s="36" t="e">
        <f>(Tabla13[[#This Row],[Cap Util (kg)]]/(Tabla13[[#This Row],[Cap Inst (Kg)]]))</f>
        <v>#DIV/0!</v>
      </c>
    </row>
    <row r="783" spans="1:48" x14ac:dyDescent="0.25">
      <c r="A783" s="13" t="s">
        <v>1068</v>
      </c>
      <c r="B783" s="14" t="s">
        <v>1028</v>
      </c>
      <c r="C783" s="14" t="s">
        <v>749</v>
      </c>
      <c r="D783" s="14" t="s">
        <v>749</v>
      </c>
      <c r="E783" s="14" t="s">
        <v>840</v>
      </c>
      <c r="F783" s="14" t="s">
        <v>76</v>
      </c>
      <c r="G783" s="15" t="s">
        <v>47</v>
      </c>
      <c r="H783" s="16" t="s">
        <v>48</v>
      </c>
      <c r="I783" s="14" t="s">
        <v>49</v>
      </c>
      <c r="J783" s="14">
        <v>900335279</v>
      </c>
      <c r="K783" s="14" t="s">
        <v>77</v>
      </c>
      <c r="L783" s="14" t="s">
        <v>103</v>
      </c>
      <c r="M783" s="14" t="s">
        <v>285</v>
      </c>
      <c r="N783" s="14">
        <v>2006</v>
      </c>
      <c r="O783" s="14">
        <v>14</v>
      </c>
      <c r="P783" s="14" t="s">
        <v>173</v>
      </c>
      <c r="Q783" s="14">
        <v>1</v>
      </c>
      <c r="R783" s="14">
        <v>0</v>
      </c>
      <c r="S783" s="17" t="s">
        <v>54</v>
      </c>
      <c r="T783" s="18">
        <v>0</v>
      </c>
      <c r="U783" s="14">
        <v>30</v>
      </c>
      <c r="V783" s="19">
        <v>1</v>
      </c>
      <c r="W783" s="14">
        <v>0</v>
      </c>
      <c r="X783" s="14">
        <v>26</v>
      </c>
      <c r="Y783" s="14">
        <v>23</v>
      </c>
      <c r="Z783" s="14">
        <v>0</v>
      </c>
      <c r="AA783" s="14">
        <f>Tabla13[[#This Row],[CheckList App]]+Tabla13[[#This Row],[CheckList Fisc]]</f>
        <v>23</v>
      </c>
      <c r="AB783" s="19">
        <f t="shared" si="12"/>
        <v>0.88461538461538458</v>
      </c>
      <c r="AC783" s="14">
        <v>0</v>
      </c>
      <c r="AD783" s="14" t="s">
        <v>70</v>
      </c>
      <c r="AE783" s="15" t="str">
        <f>IFERROR((VLOOKUP(Tabla13[[#This Row],[ID]],[1]!Mtto_Pesv[[#Headers],[#Data],[Placa]:[Rutina]],2,FALSE)),"-")</f>
        <v>-</v>
      </c>
      <c r="AF783" s="14">
        <v>1</v>
      </c>
      <c r="AG783" s="20">
        <f>IFERROR((VLOOKUP(Tabla13[[#This Row],[ID]],[1]!Mtto_Pesv[[#Headers],[#Data],[Placa]:[Rutina]],3,FALSE)),0)</f>
        <v>0</v>
      </c>
      <c r="AH783" s="20">
        <f>IFERROR((VLOOKUP(Tabla13[[#This Row],[ID]],[1]!Mtto_Pesv[[#Headers],[#Data],[Placa]:[Rutina]],7,FALSE)),0)</f>
        <v>0</v>
      </c>
      <c r="AI783" s="20">
        <f>IFERROR((VLOOKUP(Tabla13[[#This Row],[ID]],[1]!Mtto_Pesv[[#Headers],[#Data],[Placa]:[Rutina]],8,FALSE)),0)</f>
        <v>0</v>
      </c>
      <c r="AJ783" s="20" t="str">
        <f>IFERROR((VLOOKUP(Tabla13[[#This Row],[ID]],[1]!Mtto_Pesv[[#Headers],[#Data],[Placa]:[Rutina]],9,FALSE)),"-")</f>
        <v>-</v>
      </c>
      <c r="AK783" s="20">
        <f>IFERROR((VLOOKUP(Tabla13[[#This Row],[ID]],[1]!Mtto_Pesv[[#Headers],[#Data],[Placa]:[Rutina]],10,FALSE)),0)</f>
        <v>0</v>
      </c>
      <c r="AL783" s="20">
        <f>IF(Tabla13[[#This Row],[Km Anterior]]=0,0,Tabla13[[#This Row],[Km Ejecut]]-Tabla13[[#This Row],[Km Anterior]])</f>
        <v>0</v>
      </c>
      <c r="AM783" s="20">
        <f>IFERROR((VLOOKUP(Tabla13[[#This Row],[ID]],[1]!Mtto_Pesv[[#Headers],[#Data],[Placa]:[Rutina]],4,FALSE)),0)</f>
        <v>0</v>
      </c>
      <c r="AN783" s="21">
        <f>IFERROR((VLOOKUP(Tabla13[[#This Row],[ID]],[1]!Mtto_Pesv[[#Headers],[#Data],[Placa]:[Rutina]],5,FALSE)),0)</f>
        <v>0</v>
      </c>
      <c r="AO783" s="21">
        <f>+Tabla13[[#This Row],[Km Fin]]-Tabla13[[#This Row],[Km Ini]]</f>
        <v>0</v>
      </c>
      <c r="AP783" s="20">
        <f>IFERROR((VLOOKUP(Tabla13[[#This Row],[ID]],[1]!Estilo_Conduccion[[#All],[Placa]:[Puntuacion]],15,FALSE)),0)</f>
        <v>139.1</v>
      </c>
      <c r="AQ783" s="15" t="s">
        <v>1459</v>
      </c>
      <c r="AR783" s="15" t="s">
        <v>1460</v>
      </c>
      <c r="AS783" s="20">
        <v>1000</v>
      </c>
      <c r="AT783" s="21">
        <v>9152.5</v>
      </c>
      <c r="AU783" s="21">
        <f>(Tabla13[[#This Row],[Cap Vh]]*$AX$2)*0.56</f>
        <v>0</v>
      </c>
      <c r="AV783" s="36" t="e">
        <f>(Tabla13[[#This Row],[Cap Util (kg)]]/(Tabla13[[#This Row],[Cap Inst (Kg)]]))</f>
        <v>#DIV/0!</v>
      </c>
    </row>
    <row r="784" spans="1:48" x14ac:dyDescent="0.25">
      <c r="A784" s="13" t="s">
        <v>1068</v>
      </c>
      <c r="B784" s="14" t="s">
        <v>1029</v>
      </c>
      <c r="C784" s="14" t="s">
        <v>749</v>
      </c>
      <c r="D784" s="14" t="s">
        <v>749</v>
      </c>
      <c r="E784" s="14" t="s">
        <v>842</v>
      </c>
      <c r="F784" s="14" t="s">
        <v>76</v>
      </c>
      <c r="G784" s="15" t="s">
        <v>47</v>
      </c>
      <c r="H784" s="16" t="s">
        <v>48</v>
      </c>
      <c r="I784" s="14" t="s">
        <v>49</v>
      </c>
      <c r="J784" s="14">
        <v>900335279</v>
      </c>
      <c r="K784" s="14" t="s">
        <v>77</v>
      </c>
      <c r="L784" s="14" t="s">
        <v>103</v>
      </c>
      <c r="M784" s="14" t="s">
        <v>285</v>
      </c>
      <c r="N784" s="14">
        <v>2006</v>
      </c>
      <c r="O784" s="14">
        <v>14</v>
      </c>
      <c r="P784" s="14" t="s">
        <v>173</v>
      </c>
      <c r="Q784" s="14">
        <v>0</v>
      </c>
      <c r="R784" s="14">
        <v>0</v>
      </c>
      <c r="S784" s="17" t="s">
        <v>54</v>
      </c>
      <c r="T784" s="18">
        <v>0</v>
      </c>
      <c r="U784" s="14">
        <v>30</v>
      </c>
      <c r="V784" s="19">
        <v>1</v>
      </c>
      <c r="W784" s="14">
        <v>0</v>
      </c>
      <c r="X784" s="14">
        <v>0</v>
      </c>
      <c r="Y784" s="14">
        <v>0</v>
      </c>
      <c r="Z784" s="14">
        <v>0</v>
      </c>
      <c r="AA784" s="14">
        <f>Tabla13[[#This Row],[CheckList App]]+Tabla13[[#This Row],[CheckList Fisc]]</f>
        <v>0</v>
      </c>
      <c r="AB784" s="19">
        <f t="shared" si="12"/>
        <v>0</v>
      </c>
      <c r="AC784" s="14">
        <v>0</v>
      </c>
      <c r="AD784" s="14" t="s">
        <v>55</v>
      </c>
      <c r="AE784" s="15" t="str">
        <f>IFERROR((VLOOKUP(Tabla13[[#This Row],[ID]],[1]!Mtto_Pesv[[#Headers],[#Data],[Placa]:[Rutina]],2,FALSE)),"-")</f>
        <v>-</v>
      </c>
      <c r="AF784" s="14">
        <v>0</v>
      </c>
      <c r="AG784" s="20">
        <f>IFERROR((VLOOKUP(Tabla13[[#This Row],[ID]],[1]!Mtto_Pesv[[#Headers],[#Data],[Placa]:[Rutina]],3,FALSE)),0)</f>
        <v>0</v>
      </c>
      <c r="AH784" s="20">
        <f>IFERROR((VLOOKUP(Tabla13[[#This Row],[ID]],[1]!Mtto_Pesv[[#Headers],[#Data],[Placa]:[Rutina]],7,FALSE)),0)</f>
        <v>0</v>
      </c>
      <c r="AI784" s="20">
        <f>IFERROR((VLOOKUP(Tabla13[[#This Row],[ID]],[1]!Mtto_Pesv[[#Headers],[#Data],[Placa]:[Rutina]],8,FALSE)),0)</f>
        <v>0</v>
      </c>
      <c r="AJ784" s="20" t="str">
        <f>IFERROR((VLOOKUP(Tabla13[[#This Row],[ID]],[1]!Mtto_Pesv[[#Headers],[#Data],[Placa]:[Rutina]],9,FALSE)),"-")</f>
        <v>-</v>
      </c>
      <c r="AK784" s="20">
        <f>IFERROR((VLOOKUP(Tabla13[[#This Row],[ID]],[1]!Mtto_Pesv[[#Headers],[#Data],[Placa]:[Rutina]],10,FALSE)),0)</f>
        <v>0</v>
      </c>
      <c r="AL784" s="20">
        <f>IF(Tabla13[[#This Row],[Km Anterior]]=0,0,Tabla13[[#This Row],[Km Ejecut]]-Tabla13[[#This Row],[Km Anterior]])</f>
        <v>0</v>
      </c>
      <c r="AM784" s="20">
        <f>IFERROR((VLOOKUP(Tabla13[[#This Row],[ID]],[1]!Mtto_Pesv[[#Headers],[#Data],[Placa]:[Rutina]],4,FALSE)),0)</f>
        <v>0</v>
      </c>
      <c r="AN784" s="21">
        <f>IFERROR((VLOOKUP(Tabla13[[#This Row],[ID]],[1]!Mtto_Pesv[[#Headers],[#Data],[Placa]:[Rutina]],5,FALSE)),0)</f>
        <v>0</v>
      </c>
      <c r="AO784" s="21">
        <f>+Tabla13[[#This Row],[Km Fin]]-Tabla13[[#This Row],[Km Ini]]</f>
        <v>0</v>
      </c>
      <c r="AP784" s="20">
        <f>IFERROR((VLOOKUP(Tabla13[[#This Row],[ID]],[1]!Estilo_Conduccion[[#All],[Placa]:[Puntuacion]],15,FALSE)),0)</f>
        <v>0</v>
      </c>
      <c r="AQ784" s="15" t="s">
        <v>1549</v>
      </c>
      <c r="AR784" s="15" t="s">
        <v>1550</v>
      </c>
      <c r="AS784" s="20">
        <v>1000</v>
      </c>
      <c r="AT784" s="21">
        <v>14650.5</v>
      </c>
      <c r="AU784" s="21">
        <f>(Tabla13[[#This Row],[Cap Vh]]*$AX$2)*0.56</f>
        <v>0</v>
      </c>
      <c r="AV784" s="36" t="e">
        <f>(Tabla13[[#This Row],[Cap Util (kg)]]/(Tabla13[[#This Row],[Cap Inst (Kg)]]))</f>
        <v>#DIV/0!</v>
      </c>
    </row>
    <row r="785" spans="1:48" x14ac:dyDescent="0.25">
      <c r="A785" s="13" t="s">
        <v>1068</v>
      </c>
      <c r="B785" s="14" t="s">
        <v>1030</v>
      </c>
      <c r="C785" s="14" t="s">
        <v>749</v>
      </c>
      <c r="D785" s="14" t="s">
        <v>749</v>
      </c>
      <c r="E785" s="14" t="s">
        <v>848</v>
      </c>
      <c r="F785" s="14" t="s">
        <v>64</v>
      </c>
      <c r="G785" s="15" t="s">
        <v>47</v>
      </c>
      <c r="H785" s="16" t="s">
        <v>48</v>
      </c>
      <c r="I785" s="14" t="s">
        <v>49</v>
      </c>
      <c r="J785" s="14">
        <v>900335279</v>
      </c>
      <c r="K785" s="14" t="s">
        <v>77</v>
      </c>
      <c r="L785" s="14" t="s">
        <v>103</v>
      </c>
      <c r="M785" s="14" t="s">
        <v>285</v>
      </c>
      <c r="N785" s="14">
        <v>2006</v>
      </c>
      <c r="O785" s="14">
        <v>14</v>
      </c>
      <c r="P785" s="14" t="s">
        <v>173</v>
      </c>
      <c r="Q785" s="14">
        <v>0</v>
      </c>
      <c r="R785" s="14">
        <v>0</v>
      </c>
      <c r="S785" s="17" t="s">
        <v>54</v>
      </c>
      <c r="T785" s="18">
        <v>0</v>
      </c>
      <c r="U785" s="14">
        <v>30</v>
      </c>
      <c r="V785" s="19">
        <v>1</v>
      </c>
      <c r="W785" s="14">
        <v>0</v>
      </c>
      <c r="X785" s="14">
        <v>0</v>
      </c>
      <c r="Y785" s="14">
        <v>0</v>
      </c>
      <c r="Z785" s="14">
        <v>0</v>
      </c>
      <c r="AA785" s="14">
        <f>Tabla13[[#This Row],[CheckList App]]+Tabla13[[#This Row],[CheckList Fisc]]</f>
        <v>0</v>
      </c>
      <c r="AB785" s="19">
        <f t="shared" si="12"/>
        <v>0</v>
      </c>
      <c r="AC785" s="14">
        <v>0</v>
      </c>
      <c r="AD785" s="14" t="s">
        <v>70</v>
      </c>
      <c r="AE785" s="15" t="str">
        <f>IFERROR((VLOOKUP(Tabla13[[#This Row],[ID]],[1]!Mtto_Pesv[[#Headers],[#Data],[Placa]:[Rutina]],2,FALSE)),"-")</f>
        <v>-</v>
      </c>
      <c r="AF785" s="14">
        <v>1</v>
      </c>
      <c r="AG785" s="20">
        <f>IFERROR((VLOOKUP(Tabla13[[#This Row],[ID]],[1]!Mtto_Pesv[[#Headers],[#Data],[Placa]:[Rutina]],3,FALSE)),0)</f>
        <v>0</v>
      </c>
      <c r="AH785" s="20">
        <f>IFERROR((VLOOKUP(Tabla13[[#This Row],[ID]],[1]!Mtto_Pesv[[#Headers],[#Data],[Placa]:[Rutina]],7,FALSE)),0)</f>
        <v>0</v>
      </c>
      <c r="AI785" s="20">
        <f>IFERROR((VLOOKUP(Tabla13[[#This Row],[ID]],[1]!Mtto_Pesv[[#Headers],[#Data],[Placa]:[Rutina]],8,FALSE)),0)</f>
        <v>0</v>
      </c>
      <c r="AJ785" s="20" t="str">
        <f>IFERROR((VLOOKUP(Tabla13[[#This Row],[ID]],[1]!Mtto_Pesv[[#Headers],[#Data],[Placa]:[Rutina]],9,FALSE)),"-")</f>
        <v>-</v>
      </c>
      <c r="AK785" s="20">
        <f>IFERROR((VLOOKUP(Tabla13[[#This Row],[ID]],[1]!Mtto_Pesv[[#Headers],[#Data],[Placa]:[Rutina]],10,FALSE)),0)</f>
        <v>0</v>
      </c>
      <c r="AL785" s="20">
        <f>IF(Tabla13[[#This Row],[Km Anterior]]=0,0,Tabla13[[#This Row],[Km Ejecut]]-Tabla13[[#This Row],[Km Anterior]])</f>
        <v>0</v>
      </c>
      <c r="AM785" s="20">
        <f>IFERROR((VLOOKUP(Tabla13[[#This Row],[ID]],[1]!Mtto_Pesv[[#Headers],[#Data],[Placa]:[Rutina]],4,FALSE)),0)</f>
        <v>0</v>
      </c>
      <c r="AN785" s="21">
        <f>IFERROR((VLOOKUP(Tabla13[[#This Row],[ID]],[1]!Mtto_Pesv[[#Headers],[#Data],[Placa]:[Rutina]],5,FALSE)),0)</f>
        <v>0</v>
      </c>
      <c r="AO785" s="21">
        <f>+Tabla13[[#This Row],[Km Fin]]-Tabla13[[#This Row],[Km Ini]]</f>
        <v>0</v>
      </c>
      <c r="AP785" s="20">
        <f>IFERROR((VLOOKUP(Tabla13[[#This Row],[ID]],[1]!Estilo_Conduccion[[#All],[Placa]:[Puntuacion]],15,FALSE)),0)</f>
        <v>0</v>
      </c>
      <c r="AQ785" s="15" t="s">
        <v>1535</v>
      </c>
      <c r="AR785" s="15" t="s">
        <v>1536</v>
      </c>
      <c r="AS785" s="20">
        <v>1000</v>
      </c>
      <c r="AT785" s="21">
        <v>3736.5</v>
      </c>
      <c r="AU785" s="21">
        <f>(Tabla13[[#This Row],[Cap Vh]]*$AX$2)*0.56</f>
        <v>0</v>
      </c>
      <c r="AV785" s="36" t="e">
        <f>(Tabla13[[#This Row],[Cap Util (kg)]]/(Tabla13[[#This Row],[Cap Inst (Kg)]]))</f>
        <v>#DIV/0!</v>
      </c>
    </row>
    <row r="786" spans="1:48" x14ac:dyDescent="0.25">
      <c r="A786" s="13" t="s">
        <v>1068</v>
      </c>
      <c r="B786" s="14" t="s">
        <v>1031</v>
      </c>
      <c r="C786" s="14" t="s">
        <v>749</v>
      </c>
      <c r="D786" s="14" t="s">
        <v>749</v>
      </c>
      <c r="E786" s="14" t="s">
        <v>845</v>
      </c>
      <c r="F786" s="14" t="s">
        <v>76</v>
      </c>
      <c r="G786" s="15" t="s">
        <v>89</v>
      </c>
      <c r="H786" s="16" t="s">
        <v>90</v>
      </c>
      <c r="I786" s="14" t="s">
        <v>49</v>
      </c>
      <c r="J786" s="14">
        <v>900335279</v>
      </c>
      <c r="K786" s="14" t="s">
        <v>77</v>
      </c>
      <c r="L786" s="14" t="s">
        <v>103</v>
      </c>
      <c r="M786" s="14" t="s">
        <v>285</v>
      </c>
      <c r="N786" s="14">
        <v>2006</v>
      </c>
      <c r="O786" s="14">
        <v>14</v>
      </c>
      <c r="P786" s="14" t="s">
        <v>173</v>
      </c>
      <c r="Q786" s="14">
        <v>0</v>
      </c>
      <c r="R786" s="14">
        <v>0</v>
      </c>
      <c r="S786" s="17" t="s">
        <v>54</v>
      </c>
      <c r="T786" s="18">
        <v>0</v>
      </c>
      <c r="U786" s="14">
        <v>30</v>
      </c>
      <c r="V786" s="19">
        <v>1</v>
      </c>
      <c r="W786" s="14">
        <v>0</v>
      </c>
      <c r="X786" s="14">
        <v>0</v>
      </c>
      <c r="Y786" s="14">
        <v>0</v>
      </c>
      <c r="Z786" s="14">
        <v>0</v>
      </c>
      <c r="AA786" s="14">
        <f>Tabla13[[#This Row],[CheckList App]]+Tabla13[[#This Row],[CheckList Fisc]]</f>
        <v>0</v>
      </c>
      <c r="AB786" s="19">
        <f t="shared" si="12"/>
        <v>0</v>
      </c>
      <c r="AC786" s="14">
        <v>0</v>
      </c>
      <c r="AD786" s="14" t="s">
        <v>55</v>
      </c>
      <c r="AE786" s="15" t="str">
        <f>IFERROR((VLOOKUP(Tabla13[[#This Row],[ID]],[1]!Mtto_Pesv[[#Headers],[#Data],[Placa]:[Rutina]],2,FALSE)),"-")</f>
        <v>-</v>
      </c>
      <c r="AF786" s="14">
        <v>0</v>
      </c>
      <c r="AG786" s="20">
        <f>IFERROR((VLOOKUP(Tabla13[[#This Row],[ID]],[1]!Mtto_Pesv[[#Headers],[#Data],[Placa]:[Rutina]],3,FALSE)),0)</f>
        <v>0</v>
      </c>
      <c r="AH786" s="20">
        <f>IFERROR((VLOOKUP(Tabla13[[#This Row],[ID]],[1]!Mtto_Pesv[[#Headers],[#Data],[Placa]:[Rutina]],7,FALSE)),0)</f>
        <v>0</v>
      </c>
      <c r="AI786" s="20">
        <f>IFERROR((VLOOKUP(Tabla13[[#This Row],[ID]],[1]!Mtto_Pesv[[#Headers],[#Data],[Placa]:[Rutina]],8,FALSE)),0)</f>
        <v>0</v>
      </c>
      <c r="AJ786" s="20" t="str">
        <f>IFERROR((VLOOKUP(Tabla13[[#This Row],[ID]],[1]!Mtto_Pesv[[#Headers],[#Data],[Placa]:[Rutina]],9,FALSE)),"-")</f>
        <v>-</v>
      </c>
      <c r="AK786" s="20">
        <f>IFERROR((VLOOKUP(Tabla13[[#This Row],[ID]],[1]!Mtto_Pesv[[#Headers],[#Data],[Placa]:[Rutina]],10,FALSE)),0)</f>
        <v>0</v>
      </c>
      <c r="AL786" s="20">
        <f>IF(Tabla13[[#This Row],[Km Anterior]]=0,0,Tabla13[[#This Row],[Km Ejecut]]-Tabla13[[#This Row],[Km Anterior]])</f>
        <v>0</v>
      </c>
      <c r="AM786" s="20">
        <f>IFERROR((VLOOKUP(Tabla13[[#This Row],[ID]],[1]!Mtto_Pesv[[#Headers],[#Data],[Placa]:[Rutina]],4,FALSE)),0)</f>
        <v>0</v>
      </c>
      <c r="AN786" s="21">
        <f>IFERROR((VLOOKUP(Tabla13[[#This Row],[ID]],[1]!Mtto_Pesv[[#Headers],[#Data],[Placa]:[Rutina]],5,FALSE)),0)</f>
        <v>0</v>
      </c>
      <c r="AO786" s="21">
        <f>+Tabla13[[#This Row],[Km Fin]]-Tabla13[[#This Row],[Km Ini]]</f>
        <v>0</v>
      </c>
      <c r="AP786" s="20">
        <f>IFERROR((VLOOKUP(Tabla13[[#This Row],[ID]],[1]!Estilo_Conduccion[[#All],[Placa]:[Puntuacion]],15,FALSE)),0)</f>
        <v>0</v>
      </c>
      <c r="AQ786" s="15" t="s">
        <v>1584</v>
      </c>
      <c r="AR786" s="15" t="s">
        <v>1585</v>
      </c>
      <c r="AS786" s="20">
        <v>1000</v>
      </c>
      <c r="AT786" s="21">
        <v>11457</v>
      </c>
      <c r="AU786" s="21">
        <f>(Tabla13[[#This Row],[Cap Vh]]*$AX$2)*0.56</f>
        <v>0</v>
      </c>
      <c r="AV786" s="36" t="e">
        <f>(Tabla13[[#This Row],[Cap Util (kg)]]/(Tabla13[[#This Row],[Cap Inst (Kg)]]))</f>
        <v>#DIV/0!</v>
      </c>
    </row>
    <row r="787" spans="1:48" x14ac:dyDescent="0.25">
      <c r="A787" s="13" t="s">
        <v>1068</v>
      </c>
      <c r="B787" s="14" t="s">
        <v>1032</v>
      </c>
      <c r="C787" s="14" t="s">
        <v>749</v>
      </c>
      <c r="D787" s="14" t="s">
        <v>749</v>
      </c>
      <c r="E787" s="14" t="s">
        <v>872</v>
      </c>
      <c r="F787" s="14" t="s">
        <v>64</v>
      </c>
      <c r="G787" s="15" t="s">
        <v>47</v>
      </c>
      <c r="H787" s="16" t="s">
        <v>48</v>
      </c>
      <c r="I787" s="14" t="s">
        <v>49</v>
      </c>
      <c r="J787" s="14">
        <v>900335279</v>
      </c>
      <c r="K787" s="14" t="s">
        <v>77</v>
      </c>
      <c r="L787" s="14" t="s">
        <v>103</v>
      </c>
      <c r="M787" s="14" t="s">
        <v>285</v>
      </c>
      <c r="N787" s="14">
        <v>2006</v>
      </c>
      <c r="O787" s="14">
        <v>14</v>
      </c>
      <c r="P787" s="14" t="s">
        <v>173</v>
      </c>
      <c r="Q787" s="14">
        <v>0</v>
      </c>
      <c r="R787" s="14">
        <v>0</v>
      </c>
      <c r="S787" s="17" t="s">
        <v>54</v>
      </c>
      <c r="T787" s="18">
        <v>0</v>
      </c>
      <c r="U787" s="14">
        <v>30</v>
      </c>
      <c r="V787" s="19">
        <v>1</v>
      </c>
      <c r="W787" s="14">
        <v>0</v>
      </c>
      <c r="X787" s="14">
        <v>0</v>
      </c>
      <c r="Y787" s="14">
        <v>0</v>
      </c>
      <c r="Z787" s="14">
        <v>0</v>
      </c>
      <c r="AA787" s="14">
        <f>Tabla13[[#This Row],[CheckList App]]+Tabla13[[#This Row],[CheckList Fisc]]</f>
        <v>0</v>
      </c>
      <c r="AB787" s="19">
        <f t="shared" si="12"/>
        <v>0</v>
      </c>
      <c r="AC787" s="14">
        <v>0</v>
      </c>
      <c r="AD787" s="14" t="s">
        <v>70</v>
      </c>
      <c r="AE787" s="15" t="str">
        <f>IFERROR((VLOOKUP(Tabla13[[#This Row],[ID]],[1]!Mtto_Pesv[[#Headers],[#Data],[Placa]:[Rutina]],2,FALSE)),"-")</f>
        <v>-</v>
      </c>
      <c r="AF787" s="14">
        <v>1</v>
      </c>
      <c r="AG787" s="20">
        <f>IFERROR((VLOOKUP(Tabla13[[#This Row],[ID]],[1]!Mtto_Pesv[[#Headers],[#Data],[Placa]:[Rutina]],3,FALSE)),0)</f>
        <v>0</v>
      </c>
      <c r="AH787" s="20">
        <f>IFERROR((VLOOKUP(Tabla13[[#This Row],[ID]],[1]!Mtto_Pesv[[#Headers],[#Data],[Placa]:[Rutina]],7,FALSE)),0)</f>
        <v>0</v>
      </c>
      <c r="AI787" s="20">
        <f>IFERROR((VLOOKUP(Tabla13[[#This Row],[ID]],[1]!Mtto_Pesv[[#Headers],[#Data],[Placa]:[Rutina]],8,FALSE)),0)</f>
        <v>0</v>
      </c>
      <c r="AJ787" s="20" t="str">
        <f>IFERROR((VLOOKUP(Tabla13[[#This Row],[ID]],[1]!Mtto_Pesv[[#Headers],[#Data],[Placa]:[Rutina]],9,FALSE)),"-")</f>
        <v>-</v>
      </c>
      <c r="AK787" s="20">
        <f>IFERROR((VLOOKUP(Tabla13[[#This Row],[ID]],[1]!Mtto_Pesv[[#Headers],[#Data],[Placa]:[Rutina]],10,FALSE)),0)</f>
        <v>0</v>
      </c>
      <c r="AL787" s="20">
        <f>IF(Tabla13[[#This Row],[Km Anterior]]=0,0,Tabla13[[#This Row],[Km Ejecut]]-Tabla13[[#This Row],[Km Anterior]])</f>
        <v>0</v>
      </c>
      <c r="AM787" s="20">
        <f>IFERROR((VLOOKUP(Tabla13[[#This Row],[ID]],[1]!Mtto_Pesv[[#Headers],[#Data],[Placa]:[Rutina]],4,FALSE)),0)</f>
        <v>0</v>
      </c>
      <c r="AN787" s="21">
        <f>IFERROR((VLOOKUP(Tabla13[[#This Row],[ID]],[1]!Mtto_Pesv[[#Headers],[#Data],[Placa]:[Rutina]],5,FALSE)),0)</f>
        <v>0</v>
      </c>
      <c r="AO787" s="21">
        <f>+Tabla13[[#This Row],[Km Fin]]-Tabla13[[#This Row],[Km Ini]]</f>
        <v>0</v>
      </c>
      <c r="AP787" s="20">
        <f>IFERROR((VLOOKUP(Tabla13[[#This Row],[ID]],[1]!Estilo_Conduccion[[#All],[Placa]:[Puntuacion]],15,FALSE)),0)</f>
        <v>0</v>
      </c>
      <c r="AQ787" s="15" t="s">
        <v>1586</v>
      </c>
      <c r="AR787" s="15" t="s">
        <v>1587</v>
      </c>
      <c r="AS787" s="20">
        <v>1000</v>
      </c>
      <c r="AT787" s="21">
        <v>4608</v>
      </c>
      <c r="AU787" s="21">
        <f>(Tabla13[[#This Row],[Cap Vh]]*$AX$2)*0.56</f>
        <v>0</v>
      </c>
      <c r="AV787" s="36" t="e">
        <f>(Tabla13[[#This Row],[Cap Util (kg)]]/(Tabla13[[#This Row],[Cap Inst (Kg)]]))</f>
        <v>#DIV/0!</v>
      </c>
    </row>
    <row r="788" spans="1:48" x14ac:dyDescent="0.25">
      <c r="A788" s="13" t="s">
        <v>1068</v>
      </c>
      <c r="B788" s="14" t="s">
        <v>1033</v>
      </c>
      <c r="C788" s="14" t="s">
        <v>749</v>
      </c>
      <c r="D788" s="14" t="s">
        <v>749</v>
      </c>
      <c r="E788" s="14" t="s">
        <v>840</v>
      </c>
      <c r="F788" s="14" t="s">
        <v>76</v>
      </c>
      <c r="G788" s="15" t="s">
        <v>47</v>
      </c>
      <c r="H788" s="16" t="s">
        <v>48</v>
      </c>
      <c r="I788" s="14" t="s">
        <v>49</v>
      </c>
      <c r="J788" s="14">
        <v>900335279</v>
      </c>
      <c r="K788" s="14" t="s">
        <v>77</v>
      </c>
      <c r="L788" s="14" t="s">
        <v>103</v>
      </c>
      <c r="M788" s="14" t="s">
        <v>285</v>
      </c>
      <c r="N788" s="14">
        <v>2006</v>
      </c>
      <c r="O788" s="14">
        <v>14</v>
      </c>
      <c r="P788" s="14" t="s">
        <v>173</v>
      </c>
      <c r="Q788" s="14">
        <v>0</v>
      </c>
      <c r="R788" s="14">
        <v>0</v>
      </c>
      <c r="S788" s="17" t="s">
        <v>54</v>
      </c>
      <c r="T788" s="18">
        <v>0</v>
      </c>
      <c r="U788" s="14">
        <v>30</v>
      </c>
      <c r="V788" s="19">
        <v>1</v>
      </c>
      <c r="W788" s="14">
        <v>0</v>
      </c>
      <c r="X788" s="14">
        <v>0</v>
      </c>
      <c r="Y788" s="14">
        <v>0</v>
      </c>
      <c r="Z788" s="14">
        <v>0</v>
      </c>
      <c r="AA788" s="14">
        <f>Tabla13[[#This Row],[CheckList App]]+Tabla13[[#This Row],[CheckList Fisc]]</f>
        <v>0</v>
      </c>
      <c r="AB788" s="19">
        <f t="shared" si="12"/>
        <v>0</v>
      </c>
      <c r="AC788" s="14">
        <v>0</v>
      </c>
      <c r="AD788" s="14" t="s">
        <v>70</v>
      </c>
      <c r="AE788" s="15" t="str">
        <f>IFERROR((VLOOKUP(Tabla13[[#This Row],[ID]],[1]!Mtto_Pesv[[#Headers],[#Data],[Placa]:[Rutina]],2,FALSE)),"-")</f>
        <v>-</v>
      </c>
      <c r="AF788" s="14">
        <v>1</v>
      </c>
      <c r="AG788" s="20">
        <f>IFERROR((VLOOKUP(Tabla13[[#This Row],[ID]],[1]!Mtto_Pesv[[#Headers],[#Data],[Placa]:[Rutina]],3,FALSE)),0)</f>
        <v>0</v>
      </c>
      <c r="AH788" s="20">
        <f>IFERROR((VLOOKUP(Tabla13[[#This Row],[ID]],[1]!Mtto_Pesv[[#Headers],[#Data],[Placa]:[Rutina]],7,FALSE)),0)</f>
        <v>0</v>
      </c>
      <c r="AI788" s="20">
        <f>IFERROR((VLOOKUP(Tabla13[[#This Row],[ID]],[1]!Mtto_Pesv[[#Headers],[#Data],[Placa]:[Rutina]],8,FALSE)),0)</f>
        <v>0</v>
      </c>
      <c r="AJ788" s="20" t="str">
        <f>IFERROR((VLOOKUP(Tabla13[[#This Row],[ID]],[1]!Mtto_Pesv[[#Headers],[#Data],[Placa]:[Rutina]],9,FALSE)),"-")</f>
        <v>-</v>
      </c>
      <c r="AK788" s="20">
        <f>IFERROR((VLOOKUP(Tabla13[[#This Row],[ID]],[1]!Mtto_Pesv[[#Headers],[#Data],[Placa]:[Rutina]],10,FALSE)),0)</f>
        <v>0</v>
      </c>
      <c r="AL788" s="20">
        <f>IF(Tabla13[[#This Row],[Km Anterior]]=0,0,Tabla13[[#This Row],[Km Ejecut]]-Tabla13[[#This Row],[Km Anterior]])</f>
        <v>0</v>
      </c>
      <c r="AM788" s="20">
        <f>IFERROR((VLOOKUP(Tabla13[[#This Row],[ID]],[1]!Mtto_Pesv[[#Headers],[#Data],[Placa]:[Rutina]],4,FALSE)),0)</f>
        <v>0</v>
      </c>
      <c r="AN788" s="21">
        <f>IFERROR((VLOOKUP(Tabla13[[#This Row],[ID]],[1]!Mtto_Pesv[[#Headers],[#Data],[Placa]:[Rutina]],5,FALSE)),0)</f>
        <v>0</v>
      </c>
      <c r="AO788" s="21">
        <f>+Tabla13[[#This Row],[Km Fin]]-Tabla13[[#This Row],[Km Ini]]</f>
        <v>0</v>
      </c>
      <c r="AP788" s="20">
        <f>IFERROR((VLOOKUP(Tabla13[[#This Row],[ID]],[1]!Estilo_Conduccion[[#All],[Placa]:[Puntuacion]],15,FALSE)),0)</f>
        <v>0</v>
      </c>
      <c r="AQ788" s="15" t="s">
        <v>1069</v>
      </c>
      <c r="AR788" s="15" t="s">
        <v>927</v>
      </c>
      <c r="AS788" s="20">
        <v>1000</v>
      </c>
      <c r="AT788" s="21">
        <v>0</v>
      </c>
      <c r="AU788" s="21">
        <f>(Tabla13[[#This Row],[Cap Vh]]*$AX$2)*0.56</f>
        <v>0</v>
      </c>
      <c r="AV788" s="36" t="e">
        <f>(Tabla13[[#This Row],[Cap Util (kg)]]/(Tabla13[[#This Row],[Cap Inst (Kg)]]))</f>
        <v>#DIV/0!</v>
      </c>
    </row>
    <row r="789" spans="1:48" x14ac:dyDescent="0.25">
      <c r="A789" s="13" t="s">
        <v>1068</v>
      </c>
      <c r="B789" s="14" t="s">
        <v>1034</v>
      </c>
      <c r="C789" s="14" t="s">
        <v>749</v>
      </c>
      <c r="D789" s="14" t="s">
        <v>749</v>
      </c>
      <c r="E789" s="14" t="s">
        <v>845</v>
      </c>
      <c r="F789" s="14" t="s">
        <v>64</v>
      </c>
      <c r="G789" s="15" t="s">
        <v>119</v>
      </c>
      <c r="H789" s="16" t="s">
        <v>120</v>
      </c>
      <c r="I789" s="14" t="s">
        <v>109</v>
      </c>
      <c r="J789" s="14">
        <v>900335279</v>
      </c>
      <c r="K789" s="14" t="s">
        <v>77</v>
      </c>
      <c r="L789" s="14" t="s">
        <v>103</v>
      </c>
      <c r="M789" s="14" t="s">
        <v>153</v>
      </c>
      <c r="N789" s="14">
        <v>2007</v>
      </c>
      <c r="O789" s="14">
        <v>13</v>
      </c>
      <c r="P789" s="14" t="s">
        <v>173</v>
      </c>
      <c r="Q789" s="14">
        <v>1</v>
      </c>
      <c r="R789" s="14">
        <v>1</v>
      </c>
      <c r="S789" s="17">
        <v>44823.399988425917</v>
      </c>
      <c r="T789" s="18">
        <v>113.76599999999999</v>
      </c>
      <c r="U789" s="14">
        <v>30</v>
      </c>
      <c r="V789" s="19">
        <v>1</v>
      </c>
      <c r="W789" s="14">
        <v>0</v>
      </c>
      <c r="X789" s="14">
        <v>11</v>
      </c>
      <c r="Y789" s="14">
        <v>11</v>
      </c>
      <c r="Z789" s="14">
        <v>0</v>
      </c>
      <c r="AA789" s="14">
        <f>Tabla13[[#This Row],[CheckList App]]+Tabla13[[#This Row],[CheckList Fisc]]</f>
        <v>11</v>
      </c>
      <c r="AB789" s="19">
        <f t="shared" si="12"/>
        <v>1</v>
      </c>
      <c r="AC789" s="14">
        <v>0</v>
      </c>
      <c r="AD789" s="14" t="s">
        <v>70</v>
      </c>
      <c r="AE789" s="22" t="str">
        <f>IFERROR((VLOOKUP(Tabla13[[#This Row],[ID]],[1]!Mtto_Pesv[[#Headers],[#Data],[Placa]:[Rutina]],2,FALSE)),"-")</f>
        <v>-</v>
      </c>
      <c r="AF789" s="14">
        <v>1</v>
      </c>
      <c r="AG789" s="20">
        <f>IFERROR((VLOOKUP(Tabla13[[#This Row],[ID]],[1]!Mtto_Pesv[[#Headers],[#Data],[Placa]:[Rutina]],3,FALSE)),0)</f>
        <v>0</v>
      </c>
      <c r="AH789" s="20">
        <f>IFERROR((VLOOKUP(Tabla13[[#This Row],[ID]],[1]!Mtto_Pesv[[#Headers],[#Data],[Placa]:[Rutina]],7,FALSE)),0)</f>
        <v>0</v>
      </c>
      <c r="AI789" s="20">
        <f>IFERROR((VLOOKUP(Tabla13[[#This Row],[ID]],[1]!Mtto_Pesv[[#Headers],[#Data],[Placa]:[Rutina]],8,FALSE)),0)</f>
        <v>0</v>
      </c>
      <c r="AJ789" s="20" t="str">
        <f>IFERROR((VLOOKUP(Tabla13[[#This Row],[ID]],[1]!Mtto_Pesv[[#Headers],[#Data],[Placa]:[Rutina]],9,FALSE)),"-")</f>
        <v>-</v>
      </c>
      <c r="AK789" s="20">
        <f>IFERROR((VLOOKUP(Tabla13[[#This Row],[ID]],[1]!Mtto_Pesv[[#Headers],[#Data],[Placa]:[Rutina]],10,FALSE)),0)</f>
        <v>0</v>
      </c>
      <c r="AL789" s="20">
        <f>IF(Tabla13[[#This Row],[Km Anterior]]=0,0,Tabla13[[#This Row],[Km Ejecut]]-Tabla13[[#This Row],[Km Anterior]])</f>
        <v>0</v>
      </c>
      <c r="AM789" s="20">
        <f>IFERROR((VLOOKUP(Tabla13[[#This Row],[ID]],[1]!Mtto_Pesv[[#Headers],[#Data],[Placa]:[Rutina]],4,FALSE)),0)</f>
        <v>0</v>
      </c>
      <c r="AN789" s="21">
        <f>IFERROR((VLOOKUP(Tabla13[[#This Row],[ID]],[1]!Mtto_Pesv[[#Headers],[#Data],[Placa]:[Rutina]],5,FALSE)),0)</f>
        <v>0</v>
      </c>
      <c r="AO789" s="21">
        <f>+Tabla13[[#This Row],[Km Fin]]-Tabla13[[#This Row],[Km Ini]]</f>
        <v>0</v>
      </c>
      <c r="AP789" s="20">
        <f>IFERROR((VLOOKUP(Tabla13[[#This Row],[ID]],[1]!Estilo_Conduccion[[#All],[Placa]:[Puntuacion]],15,FALSE)),0)</f>
        <v>6.9</v>
      </c>
      <c r="AQ789" s="15" t="s">
        <v>54</v>
      </c>
      <c r="AR789" s="15" t="s">
        <v>901</v>
      </c>
      <c r="AS789" s="20">
        <v>3500</v>
      </c>
      <c r="AT789" s="21">
        <v>0</v>
      </c>
      <c r="AU789" s="21">
        <f>(Tabla13[[#This Row],[Cap Vh]]*$AX$2)*0.56</f>
        <v>0</v>
      </c>
      <c r="AV789" s="36" t="e">
        <f>(Tabla13[[#This Row],[Cap Util (kg)]]/(Tabla13[[#This Row],[Cap Inst (Kg)]]))</f>
        <v>#DIV/0!</v>
      </c>
    </row>
    <row r="790" spans="1:48" x14ac:dyDescent="0.25">
      <c r="A790" s="13" t="s">
        <v>1068</v>
      </c>
      <c r="B790" s="14" t="s">
        <v>1035</v>
      </c>
      <c r="C790" s="14" t="s">
        <v>749</v>
      </c>
      <c r="D790" s="14" t="s">
        <v>749</v>
      </c>
      <c r="E790" s="14" t="s">
        <v>840</v>
      </c>
      <c r="F790" s="14" t="s">
        <v>76</v>
      </c>
      <c r="G790" s="15" t="s">
        <v>47</v>
      </c>
      <c r="H790" s="16" t="s">
        <v>48</v>
      </c>
      <c r="I790" s="14" t="s">
        <v>49</v>
      </c>
      <c r="J790" s="14">
        <v>900335279</v>
      </c>
      <c r="K790" s="14" t="s">
        <v>77</v>
      </c>
      <c r="L790" s="14" t="s">
        <v>103</v>
      </c>
      <c r="M790" s="14" t="s">
        <v>153</v>
      </c>
      <c r="N790" s="14">
        <v>2007</v>
      </c>
      <c r="O790" s="14">
        <v>13</v>
      </c>
      <c r="P790" s="14" t="s">
        <v>173</v>
      </c>
      <c r="Q790" s="14">
        <v>0</v>
      </c>
      <c r="R790" s="14">
        <v>0</v>
      </c>
      <c r="S790" s="17" t="s">
        <v>54</v>
      </c>
      <c r="T790" s="18">
        <v>0</v>
      </c>
      <c r="U790" s="14">
        <v>30</v>
      </c>
      <c r="V790" s="19">
        <v>1</v>
      </c>
      <c r="W790" s="14">
        <v>0</v>
      </c>
      <c r="X790" s="14">
        <v>0</v>
      </c>
      <c r="Y790" s="14">
        <v>0</v>
      </c>
      <c r="Z790" s="14">
        <v>0</v>
      </c>
      <c r="AA790" s="14">
        <f>Tabla13[[#This Row],[CheckList App]]+Tabla13[[#This Row],[CheckList Fisc]]</f>
        <v>0</v>
      </c>
      <c r="AB790" s="19">
        <f t="shared" si="12"/>
        <v>0</v>
      </c>
      <c r="AC790" s="14">
        <v>0</v>
      </c>
      <c r="AD790" s="14" t="s">
        <v>70</v>
      </c>
      <c r="AE790" s="15" t="str">
        <f>IFERROR((VLOOKUP(Tabla13[[#This Row],[ID]],[1]!Mtto_Pesv[[#Headers],[#Data],[Placa]:[Rutina]],2,FALSE)),"-")</f>
        <v>-</v>
      </c>
      <c r="AF790" s="14">
        <v>1</v>
      </c>
      <c r="AG790" s="20">
        <f>IFERROR((VLOOKUP(Tabla13[[#This Row],[ID]],[1]!Mtto_Pesv[[#Headers],[#Data],[Placa]:[Rutina]],3,FALSE)),0)</f>
        <v>0</v>
      </c>
      <c r="AH790" s="20">
        <f>IFERROR((VLOOKUP(Tabla13[[#This Row],[ID]],[1]!Mtto_Pesv[[#Headers],[#Data],[Placa]:[Rutina]],7,FALSE)),0)</f>
        <v>0</v>
      </c>
      <c r="AI790" s="20">
        <f>IFERROR((VLOOKUP(Tabla13[[#This Row],[ID]],[1]!Mtto_Pesv[[#Headers],[#Data],[Placa]:[Rutina]],8,FALSE)),0)</f>
        <v>0</v>
      </c>
      <c r="AJ790" s="20" t="str">
        <f>IFERROR((VLOOKUP(Tabla13[[#This Row],[ID]],[1]!Mtto_Pesv[[#Headers],[#Data],[Placa]:[Rutina]],9,FALSE)),"-")</f>
        <v>-</v>
      </c>
      <c r="AK790" s="20">
        <f>IFERROR((VLOOKUP(Tabla13[[#This Row],[ID]],[1]!Mtto_Pesv[[#Headers],[#Data],[Placa]:[Rutina]],10,FALSE)),0)</f>
        <v>0</v>
      </c>
      <c r="AL790" s="20">
        <f>IF(Tabla13[[#This Row],[Km Anterior]]=0,0,Tabla13[[#This Row],[Km Ejecut]]-Tabla13[[#This Row],[Km Anterior]])</f>
        <v>0</v>
      </c>
      <c r="AM790" s="20">
        <f>IFERROR((VLOOKUP(Tabla13[[#This Row],[ID]],[1]!Mtto_Pesv[[#Headers],[#Data],[Placa]:[Rutina]],4,FALSE)),0)</f>
        <v>0</v>
      </c>
      <c r="AN790" s="21">
        <f>IFERROR((VLOOKUP(Tabla13[[#This Row],[ID]],[1]!Mtto_Pesv[[#Headers],[#Data],[Placa]:[Rutina]],5,FALSE)),0)</f>
        <v>0</v>
      </c>
      <c r="AO790" s="21">
        <f>+Tabla13[[#This Row],[Km Fin]]-Tabla13[[#This Row],[Km Ini]]</f>
        <v>0</v>
      </c>
      <c r="AP790" s="20">
        <f>IFERROR((VLOOKUP(Tabla13[[#This Row],[ID]],[1]!Estilo_Conduccion[[#All],[Placa]:[Puntuacion]],15,FALSE)),0)</f>
        <v>0</v>
      </c>
      <c r="AQ790" s="15" t="s">
        <v>1069</v>
      </c>
      <c r="AR790" s="15" t="s">
        <v>927</v>
      </c>
      <c r="AS790" s="20">
        <v>3500</v>
      </c>
      <c r="AT790" s="21">
        <v>0</v>
      </c>
      <c r="AU790" s="21">
        <f>(Tabla13[[#This Row],[Cap Vh]]*$AX$2)*0.56</f>
        <v>0</v>
      </c>
      <c r="AV790" s="36" t="e">
        <f>(Tabla13[[#This Row],[Cap Util (kg)]]/(Tabla13[[#This Row],[Cap Inst (Kg)]]))</f>
        <v>#DIV/0!</v>
      </c>
    </row>
    <row r="791" spans="1:48" x14ac:dyDescent="0.25">
      <c r="A791" s="13" t="s">
        <v>1068</v>
      </c>
      <c r="B791" s="14" t="s">
        <v>1036</v>
      </c>
      <c r="C791" s="14" t="s">
        <v>749</v>
      </c>
      <c r="D791" s="14" t="s">
        <v>749</v>
      </c>
      <c r="E791" s="14" t="s">
        <v>842</v>
      </c>
      <c r="F791" s="14" t="s">
        <v>76</v>
      </c>
      <c r="G791" s="15" t="s">
        <v>89</v>
      </c>
      <c r="H791" s="16" t="s">
        <v>90</v>
      </c>
      <c r="I791" s="14" t="s">
        <v>49</v>
      </c>
      <c r="J791" s="14">
        <v>900335279</v>
      </c>
      <c r="K791" s="14" t="s">
        <v>77</v>
      </c>
      <c r="L791" s="14" t="s">
        <v>103</v>
      </c>
      <c r="M791" s="14" t="s">
        <v>153</v>
      </c>
      <c r="N791" s="14">
        <v>2007</v>
      </c>
      <c r="O791" s="14">
        <v>13</v>
      </c>
      <c r="P791" s="14" t="s">
        <v>173</v>
      </c>
      <c r="Q791" s="14">
        <v>0</v>
      </c>
      <c r="R791" s="14">
        <v>0</v>
      </c>
      <c r="S791" s="17" t="s">
        <v>54</v>
      </c>
      <c r="T791" s="18">
        <v>0</v>
      </c>
      <c r="U791" s="14">
        <v>30</v>
      </c>
      <c r="V791" s="19">
        <v>1</v>
      </c>
      <c r="W791" s="14">
        <v>0</v>
      </c>
      <c r="X791" s="14">
        <v>0</v>
      </c>
      <c r="Y791" s="14">
        <v>0</v>
      </c>
      <c r="Z791" s="14">
        <v>0</v>
      </c>
      <c r="AA791" s="14">
        <f>Tabla13[[#This Row],[CheckList App]]+Tabla13[[#This Row],[CheckList Fisc]]</f>
        <v>0</v>
      </c>
      <c r="AB791" s="19">
        <f t="shared" si="12"/>
        <v>0</v>
      </c>
      <c r="AC791" s="14">
        <v>0</v>
      </c>
      <c r="AD791" s="14" t="s">
        <v>55</v>
      </c>
      <c r="AE791" s="15" t="str">
        <f>IFERROR((VLOOKUP(Tabla13[[#This Row],[ID]],[1]!Mtto_Pesv[[#Headers],[#Data],[Placa]:[Rutina]],2,FALSE)),"-")</f>
        <v>-</v>
      </c>
      <c r="AF791" s="14">
        <v>0</v>
      </c>
      <c r="AG791" s="20">
        <f>IFERROR((VLOOKUP(Tabla13[[#This Row],[ID]],[1]!Mtto_Pesv[[#Headers],[#Data],[Placa]:[Rutina]],3,FALSE)),0)</f>
        <v>0</v>
      </c>
      <c r="AH791" s="20">
        <f>IFERROR((VLOOKUP(Tabla13[[#This Row],[ID]],[1]!Mtto_Pesv[[#Headers],[#Data],[Placa]:[Rutina]],7,FALSE)),0)</f>
        <v>0</v>
      </c>
      <c r="AI791" s="20">
        <f>IFERROR((VLOOKUP(Tabla13[[#This Row],[ID]],[1]!Mtto_Pesv[[#Headers],[#Data],[Placa]:[Rutina]],8,FALSE)),0)</f>
        <v>0</v>
      </c>
      <c r="AJ791" s="20" t="str">
        <f>IFERROR((VLOOKUP(Tabla13[[#This Row],[ID]],[1]!Mtto_Pesv[[#Headers],[#Data],[Placa]:[Rutina]],9,FALSE)),"-")</f>
        <v>-</v>
      </c>
      <c r="AK791" s="20">
        <f>IFERROR((VLOOKUP(Tabla13[[#This Row],[ID]],[1]!Mtto_Pesv[[#Headers],[#Data],[Placa]:[Rutina]],10,FALSE)),0)</f>
        <v>0</v>
      </c>
      <c r="AL791" s="20">
        <f>IF(Tabla13[[#This Row],[Km Anterior]]=0,0,Tabla13[[#This Row],[Km Ejecut]]-Tabla13[[#This Row],[Km Anterior]])</f>
        <v>0</v>
      </c>
      <c r="AM791" s="20">
        <f>IFERROR((VLOOKUP(Tabla13[[#This Row],[ID]],[1]!Mtto_Pesv[[#Headers],[#Data],[Placa]:[Rutina]],4,FALSE)),0)</f>
        <v>0</v>
      </c>
      <c r="AN791" s="21">
        <f>IFERROR((VLOOKUP(Tabla13[[#This Row],[ID]],[1]!Mtto_Pesv[[#Headers],[#Data],[Placa]:[Rutina]],5,FALSE)),0)</f>
        <v>0</v>
      </c>
      <c r="AO791" s="21">
        <f>+Tabla13[[#This Row],[Km Fin]]-Tabla13[[#This Row],[Km Ini]]</f>
        <v>0</v>
      </c>
      <c r="AP791" s="20">
        <f>IFERROR((VLOOKUP(Tabla13[[#This Row],[ID]],[1]!Estilo_Conduccion[[#All],[Placa]:[Puntuacion]],15,FALSE)),0)</f>
        <v>0</v>
      </c>
      <c r="AQ791" s="15" t="s">
        <v>1588</v>
      </c>
      <c r="AR791" s="15" t="s">
        <v>1589</v>
      </c>
      <c r="AS791" s="20">
        <v>3500</v>
      </c>
      <c r="AT791" s="21">
        <v>13506</v>
      </c>
      <c r="AU791" s="21">
        <f>(Tabla13[[#This Row],[Cap Vh]]*$AX$2)*0.56</f>
        <v>0</v>
      </c>
      <c r="AV791" s="36" t="e">
        <f>(Tabla13[[#This Row],[Cap Util (kg)]]/(Tabla13[[#This Row],[Cap Inst (Kg)]]))</f>
        <v>#DIV/0!</v>
      </c>
    </row>
    <row r="792" spans="1:48" x14ac:dyDescent="0.25">
      <c r="A792" s="13" t="s">
        <v>1068</v>
      </c>
      <c r="B792" s="14" t="s">
        <v>1037</v>
      </c>
      <c r="C792" s="14" t="s">
        <v>749</v>
      </c>
      <c r="D792" s="14" t="s">
        <v>749</v>
      </c>
      <c r="E792" s="14" t="s">
        <v>842</v>
      </c>
      <c r="F792" s="14" t="s">
        <v>76</v>
      </c>
      <c r="G792" s="15" t="s">
        <v>89</v>
      </c>
      <c r="H792" s="16" t="s">
        <v>90</v>
      </c>
      <c r="I792" s="14" t="s">
        <v>109</v>
      </c>
      <c r="J792" s="14">
        <v>900335279</v>
      </c>
      <c r="K792" s="14" t="s">
        <v>77</v>
      </c>
      <c r="L792" s="14" t="s">
        <v>103</v>
      </c>
      <c r="M792" s="14" t="s">
        <v>153</v>
      </c>
      <c r="N792" s="14">
        <v>2007</v>
      </c>
      <c r="O792" s="14">
        <v>13</v>
      </c>
      <c r="P792" s="14" t="s">
        <v>173</v>
      </c>
      <c r="Q792" s="14">
        <v>0</v>
      </c>
      <c r="R792" s="14">
        <v>0</v>
      </c>
      <c r="S792" s="17" t="s">
        <v>54</v>
      </c>
      <c r="T792" s="18">
        <v>0</v>
      </c>
      <c r="U792" s="14">
        <v>30</v>
      </c>
      <c r="V792" s="19">
        <v>1</v>
      </c>
      <c r="W792" s="14">
        <v>0</v>
      </c>
      <c r="X792" s="14">
        <v>0</v>
      </c>
      <c r="Y792" s="14">
        <v>0</v>
      </c>
      <c r="Z792" s="14">
        <v>0</v>
      </c>
      <c r="AA792" s="14">
        <f>Tabla13[[#This Row],[CheckList App]]+Tabla13[[#This Row],[CheckList Fisc]]</f>
        <v>0</v>
      </c>
      <c r="AB792" s="19">
        <f t="shared" si="12"/>
        <v>0</v>
      </c>
      <c r="AC792" s="14">
        <v>0</v>
      </c>
      <c r="AD792" s="14" t="s">
        <v>70</v>
      </c>
      <c r="AE792" s="15" t="str">
        <f>IFERROR((VLOOKUP(Tabla13[[#This Row],[ID]],[1]!Mtto_Pesv[[#Headers],[#Data],[Placa]:[Rutina]],2,FALSE)),"-")</f>
        <v>-</v>
      </c>
      <c r="AF792" s="14">
        <v>1</v>
      </c>
      <c r="AG792" s="20">
        <f>IFERROR((VLOOKUP(Tabla13[[#This Row],[ID]],[1]!Mtto_Pesv[[#Headers],[#Data],[Placa]:[Rutina]],3,FALSE)),0)</f>
        <v>0</v>
      </c>
      <c r="AH792" s="20">
        <f>IFERROR((VLOOKUP(Tabla13[[#This Row],[ID]],[1]!Mtto_Pesv[[#Headers],[#Data],[Placa]:[Rutina]],7,FALSE)),0)</f>
        <v>0</v>
      </c>
      <c r="AI792" s="20">
        <f>IFERROR((VLOOKUP(Tabla13[[#This Row],[ID]],[1]!Mtto_Pesv[[#Headers],[#Data],[Placa]:[Rutina]],8,FALSE)),0)</f>
        <v>0</v>
      </c>
      <c r="AJ792" s="20" t="str">
        <f>IFERROR((VLOOKUP(Tabla13[[#This Row],[ID]],[1]!Mtto_Pesv[[#Headers],[#Data],[Placa]:[Rutina]],9,FALSE)),"-")</f>
        <v>-</v>
      </c>
      <c r="AK792" s="20">
        <f>IFERROR((VLOOKUP(Tabla13[[#This Row],[ID]],[1]!Mtto_Pesv[[#Headers],[#Data],[Placa]:[Rutina]],10,FALSE)),0)</f>
        <v>0</v>
      </c>
      <c r="AL792" s="20">
        <f>IF(Tabla13[[#This Row],[Km Anterior]]=0,0,Tabla13[[#This Row],[Km Ejecut]]-Tabla13[[#This Row],[Km Anterior]])</f>
        <v>0</v>
      </c>
      <c r="AM792" s="20">
        <f>IFERROR((VLOOKUP(Tabla13[[#This Row],[ID]],[1]!Mtto_Pesv[[#Headers],[#Data],[Placa]:[Rutina]],4,FALSE)),0)</f>
        <v>0</v>
      </c>
      <c r="AN792" s="21">
        <f>IFERROR((VLOOKUP(Tabla13[[#This Row],[ID]],[1]!Mtto_Pesv[[#Headers],[#Data],[Placa]:[Rutina]],5,FALSE)),0)</f>
        <v>0</v>
      </c>
      <c r="AO792" s="21">
        <f>+Tabla13[[#This Row],[Km Fin]]-Tabla13[[#This Row],[Km Ini]]</f>
        <v>0</v>
      </c>
      <c r="AP792" s="20">
        <f>IFERROR((VLOOKUP(Tabla13[[#This Row],[ID]],[1]!Estilo_Conduccion[[#All],[Placa]:[Puntuacion]],15,FALSE)),0)</f>
        <v>0</v>
      </c>
      <c r="AQ792" s="15" t="s">
        <v>1500</v>
      </c>
      <c r="AR792" s="15" t="s">
        <v>1501</v>
      </c>
      <c r="AS792" s="20">
        <v>3500</v>
      </c>
      <c r="AT792" s="21">
        <v>7888.7142857142853</v>
      </c>
      <c r="AU792" s="21">
        <f>(Tabla13[[#This Row],[Cap Vh]]*$AX$2)*0.56</f>
        <v>0</v>
      </c>
      <c r="AV792" s="36" t="e">
        <f>(Tabla13[[#This Row],[Cap Util (kg)]]/(Tabla13[[#This Row],[Cap Inst (Kg)]]))</f>
        <v>#DIV/0!</v>
      </c>
    </row>
    <row r="793" spans="1:48" x14ac:dyDescent="0.25">
      <c r="A793" s="13" t="s">
        <v>1068</v>
      </c>
      <c r="B793" s="14" t="s">
        <v>1038</v>
      </c>
      <c r="C793" s="14" t="s">
        <v>749</v>
      </c>
      <c r="D793" s="14" t="s">
        <v>749</v>
      </c>
      <c r="E793" s="14" t="s">
        <v>840</v>
      </c>
      <c r="F793" s="14" t="s">
        <v>76</v>
      </c>
      <c r="G793" s="14" t="s">
        <v>65</v>
      </c>
      <c r="H793" s="16" t="s">
        <v>66</v>
      </c>
      <c r="I793" s="14" t="s">
        <v>49</v>
      </c>
      <c r="J793" s="14">
        <v>900335279</v>
      </c>
      <c r="K793" s="14" t="s">
        <v>77</v>
      </c>
      <c r="L793" s="14" t="s">
        <v>103</v>
      </c>
      <c r="M793" s="14" t="s">
        <v>285</v>
      </c>
      <c r="N793" s="14">
        <v>2008</v>
      </c>
      <c r="O793" s="14">
        <v>12</v>
      </c>
      <c r="P793" s="14" t="s">
        <v>173</v>
      </c>
      <c r="Q793" s="14">
        <v>0</v>
      </c>
      <c r="R793" s="14">
        <v>0</v>
      </c>
      <c r="S793" s="17" t="s">
        <v>54</v>
      </c>
      <c r="T793" s="18">
        <v>0</v>
      </c>
      <c r="U793" s="14">
        <v>0</v>
      </c>
      <c r="V793" s="19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f>Tabla13[[#This Row],[CheckList App]]+Tabla13[[#This Row],[CheckList Fisc]]</f>
        <v>0</v>
      </c>
      <c r="AB793" s="19" t="str">
        <f t="shared" si="12"/>
        <v/>
      </c>
      <c r="AC793" s="14">
        <v>0</v>
      </c>
      <c r="AD793" s="14" t="s">
        <v>70</v>
      </c>
      <c r="AE793" s="15" t="str">
        <f>IFERROR((VLOOKUP(Tabla13[[#This Row],[ID]],[1]!Mtto_Pesv[[#Headers],[#Data],[Placa]:[Rutina]],2,FALSE)),"-")</f>
        <v>-</v>
      </c>
      <c r="AF793" s="14">
        <v>1</v>
      </c>
      <c r="AG793" s="20">
        <f>IFERROR((VLOOKUP(Tabla13[[#This Row],[ID]],[1]!Mtto_Pesv[[#Headers],[#Data],[Placa]:[Rutina]],3,FALSE)),0)</f>
        <v>0</v>
      </c>
      <c r="AH793" s="20">
        <f>IFERROR((VLOOKUP(Tabla13[[#This Row],[ID]],[1]!Mtto_Pesv[[#Headers],[#Data],[Placa]:[Rutina]],7,FALSE)),0)</f>
        <v>0</v>
      </c>
      <c r="AI793" s="20">
        <f>IFERROR((VLOOKUP(Tabla13[[#This Row],[ID]],[1]!Mtto_Pesv[[#Headers],[#Data],[Placa]:[Rutina]],8,FALSE)),0)</f>
        <v>0</v>
      </c>
      <c r="AJ793" s="20" t="str">
        <f>IFERROR((VLOOKUP(Tabla13[[#This Row],[ID]],[1]!Mtto_Pesv[[#Headers],[#Data],[Placa]:[Rutina]],9,FALSE)),"-")</f>
        <v>-</v>
      </c>
      <c r="AK793" s="20">
        <f>IFERROR((VLOOKUP(Tabla13[[#This Row],[ID]],[1]!Mtto_Pesv[[#Headers],[#Data],[Placa]:[Rutina]],10,FALSE)),0)</f>
        <v>0</v>
      </c>
      <c r="AL793" s="20">
        <f>IF(Tabla13[[#This Row],[Km Anterior]]=0,0,Tabla13[[#This Row],[Km Ejecut]]-Tabla13[[#This Row],[Km Anterior]])</f>
        <v>0</v>
      </c>
      <c r="AM793" s="20">
        <f>IFERROR((VLOOKUP(Tabla13[[#This Row],[ID]],[1]!Mtto_Pesv[[#Headers],[#Data],[Placa]:[Rutina]],4,FALSE)),0)</f>
        <v>0</v>
      </c>
      <c r="AN793" s="21">
        <f>IFERROR((VLOOKUP(Tabla13[[#This Row],[ID]],[1]!Mtto_Pesv[[#Headers],[#Data],[Placa]:[Rutina]],5,FALSE)),0)</f>
        <v>0</v>
      </c>
      <c r="AO793" s="21">
        <f>+Tabla13[[#This Row],[Km Fin]]-Tabla13[[#This Row],[Km Ini]]</f>
        <v>0</v>
      </c>
      <c r="AP793" s="20">
        <f>IFERROR((VLOOKUP(Tabla13[[#This Row],[ID]],[1]!Estilo_Conduccion[[#All],[Placa]:[Puntuacion]],15,FALSE)),0)</f>
        <v>0</v>
      </c>
      <c r="AQ793" s="15" t="s">
        <v>54</v>
      </c>
      <c r="AR793" s="15" t="s">
        <v>54</v>
      </c>
      <c r="AS793" s="20">
        <v>750</v>
      </c>
      <c r="AT793" s="21">
        <v>0</v>
      </c>
      <c r="AU793" s="21">
        <f>(Tabla13[[#This Row],[Cap Vh]]*$AX$2)*0.56</f>
        <v>0</v>
      </c>
      <c r="AV793" s="36" t="e">
        <f>(Tabla13[[#This Row],[Cap Util (kg)]]/(Tabla13[[#This Row],[Cap Inst (Kg)]]))</f>
        <v>#DIV/0!</v>
      </c>
    </row>
    <row r="794" spans="1:48" x14ac:dyDescent="0.25">
      <c r="A794" s="13" t="s">
        <v>1068</v>
      </c>
      <c r="B794" s="14" t="s">
        <v>1039</v>
      </c>
      <c r="C794" s="14" t="s">
        <v>749</v>
      </c>
      <c r="D794" s="14" t="s">
        <v>749</v>
      </c>
      <c r="E794" s="14" t="s">
        <v>840</v>
      </c>
      <c r="F794" s="14" t="s">
        <v>76</v>
      </c>
      <c r="G794" s="14" t="s">
        <v>65</v>
      </c>
      <c r="H794" s="16" t="s">
        <v>66</v>
      </c>
      <c r="I794" s="14" t="s">
        <v>49</v>
      </c>
      <c r="J794" s="14">
        <v>900335279</v>
      </c>
      <c r="K794" s="14" t="s">
        <v>77</v>
      </c>
      <c r="L794" s="14" t="s">
        <v>103</v>
      </c>
      <c r="M794" s="14" t="s">
        <v>285</v>
      </c>
      <c r="N794" s="14">
        <v>2008</v>
      </c>
      <c r="O794" s="14">
        <v>12</v>
      </c>
      <c r="P794" s="14" t="s">
        <v>173</v>
      </c>
      <c r="Q794" s="14">
        <v>0</v>
      </c>
      <c r="R794" s="14">
        <v>0</v>
      </c>
      <c r="S794" s="17" t="s">
        <v>54</v>
      </c>
      <c r="T794" s="18">
        <v>0</v>
      </c>
      <c r="U794" s="14">
        <v>0</v>
      </c>
      <c r="V794" s="19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f>Tabla13[[#This Row],[CheckList App]]+Tabla13[[#This Row],[CheckList Fisc]]</f>
        <v>0</v>
      </c>
      <c r="AB794" s="19" t="str">
        <f t="shared" si="12"/>
        <v/>
      </c>
      <c r="AC794" s="14">
        <v>0</v>
      </c>
      <c r="AD794" s="14" t="s">
        <v>70</v>
      </c>
      <c r="AE794" s="15" t="str">
        <f>IFERROR((VLOOKUP(Tabla13[[#This Row],[ID]],[1]!Mtto_Pesv[[#Headers],[#Data],[Placa]:[Rutina]],2,FALSE)),"-")</f>
        <v>-</v>
      </c>
      <c r="AF794" s="14">
        <v>1</v>
      </c>
      <c r="AG794" s="20">
        <f>IFERROR((VLOOKUP(Tabla13[[#This Row],[ID]],[1]!Mtto_Pesv[[#Headers],[#Data],[Placa]:[Rutina]],3,FALSE)),0)</f>
        <v>0</v>
      </c>
      <c r="AH794" s="20">
        <f>IFERROR((VLOOKUP(Tabla13[[#This Row],[ID]],[1]!Mtto_Pesv[[#Headers],[#Data],[Placa]:[Rutina]],7,FALSE)),0)</f>
        <v>0</v>
      </c>
      <c r="AI794" s="20">
        <f>IFERROR((VLOOKUP(Tabla13[[#This Row],[ID]],[1]!Mtto_Pesv[[#Headers],[#Data],[Placa]:[Rutina]],8,FALSE)),0)</f>
        <v>0</v>
      </c>
      <c r="AJ794" s="20" t="str">
        <f>IFERROR((VLOOKUP(Tabla13[[#This Row],[ID]],[1]!Mtto_Pesv[[#Headers],[#Data],[Placa]:[Rutina]],9,FALSE)),"-")</f>
        <v>-</v>
      </c>
      <c r="AK794" s="20">
        <f>IFERROR((VLOOKUP(Tabla13[[#This Row],[ID]],[1]!Mtto_Pesv[[#Headers],[#Data],[Placa]:[Rutina]],10,FALSE)),0)</f>
        <v>0</v>
      </c>
      <c r="AL794" s="20">
        <f>IF(Tabla13[[#This Row],[Km Anterior]]=0,0,Tabla13[[#This Row],[Km Ejecut]]-Tabla13[[#This Row],[Km Anterior]])</f>
        <v>0</v>
      </c>
      <c r="AM794" s="20">
        <f>IFERROR((VLOOKUP(Tabla13[[#This Row],[ID]],[1]!Mtto_Pesv[[#Headers],[#Data],[Placa]:[Rutina]],4,FALSE)),0)</f>
        <v>0</v>
      </c>
      <c r="AN794" s="21">
        <f>IFERROR((VLOOKUP(Tabla13[[#This Row],[ID]],[1]!Mtto_Pesv[[#Headers],[#Data],[Placa]:[Rutina]],5,FALSE)),0)</f>
        <v>0</v>
      </c>
      <c r="AO794" s="21">
        <f>+Tabla13[[#This Row],[Km Fin]]-Tabla13[[#This Row],[Km Ini]]</f>
        <v>0</v>
      </c>
      <c r="AP794" s="20">
        <f>IFERROR((VLOOKUP(Tabla13[[#This Row],[ID]],[1]!Estilo_Conduccion[[#All],[Placa]:[Puntuacion]],15,FALSE)),0)</f>
        <v>0</v>
      </c>
      <c r="AQ794" s="15" t="s">
        <v>54</v>
      </c>
      <c r="AR794" s="15" t="s">
        <v>54</v>
      </c>
      <c r="AS794" s="20">
        <v>750</v>
      </c>
      <c r="AT794" s="21">
        <v>0</v>
      </c>
      <c r="AU794" s="21">
        <f>(Tabla13[[#This Row],[Cap Vh]]*$AX$2)*0.56</f>
        <v>0</v>
      </c>
      <c r="AV794" s="36" t="e">
        <f>(Tabla13[[#This Row],[Cap Util (kg)]]/(Tabla13[[#This Row],[Cap Inst (Kg)]]))</f>
        <v>#DIV/0!</v>
      </c>
    </row>
    <row r="795" spans="1:48" x14ac:dyDescent="0.25">
      <c r="A795" s="13" t="s">
        <v>1068</v>
      </c>
      <c r="B795" s="14" t="s">
        <v>1040</v>
      </c>
      <c r="C795" s="14" t="s">
        <v>749</v>
      </c>
      <c r="D795" s="14" t="s">
        <v>749</v>
      </c>
      <c r="E795" s="14" t="s">
        <v>840</v>
      </c>
      <c r="F795" s="14" t="s">
        <v>64</v>
      </c>
      <c r="G795" s="15" t="s">
        <v>119</v>
      </c>
      <c r="H795" s="16" t="s">
        <v>120</v>
      </c>
      <c r="I795" s="14" t="s">
        <v>49</v>
      </c>
      <c r="J795" s="14">
        <v>900335279</v>
      </c>
      <c r="K795" s="14" t="s">
        <v>77</v>
      </c>
      <c r="L795" s="14" t="s">
        <v>103</v>
      </c>
      <c r="M795" s="14" t="s">
        <v>285</v>
      </c>
      <c r="N795" s="14">
        <v>2008</v>
      </c>
      <c r="O795" s="14">
        <v>12</v>
      </c>
      <c r="P795" s="14" t="s">
        <v>173</v>
      </c>
      <c r="Q795" s="14">
        <v>0</v>
      </c>
      <c r="R795" s="14">
        <v>0</v>
      </c>
      <c r="S795" s="17" t="s">
        <v>54</v>
      </c>
      <c r="T795" s="18">
        <v>0</v>
      </c>
      <c r="U795" s="14">
        <v>30</v>
      </c>
      <c r="V795" s="19">
        <v>1</v>
      </c>
      <c r="W795" s="14">
        <v>0</v>
      </c>
      <c r="X795" s="14">
        <v>26</v>
      </c>
      <c r="Y795" s="14">
        <v>26</v>
      </c>
      <c r="Z795" s="14">
        <v>0</v>
      </c>
      <c r="AA795" s="14">
        <f>Tabla13[[#This Row],[CheckList App]]+Tabla13[[#This Row],[CheckList Fisc]]</f>
        <v>26</v>
      </c>
      <c r="AB795" s="19">
        <f t="shared" si="12"/>
        <v>1</v>
      </c>
      <c r="AC795" s="14">
        <v>0</v>
      </c>
      <c r="AD795" s="14" t="s">
        <v>55</v>
      </c>
      <c r="AE795" s="22" t="str">
        <f>IFERROR((VLOOKUP(Tabla13[[#This Row],[ID]],[1]!Mtto_Pesv[[#Headers],[#Data],[Placa]:[Rutina]],2,FALSE)),"-")</f>
        <v>-</v>
      </c>
      <c r="AF795" s="14">
        <v>1</v>
      </c>
      <c r="AG795" s="20">
        <f>IFERROR((VLOOKUP(Tabla13[[#This Row],[ID]],[1]!Mtto_Pesv[[#Headers],[#Data],[Placa]:[Rutina]],3,FALSE)),0)</f>
        <v>0</v>
      </c>
      <c r="AH795" s="20">
        <f>IFERROR((VLOOKUP(Tabla13[[#This Row],[ID]],[1]!Mtto_Pesv[[#Headers],[#Data],[Placa]:[Rutina]],7,FALSE)),0)</f>
        <v>0</v>
      </c>
      <c r="AI795" s="20">
        <f>IFERROR((VLOOKUP(Tabla13[[#This Row],[ID]],[1]!Mtto_Pesv[[#Headers],[#Data],[Placa]:[Rutina]],8,FALSE)),0)</f>
        <v>0</v>
      </c>
      <c r="AJ795" s="20" t="str">
        <f>IFERROR((VLOOKUP(Tabla13[[#This Row],[ID]],[1]!Mtto_Pesv[[#Headers],[#Data],[Placa]:[Rutina]],9,FALSE)),"-")</f>
        <v>-</v>
      </c>
      <c r="AK795" s="20">
        <f>IFERROR((VLOOKUP(Tabla13[[#This Row],[ID]],[1]!Mtto_Pesv[[#Headers],[#Data],[Placa]:[Rutina]],10,FALSE)),0)</f>
        <v>0</v>
      </c>
      <c r="AL795" s="20">
        <f>IF(Tabla13[[#This Row],[Km Anterior]]=0,0,Tabla13[[#This Row],[Km Ejecut]]-Tabla13[[#This Row],[Km Anterior]])</f>
        <v>0</v>
      </c>
      <c r="AM795" s="20">
        <f>IFERROR((VLOOKUP(Tabla13[[#This Row],[ID]],[1]!Mtto_Pesv[[#Headers],[#Data],[Placa]:[Rutina]],4,FALSE)),0)</f>
        <v>0</v>
      </c>
      <c r="AN795" s="21">
        <f>IFERROR((VLOOKUP(Tabla13[[#This Row],[ID]],[1]!Mtto_Pesv[[#Headers],[#Data],[Placa]:[Rutina]],5,FALSE)),0)</f>
        <v>0</v>
      </c>
      <c r="AO795" s="21">
        <f>+Tabla13[[#This Row],[Km Fin]]-Tabla13[[#This Row],[Km Ini]]</f>
        <v>0</v>
      </c>
      <c r="AP795" s="20">
        <f>IFERROR((VLOOKUP(Tabla13[[#This Row],[ID]],[1]!Estilo_Conduccion[[#All],[Placa]:[Puntuacion]],15,FALSE)),0)</f>
        <v>0</v>
      </c>
      <c r="AQ795" s="15" t="s">
        <v>54</v>
      </c>
      <c r="AR795" s="15" t="s">
        <v>1590</v>
      </c>
      <c r="AS795" s="20">
        <v>750</v>
      </c>
      <c r="AT795" s="21">
        <v>0</v>
      </c>
      <c r="AU795" s="21">
        <f>(Tabla13[[#This Row],[Cap Vh]]*$AX$2)*0.56</f>
        <v>0</v>
      </c>
      <c r="AV795" s="36" t="e">
        <f>(Tabla13[[#This Row],[Cap Util (kg)]]/(Tabla13[[#This Row],[Cap Inst (Kg)]]))</f>
        <v>#DIV/0!</v>
      </c>
    </row>
    <row r="796" spans="1:48" x14ac:dyDescent="0.25">
      <c r="A796" s="13" t="s">
        <v>1068</v>
      </c>
      <c r="B796" s="14" t="s">
        <v>1041</v>
      </c>
      <c r="C796" s="14" t="s">
        <v>749</v>
      </c>
      <c r="D796" s="14" t="s">
        <v>749</v>
      </c>
      <c r="E796" s="14" t="s">
        <v>845</v>
      </c>
      <c r="F796" s="14" t="s">
        <v>76</v>
      </c>
      <c r="G796" s="15" t="s">
        <v>89</v>
      </c>
      <c r="H796" s="16" t="s">
        <v>90</v>
      </c>
      <c r="I796" s="14" t="s">
        <v>49</v>
      </c>
      <c r="J796" s="14">
        <v>900335279</v>
      </c>
      <c r="K796" s="14" t="s">
        <v>77</v>
      </c>
      <c r="L796" s="14" t="s">
        <v>103</v>
      </c>
      <c r="M796" s="14" t="s">
        <v>347</v>
      </c>
      <c r="N796" s="14">
        <v>2008</v>
      </c>
      <c r="O796" s="14">
        <v>12</v>
      </c>
      <c r="P796" s="14" t="s">
        <v>173</v>
      </c>
      <c r="Q796" s="14">
        <v>0</v>
      </c>
      <c r="R796" s="14">
        <v>0</v>
      </c>
      <c r="S796" s="17" t="s">
        <v>54</v>
      </c>
      <c r="T796" s="18">
        <v>0</v>
      </c>
      <c r="U796" s="14">
        <v>30</v>
      </c>
      <c r="V796" s="19">
        <v>1</v>
      </c>
      <c r="W796" s="14">
        <v>0</v>
      </c>
      <c r="X796" s="14">
        <v>0</v>
      </c>
      <c r="Y796" s="14">
        <v>0</v>
      </c>
      <c r="Z796" s="14">
        <v>0</v>
      </c>
      <c r="AA796" s="14">
        <f>Tabla13[[#This Row],[CheckList App]]+Tabla13[[#This Row],[CheckList Fisc]]</f>
        <v>0</v>
      </c>
      <c r="AB796" s="19">
        <f t="shared" si="12"/>
        <v>0</v>
      </c>
      <c r="AC796" s="14">
        <v>0</v>
      </c>
      <c r="AD796" s="14" t="s">
        <v>55</v>
      </c>
      <c r="AE796" s="15" t="str">
        <f>IFERROR((VLOOKUP(Tabla13[[#This Row],[ID]],[1]!Mtto_Pesv[[#Headers],[#Data],[Placa]:[Rutina]],2,FALSE)),"-")</f>
        <v>-</v>
      </c>
      <c r="AF796" s="14">
        <v>0</v>
      </c>
      <c r="AG796" s="20">
        <f>IFERROR((VLOOKUP(Tabla13[[#This Row],[ID]],[1]!Mtto_Pesv[[#Headers],[#Data],[Placa]:[Rutina]],3,FALSE)),0)</f>
        <v>0</v>
      </c>
      <c r="AH796" s="20">
        <f>IFERROR((VLOOKUP(Tabla13[[#This Row],[ID]],[1]!Mtto_Pesv[[#Headers],[#Data],[Placa]:[Rutina]],7,FALSE)),0)</f>
        <v>0</v>
      </c>
      <c r="AI796" s="20">
        <f>IFERROR((VLOOKUP(Tabla13[[#This Row],[ID]],[1]!Mtto_Pesv[[#Headers],[#Data],[Placa]:[Rutina]],8,FALSE)),0)</f>
        <v>0</v>
      </c>
      <c r="AJ796" s="20" t="str">
        <f>IFERROR((VLOOKUP(Tabla13[[#This Row],[ID]],[1]!Mtto_Pesv[[#Headers],[#Data],[Placa]:[Rutina]],9,FALSE)),"-")</f>
        <v>-</v>
      </c>
      <c r="AK796" s="20">
        <f>IFERROR((VLOOKUP(Tabla13[[#This Row],[ID]],[1]!Mtto_Pesv[[#Headers],[#Data],[Placa]:[Rutina]],10,FALSE)),0)</f>
        <v>0</v>
      </c>
      <c r="AL796" s="20">
        <f>IF(Tabla13[[#This Row],[Km Anterior]]=0,0,Tabla13[[#This Row],[Km Ejecut]]-Tabla13[[#This Row],[Km Anterior]])</f>
        <v>0</v>
      </c>
      <c r="AM796" s="20">
        <f>IFERROR((VLOOKUP(Tabla13[[#This Row],[ID]],[1]!Mtto_Pesv[[#Headers],[#Data],[Placa]:[Rutina]],4,FALSE)),0)</f>
        <v>0</v>
      </c>
      <c r="AN796" s="21">
        <f>IFERROR((VLOOKUP(Tabla13[[#This Row],[ID]],[1]!Mtto_Pesv[[#Headers],[#Data],[Placa]:[Rutina]],5,FALSE)),0)</f>
        <v>0</v>
      </c>
      <c r="AO796" s="21">
        <f>+Tabla13[[#This Row],[Km Fin]]-Tabla13[[#This Row],[Km Ini]]</f>
        <v>0</v>
      </c>
      <c r="AP796" s="20">
        <f>IFERROR((VLOOKUP(Tabla13[[#This Row],[ID]],[1]!Estilo_Conduccion[[#All],[Placa]:[Puntuacion]],15,FALSE)),0)</f>
        <v>0</v>
      </c>
      <c r="AQ796" s="15" t="s">
        <v>1506</v>
      </c>
      <c r="AR796" s="15" t="s">
        <v>1507</v>
      </c>
      <c r="AS796" s="20">
        <v>1300</v>
      </c>
      <c r="AT796" s="21">
        <v>9068.7000000000007</v>
      </c>
      <c r="AU796" s="21">
        <f>(Tabla13[[#This Row],[Cap Vh]]*$AX$2)*0.56</f>
        <v>0</v>
      </c>
      <c r="AV796" s="36" t="e">
        <f>(Tabla13[[#This Row],[Cap Util (kg)]]/(Tabla13[[#This Row],[Cap Inst (Kg)]]))</f>
        <v>#DIV/0!</v>
      </c>
    </row>
    <row r="797" spans="1:48" x14ac:dyDescent="0.25">
      <c r="A797" s="13" t="s">
        <v>1068</v>
      </c>
      <c r="B797" s="14" t="s">
        <v>1042</v>
      </c>
      <c r="C797" s="14" t="s">
        <v>749</v>
      </c>
      <c r="D797" s="14" t="s">
        <v>749</v>
      </c>
      <c r="E797" s="14" t="s">
        <v>840</v>
      </c>
      <c r="F797" s="14" t="s">
        <v>76</v>
      </c>
      <c r="G797" s="15" t="s">
        <v>47</v>
      </c>
      <c r="H797" s="16" t="s">
        <v>48</v>
      </c>
      <c r="I797" s="14" t="s">
        <v>49</v>
      </c>
      <c r="J797" s="14">
        <v>900335279</v>
      </c>
      <c r="K797" s="14" t="s">
        <v>77</v>
      </c>
      <c r="L797" s="14" t="s">
        <v>103</v>
      </c>
      <c r="M797" s="14" t="s">
        <v>347</v>
      </c>
      <c r="N797" s="14">
        <v>2008</v>
      </c>
      <c r="O797" s="14">
        <v>12</v>
      </c>
      <c r="P797" s="14" t="s">
        <v>173</v>
      </c>
      <c r="Q797" s="14">
        <v>1</v>
      </c>
      <c r="R797" s="14">
        <v>0</v>
      </c>
      <c r="S797" s="17" t="s">
        <v>54</v>
      </c>
      <c r="T797" s="18">
        <v>0</v>
      </c>
      <c r="U797" s="14">
        <v>30</v>
      </c>
      <c r="V797" s="19">
        <v>1</v>
      </c>
      <c r="W797" s="14">
        <v>0</v>
      </c>
      <c r="X797" s="14">
        <v>26</v>
      </c>
      <c r="Y797" s="14">
        <v>12</v>
      </c>
      <c r="Z797" s="14">
        <v>0</v>
      </c>
      <c r="AA797" s="14">
        <f>Tabla13[[#This Row],[CheckList App]]+Tabla13[[#This Row],[CheckList Fisc]]</f>
        <v>12</v>
      </c>
      <c r="AB797" s="19">
        <f t="shared" si="12"/>
        <v>0.46153846153846156</v>
      </c>
      <c r="AC797" s="14">
        <v>0</v>
      </c>
      <c r="AD797" s="14" t="s">
        <v>70</v>
      </c>
      <c r="AE797" s="15" t="str">
        <f>IFERROR((VLOOKUP(Tabla13[[#This Row],[ID]],[1]!Mtto_Pesv[[#Headers],[#Data],[Placa]:[Rutina]],2,FALSE)),"-")</f>
        <v>-</v>
      </c>
      <c r="AF797" s="14">
        <v>1</v>
      </c>
      <c r="AG797" s="20">
        <f>IFERROR((VLOOKUP(Tabla13[[#This Row],[ID]],[1]!Mtto_Pesv[[#Headers],[#Data],[Placa]:[Rutina]],3,FALSE)),0)</f>
        <v>0</v>
      </c>
      <c r="AH797" s="20">
        <f>IFERROR((VLOOKUP(Tabla13[[#This Row],[ID]],[1]!Mtto_Pesv[[#Headers],[#Data],[Placa]:[Rutina]],7,FALSE)),0)</f>
        <v>0</v>
      </c>
      <c r="AI797" s="20">
        <f>IFERROR((VLOOKUP(Tabla13[[#This Row],[ID]],[1]!Mtto_Pesv[[#Headers],[#Data],[Placa]:[Rutina]],8,FALSE)),0)</f>
        <v>0</v>
      </c>
      <c r="AJ797" s="20" t="str">
        <f>IFERROR((VLOOKUP(Tabla13[[#This Row],[ID]],[1]!Mtto_Pesv[[#Headers],[#Data],[Placa]:[Rutina]],9,FALSE)),"-")</f>
        <v>-</v>
      </c>
      <c r="AK797" s="20">
        <f>IFERROR((VLOOKUP(Tabla13[[#This Row],[ID]],[1]!Mtto_Pesv[[#Headers],[#Data],[Placa]:[Rutina]],10,FALSE)),0)</f>
        <v>0</v>
      </c>
      <c r="AL797" s="20">
        <f>IF(Tabla13[[#This Row],[Km Anterior]]=0,0,Tabla13[[#This Row],[Km Ejecut]]-Tabla13[[#This Row],[Km Anterior]])</f>
        <v>0</v>
      </c>
      <c r="AM797" s="20">
        <f>IFERROR((VLOOKUP(Tabla13[[#This Row],[ID]],[1]!Mtto_Pesv[[#Headers],[#Data],[Placa]:[Rutina]],4,FALSE)),0)</f>
        <v>0</v>
      </c>
      <c r="AN797" s="21">
        <f>IFERROR((VLOOKUP(Tabla13[[#This Row],[ID]],[1]!Mtto_Pesv[[#Headers],[#Data],[Placa]:[Rutina]],5,FALSE)),0)</f>
        <v>0</v>
      </c>
      <c r="AO797" s="21">
        <f>+Tabla13[[#This Row],[Km Fin]]-Tabla13[[#This Row],[Km Ini]]</f>
        <v>0</v>
      </c>
      <c r="AP797" s="20">
        <f>IFERROR((VLOOKUP(Tabla13[[#This Row],[ID]],[1]!Estilo_Conduccion[[#All],[Placa]:[Puntuacion]],15,FALSE)),0)</f>
        <v>245.6</v>
      </c>
      <c r="AQ797" s="15" t="s">
        <v>1459</v>
      </c>
      <c r="AR797" s="15" t="s">
        <v>1460</v>
      </c>
      <c r="AS797" s="20">
        <v>1300</v>
      </c>
      <c r="AT797" s="21">
        <v>9152.5</v>
      </c>
      <c r="AU797" s="21">
        <f>(Tabla13[[#This Row],[Cap Vh]]*$AX$2)*0.56</f>
        <v>0</v>
      </c>
      <c r="AV797" s="36" t="e">
        <f>(Tabla13[[#This Row],[Cap Util (kg)]]/(Tabla13[[#This Row],[Cap Inst (Kg)]]))</f>
        <v>#DIV/0!</v>
      </c>
    </row>
    <row r="798" spans="1:48" x14ac:dyDescent="0.25">
      <c r="A798" s="13" t="s">
        <v>1068</v>
      </c>
      <c r="B798" s="14" t="s">
        <v>1043</v>
      </c>
      <c r="C798" s="14" t="s">
        <v>749</v>
      </c>
      <c r="D798" s="14" t="s">
        <v>749</v>
      </c>
      <c r="E798" s="14" t="s">
        <v>897</v>
      </c>
      <c r="F798" s="14" t="s">
        <v>76</v>
      </c>
      <c r="G798" s="15" t="s">
        <v>47</v>
      </c>
      <c r="H798" s="16" t="s">
        <v>48</v>
      </c>
      <c r="I798" s="14" t="s">
        <v>49</v>
      </c>
      <c r="J798" s="14">
        <v>900335279</v>
      </c>
      <c r="K798" s="14" t="s">
        <v>77</v>
      </c>
      <c r="L798" s="14" t="s">
        <v>103</v>
      </c>
      <c r="M798" s="14" t="s">
        <v>104</v>
      </c>
      <c r="N798" s="14">
        <v>2009</v>
      </c>
      <c r="O798" s="14">
        <v>11</v>
      </c>
      <c r="P798" s="14" t="s">
        <v>53</v>
      </c>
      <c r="Q798" s="14">
        <v>0</v>
      </c>
      <c r="R798" s="14">
        <v>0</v>
      </c>
      <c r="S798" s="17" t="s">
        <v>54</v>
      </c>
      <c r="T798" s="18">
        <v>0</v>
      </c>
      <c r="U798" s="14">
        <v>30</v>
      </c>
      <c r="V798" s="19">
        <v>1</v>
      </c>
      <c r="W798" s="14">
        <v>0</v>
      </c>
      <c r="X798" s="14">
        <v>0</v>
      </c>
      <c r="Y798" s="14">
        <v>0</v>
      </c>
      <c r="Z798" s="14">
        <v>0</v>
      </c>
      <c r="AA798" s="14">
        <f>Tabla13[[#This Row],[CheckList App]]+Tabla13[[#This Row],[CheckList Fisc]]</f>
        <v>0</v>
      </c>
      <c r="AB798" s="19">
        <f t="shared" si="12"/>
        <v>0</v>
      </c>
      <c r="AC798" s="14">
        <v>0</v>
      </c>
      <c r="AD798" s="14" t="s">
        <v>70</v>
      </c>
      <c r="AE798" s="15" t="str">
        <f>IFERROR((VLOOKUP(Tabla13[[#This Row],[ID]],[1]!Mtto_Pesv[[#Headers],[#Data],[Placa]:[Rutina]],2,FALSE)),"-")</f>
        <v>-</v>
      </c>
      <c r="AF798" s="14">
        <v>1</v>
      </c>
      <c r="AG798" s="20">
        <f>IFERROR((VLOOKUP(Tabla13[[#This Row],[ID]],[1]!Mtto_Pesv[[#Headers],[#Data],[Placa]:[Rutina]],3,FALSE)),0)</f>
        <v>0</v>
      </c>
      <c r="AH798" s="20">
        <f>IFERROR((VLOOKUP(Tabla13[[#This Row],[ID]],[1]!Mtto_Pesv[[#Headers],[#Data],[Placa]:[Rutina]],7,FALSE)),0)</f>
        <v>0</v>
      </c>
      <c r="AI798" s="20">
        <f>IFERROR((VLOOKUP(Tabla13[[#This Row],[ID]],[1]!Mtto_Pesv[[#Headers],[#Data],[Placa]:[Rutina]],8,FALSE)),0)</f>
        <v>0</v>
      </c>
      <c r="AJ798" s="20" t="str">
        <f>IFERROR((VLOOKUP(Tabla13[[#This Row],[ID]],[1]!Mtto_Pesv[[#Headers],[#Data],[Placa]:[Rutina]],9,FALSE)),"-")</f>
        <v>-</v>
      </c>
      <c r="AK798" s="20">
        <f>IFERROR((VLOOKUP(Tabla13[[#This Row],[ID]],[1]!Mtto_Pesv[[#Headers],[#Data],[Placa]:[Rutina]],10,FALSE)),0)</f>
        <v>0</v>
      </c>
      <c r="AL798" s="20">
        <f>IF(Tabla13[[#This Row],[Km Anterior]]=0,0,Tabla13[[#This Row],[Km Ejecut]]-Tabla13[[#This Row],[Km Anterior]])</f>
        <v>0</v>
      </c>
      <c r="AM798" s="20">
        <f>IFERROR((VLOOKUP(Tabla13[[#This Row],[ID]],[1]!Mtto_Pesv[[#Headers],[#Data],[Placa]:[Rutina]],4,FALSE)),0)</f>
        <v>0</v>
      </c>
      <c r="AN798" s="21">
        <f>IFERROR((VLOOKUP(Tabla13[[#This Row],[ID]],[1]!Mtto_Pesv[[#Headers],[#Data],[Placa]:[Rutina]],5,FALSE)),0)</f>
        <v>0</v>
      </c>
      <c r="AO798" s="21">
        <f>+Tabla13[[#This Row],[Km Fin]]-Tabla13[[#This Row],[Km Ini]]</f>
        <v>0</v>
      </c>
      <c r="AP798" s="20">
        <f>IFERROR((VLOOKUP(Tabla13[[#This Row],[ID]],[1]!Estilo_Conduccion[[#All],[Placa]:[Puntuacion]],15,FALSE)),0)</f>
        <v>0</v>
      </c>
      <c r="AQ798" s="15" t="s">
        <v>1591</v>
      </c>
      <c r="AR798" s="15" t="s">
        <v>1592</v>
      </c>
      <c r="AS798" s="20">
        <v>1000</v>
      </c>
      <c r="AT798" s="21">
        <v>3618</v>
      </c>
      <c r="AU798" s="21">
        <f>(Tabla13[[#This Row],[Cap Vh]]*$AX$2)*0.56</f>
        <v>0</v>
      </c>
      <c r="AV798" s="36" t="e">
        <f>(Tabla13[[#This Row],[Cap Util (kg)]]/(Tabla13[[#This Row],[Cap Inst (Kg)]]))</f>
        <v>#DIV/0!</v>
      </c>
    </row>
    <row r="799" spans="1:48" x14ac:dyDescent="0.25">
      <c r="A799" s="13" t="s">
        <v>1068</v>
      </c>
      <c r="B799" s="14" t="s">
        <v>1044</v>
      </c>
      <c r="C799" s="14" t="s">
        <v>749</v>
      </c>
      <c r="D799" s="14" t="s">
        <v>749</v>
      </c>
      <c r="E799" s="14" t="s">
        <v>897</v>
      </c>
      <c r="F799" s="14" t="s">
        <v>76</v>
      </c>
      <c r="G799" s="15" t="s">
        <v>47</v>
      </c>
      <c r="H799" s="16" t="s">
        <v>48</v>
      </c>
      <c r="I799" s="14" t="s">
        <v>49</v>
      </c>
      <c r="J799" s="14">
        <v>900335279</v>
      </c>
      <c r="K799" s="14" t="s">
        <v>77</v>
      </c>
      <c r="L799" s="14" t="s">
        <v>103</v>
      </c>
      <c r="M799" s="14" t="s">
        <v>347</v>
      </c>
      <c r="N799" s="14">
        <v>2009</v>
      </c>
      <c r="O799" s="14">
        <v>11</v>
      </c>
      <c r="P799" s="14" t="s">
        <v>53</v>
      </c>
      <c r="Q799" s="14">
        <v>0</v>
      </c>
      <c r="R799" s="14">
        <v>0</v>
      </c>
      <c r="S799" s="17" t="s">
        <v>54</v>
      </c>
      <c r="T799" s="18">
        <v>0</v>
      </c>
      <c r="U799" s="14">
        <v>30</v>
      </c>
      <c r="V799" s="19">
        <v>1</v>
      </c>
      <c r="W799" s="14">
        <v>0</v>
      </c>
      <c r="X799" s="14">
        <v>0</v>
      </c>
      <c r="Y799" s="14">
        <v>0</v>
      </c>
      <c r="Z799" s="14">
        <v>0</v>
      </c>
      <c r="AA799" s="14">
        <f>Tabla13[[#This Row],[CheckList App]]+Tabla13[[#This Row],[CheckList Fisc]]</f>
        <v>0</v>
      </c>
      <c r="AB799" s="19">
        <f t="shared" si="12"/>
        <v>0</v>
      </c>
      <c r="AC799" s="14">
        <v>0</v>
      </c>
      <c r="AD799" s="14" t="s">
        <v>70</v>
      </c>
      <c r="AE799" s="15" t="str">
        <f>IFERROR((VLOOKUP(Tabla13[[#This Row],[ID]],[1]!Mtto_Pesv[[#Headers],[#Data],[Placa]:[Rutina]],2,FALSE)),"-")</f>
        <v>-</v>
      </c>
      <c r="AF799" s="14">
        <v>1</v>
      </c>
      <c r="AG799" s="20">
        <f>IFERROR((VLOOKUP(Tabla13[[#This Row],[ID]],[1]!Mtto_Pesv[[#Headers],[#Data],[Placa]:[Rutina]],3,FALSE)),0)</f>
        <v>0</v>
      </c>
      <c r="AH799" s="20">
        <f>IFERROR((VLOOKUP(Tabla13[[#This Row],[ID]],[1]!Mtto_Pesv[[#Headers],[#Data],[Placa]:[Rutina]],7,FALSE)),0)</f>
        <v>0</v>
      </c>
      <c r="AI799" s="20">
        <f>IFERROR((VLOOKUP(Tabla13[[#This Row],[ID]],[1]!Mtto_Pesv[[#Headers],[#Data],[Placa]:[Rutina]],8,FALSE)),0)</f>
        <v>0</v>
      </c>
      <c r="AJ799" s="20" t="str">
        <f>IFERROR((VLOOKUP(Tabla13[[#This Row],[ID]],[1]!Mtto_Pesv[[#Headers],[#Data],[Placa]:[Rutina]],9,FALSE)),"-")</f>
        <v>-</v>
      </c>
      <c r="AK799" s="20">
        <f>IFERROR((VLOOKUP(Tabla13[[#This Row],[ID]],[1]!Mtto_Pesv[[#Headers],[#Data],[Placa]:[Rutina]],10,FALSE)),0)</f>
        <v>0</v>
      </c>
      <c r="AL799" s="20">
        <f>IF(Tabla13[[#This Row],[Km Anterior]]=0,0,Tabla13[[#This Row],[Km Ejecut]]-Tabla13[[#This Row],[Km Anterior]])</f>
        <v>0</v>
      </c>
      <c r="AM799" s="20">
        <f>IFERROR((VLOOKUP(Tabla13[[#This Row],[ID]],[1]!Mtto_Pesv[[#Headers],[#Data],[Placa]:[Rutina]],4,FALSE)),0)</f>
        <v>0</v>
      </c>
      <c r="AN799" s="21">
        <f>IFERROR((VLOOKUP(Tabla13[[#This Row],[ID]],[1]!Mtto_Pesv[[#Headers],[#Data],[Placa]:[Rutina]],5,FALSE)),0)</f>
        <v>0</v>
      </c>
      <c r="AO799" s="21">
        <f>+Tabla13[[#This Row],[Km Fin]]-Tabla13[[#This Row],[Km Ini]]</f>
        <v>0</v>
      </c>
      <c r="AP799" s="20">
        <f>IFERROR((VLOOKUP(Tabla13[[#This Row],[ID]],[1]!Estilo_Conduccion[[#All],[Placa]:[Puntuacion]],15,FALSE)),0)</f>
        <v>0</v>
      </c>
      <c r="AQ799" s="15" t="s">
        <v>1591</v>
      </c>
      <c r="AR799" s="15" t="s">
        <v>1592</v>
      </c>
      <c r="AS799" s="20">
        <v>2000</v>
      </c>
      <c r="AT799" s="21">
        <v>3618</v>
      </c>
      <c r="AU799" s="21">
        <f>(Tabla13[[#This Row],[Cap Vh]]*$AX$2)*0.56</f>
        <v>0</v>
      </c>
      <c r="AV799" s="36" t="e">
        <f>(Tabla13[[#This Row],[Cap Util (kg)]]/(Tabla13[[#This Row],[Cap Inst (Kg)]]))</f>
        <v>#DIV/0!</v>
      </c>
    </row>
    <row r="800" spans="1:48" x14ac:dyDescent="0.25">
      <c r="A800" s="13" t="s">
        <v>1068</v>
      </c>
      <c r="B800" s="14" t="s">
        <v>1045</v>
      </c>
      <c r="C800" s="14" t="s">
        <v>749</v>
      </c>
      <c r="D800" s="14" t="s">
        <v>749</v>
      </c>
      <c r="E800" s="14" t="s">
        <v>842</v>
      </c>
      <c r="F800" s="14" t="s">
        <v>76</v>
      </c>
      <c r="G800" s="15" t="s">
        <v>47</v>
      </c>
      <c r="H800" s="16" t="s">
        <v>48</v>
      </c>
      <c r="I800" s="14" t="s">
        <v>49</v>
      </c>
      <c r="J800" s="14">
        <v>900335279</v>
      </c>
      <c r="K800" s="14" t="s">
        <v>77</v>
      </c>
      <c r="L800" s="14" t="s">
        <v>103</v>
      </c>
      <c r="M800" s="14" t="s">
        <v>347</v>
      </c>
      <c r="N800" s="14">
        <v>2009</v>
      </c>
      <c r="O800" s="14">
        <v>11</v>
      </c>
      <c r="P800" s="14" t="s">
        <v>53</v>
      </c>
      <c r="Q800" s="14">
        <v>0</v>
      </c>
      <c r="R800" s="14">
        <v>0</v>
      </c>
      <c r="S800" s="17" t="s">
        <v>54</v>
      </c>
      <c r="T800" s="18">
        <v>0</v>
      </c>
      <c r="U800" s="14">
        <v>30</v>
      </c>
      <c r="V800" s="19">
        <v>1</v>
      </c>
      <c r="W800" s="14">
        <v>0</v>
      </c>
      <c r="X800" s="14">
        <v>0</v>
      </c>
      <c r="Y800" s="14">
        <v>0</v>
      </c>
      <c r="Z800" s="14">
        <v>0</v>
      </c>
      <c r="AA800" s="14">
        <f>Tabla13[[#This Row],[CheckList App]]+Tabla13[[#This Row],[CheckList Fisc]]</f>
        <v>0</v>
      </c>
      <c r="AB800" s="19">
        <f t="shared" si="12"/>
        <v>0</v>
      </c>
      <c r="AC800" s="14">
        <v>0</v>
      </c>
      <c r="AD800" s="14" t="s">
        <v>55</v>
      </c>
      <c r="AE800" s="15" t="str">
        <f>IFERROR((VLOOKUP(Tabla13[[#This Row],[ID]],[1]!Mtto_Pesv[[#Headers],[#Data],[Placa]:[Rutina]],2,FALSE)),"-")</f>
        <v>-</v>
      </c>
      <c r="AF800" s="14">
        <v>0</v>
      </c>
      <c r="AG800" s="20">
        <f>IFERROR((VLOOKUP(Tabla13[[#This Row],[ID]],[1]!Mtto_Pesv[[#Headers],[#Data],[Placa]:[Rutina]],3,FALSE)),0)</f>
        <v>0</v>
      </c>
      <c r="AH800" s="20">
        <f>IFERROR((VLOOKUP(Tabla13[[#This Row],[ID]],[1]!Mtto_Pesv[[#Headers],[#Data],[Placa]:[Rutina]],7,FALSE)),0)</f>
        <v>0</v>
      </c>
      <c r="AI800" s="20">
        <f>IFERROR((VLOOKUP(Tabla13[[#This Row],[ID]],[1]!Mtto_Pesv[[#Headers],[#Data],[Placa]:[Rutina]],8,FALSE)),0)</f>
        <v>0</v>
      </c>
      <c r="AJ800" s="20" t="str">
        <f>IFERROR((VLOOKUP(Tabla13[[#This Row],[ID]],[1]!Mtto_Pesv[[#Headers],[#Data],[Placa]:[Rutina]],9,FALSE)),"-")</f>
        <v>-</v>
      </c>
      <c r="AK800" s="20">
        <f>IFERROR((VLOOKUP(Tabla13[[#This Row],[ID]],[1]!Mtto_Pesv[[#Headers],[#Data],[Placa]:[Rutina]],10,FALSE)),0)</f>
        <v>0</v>
      </c>
      <c r="AL800" s="20">
        <f>IF(Tabla13[[#This Row],[Km Anterior]]=0,0,Tabla13[[#This Row],[Km Ejecut]]-Tabla13[[#This Row],[Km Anterior]])</f>
        <v>0</v>
      </c>
      <c r="AM800" s="20">
        <f>IFERROR((VLOOKUP(Tabla13[[#This Row],[ID]],[1]!Mtto_Pesv[[#Headers],[#Data],[Placa]:[Rutina]],4,FALSE)),0)</f>
        <v>0</v>
      </c>
      <c r="AN800" s="21">
        <f>IFERROR((VLOOKUP(Tabla13[[#This Row],[ID]],[1]!Mtto_Pesv[[#Headers],[#Data],[Placa]:[Rutina]],5,FALSE)),0)</f>
        <v>0</v>
      </c>
      <c r="AO800" s="21">
        <f>+Tabla13[[#This Row],[Km Fin]]-Tabla13[[#This Row],[Km Ini]]</f>
        <v>0</v>
      </c>
      <c r="AP800" s="20">
        <f>IFERROR((VLOOKUP(Tabla13[[#This Row],[ID]],[1]!Estilo_Conduccion[[#All],[Placa]:[Puntuacion]],15,FALSE)),0)</f>
        <v>0</v>
      </c>
      <c r="AQ800" s="15" t="s">
        <v>1069</v>
      </c>
      <c r="AR800" s="15" t="s">
        <v>843</v>
      </c>
      <c r="AS800" s="20">
        <v>2000</v>
      </c>
      <c r="AT800" s="21">
        <v>0</v>
      </c>
      <c r="AU800" s="21">
        <f>(Tabla13[[#This Row],[Cap Vh]]*$AX$2)*0.56</f>
        <v>0</v>
      </c>
      <c r="AV800" s="36" t="e">
        <f>(Tabla13[[#This Row],[Cap Util (kg)]]/(Tabla13[[#This Row],[Cap Inst (Kg)]]))</f>
        <v>#DIV/0!</v>
      </c>
    </row>
    <row r="801" spans="1:48" x14ac:dyDescent="0.25">
      <c r="A801" s="13" t="s">
        <v>1068</v>
      </c>
      <c r="B801" s="14" t="s">
        <v>1046</v>
      </c>
      <c r="C801" s="14" t="s">
        <v>749</v>
      </c>
      <c r="D801" s="14" t="s">
        <v>749</v>
      </c>
      <c r="E801" s="14" t="s">
        <v>840</v>
      </c>
      <c r="F801" s="14" t="s">
        <v>76</v>
      </c>
      <c r="G801" s="15" t="s">
        <v>47</v>
      </c>
      <c r="H801" s="16" t="s">
        <v>48</v>
      </c>
      <c r="I801" s="14" t="s">
        <v>49</v>
      </c>
      <c r="J801" s="14">
        <v>900335279</v>
      </c>
      <c r="K801" s="14" t="s">
        <v>77</v>
      </c>
      <c r="L801" s="14" t="s">
        <v>103</v>
      </c>
      <c r="M801" s="14" t="s">
        <v>347</v>
      </c>
      <c r="N801" s="14">
        <v>2009</v>
      </c>
      <c r="O801" s="14">
        <v>11</v>
      </c>
      <c r="P801" s="14" t="s">
        <v>53</v>
      </c>
      <c r="Q801" s="14">
        <v>0</v>
      </c>
      <c r="R801" s="14">
        <v>0</v>
      </c>
      <c r="S801" s="17" t="s">
        <v>54</v>
      </c>
      <c r="T801" s="18">
        <v>0</v>
      </c>
      <c r="U801" s="14">
        <v>30</v>
      </c>
      <c r="V801" s="19">
        <v>1</v>
      </c>
      <c r="W801" s="14">
        <v>0</v>
      </c>
      <c r="X801" s="14">
        <v>0</v>
      </c>
      <c r="Y801" s="14">
        <v>0</v>
      </c>
      <c r="Z801" s="14">
        <v>0</v>
      </c>
      <c r="AA801" s="14">
        <f>Tabla13[[#This Row],[CheckList App]]+Tabla13[[#This Row],[CheckList Fisc]]</f>
        <v>0</v>
      </c>
      <c r="AB801" s="19">
        <f t="shared" si="12"/>
        <v>0</v>
      </c>
      <c r="AC801" s="14">
        <v>0</v>
      </c>
      <c r="AD801" s="14" t="s">
        <v>70</v>
      </c>
      <c r="AE801" s="15" t="str">
        <f>IFERROR((VLOOKUP(Tabla13[[#This Row],[ID]],[1]!Mtto_Pesv[[#Headers],[#Data],[Placa]:[Rutina]],2,FALSE)),"-")</f>
        <v>-</v>
      </c>
      <c r="AF801" s="14">
        <v>1</v>
      </c>
      <c r="AG801" s="20">
        <f>IFERROR((VLOOKUP(Tabla13[[#This Row],[ID]],[1]!Mtto_Pesv[[#Headers],[#Data],[Placa]:[Rutina]],3,FALSE)),0)</f>
        <v>0</v>
      </c>
      <c r="AH801" s="20">
        <f>IFERROR((VLOOKUP(Tabla13[[#This Row],[ID]],[1]!Mtto_Pesv[[#Headers],[#Data],[Placa]:[Rutina]],7,FALSE)),0)</f>
        <v>0</v>
      </c>
      <c r="AI801" s="20">
        <f>IFERROR((VLOOKUP(Tabla13[[#This Row],[ID]],[1]!Mtto_Pesv[[#Headers],[#Data],[Placa]:[Rutina]],8,FALSE)),0)</f>
        <v>0</v>
      </c>
      <c r="AJ801" s="20" t="str">
        <f>IFERROR((VLOOKUP(Tabla13[[#This Row],[ID]],[1]!Mtto_Pesv[[#Headers],[#Data],[Placa]:[Rutina]],9,FALSE)),"-")</f>
        <v>-</v>
      </c>
      <c r="AK801" s="20">
        <f>IFERROR((VLOOKUP(Tabla13[[#This Row],[ID]],[1]!Mtto_Pesv[[#Headers],[#Data],[Placa]:[Rutina]],10,FALSE)),0)</f>
        <v>0</v>
      </c>
      <c r="AL801" s="20">
        <f>IF(Tabla13[[#This Row],[Km Anterior]]=0,0,Tabla13[[#This Row],[Km Ejecut]]-Tabla13[[#This Row],[Km Anterior]])</f>
        <v>0</v>
      </c>
      <c r="AM801" s="20">
        <f>IFERROR((VLOOKUP(Tabla13[[#This Row],[ID]],[1]!Mtto_Pesv[[#Headers],[#Data],[Placa]:[Rutina]],4,FALSE)),0)</f>
        <v>0</v>
      </c>
      <c r="AN801" s="21">
        <f>IFERROR((VLOOKUP(Tabla13[[#This Row],[ID]],[1]!Mtto_Pesv[[#Headers],[#Data],[Placa]:[Rutina]],5,FALSE)),0)</f>
        <v>0</v>
      </c>
      <c r="AO801" s="21">
        <f>+Tabla13[[#This Row],[Km Fin]]-Tabla13[[#This Row],[Km Ini]]</f>
        <v>0</v>
      </c>
      <c r="AP801" s="20">
        <f>IFERROR((VLOOKUP(Tabla13[[#This Row],[ID]],[1]!Estilo_Conduccion[[#All],[Placa]:[Puntuacion]],15,FALSE)),0)</f>
        <v>0</v>
      </c>
      <c r="AQ801" s="15" t="s">
        <v>1526</v>
      </c>
      <c r="AR801" s="15" t="s">
        <v>1527</v>
      </c>
      <c r="AS801" s="20">
        <v>2000</v>
      </c>
      <c r="AT801" s="21">
        <v>4015.0714285714284</v>
      </c>
      <c r="AU801" s="21">
        <f>(Tabla13[[#This Row],[Cap Vh]]*$AX$2)*0.56</f>
        <v>0</v>
      </c>
      <c r="AV801" s="36" t="e">
        <f>(Tabla13[[#This Row],[Cap Util (kg)]]/(Tabla13[[#This Row],[Cap Inst (Kg)]]))</f>
        <v>#DIV/0!</v>
      </c>
    </row>
    <row r="802" spans="1:48" x14ac:dyDescent="0.25">
      <c r="A802" s="13" t="s">
        <v>1068</v>
      </c>
      <c r="B802" s="14" t="s">
        <v>1047</v>
      </c>
      <c r="C802" s="14" t="s">
        <v>749</v>
      </c>
      <c r="D802" s="14" t="s">
        <v>749</v>
      </c>
      <c r="E802" s="14" t="s">
        <v>840</v>
      </c>
      <c r="F802" s="14" t="s">
        <v>76</v>
      </c>
      <c r="G802" s="15" t="s">
        <v>47</v>
      </c>
      <c r="H802" s="16" t="s">
        <v>48</v>
      </c>
      <c r="I802" s="14" t="s">
        <v>49</v>
      </c>
      <c r="J802" s="14">
        <v>900335279</v>
      </c>
      <c r="K802" s="14" t="s">
        <v>77</v>
      </c>
      <c r="L802" s="14" t="s">
        <v>103</v>
      </c>
      <c r="M802" s="14" t="s">
        <v>347</v>
      </c>
      <c r="N802" s="14">
        <v>2009</v>
      </c>
      <c r="O802" s="14">
        <v>11</v>
      </c>
      <c r="P802" s="14" t="s">
        <v>53</v>
      </c>
      <c r="Q802" s="14">
        <v>0</v>
      </c>
      <c r="R802" s="14">
        <v>0</v>
      </c>
      <c r="S802" s="17" t="s">
        <v>54</v>
      </c>
      <c r="T802" s="18">
        <v>0</v>
      </c>
      <c r="U802" s="14">
        <v>30</v>
      </c>
      <c r="V802" s="19">
        <v>1</v>
      </c>
      <c r="W802" s="14">
        <v>0</v>
      </c>
      <c r="X802" s="14">
        <v>0</v>
      </c>
      <c r="Y802" s="14">
        <v>0</v>
      </c>
      <c r="Z802" s="14">
        <v>0</v>
      </c>
      <c r="AA802" s="14">
        <f>Tabla13[[#This Row],[CheckList App]]+Tabla13[[#This Row],[CheckList Fisc]]</f>
        <v>0</v>
      </c>
      <c r="AB802" s="19">
        <f t="shared" si="12"/>
        <v>0</v>
      </c>
      <c r="AC802" s="14">
        <v>0</v>
      </c>
      <c r="AD802" s="14" t="s">
        <v>55</v>
      </c>
      <c r="AE802" s="15" t="str">
        <f>IFERROR((VLOOKUP(Tabla13[[#This Row],[ID]],[1]!Mtto_Pesv[[#Headers],[#Data],[Placa]:[Rutina]],2,FALSE)),"-")</f>
        <v>-</v>
      </c>
      <c r="AF802" s="14">
        <v>0</v>
      </c>
      <c r="AG802" s="20">
        <f>IFERROR((VLOOKUP(Tabla13[[#This Row],[ID]],[1]!Mtto_Pesv[[#Headers],[#Data],[Placa]:[Rutina]],3,FALSE)),0)</f>
        <v>0</v>
      </c>
      <c r="AH802" s="20">
        <f>IFERROR((VLOOKUP(Tabla13[[#This Row],[ID]],[1]!Mtto_Pesv[[#Headers],[#Data],[Placa]:[Rutina]],7,FALSE)),0)</f>
        <v>0</v>
      </c>
      <c r="AI802" s="20">
        <f>IFERROR((VLOOKUP(Tabla13[[#This Row],[ID]],[1]!Mtto_Pesv[[#Headers],[#Data],[Placa]:[Rutina]],8,FALSE)),0)</f>
        <v>0</v>
      </c>
      <c r="AJ802" s="20" t="str">
        <f>IFERROR((VLOOKUP(Tabla13[[#This Row],[ID]],[1]!Mtto_Pesv[[#Headers],[#Data],[Placa]:[Rutina]],9,FALSE)),"-")</f>
        <v>-</v>
      </c>
      <c r="AK802" s="20">
        <f>IFERROR((VLOOKUP(Tabla13[[#This Row],[ID]],[1]!Mtto_Pesv[[#Headers],[#Data],[Placa]:[Rutina]],10,FALSE)),0)</f>
        <v>0</v>
      </c>
      <c r="AL802" s="20">
        <f>IF(Tabla13[[#This Row],[Km Anterior]]=0,0,Tabla13[[#This Row],[Km Ejecut]]-Tabla13[[#This Row],[Km Anterior]])</f>
        <v>0</v>
      </c>
      <c r="AM802" s="20">
        <f>IFERROR((VLOOKUP(Tabla13[[#This Row],[ID]],[1]!Mtto_Pesv[[#Headers],[#Data],[Placa]:[Rutina]],4,FALSE)),0)</f>
        <v>0</v>
      </c>
      <c r="AN802" s="21">
        <f>IFERROR((VLOOKUP(Tabla13[[#This Row],[ID]],[1]!Mtto_Pesv[[#Headers],[#Data],[Placa]:[Rutina]],5,FALSE)),0)</f>
        <v>0</v>
      </c>
      <c r="AO802" s="21">
        <f>+Tabla13[[#This Row],[Km Fin]]-Tabla13[[#This Row],[Km Ini]]</f>
        <v>0</v>
      </c>
      <c r="AP802" s="20">
        <f>IFERROR((VLOOKUP(Tabla13[[#This Row],[ID]],[1]!Estilo_Conduccion[[#All],[Placa]:[Puntuacion]],15,FALSE)),0)</f>
        <v>0</v>
      </c>
      <c r="AQ802" s="15" t="s">
        <v>1069</v>
      </c>
      <c r="AR802" s="15" t="s">
        <v>927</v>
      </c>
      <c r="AS802" s="20">
        <v>1000</v>
      </c>
      <c r="AT802" s="21">
        <v>0</v>
      </c>
      <c r="AU802" s="21">
        <f>(Tabla13[[#This Row],[Cap Vh]]*$AX$2)*0.56</f>
        <v>0</v>
      </c>
      <c r="AV802" s="36" t="e">
        <f>(Tabla13[[#This Row],[Cap Util (kg)]]/(Tabla13[[#This Row],[Cap Inst (Kg)]]))</f>
        <v>#DIV/0!</v>
      </c>
    </row>
    <row r="803" spans="1:48" x14ac:dyDescent="0.25">
      <c r="A803" s="13" t="s">
        <v>1068</v>
      </c>
      <c r="B803" s="14" t="s">
        <v>1048</v>
      </c>
      <c r="C803" s="14" t="s">
        <v>749</v>
      </c>
      <c r="D803" s="14" t="s">
        <v>749</v>
      </c>
      <c r="E803" s="14" t="s">
        <v>842</v>
      </c>
      <c r="F803" s="14" t="s">
        <v>76</v>
      </c>
      <c r="G803" s="15" t="s">
        <v>89</v>
      </c>
      <c r="H803" s="16" t="s">
        <v>90</v>
      </c>
      <c r="I803" s="14" t="s">
        <v>49</v>
      </c>
      <c r="J803" s="14">
        <v>900335279</v>
      </c>
      <c r="K803" s="14" t="s">
        <v>77</v>
      </c>
      <c r="L803" s="14" t="s">
        <v>103</v>
      </c>
      <c r="M803" s="14" t="s">
        <v>121</v>
      </c>
      <c r="N803" s="14">
        <v>2009</v>
      </c>
      <c r="O803" s="14">
        <v>11</v>
      </c>
      <c r="P803" s="14" t="s">
        <v>53</v>
      </c>
      <c r="Q803" s="14">
        <v>0</v>
      </c>
      <c r="R803" s="14">
        <v>0</v>
      </c>
      <c r="S803" s="17" t="s">
        <v>54</v>
      </c>
      <c r="T803" s="18">
        <v>0</v>
      </c>
      <c r="U803" s="14">
        <v>30</v>
      </c>
      <c r="V803" s="19">
        <v>1</v>
      </c>
      <c r="W803" s="14">
        <v>0</v>
      </c>
      <c r="X803" s="14">
        <v>0</v>
      </c>
      <c r="Y803" s="14">
        <v>0</v>
      </c>
      <c r="Z803" s="14">
        <v>0</v>
      </c>
      <c r="AA803" s="14">
        <f>Tabla13[[#This Row],[CheckList App]]+Tabla13[[#This Row],[CheckList Fisc]]</f>
        <v>0</v>
      </c>
      <c r="AB803" s="19">
        <f t="shared" si="12"/>
        <v>0</v>
      </c>
      <c r="AC803" s="14">
        <v>0</v>
      </c>
      <c r="AD803" s="14" t="s">
        <v>70</v>
      </c>
      <c r="AE803" s="15" t="str">
        <f>IFERROR((VLOOKUP(Tabla13[[#This Row],[ID]],[1]!Mtto_Pesv[[#Headers],[#Data],[Placa]:[Rutina]],2,FALSE)),"-")</f>
        <v>-</v>
      </c>
      <c r="AF803" s="14">
        <v>1</v>
      </c>
      <c r="AG803" s="20">
        <f>IFERROR((VLOOKUP(Tabla13[[#This Row],[ID]],[1]!Mtto_Pesv[[#Headers],[#Data],[Placa]:[Rutina]],3,FALSE)),0)</f>
        <v>0</v>
      </c>
      <c r="AH803" s="20">
        <f>IFERROR((VLOOKUP(Tabla13[[#This Row],[ID]],[1]!Mtto_Pesv[[#Headers],[#Data],[Placa]:[Rutina]],7,FALSE)),0)</f>
        <v>0</v>
      </c>
      <c r="AI803" s="20">
        <f>IFERROR((VLOOKUP(Tabla13[[#This Row],[ID]],[1]!Mtto_Pesv[[#Headers],[#Data],[Placa]:[Rutina]],8,FALSE)),0)</f>
        <v>0</v>
      </c>
      <c r="AJ803" s="20" t="str">
        <f>IFERROR((VLOOKUP(Tabla13[[#This Row],[ID]],[1]!Mtto_Pesv[[#Headers],[#Data],[Placa]:[Rutina]],9,FALSE)),"-")</f>
        <v>-</v>
      </c>
      <c r="AK803" s="20">
        <f>IFERROR((VLOOKUP(Tabla13[[#This Row],[ID]],[1]!Mtto_Pesv[[#Headers],[#Data],[Placa]:[Rutina]],10,FALSE)),0)</f>
        <v>0</v>
      </c>
      <c r="AL803" s="20">
        <f>IF(Tabla13[[#This Row],[Km Anterior]]=0,0,Tabla13[[#This Row],[Km Ejecut]]-Tabla13[[#This Row],[Km Anterior]])</f>
        <v>0</v>
      </c>
      <c r="AM803" s="20">
        <f>IFERROR((VLOOKUP(Tabla13[[#This Row],[ID]],[1]!Mtto_Pesv[[#Headers],[#Data],[Placa]:[Rutina]],4,FALSE)),0)</f>
        <v>0</v>
      </c>
      <c r="AN803" s="21">
        <f>IFERROR((VLOOKUP(Tabla13[[#This Row],[ID]],[1]!Mtto_Pesv[[#Headers],[#Data],[Placa]:[Rutina]],5,FALSE)),0)</f>
        <v>0</v>
      </c>
      <c r="AO803" s="21">
        <f>+Tabla13[[#This Row],[Km Fin]]-Tabla13[[#This Row],[Km Ini]]</f>
        <v>0</v>
      </c>
      <c r="AP803" s="20">
        <f>IFERROR((VLOOKUP(Tabla13[[#This Row],[ID]],[1]!Estilo_Conduccion[[#All],[Placa]:[Puntuacion]],15,FALSE)),0)</f>
        <v>0</v>
      </c>
      <c r="AQ803" s="15" t="s">
        <v>1500</v>
      </c>
      <c r="AR803" s="15" t="s">
        <v>1501</v>
      </c>
      <c r="AS803" s="20">
        <v>4000</v>
      </c>
      <c r="AT803" s="21">
        <v>7888.7142857142853</v>
      </c>
      <c r="AU803" s="21">
        <f>(Tabla13[[#This Row],[Cap Vh]]*$AX$2)*0.56</f>
        <v>0</v>
      </c>
      <c r="AV803" s="36" t="e">
        <f>(Tabla13[[#This Row],[Cap Util (kg)]]/(Tabla13[[#This Row],[Cap Inst (Kg)]]))</f>
        <v>#DIV/0!</v>
      </c>
    </row>
    <row r="804" spans="1:48" x14ac:dyDescent="0.25">
      <c r="A804" s="13" t="s">
        <v>1068</v>
      </c>
      <c r="B804" s="14" t="s">
        <v>1049</v>
      </c>
      <c r="C804" s="14" t="s">
        <v>749</v>
      </c>
      <c r="D804" s="14" t="s">
        <v>749</v>
      </c>
      <c r="E804" s="13" t="s">
        <v>848</v>
      </c>
      <c r="F804" s="14" t="s">
        <v>64</v>
      </c>
      <c r="G804" s="15" t="s">
        <v>182</v>
      </c>
      <c r="H804" s="13" t="s">
        <v>183</v>
      </c>
      <c r="I804" s="14" t="s">
        <v>49</v>
      </c>
      <c r="J804" s="14">
        <v>901253015</v>
      </c>
      <c r="K804" s="14" t="s">
        <v>185</v>
      </c>
      <c r="L804" s="14" t="s">
        <v>103</v>
      </c>
      <c r="M804" s="14" t="s">
        <v>104</v>
      </c>
      <c r="N804" s="14">
        <v>2022</v>
      </c>
      <c r="O804" s="14">
        <v>1</v>
      </c>
      <c r="P804" s="14" t="s">
        <v>105</v>
      </c>
      <c r="Q804" s="14">
        <v>1</v>
      </c>
      <c r="R804" s="14">
        <v>0</v>
      </c>
      <c r="S804" s="17" t="s">
        <v>54</v>
      </c>
      <c r="T804" s="18">
        <v>0</v>
      </c>
      <c r="U804" s="37">
        <v>30</v>
      </c>
      <c r="V804" s="19">
        <v>1</v>
      </c>
      <c r="W804" s="14">
        <v>0</v>
      </c>
      <c r="X804" s="14">
        <v>30</v>
      </c>
      <c r="Y804" s="14">
        <v>30</v>
      </c>
      <c r="Z804" s="14">
        <v>0</v>
      </c>
      <c r="AA804" s="14">
        <f>Tabla13[[#This Row],[CheckList App]]+Tabla13[[#This Row],[CheckList Fisc]]</f>
        <v>30</v>
      </c>
      <c r="AB804" s="19">
        <f t="shared" si="12"/>
        <v>1</v>
      </c>
      <c r="AC804" s="14">
        <v>0</v>
      </c>
      <c r="AD804" s="14" t="s">
        <v>70</v>
      </c>
      <c r="AE804" s="15" t="str">
        <f>IFERROR((VLOOKUP(Tabla13[[#This Row],[ID]],[1]!Mtto_Pesv[[#Headers],[#Data],[Placa]:[Rutina]],2,FALSE)),"-")</f>
        <v>-</v>
      </c>
      <c r="AF804" s="14">
        <v>1</v>
      </c>
      <c r="AG804" s="20">
        <f>IFERROR((VLOOKUP(Tabla13[[#This Row],[ID]],[1]!Mtto_Pesv[[#Headers],[#Data],[Placa]:[Rutina]],3,FALSE)),0)</f>
        <v>0</v>
      </c>
      <c r="AH804" s="20">
        <f>IFERROR((VLOOKUP(Tabla13[[#This Row],[ID]],[1]!Mtto_Pesv[[#Headers],[#Data],[Placa]:[Rutina]],7,FALSE)),0)</f>
        <v>0</v>
      </c>
      <c r="AI804" s="20">
        <f>IFERROR((VLOOKUP(Tabla13[[#This Row],[ID]],[1]!Mtto_Pesv[[#Headers],[#Data],[Placa]:[Rutina]],8,FALSE)),0)</f>
        <v>0</v>
      </c>
      <c r="AJ804" s="20" t="str">
        <f>IFERROR((VLOOKUP(Tabla13[[#This Row],[ID]],[1]!Mtto_Pesv[[#Headers],[#Data],[Placa]:[Rutina]],9,FALSE)),"-")</f>
        <v>-</v>
      </c>
      <c r="AK804" s="20">
        <f>IFERROR((VLOOKUP(Tabla13[[#This Row],[ID]],[1]!Mtto_Pesv[[#Headers],[#Data],[Placa]:[Rutina]],10,FALSE)),0)</f>
        <v>0</v>
      </c>
      <c r="AL804" s="20">
        <f>IF(Tabla13[[#This Row],[Km Anterior]]=0,0,Tabla13[[#This Row],[Km Ejecut]]-Tabla13[[#This Row],[Km Anterior]])</f>
        <v>0</v>
      </c>
      <c r="AM804" s="20">
        <f>IFERROR((VLOOKUP(Tabla13[[#This Row],[ID]],[1]!Mtto_Pesv[[#Headers],[#Data],[Placa]:[Rutina]],4,FALSE)),0)</f>
        <v>0</v>
      </c>
      <c r="AN804" s="21">
        <f>IFERROR((VLOOKUP(Tabla13[[#This Row],[ID]],[1]!Mtto_Pesv[[#Headers],[#Data],[Placa]:[Rutina]],5,FALSE)),0)</f>
        <v>0</v>
      </c>
      <c r="AO804" s="21">
        <f>+Tabla13[[#This Row],[Km Fin]]-Tabla13[[#This Row],[Km Ini]]</f>
        <v>0</v>
      </c>
      <c r="AP804" s="20">
        <f>IFERROR((VLOOKUP(Tabla13[[#This Row],[ID]],[1]!Estilo_Conduccion[[#All],[Placa]:[Puntuacion]],15,FALSE)),0)</f>
        <v>535.69999999999993</v>
      </c>
      <c r="AQ804" s="15" t="s">
        <v>54</v>
      </c>
      <c r="AR804" s="15" t="s">
        <v>1593</v>
      </c>
      <c r="AS804" s="20">
        <v>1650</v>
      </c>
      <c r="AT804" s="21">
        <v>0</v>
      </c>
      <c r="AU804" s="21">
        <f>(Tabla13[[#This Row],[Cap Vh]]*$AX$2)*0.56</f>
        <v>0</v>
      </c>
      <c r="AV804" s="36" t="e">
        <f>(Tabla13[[#This Row],[Cap Util (kg)]]/(Tabla13[[#This Row],[Cap Inst (Kg)]]))</f>
        <v>#DIV/0!</v>
      </c>
    </row>
    <row r="805" spans="1:48" x14ac:dyDescent="0.25">
      <c r="A805" s="13" t="s">
        <v>1068</v>
      </c>
      <c r="B805" s="14" t="s">
        <v>1050</v>
      </c>
      <c r="C805" s="14" t="s">
        <v>749</v>
      </c>
      <c r="D805" s="14" t="s">
        <v>749</v>
      </c>
      <c r="E805" s="14" t="s">
        <v>845</v>
      </c>
      <c r="F805" s="14" t="s">
        <v>64</v>
      </c>
      <c r="G805" s="15" t="s">
        <v>182</v>
      </c>
      <c r="H805" s="13" t="s">
        <v>183</v>
      </c>
      <c r="I805" s="14" t="s">
        <v>49</v>
      </c>
      <c r="J805" s="14">
        <v>901253015</v>
      </c>
      <c r="K805" s="14" t="s">
        <v>185</v>
      </c>
      <c r="L805" s="14" t="s">
        <v>103</v>
      </c>
      <c r="M805" s="14" t="s">
        <v>104</v>
      </c>
      <c r="N805" s="14">
        <v>2022</v>
      </c>
      <c r="O805" s="14">
        <v>1</v>
      </c>
      <c r="P805" s="14" t="s">
        <v>105</v>
      </c>
      <c r="Q805" s="14">
        <v>1</v>
      </c>
      <c r="R805" s="14">
        <v>0</v>
      </c>
      <c r="S805" s="17" t="s">
        <v>54</v>
      </c>
      <c r="T805" s="18">
        <v>0</v>
      </c>
      <c r="U805" s="37">
        <v>30</v>
      </c>
      <c r="V805" s="19">
        <v>1</v>
      </c>
      <c r="W805" s="14">
        <v>0</v>
      </c>
      <c r="X805" s="14">
        <v>28</v>
      </c>
      <c r="Y805" s="14">
        <v>28</v>
      </c>
      <c r="Z805" s="14">
        <v>0</v>
      </c>
      <c r="AA805" s="14">
        <f>Tabla13[[#This Row],[CheckList App]]+Tabla13[[#This Row],[CheckList Fisc]]</f>
        <v>28</v>
      </c>
      <c r="AB805" s="19">
        <f t="shared" si="12"/>
        <v>1</v>
      </c>
      <c r="AC805" s="14">
        <v>0</v>
      </c>
      <c r="AD805" s="14" t="s">
        <v>70</v>
      </c>
      <c r="AE805" s="15" t="str">
        <f>IFERROR((VLOOKUP(Tabla13[[#This Row],[ID]],[1]!Mtto_Pesv[[#Headers],[#Data],[Placa]:[Rutina]],2,FALSE)),"-")</f>
        <v>-</v>
      </c>
      <c r="AF805" s="14">
        <v>1</v>
      </c>
      <c r="AG805" s="20">
        <f>IFERROR((VLOOKUP(Tabla13[[#This Row],[ID]],[1]!Mtto_Pesv[[#Headers],[#Data],[Placa]:[Rutina]],3,FALSE)),0)</f>
        <v>0</v>
      </c>
      <c r="AH805" s="20">
        <f>IFERROR((VLOOKUP(Tabla13[[#This Row],[ID]],[1]!Mtto_Pesv[[#Headers],[#Data],[Placa]:[Rutina]],7,FALSE)),0)</f>
        <v>0</v>
      </c>
      <c r="AI805" s="20">
        <f>IFERROR((VLOOKUP(Tabla13[[#This Row],[ID]],[1]!Mtto_Pesv[[#Headers],[#Data],[Placa]:[Rutina]],8,FALSE)),0)</f>
        <v>0</v>
      </c>
      <c r="AJ805" s="20" t="str">
        <f>IFERROR((VLOOKUP(Tabla13[[#This Row],[ID]],[1]!Mtto_Pesv[[#Headers],[#Data],[Placa]:[Rutina]],9,FALSE)),"-")</f>
        <v>-</v>
      </c>
      <c r="AK805" s="20">
        <f>IFERROR((VLOOKUP(Tabla13[[#This Row],[ID]],[1]!Mtto_Pesv[[#Headers],[#Data],[Placa]:[Rutina]],10,FALSE)),0)</f>
        <v>0</v>
      </c>
      <c r="AL805" s="20">
        <f>IF(Tabla13[[#This Row],[Km Anterior]]=0,0,Tabla13[[#This Row],[Km Ejecut]]-Tabla13[[#This Row],[Km Anterior]])</f>
        <v>0</v>
      </c>
      <c r="AM805" s="20">
        <f>IFERROR((VLOOKUP(Tabla13[[#This Row],[ID]],[1]!Mtto_Pesv[[#Headers],[#Data],[Placa]:[Rutina]],4,FALSE)),0)</f>
        <v>0</v>
      </c>
      <c r="AN805" s="21">
        <f>IFERROR((VLOOKUP(Tabla13[[#This Row],[ID]],[1]!Mtto_Pesv[[#Headers],[#Data],[Placa]:[Rutina]],5,FALSE)),0)</f>
        <v>0</v>
      </c>
      <c r="AO805" s="21">
        <f>+Tabla13[[#This Row],[Km Fin]]-Tabla13[[#This Row],[Km Ini]]</f>
        <v>0</v>
      </c>
      <c r="AP805" s="20">
        <f>IFERROR((VLOOKUP(Tabla13[[#This Row],[ID]],[1]!Estilo_Conduccion[[#All],[Placa]:[Puntuacion]],15,FALSE)),0)</f>
        <v>1967.3000000000002</v>
      </c>
      <c r="AQ805" s="15" t="s">
        <v>54</v>
      </c>
      <c r="AR805" s="15" t="s">
        <v>903</v>
      </c>
      <c r="AS805" s="20">
        <v>1650</v>
      </c>
      <c r="AT805" s="21">
        <v>0</v>
      </c>
      <c r="AU805" s="21">
        <f>(Tabla13[[#This Row],[Cap Vh]]*$AX$2)*0.56</f>
        <v>0</v>
      </c>
      <c r="AV805" s="36" t="e">
        <f>(Tabla13[[#This Row],[Cap Util (kg)]]/(Tabla13[[#This Row],[Cap Inst (Kg)]]))</f>
        <v>#DIV/0!</v>
      </c>
    </row>
    <row r="806" spans="1:48" x14ac:dyDescent="0.25">
      <c r="A806" s="13" t="s">
        <v>1068</v>
      </c>
      <c r="B806" s="14" t="s">
        <v>1051</v>
      </c>
      <c r="C806" s="14" t="s">
        <v>749</v>
      </c>
      <c r="D806" s="14" t="s">
        <v>749</v>
      </c>
      <c r="E806" s="14" t="s">
        <v>845</v>
      </c>
      <c r="F806" s="14" t="s">
        <v>64</v>
      </c>
      <c r="G806" s="15" t="s">
        <v>182</v>
      </c>
      <c r="H806" s="13" t="s">
        <v>183</v>
      </c>
      <c r="I806" s="14" t="s">
        <v>49</v>
      </c>
      <c r="J806" s="14">
        <v>901253015</v>
      </c>
      <c r="K806" s="14" t="s">
        <v>185</v>
      </c>
      <c r="L806" s="14" t="s">
        <v>103</v>
      </c>
      <c r="M806" s="14" t="s">
        <v>104</v>
      </c>
      <c r="N806" s="14">
        <v>2022</v>
      </c>
      <c r="O806" s="14">
        <v>1</v>
      </c>
      <c r="P806" s="14" t="s">
        <v>105</v>
      </c>
      <c r="Q806" s="14">
        <v>1</v>
      </c>
      <c r="R806" s="14">
        <v>0</v>
      </c>
      <c r="S806" s="17" t="s">
        <v>54</v>
      </c>
      <c r="T806" s="18">
        <v>0</v>
      </c>
      <c r="U806" s="37">
        <v>30</v>
      </c>
      <c r="V806" s="19">
        <v>1</v>
      </c>
      <c r="W806" s="14">
        <v>0</v>
      </c>
      <c r="X806" s="14">
        <v>30</v>
      </c>
      <c r="Y806" s="14">
        <v>27</v>
      </c>
      <c r="Z806" s="14">
        <v>0</v>
      </c>
      <c r="AA806" s="14">
        <f>Tabla13[[#This Row],[CheckList App]]+Tabla13[[#This Row],[CheckList Fisc]]</f>
        <v>27</v>
      </c>
      <c r="AB806" s="19">
        <f t="shared" si="12"/>
        <v>0.9</v>
      </c>
      <c r="AC806" s="14">
        <v>0</v>
      </c>
      <c r="AD806" s="14" t="s">
        <v>70</v>
      </c>
      <c r="AE806" s="15" t="str">
        <f>IFERROR((VLOOKUP(Tabla13[[#This Row],[ID]],[1]!Mtto_Pesv[[#Headers],[#Data],[Placa]:[Rutina]],2,FALSE)),"-")</f>
        <v>-</v>
      </c>
      <c r="AF806" s="14">
        <v>1</v>
      </c>
      <c r="AG806" s="20">
        <f>IFERROR((VLOOKUP(Tabla13[[#This Row],[ID]],[1]!Mtto_Pesv[[#Headers],[#Data],[Placa]:[Rutina]],3,FALSE)),0)</f>
        <v>0</v>
      </c>
      <c r="AH806" s="20">
        <f>IFERROR((VLOOKUP(Tabla13[[#This Row],[ID]],[1]!Mtto_Pesv[[#Headers],[#Data],[Placa]:[Rutina]],7,FALSE)),0)</f>
        <v>0</v>
      </c>
      <c r="AI806" s="20">
        <f>IFERROR((VLOOKUP(Tabla13[[#This Row],[ID]],[1]!Mtto_Pesv[[#Headers],[#Data],[Placa]:[Rutina]],8,FALSE)),0)</f>
        <v>0</v>
      </c>
      <c r="AJ806" s="20" t="str">
        <f>IFERROR((VLOOKUP(Tabla13[[#This Row],[ID]],[1]!Mtto_Pesv[[#Headers],[#Data],[Placa]:[Rutina]],9,FALSE)),"-")</f>
        <v>-</v>
      </c>
      <c r="AK806" s="20">
        <f>IFERROR((VLOOKUP(Tabla13[[#This Row],[ID]],[1]!Mtto_Pesv[[#Headers],[#Data],[Placa]:[Rutina]],10,FALSE)),0)</f>
        <v>0</v>
      </c>
      <c r="AL806" s="20">
        <f>IF(Tabla13[[#This Row],[Km Anterior]]=0,0,Tabla13[[#This Row],[Km Ejecut]]-Tabla13[[#This Row],[Km Anterior]])</f>
        <v>0</v>
      </c>
      <c r="AM806" s="20">
        <f>IFERROR((VLOOKUP(Tabla13[[#This Row],[ID]],[1]!Mtto_Pesv[[#Headers],[#Data],[Placa]:[Rutina]],4,FALSE)),0)</f>
        <v>0</v>
      </c>
      <c r="AN806" s="21">
        <f>IFERROR((VLOOKUP(Tabla13[[#This Row],[ID]],[1]!Mtto_Pesv[[#Headers],[#Data],[Placa]:[Rutina]],5,FALSE)),0)</f>
        <v>0</v>
      </c>
      <c r="AO806" s="21">
        <f>+Tabla13[[#This Row],[Km Fin]]-Tabla13[[#This Row],[Km Ini]]</f>
        <v>0</v>
      </c>
      <c r="AP806" s="20">
        <f>IFERROR((VLOOKUP(Tabla13[[#This Row],[ID]],[1]!Estilo_Conduccion[[#All],[Placa]:[Puntuacion]],15,FALSE)),0)</f>
        <v>2166.2999999999997</v>
      </c>
      <c r="AQ806" s="15" t="s">
        <v>54</v>
      </c>
      <c r="AR806" s="15" t="s">
        <v>1594</v>
      </c>
      <c r="AS806" s="20">
        <v>1650</v>
      </c>
      <c r="AT806" s="21">
        <v>0</v>
      </c>
      <c r="AU806" s="21">
        <f>(Tabla13[[#This Row],[Cap Vh]]*$AX$2)*0.56</f>
        <v>0</v>
      </c>
      <c r="AV806" s="36" t="e">
        <f>(Tabla13[[#This Row],[Cap Util (kg)]]/(Tabla13[[#This Row],[Cap Inst (Kg)]]))</f>
        <v>#DIV/0!</v>
      </c>
    </row>
    <row r="807" spans="1:48" x14ac:dyDescent="0.25">
      <c r="A807" s="13" t="s">
        <v>1068</v>
      </c>
      <c r="B807" s="14" t="s">
        <v>1052</v>
      </c>
      <c r="C807" s="14" t="s">
        <v>749</v>
      </c>
      <c r="D807" s="14" t="s">
        <v>749</v>
      </c>
      <c r="E807" s="14" t="s">
        <v>845</v>
      </c>
      <c r="F807" s="14" t="s">
        <v>64</v>
      </c>
      <c r="G807" s="15" t="s">
        <v>182</v>
      </c>
      <c r="H807" s="13" t="s">
        <v>183</v>
      </c>
      <c r="I807" s="14" t="s">
        <v>49</v>
      </c>
      <c r="J807" s="14">
        <v>901253015</v>
      </c>
      <c r="K807" s="14" t="s">
        <v>185</v>
      </c>
      <c r="L807" s="14" t="s">
        <v>103</v>
      </c>
      <c r="M807" s="14" t="s">
        <v>104</v>
      </c>
      <c r="N807" s="14">
        <v>2022</v>
      </c>
      <c r="O807" s="14">
        <v>1</v>
      </c>
      <c r="P807" s="14" t="s">
        <v>105</v>
      </c>
      <c r="Q807" s="14">
        <v>1</v>
      </c>
      <c r="R807" s="14">
        <v>0</v>
      </c>
      <c r="S807" s="17" t="s">
        <v>54</v>
      </c>
      <c r="T807" s="18">
        <v>0</v>
      </c>
      <c r="U807" s="37">
        <v>30</v>
      </c>
      <c r="V807" s="19">
        <v>1</v>
      </c>
      <c r="W807" s="14">
        <v>0</v>
      </c>
      <c r="X807" s="14">
        <v>30</v>
      </c>
      <c r="Y807" s="14">
        <v>30</v>
      </c>
      <c r="Z807" s="14">
        <v>0</v>
      </c>
      <c r="AA807" s="14">
        <f>Tabla13[[#This Row],[CheckList App]]+Tabla13[[#This Row],[CheckList Fisc]]</f>
        <v>30</v>
      </c>
      <c r="AB807" s="19">
        <f t="shared" si="12"/>
        <v>1</v>
      </c>
      <c r="AC807" s="14">
        <v>0</v>
      </c>
      <c r="AD807" s="14" t="s">
        <v>70</v>
      </c>
      <c r="AE807" s="15" t="str">
        <f>IFERROR((VLOOKUP(Tabla13[[#This Row],[ID]],[1]!Mtto_Pesv[[#Headers],[#Data],[Placa]:[Rutina]],2,FALSE)),"-")</f>
        <v>-</v>
      </c>
      <c r="AF807" s="14">
        <v>1</v>
      </c>
      <c r="AG807" s="20">
        <f>IFERROR((VLOOKUP(Tabla13[[#This Row],[ID]],[1]!Mtto_Pesv[[#Headers],[#Data],[Placa]:[Rutina]],3,FALSE)),0)</f>
        <v>0</v>
      </c>
      <c r="AH807" s="20">
        <f>IFERROR((VLOOKUP(Tabla13[[#This Row],[ID]],[1]!Mtto_Pesv[[#Headers],[#Data],[Placa]:[Rutina]],7,FALSE)),0)</f>
        <v>0</v>
      </c>
      <c r="AI807" s="20">
        <f>IFERROR((VLOOKUP(Tabla13[[#This Row],[ID]],[1]!Mtto_Pesv[[#Headers],[#Data],[Placa]:[Rutina]],8,FALSE)),0)</f>
        <v>0</v>
      </c>
      <c r="AJ807" s="20" t="str">
        <f>IFERROR((VLOOKUP(Tabla13[[#This Row],[ID]],[1]!Mtto_Pesv[[#Headers],[#Data],[Placa]:[Rutina]],9,FALSE)),"-")</f>
        <v>-</v>
      </c>
      <c r="AK807" s="20">
        <f>IFERROR((VLOOKUP(Tabla13[[#This Row],[ID]],[1]!Mtto_Pesv[[#Headers],[#Data],[Placa]:[Rutina]],10,FALSE)),0)</f>
        <v>0</v>
      </c>
      <c r="AL807" s="20">
        <f>IF(Tabla13[[#This Row],[Km Anterior]]=0,0,Tabla13[[#This Row],[Km Ejecut]]-Tabla13[[#This Row],[Km Anterior]])</f>
        <v>0</v>
      </c>
      <c r="AM807" s="20">
        <f>IFERROR((VLOOKUP(Tabla13[[#This Row],[ID]],[1]!Mtto_Pesv[[#Headers],[#Data],[Placa]:[Rutina]],4,FALSE)),0)</f>
        <v>0</v>
      </c>
      <c r="AN807" s="21">
        <f>IFERROR((VLOOKUP(Tabla13[[#This Row],[ID]],[1]!Mtto_Pesv[[#Headers],[#Data],[Placa]:[Rutina]],5,FALSE)),0)</f>
        <v>0</v>
      </c>
      <c r="AO807" s="21">
        <f>+Tabla13[[#This Row],[Km Fin]]-Tabla13[[#This Row],[Km Ini]]</f>
        <v>0</v>
      </c>
      <c r="AP807" s="20">
        <f>IFERROR((VLOOKUP(Tabla13[[#This Row],[ID]],[1]!Estilo_Conduccion[[#All],[Placa]:[Puntuacion]],15,FALSE)),0)</f>
        <v>1909.9</v>
      </c>
      <c r="AQ807" s="15" t="s">
        <v>54</v>
      </c>
      <c r="AR807" s="15" t="s">
        <v>1595</v>
      </c>
      <c r="AS807" s="20">
        <v>1650</v>
      </c>
      <c r="AT807" s="21">
        <v>0</v>
      </c>
      <c r="AU807" s="21">
        <f>(Tabla13[[#This Row],[Cap Vh]]*$AX$2)*0.56</f>
        <v>0</v>
      </c>
      <c r="AV807" s="36" t="e">
        <f>(Tabla13[[#This Row],[Cap Util (kg)]]/(Tabla13[[#This Row],[Cap Inst (Kg)]]))</f>
        <v>#DIV/0!</v>
      </c>
    </row>
    <row r="808" spans="1:48" x14ac:dyDescent="0.25">
      <c r="A808" s="13" t="s">
        <v>1068</v>
      </c>
      <c r="B808" s="14" t="s">
        <v>1053</v>
      </c>
      <c r="C808" s="14" t="s">
        <v>749</v>
      </c>
      <c r="D808" s="14" t="s">
        <v>749</v>
      </c>
      <c r="E808" s="14" t="s">
        <v>845</v>
      </c>
      <c r="F808" s="14" t="s">
        <v>64</v>
      </c>
      <c r="G808" s="15" t="s">
        <v>182</v>
      </c>
      <c r="H808" s="13" t="s">
        <v>183</v>
      </c>
      <c r="I808" s="14" t="s">
        <v>49</v>
      </c>
      <c r="J808" s="14">
        <v>901253015</v>
      </c>
      <c r="K808" s="14" t="s">
        <v>185</v>
      </c>
      <c r="L808" s="14" t="s">
        <v>103</v>
      </c>
      <c r="M808" s="14" t="s">
        <v>121</v>
      </c>
      <c r="N808" s="14">
        <v>2022</v>
      </c>
      <c r="O808" s="14">
        <v>1</v>
      </c>
      <c r="P808" s="14" t="s">
        <v>105</v>
      </c>
      <c r="Q808" s="14">
        <v>1</v>
      </c>
      <c r="R808" s="14">
        <v>1</v>
      </c>
      <c r="S808" s="17">
        <v>44834.546076388891</v>
      </c>
      <c r="T808" s="18">
        <v>121.46600000000001</v>
      </c>
      <c r="U808" s="37">
        <v>30</v>
      </c>
      <c r="V808" s="19">
        <v>1</v>
      </c>
      <c r="W808" s="14">
        <v>0</v>
      </c>
      <c r="X808" s="14">
        <v>25</v>
      </c>
      <c r="Y808" s="14">
        <v>24</v>
      </c>
      <c r="Z808" s="14">
        <v>0</v>
      </c>
      <c r="AA808" s="14">
        <f>Tabla13[[#This Row],[CheckList App]]+Tabla13[[#This Row],[CheckList Fisc]]</f>
        <v>24</v>
      </c>
      <c r="AB808" s="19">
        <f t="shared" si="12"/>
        <v>0.96</v>
      </c>
      <c r="AC808" s="14">
        <v>0</v>
      </c>
      <c r="AD808" s="14" t="s">
        <v>70</v>
      </c>
      <c r="AE808" s="15" t="str">
        <f>IFERROR((VLOOKUP(Tabla13[[#This Row],[ID]],[1]!Mtto_Pesv[[#Headers],[#Data],[Placa]:[Rutina]],2,FALSE)),"-")</f>
        <v>-</v>
      </c>
      <c r="AF808" s="14">
        <v>1</v>
      </c>
      <c r="AG808" s="20">
        <f>IFERROR((VLOOKUP(Tabla13[[#This Row],[ID]],[1]!Mtto_Pesv[[#Headers],[#Data],[Placa]:[Rutina]],3,FALSE)),0)</f>
        <v>0</v>
      </c>
      <c r="AH808" s="20">
        <f>IFERROR((VLOOKUP(Tabla13[[#This Row],[ID]],[1]!Mtto_Pesv[[#Headers],[#Data],[Placa]:[Rutina]],7,FALSE)),0)</f>
        <v>0</v>
      </c>
      <c r="AI808" s="20">
        <f>IFERROR((VLOOKUP(Tabla13[[#This Row],[ID]],[1]!Mtto_Pesv[[#Headers],[#Data],[Placa]:[Rutina]],8,FALSE)),0)</f>
        <v>0</v>
      </c>
      <c r="AJ808" s="20" t="str">
        <f>IFERROR((VLOOKUP(Tabla13[[#This Row],[ID]],[1]!Mtto_Pesv[[#Headers],[#Data],[Placa]:[Rutina]],9,FALSE)),"-")</f>
        <v>-</v>
      </c>
      <c r="AK808" s="20">
        <f>IFERROR((VLOOKUP(Tabla13[[#This Row],[ID]],[1]!Mtto_Pesv[[#Headers],[#Data],[Placa]:[Rutina]],10,FALSE)),0)</f>
        <v>0</v>
      </c>
      <c r="AL808" s="20">
        <f>IF(Tabla13[[#This Row],[Km Anterior]]=0,0,Tabla13[[#This Row],[Km Ejecut]]-Tabla13[[#This Row],[Km Anterior]])</f>
        <v>0</v>
      </c>
      <c r="AM808" s="20">
        <f>IFERROR((VLOOKUP(Tabla13[[#This Row],[ID]],[1]!Mtto_Pesv[[#Headers],[#Data],[Placa]:[Rutina]],4,FALSE)),0)</f>
        <v>0</v>
      </c>
      <c r="AN808" s="21">
        <f>IFERROR((VLOOKUP(Tabla13[[#This Row],[ID]],[1]!Mtto_Pesv[[#Headers],[#Data],[Placa]:[Rutina]],5,FALSE)),0)</f>
        <v>0</v>
      </c>
      <c r="AO808" s="21">
        <f>+Tabla13[[#This Row],[Km Fin]]-Tabla13[[#This Row],[Km Ini]]</f>
        <v>0</v>
      </c>
      <c r="AP808" s="20">
        <f>IFERROR((VLOOKUP(Tabla13[[#This Row],[ID]],[1]!Estilo_Conduccion[[#All],[Placa]:[Puntuacion]],15,FALSE)),0)</f>
        <v>1646.2999999999997</v>
      </c>
      <c r="AQ808" s="15" t="s">
        <v>54</v>
      </c>
      <c r="AR808" s="15" t="s">
        <v>1596</v>
      </c>
      <c r="AS808" s="20">
        <v>2350</v>
      </c>
      <c r="AT808" s="21">
        <v>0</v>
      </c>
      <c r="AU808" s="21">
        <f>(Tabla13[[#This Row],[Cap Vh]]*$AX$2)*0.56</f>
        <v>0</v>
      </c>
      <c r="AV808" s="36" t="e">
        <f>(Tabla13[[#This Row],[Cap Util (kg)]]/(Tabla13[[#This Row],[Cap Inst (Kg)]]))</f>
        <v>#DIV/0!</v>
      </c>
    </row>
    <row r="809" spans="1:48" x14ac:dyDescent="0.25">
      <c r="A809" s="13" t="s">
        <v>1068</v>
      </c>
      <c r="B809" s="14" t="s">
        <v>1054</v>
      </c>
      <c r="C809" s="14" t="s">
        <v>44</v>
      </c>
      <c r="D809" s="14" t="s">
        <v>44</v>
      </c>
      <c r="E809" s="14" t="s">
        <v>45</v>
      </c>
      <c r="F809" s="14" t="s">
        <v>64</v>
      </c>
      <c r="G809" s="15" t="s">
        <v>182</v>
      </c>
      <c r="H809" s="13" t="s">
        <v>183</v>
      </c>
      <c r="I809" s="14" t="s">
        <v>203</v>
      </c>
      <c r="J809" s="14">
        <v>901253015</v>
      </c>
      <c r="K809" s="14" t="s">
        <v>185</v>
      </c>
      <c r="L809" s="14" t="s">
        <v>103</v>
      </c>
      <c r="M809" s="14" t="s">
        <v>104</v>
      </c>
      <c r="N809" s="14">
        <v>2022</v>
      </c>
      <c r="O809" s="14">
        <v>1</v>
      </c>
      <c r="P809" s="14" t="s">
        <v>105</v>
      </c>
      <c r="Q809" s="14">
        <v>1</v>
      </c>
      <c r="R809" s="14">
        <v>0</v>
      </c>
      <c r="S809" s="17" t="s">
        <v>54</v>
      </c>
      <c r="T809" s="18">
        <v>0</v>
      </c>
      <c r="U809" s="37">
        <v>30</v>
      </c>
      <c r="V809" s="19">
        <v>1</v>
      </c>
      <c r="W809" s="14">
        <v>0</v>
      </c>
      <c r="X809" s="14">
        <v>20</v>
      </c>
      <c r="Y809" s="14">
        <v>4</v>
      </c>
      <c r="Z809" s="14">
        <v>0</v>
      </c>
      <c r="AA809" s="14">
        <f>Tabla13[[#This Row],[CheckList App]]+Tabla13[[#This Row],[CheckList Fisc]]</f>
        <v>4</v>
      </c>
      <c r="AB809" s="19">
        <f t="shared" si="12"/>
        <v>0.2</v>
      </c>
      <c r="AC809" s="14">
        <v>0</v>
      </c>
      <c r="AD809" s="14" t="s">
        <v>70</v>
      </c>
      <c r="AE809" s="15" t="str">
        <f>IFERROR((VLOOKUP(Tabla13[[#This Row],[ID]],[1]!Mtto_Pesv[[#Headers],[#Data],[Placa]:[Rutina]],2,FALSE)),"-")</f>
        <v>-</v>
      </c>
      <c r="AF809" s="14">
        <v>1</v>
      </c>
      <c r="AG809" s="20">
        <f>IFERROR((VLOOKUP(Tabla13[[#This Row],[ID]],[1]!Mtto_Pesv[[#Headers],[#Data],[Placa]:[Rutina]],3,FALSE)),0)</f>
        <v>0</v>
      </c>
      <c r="AH809" s="20">
        <f>IFERROR((VLOOKUP(Tabla13[[#This Row],[ID]],[1]!Mtto_Pesv[[#Headers],[#Data],[Placa]:[Rutina]],7,FALSE)),0)</f>
        <v>0</v>
      </c>
      <c r="AI809" s="20">
        <f>IFERROR((VLOOKUP(Tabla13[[#This Row],[ID]],[1]!Mtto_Pesv[[#Headers],[#Data],[Placa]:[Rutina]],8,FALSE)),0)</f>
        <v>0</v>
      </c>
      <c r="AJ809" s="20" t="str">
        <f>IFERROR((VLOOKUP(Tabla13[[#This Row],[ID]],[1]!Mtto_Pesv[[#Headers],[#Data],[Placa]:[Rutina]],9,FALSE)),"-")</f>
        <v>-</v>
      </c>
      <c r="AK809" s="20">
        <f>IFERROR((VLOOKUP(Tabla13[[#This Row],[ID]],[1]!Mtto_Pesv[[#Headers],[#Data],[Placa]:[Rutina]],10,FALSE)),0)</f>
        <v>0</v>
      </c>
      <c r="AL809" s="20">
        <f>IF(Tabla13[[#This Row],[Km Anterior]]=0,0,Tabla13[[#This Row],[Km Ejecut]]-Tabla13[[#This Row],[Km Anterior]])</f>
        <v>0</v>
      </c>
      <c r="AM809" s="20">
        <f>IFERROR((VLOOKUP(Tabla13[[#This Row],[ID]],[1]!Mtto_Pesv[[#Headers],[#Data],[Placa]:[Rutina]],4,FALSE)),0)</f>
        <v>0</v>
      </c>
      <c r="AN809" s="21">
        <f>IFERROR((VLOOKUP(Tabla13[[#This Row],[ID]],[1]!Mtto_Pesv[[#Headers],[#Data],[Placa]:[Rutina]],5,FALSE)),0)</f>
        <v>0</v>
      </c>
      <c r="AO809" s="21">
        <f>+Tabla13[[#This Row],[Km Fin]]-Tabla13[[#This Row],[Km Ini]]</f>
        <v>0</v>
      </c>
      <c r="AP809" s="20">
        <f>IFERROR((VLOOKUP(Tabla13[[#This Row],[ID]],[1]!Estilo_Conduccion[[#All],[Placa]:[Puntuacion]],15,FALSE)),0)</f>
        <v>1664.9</v>
      </c>
      <c r="AQ809" s="15" t="s">
        <v>54</v>
      </c>
      <c r="AR809" s="15" t="s">
        <v>1121</v>
      </c>
      <c r="AS809" s="20">
        <v>1650</v>
      </c>
      <c r="AT809" s="21">
        <v>0</v>
      </c>
      <c r="AU809" s="21">
        <f>(Tabla13[[#This Row],[Cap Vh]]*$AX$2)*0.56</f>
        <v>0</v>
      </c>
      <c r="AV809" s="36" t="e">
        <f>(Tabla13[[#This Row],[Cap Util (kg)]]/(Tabla13[[#This Row],[Cap Inst (Kg)]]))</f>
        <v>#DIV/0!</v>
      </c>
    </row>
    <row r="810" spans="1:48" x14ac:dyDescent="0.25">
      <c r="A810" s="13" t="s">
        <v>1068</v>
      </c>
      <c r="B810" s="14" t="s">
        <v>1055</v>
      </c>
      <c r="C810" s="14" t="s">
        <v>749</v>
      </c>
      <c r="D810" s="14" t="s">
        <v>750</v>
      </c>
      <c r="E810" s="14" t="s">
        <v>751</v>
      </c>
      <c r="F810" s="14" t="s">
        <v>64</v>
      </c>
      <c r="G810" s="15" t="s">
        <v>182</v>
      </c>
      <c r="H810" s="13" t="s">
        <v>183</v>
      </c>
      <c r="I810" s="14" t="s">
        <v>49</v>
      </c>
      <c r="J810" s="14">
        <v>901253015</v>
      </c>
      <c r="K810" s="14" t="s">
        <v>185</v>
      </c>
      <c r="L810" s="14" t="s">
        <v>103</v>
      </c>
      <c r="M810" s="14" t="s">
        <v>104</v>
      </c>
      <c r="N810" s="14">
        <v>2022</v>
      </c>
      <c r="O810" s="14">
        <v>1</v>
      </c>
      <c r="P810" s="14" t="s">
        <v>105</v>
      </c>
      <c r="Q810" s="14">
        <v>1</v>
      </c>
      <c r="R810" s="14">
        <v>1</v>
      </c>
      <c r="S810" s="17">
        <v>44833.372546296298</v>
      </c>
      <c r="T810" s="18">
        <v>91.852000000000004</v>
      </c>
      <c r="U810" s="37">
        <v>30</v>
      </c>
      <c r="V810" s="19">
        <v>1</v>
      </c>
      <c r="W810" s="14">
        <v>0</v>
      </c>
      <c r="X810" s="14">
        <v>24</v>
      </c>
      <c r="Y810" s="14">
        <v>23</v>
      </c>
      <c r="Z810" s="14">
        <v>0</v>
      </c>
      <c r="AA810" s="14">
        <f>Tabla13[[#This Row],[CheckList App]]+Tabla13[[#This Row],[CheckList Fisc]]</f>
        <v>23</v>
      </c>
      <c r="AB810" s="19">
        <f t="shared" si="12"/>
        <v>0.95833333333333337</v>
      </c>
      <c r="AC810" s="14">
        <v>0</v>
      </c>
      <c r="AD810" s="14" t="s">
        <v>70</v>
      </c>
      <c r="AE810" s="15" t="str">
        <f>IFERROR((VLOOKUP(Tabla13[[#This Row],[ID]],[1]!Mtto_Pesv[[#Headers],[#Data],[Placa]:[Rutina]],2,FALSE)),"-")</f>
        <v>-</v>
      </c>
      <c r="AF810" s="14">
        <v>1</v>
      </c>
      <c r="AG810" s="20">
        <f>IFERROR((VLOOKUP(Tabla13[[#This Row],[ID]],[1]!Mtto_Pesv[[#Headers],[#Data],[Placa]:[Rutina]],3,FALSE)),0)</f>
        <v>0</v>
      </c>
      <c r="AH810" s="20">
        <f>IFERROR((VLOOKUP(Tabla13[[#This Row],[ID]],[1]!Mtto_Pesv[[#Headers],[#Data],[Placa]:[Rutina]],7,FALSE)),0)</f>
        <v>0</v>
      </c>
      <c r="AI810" s="20">
        <f>IFERROR((VLOOKUP(Tabla13[[#This Row],[ID]],[1]!Mtto_Pesv[[#Headers],[#Data],[Placa]:[Rutina]],8,FALSE)),0)</f>
        <v>0</v>
      </c>
      <c r="AJ810" s="20" t="str">
        <f>IFERROR((VLOOKUP(Tabla13[[#This Row],[ID]],[1]!Mtto_Pesv[[#Headers],[#Data],[Placa]:[Rutina]],9,FALSE)),"-")</f>
        <v>-</v>
      </c>
      <c r="AK810" s="20">
        <f>IFERROR((VLOOKUP(Tabla13[[#This Row],[ID]],[1]!Mtto_Pesv[[#Headers],[#Data],[Placa]:[Rutina]],10,FALSE)),0)</f>
        <v>0</v>
      </c>
      <c r="AL810" s="20">
        <f>IF(Tabla13[[#This Row],[Km Anterior]]=0,0,Tabla13[[#This Row],[Km Ejecut]]-Tabla13[[#This Row],[Km Anterior]])</f>
        <v>0</v>
      </c>
      <c r="AM810" s="20">
        <f>IFERROR((VLOOKUP(Tabla13[[#This Row],[ID]],[1]!Mtto_Pesv[[#Headers],[#Data],[Placa]:[Rutina]],4,FALSE)),0)</f>
        <v>0</v>
      </c>
      <c r="AN810" s="21">
        <f>IFERROR((VLOOKUP(Tabla13[[#This Row],[ID]],[1]!Mtto_Pesv[[#Headers],[#Data],[Placa]:[Rutina]],5,FALSE)),0)</f>
        <v>0</v>
      </c>
      <c r="AO810" s="21">
        <f>+Tabla13[[#This Row],[Km Fin]]-Tabla13[[#This Row],[Km Ini]]</f>
        <v>0</v>
      </c>
      <c r="AP810" s="20">
        <f>IFERROR((VLOOKUP(Tabla13[[#This Row],[ID]],[1]!Estilo_Conduccion[[#All],[Placa]:[Puntuacion]],15,FALSE)),0)</f>
        <v>1405.1</v>
      </c>
      <c r="AQ810" s="15" t="s">
        <v>54</v>
      </c>
      <c r="AR810" s="15" t="s">
        <v>54</v>
      </c>
      <c r="AS810" s="20">
        <v>1650</v>
      </c>
      <c r="AT810" s="21">
        <v>0</v>
      </c>
      <c r="AU810" s="21">
        <f>(Tabla13[[#This Row],[Cap Vh]]*$AX$2)*0.56</f>
        <v>0</v>
      </c>
      <c r="AV810" s="36" t="e">
        <f>(Tabla13[[#This Row],[Cap Util (kg)]]/(Tabla13[[#This Row],[Cap Inst (Kg)]]))</f>
        <v>#DIV/0!</v>
      </c>
    </row>
    <row r="811" spans="1:48" x14ac:dyDescent="0.25">
      <c r="A811" s="13" t="s">
        <v>1068</v>
      </c>
      <c r="B811" s="14" t="s">
        <v>1056</v>
      </c>
      <c r="C811" s="14" t="s">
        <v>44</v>
      </c>
      <c r="D811" s="14" t="s">
        <v>44</v>
      </c>
      <c r="E811" s="14" t="s">
        <v>45</v>
      </c>
      <c r="F811" s="14" t="s">
        <v>64</v>
      </c>
      <c r="G811" s="15" t="s">
        <v>182</v>
      </c>
      <c r="H811" s="13" t="s">
        <v>183</v>
      </c>
      <c r="I811" s="14" t="s">
        <v>203</v>
      </c>
      <c r="J811" s="14">
        <v>901253015</v>
      </c>
      <c r="K811" s="14" t="s">
        <v>185</v>
      </c>
      <c r="L811" s="14" t="s">
        <v>103</v>
      </c>
      <c r="M811" s="14" t="s">
        <v>104</v>
      </c>
      <c r="N811" s="14">
        <v>2022</v>
      </c>
      <c r="O811" s="14">
        <v>1</v>
      </c>
      <c r="P811" s="14" t="s">
        <v>105</v>
      </c>
      <c r="Q811" s="14">
        <v>1</v>
      </c>
      <c r="R811" s="14">
        <v>0</v>
      </c>
      <c r="S811" s="17" t="s">
        <v>54</v>
      </c>
      <c r="T811" s="18">
        <v>0</v>
      </c>
      <c r="U811" s="37">
        <v>27</v>
      </c>
      <c r="V811" s="19">
        <v>0.9</v>
      </c>
      <c r="W811" s="14">
        <v>0</v>
      </c>
      <c r="X811" s="14">
        <v>17</v>
      </c>
      <c r="Y811" s="14">
        <v>0</v>
      </c>
      <c r="Z811" s="14">
        <v>0</v>
      </c>
      <c r="AA811" s="14">
        <f>Tabla13[[#This Row],[CheckList App]]+Tabla13[[#This Row],[CheckList Fisc]]</f>
        <v>0</v>
      </c>
      <c r="AB811" s="19">
        <f t="shared" si="12"/>
        <v>0</v>
      </c>
      <c r="AC811" s="14">
        <v>0</v>
      </c>
      <c r="AD811" s="14" t="s">
        <v>70</v>
      </c>
      <c r="AE811" s="15" t="str">
        <f>IFERROR((VLOOKUP(Tabla13[[#This Row],[ID]],[1]!Mtto_Pesv[[#Headers],[#Data],[Placa]:[Rutina]],2,FALSE)),"-")</f>
        <v>-</v>
      </c>
      <c r="AF811" s="14">
        <v>1</v>
      </c>
      <c r="AG811" s="20">
        <f>IFERROR((VLOOKUP(Tabla13[[#This Row],[ID]],[1]!Mtto_Pesv[[#Headers],[#Data],[Placa]:[Rutina]],3,FALSE)),0)</f>
        <v>0</v>
      </c>
      <c r="AH811" s="20">
        <f>IFERROR((VLOOKUP(Tabla13[[#This Row],[ID]],[1]!Mtto_Pesv[[#Headers],[#Data],[Placa]:[Rutina]],7,FALSE)),0)</f>
        <v>0</v>
      </c>
      <c r="AI811" s="20">
        <f>IFERROR((VLOOKUP(Tabla13[[#This Row],[ID]],[1]!Mtto_Pesv[[#Headers],[#Data],[Placa]:[Rutina]],8,FALSE)),0)</f>
        <v>0</v>
      </c>
      <c r="AJ811" s="20" t="str">
        <f>IFERROR((VLOOKUP(Tabla13[[#This Row],[ID]],[1]!Mtto_Pesv[[#Headers],[#Data],[Placa]:[Rutina]],9,FALSE)),"-")</f>
        <v>-</v>
      </c>
      <c r="AK811" s="20">
        <f>IFERROR((VLOOKUP(Tabla13[[#This Row],[ID]],[1]!Mtto_Pesv[[#Headers],[#Data],[Placa]:[Rutina]],10,FALSE)),0)</f>
        <v>0</v>
      </c>
      <c r="AL811" s="20">
        <f>IF(Tabla13[[#This Row],[Km Anterior]]=0,0,Tabla13[[#This Row],[Km Ejecut]]-Tabla13[[#This Row],[Km Anterior]])</f>
        <v>0</v>
      </c>
      <c r="AM811" s="20">
        <f>IFERROR((VLOOKUP(Tabla13[[#This Row],[ID]],[1]!Mtto_Pesv[[#Headers],[#Data],[Placa]:[Rutina]],4,FALSE)),0)</f>
        <v>0</v>
      </c>
      <c r="AN811" s="21">
        <f>IFERROR((VLOOKUP(Tabla13[[#This Row],[ID]],[1]!Mtto_Pesv[[#Headers],[#Data],[Placa]:[Rutina]],5,FALSE)),0)</f>
        <v>0</v>
      </c>
      <c r="AO811" s="21">
        <f>+Tabla13[[#This Row],[Km Fin]]-Tabla13[[#This Row],[Km Ini]]</f>
        <v>0</v>
      </c>
      <c r="AP811" s="20">
        <f>IFERROR((VLOOKUP(Tabla13[[#This Row],[ID]],[1]!Estilo_Conduccion[[#All],[Placa]:[Puntuacion]],15,FALSE)),0)</f>
        <v>70</v>
      </c>
      <c r="AQ811" s="15" t="s">
        <v>54</v>
      </c>
      <c r="AR811" s="15" t="s">
        <v>1121</v>
      </c>
      <c r="AS811" s="20">
        <v>1650</v>
      </c>
      <c r="AT811" s="21">
        <v>0</v>
      </c>
      <c r="AU811" s="21">
        <f>(Tabla13[[#This Row],[Cap Vh]]*$AX$2)*0.56</f>
        <v>0</v>
      </c>
      <c r="AV811" s="36" t="e">
        <f>(Tabla13[[#This Row],[Cap Util (kg)]]/(Tabla13[[#This Row],[Cap Inst (Kg)]]))</f>
        <v>#DIV/0!</v>
      </c>
    </row>
    <row r="812" spans="1:48" x14ac:dyDescent="0.25">
      <c r="A812" s="13" t="s">
        <v>1068</v>
      </c>
      <c r="B812" s="14" t="s">
        <v>1057</v>
      </c>
      <c r="C812" s="14" t="s">
        <v>44</v>
      </c>
      <c r="D812" s="14" t="s">
        <v>44</v>
      </c>
      <c r="E812" s="14" t="s">
        <v>45</v>
      </c>
      <c r="F812" s="14" t="s">
        <v>64</v>
      </c>
      <c r="G812" s="15" t="s">
        <v>182</v>
      </c>
      <c r="H812" s="13" t="s">
        <v>183</v>
      </c>
      <c r="I812" s="14" t="s">
        <v>203</v>
      </c>
      <c r="J812" s="14">
        <v>901253015</v>
      </c>
      <c r="K812" s="14" t="s">
        <v>185</v>
      </c>
      <c r="L812" s="14" t="s">
        <v>103</v>
      </c>
      <c r="M812" s="14" t="s">
        <v>121</v>
      </c>
      <c r="N812" s="14">
        <v>2022</v>
      </c>
      <c r="O812" s="14">
        <v>1</v>
      </c>
      <c r="P812" s="14" t="s">
        <v>105</v>
      </c>
      <c r="Q812" s="14">
        <v>1</v>
      </c>
      <c r="R812" s="14">
        <v>0</v>
      </c>
      <c r="S812" s="17" t="s">
        <v>54</v>
      </c>
      <c r="T812" s="18">
        <v>0</v>
      </c>
      <c r="U812" s="37">
        <v>30</v>
      </c>
      <c r="V812" s="19">
        <v>1</v>
      </c>
      <c r="W812" s="14">
        <v>0</v>
      </c>
      <c r="X812" s="14">
        <v>25</v>
      </c>
      <c r="Y812" s="14">
        <v>23</v>
      </c>
      <c r="Z812" s="14">
        <v>0</v>
      </c>
      <c r="AA812" s="14">
        <f>Tabla13[[#This Row],[CheckList App]]+Tabla13[[#This Row],[CheckList Fisc]]</f>
        <v>23</v>
      </c>
      <c r="AB812" s="19">
        <f t="shared" si="12"/>
        <v>0.92</v>
      </c>
      <c r="AC812" s="14">
        <v>0</v>
      </c>
      <c r="AD812" s="14" t="s">
        <v>70</v>
      </c>
      <c r="AE812" s="15" t="str">
        <f>IFERROR((VLOOKUP(Tabla13[[#This Row],[ID]],[1]!Mtto_Pesv[[#Headers],[#Data],[Placa]:[Rutina]],2,FALSE)),"-")</f>
        <v>-</v>
      </c>
      <c r="AF812" s="14">
        <v>1</v>
      </c>
      <c r="AG812" s="20">
        <f>IFERROR((VLOOKUP(Tabla13[[#This Row],[ID]],[1]!Mtto_Pesv[[#Headers],[#Data],[Placa]:[Rutina]],3,FALSE)),0)</f>
        <v>0</v>
      </c>
      <c r="AH812" s="20">
        <f>IFERROR((VLOOKUP(Tabla13[[#This Row],[ID]],[1]!Mtto_Pesv[[#Headers],[#Data],[Placa]:[Rutina]],7,FALSE)),0)</f>
        <v>0</v>
      </c>
      <c r="AI812" s="20">
        <f>IFERROR((VLOOKUP(Tabla13[[#This Row],[ID]],[1]!Mtto_Pesv[[#Headers],[#Data],[Placa]:[Rutina]],8,FALSE)),0)</f>
        <v>0</v>
      </c>
      <c r="AJ812" s="20" t="str">
        <f>IFERROR((VLOOKUP(Tabla13[[#This Row],[ID]],[1]!Mtto_Pesv[[#Headers],[#Data],[Placa]:[Rutina]],9,FALSE)),"-")</f>
        <v>-</v>
      </c>
      <c r="AK812" s="20">
        <f>IFERROR((VLOOKUP(Tabla13[[#This Row],[ID]],[1]!Mtto_Pesv[[#Headers],[#Data],[Placa]:[Rutina]],10,FALSE)),0)</f>
        <v>0</v>
      </c>
      <c r="AL812" s="20">
        <f>IF(Tabla13[[#This Row],[Km Anterior]]=0,0,Tabla13[[#This Row],[Km Ejecut]]-Tabla13[[#This Row],[Km Anterior]])</f>
        <v>0</v>
      </c>
      <c r="AM812" s="20">
        <f>IFERROR((VLOOKUP(Tabla13[[#This Row],[ID]],[1]!Mtto_Pesv[[#Headers],[#Data],[Placa]:[Rutina]],4,FALSE)),0)</f>
        <v>0</v>
      </c>
      <c r="AN812" s="21">
        <f>IFERROR((VLOOKUP(Tabla13[[#This Row],[ID]],[1]!Mtto_Pesv[[#Headers],[#Data],[Placa]:[Rutina]],5,FALSE)),0)</f>
        <v>0</v>
      </c>
      <c r="AO812" s="21">
        <f>+Tabla13[[#This Row],[Km Fin]]-Tabla13[[#This Row],[Km Ini]]</f>
        <v>0</v>
      </c>
      <c r="AP812" s="20">
        <f>IFERROR((VLOOKUP(Tabla13[[#This Row],[ID]],[1]!Estilo_Conduccion[[#All],[Placa]:[Puntuacion]],15,FALSE)),0)</f>
        <v>6794.5</v>
      </c>
      <c r="AQ812" s="15" t="s">
        <v>54</v>
      </c>
      <c r="AR812" s="15" t="s">
        <v>1121</v>
      </c>
      <c r="AS812" s="20">
        <v>2350</v>
      </c>
      <c r="AT812" s="21">
        <v>0</v>
      </c>
      <c r="AU812" s="21">
        <f>(Tabla13[[#This Row],[Cap Vh]]*$AX$2)*0.56</f>
        <v>0</v>
      </c>
      <c r="AV812" s="36" t="e">
        <f>(Tabla13[[#This Row],[Cap Util (kg)]]/(Tabla13[[#This Row],[Cap Inst (Kg)]]))</f>
        <v>#DIV/0!</v>
      </c>
    </row>
    <row r="813" spans="1:48" x14ac:dyDescent="0.25">
      <c r="A813" s="13" t="s">
        <v>1068</v>
      </c>
      <c r="B813" s="14" t="s">
        <v>1058</v>
      </c>
      <c r="C813" s="14" t="s">
        <v>564</v>
      </c>
      <c r="D813" s="14" t="s">
        <v>565</v>
      </c>
      <c r="E813" s="14" t="s">
        <v>566</v>
      </c>
      <c r="F813" s="14" t="s">
        <v>64</v>
      </c>
      <c r="G813" s="15" t="s">
        <v>182</v>
      </c>
      <c r="H813" s="13" t="s">
        <v>183</v>
      </c>
      <c r="I813" s="14" t="s">
        <v>203</v>
      </c>
      <c r="J813" s="14">
        <v>901253015</v>
      </c>
      <c r="K813" s="14" t="s">
        <v>185</v>
      </c>
      <c r="L813" s="14" t="s">
        <v>103</v>
      </c>
      <c r="M813" s="14" t="s">
        <v>121</v>
      </c>
      <c r="N813" s="14">
        <v>2022</v>
      </c>
      <c r="O813" s="14">
        <v>1</v>
      </c>
      <c r="P813" s="14" t="s">
        <v>105</v>
      </c>
      <c r="Q813" s="14">
        <v>1</v>
      </c>
      <c r="R813" s="14">
        <v>0</v>
      </c>
      <c r="S813" s="17" t="s">
        <v>54</v>
      </c>
      <c r="T813" s="18">
        <v>0</v>
      </c>
      <c r="U813" s="37">
        <v>30</v>
      </c>
      <c r="V813" s="19">
        <v>1</v>
      </c>
      <c r="W813" s="14">
        <v>0</v>
      </c>
      <c r="X813" s="14">
        <v>29</v>
      </c>
      <c r="Y813" s="14">
        <v>24</v>
      </c>
      <c r="Z813" s="14">
        <v>0</v>
      </c>
      <c r="AA813" s="14">
        <f>Tabla13[[#This Row],[CheckList App]]+Tabla13[[#This Row],[CheckList Fisc]]</f>
        <v>24</v>
      </c>
      <c r="AB813" s="19">
        <f t="shared" si="12"/>
        <v>0.82758620689655171</v>
      </c>
      <c r="AC813" s="14">
        <v>0</v>
      </c>
      <c r="AD813" s="14" t="s">
        <v>70</v>
      </c>
      <c r="AE813" s="15" t="str">
        <f>IFERROR((VLOOKUP(Tabla13[[#This Row],[ID]],[1]!Mtto_Pesv[[#Headers],[#Data],[Placa]:[Rutina]],2,FALSE)),"-")</f>
        <v>-</v>
      </c>
      <c r="AF813" s="14">
        <v>1</v>
      </c>
      <c r="AG813" s="20">
        <f>IFERROR((VLOOKUP(Tabla13[[#This Row],[ID]],[1]!Mtto_Pesv[[#Headers],[#Data],[Placa]:[Rutina]],3,FALSE)),0)</f>
        <v>0</v>
      </c>
      <c r="AH813" s="20">
        <f>IFERROR((VLOOKUP(Tabla13[[#This Row],[ID]],[1]!Mtto_Pesv[[#Headers],[#Data],[Placa]:[Rutina]],7,FALSE)),0)</f>
        <v>0</v>
      </c>
      <c r="AI813" s="20">
        <f>IFERROR((VLOOKUP(Tabla13[[#This Row],[ID]],[1]!Mtto_Pesv[[#Headers],[#Data],[Placa]:[Rutina]],8,FALSE)),0)</f>
        <v>0</v>
      </c>
      <c r="AJ813" s="20" t="str">
        <f>IFERROR((VLOOKUP(Tabla13[[#This Row],[ID]],[1]!Mtto_Pesv[[#Headers],[#Data],[Placa]:[Rutina]],9,FALSE)),"-")</f>
        <v>-</v>
      </c>
      <c r="AK813" s="20">
        <f>IFERROR((VLOOKUP(Tabla13[[#This Row],[ID]],[1]!Mtto_Pesv[[#Headers],[#Data],[Placa]:[Rutina]],10,FALSE)),0)</f>
        <v>0</v>
      </c>
      <c r="AL813" s="20">
        <f>IF(Tabla13[[#This Row],[Km Anterior]]=0,0,Tabla13[[#This Row],[Km Ejecut]]-Tabla13[[#This Row],[Km Anterior]])</f>
        <v>0</v>
      </c>
      <c r="AM813" s="20">
        <f>IFERROR((VLOOKUP(Tabla13[[#This Row],[ID]],[1]!Mtto_Pesv[[#Headers],[#Data],[Placa]:[Rutina]],4,FALSE)),0)</f>
        <v>0</v>
      </c>
      <c r="AN813" s="21">
        <f>IFERROR((VLOOKUP(Tabla13[[#This Row],[ID]],[1]!Mtto_Pesv[[#Headers],[#Data],[Placa]:[Rutina]],5,FALSE)),0)</f>
        <v>0</v>
      </c>
      <c r="AO813" s="21">
        <f>+Tabla13[[#This Row],[Km Fin]]-Tabla13[[#This Row],[Km Ini]]</f>
        <v>0</v>
      </c>
      <c r="AP813" s="20">
        <f>IFERROR((VLOOKUP(Tabla13[[#This Row],[ID]],[1]!Estilo_Conduccion[[#All],[Placa]:[Puntuacion]],15,FALSE)),0)</f>
        <v>1023.5</v>
      </c>
      <c r="AQ813" s="15" t="s">
        <v>54</v>
      </c>
      <c r="AR813" s="15" t="s">
        <v>1334</v>
      </c>
      <c r="AS813" s="20">
        <v>2350</v>
      </c>
      <c r="AT813" s="21">
        <v>0</v>
      </c>
      <c r="AU813" s="21">
        <f>(Tabla13[[#This Row],[Cap Vh]]*$AX$2)*0.56</f>
        <v>0</v>
      </c>
      <c r="AV813" s="36" t="e">
        <f>(Tabla13[[#This Row],[Cap Util (kg)]]/(Tabla13[[#This Row],[Cap Inst (Kg)]]))</f>
        <v>#DIV/0!</v>
      </c>
    </row>
    <row r="814" spans="1:48" x14ac:dyDescent="0.25">
      <c r="A814" s="13" t="s">
        <v>1068</v>
      </c>
      <c r="B814" s="14" t="s">
        <v>1059</v>
      </c>
      <c r="C814" s="14" t="s">
        <v>749</v>
      </c>
      <c r="D814" s="14" t="s">
        <v>749</v>
      </c>
      <c r="E814" s="14" t="s">
        <v>840</v>
      </c>
      <c r="F814" s="14" t="s">
        <v>76</v>
      </c>
      <c r="G814" s="15" t="s">
        <v>89</v>
      </c>
      <c r="H814" s="16" t="s">
        <v>90</v>
      </c>
      <c r="I814" s="14" t="s">
        <v>49</v>
      </c>
      <c r="J814" s="24">
        <v>900335279</v>
      </c>
      <c r="K814" s="24" t="s">
        <v>77</v>
      </c>
      <c r="L814" s="24" t="s">
        <v>405</v>
      </c>
      <c r="M814" s="24" t="s">
        <v>461</v>
      </c>
      <c r="N814" s="24">
        <v>2011</v>
      </c>
      <c r="O814" s="24">
        <v>9</v>
      </c>
      <c r="P814" s="24" t="s">
        <v>53</v>
      </c>
      <c r="Q814" s="14">
        <v>0</v>
      </c>
      <c r="R814" s="14">
        <v>0</v>
      </c>
      <c r="S814" s="17" t="s">
        <v>54</v>
      </c>
      <c r="T814" s="18">
        <v>0</v>
      </c>
      <c r="U814" s="14">
        <v>0</v>
      </c>
      <c r="V814" s="19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f>Tabla13[[#This Row],[CheckList App]]+Tabla13[[#This Row],[CheckList Fisc]]</f>
        <v>0</v>
      </c>
      <c r="AB814" s="19" t="str">
        <f t="shared" si="12"/>
        <v/>
      </c>
      <c r="AC814" s="14">
        <v>0</v>
      </c>
      <c r="AD814" s="14" t="s">
        <v>70</v>
      </c>
      <c r="AE814" s="15" t="str">
        <f>IFERROR((VLOOKUP(Tabla13[[#This Row],[ID]],[1]!Mtto_Pesv[[#Headers],[#Data],[Placa]:[Rutina]],2,FALSE)),"-")</f>
        <v>-</v>
      </c>
      <c r="AF814" s="14">
        <v>1</v>
      </c>
      <c r="AG814" s="20">
        <f>IFERROR((VLOOKUP(Tabla13[[#This Row],[ID]],[1]!Mtto_Pesv[[#Headers],[#Data],[Placa]:[Rutina]],3,FALSE)),0)</f>
        <v>0</v>
      </c>
      <c r="AH814" s="20">
        <f>IFERROR((VLOOKUP(Tabla13[[#This Row],[ID]],[1]!Mtto_Pesv[[#Headers],[#Data],[Placa]:[Rutina]],7,FALSE)),0)</f>
        <v>0</v>
      </c>
      <c r="AI814" s="20">
        <f>IFERROR((VLOOKUP(Tabla13[[#This Row],[ID]],[1]!Mtto_Pesv[[#Headers],[#Data],[Placa]:[Rutina]],8,FALSE)),0)</f>
        <v>0</v>
      </c>
      <c r="AJ814" s="20" t="str">
        <f>IFERROR((VLOOKUP(Tabla13[[#This Row],[ID]],[1]!Mtto_Pesv[[#Headers],[#Data],[Placa]:[Rutina]],9,FALSE)),"-")</f>
        <v>-</v>
      </c>
      <c r="AK814" s="20">
        <f>IFERROR((VLOOKUP(Tabla13[[#This Row],[ID]],[1]!Mtto_Pesv[[#Headers],[#Data],[Placa]:[Rutina]],10,FALSE)),0)</f>
        <v>0</v>
      </c>
      <c r="AL814" s="20">
        <f>IF(Tabla13[[#This Row],[Km Anterior]]=0,0,Tabla13[[#This Row],[Km Ejecut]]-Tabla13[[#This Row],[Km Anterior]])</f>
        <v>0</v>
      </c>
      <c r="AM814" s="20">
        <f>IFERROR((VLOOKUP(Tabla13[[#This Row],[ID]],[1]!Mtto_Pesv[[#Headers],[#Data],[Placa]:[Rutina]],4,FALSE)),0)</f>
        <v>0</v>
      </c>
      <c r="AN814" s="21">
        <f>IFERROR((VLOOKUP(Tabla13[[#This Row],[ID]],[1]!Mtto_Pesv[[#Headers],[#Data],[Placa]:[Rutina]],5,FALSE)),0)</f>
        <v>0</v>
      </c>
      <c r="AO814" s="21">
        <f>+Tabla13[[#This Row],[Km Fin]]-Tabla13[[#This Row],[Km Ini]]</f>
        <v>0</v>
      </c>
      <c r="AP814" s="20">
        <f>IFERROR((VLOOKUP(Tabla13[[#This Row],[ID]],[1]!Estilo_Conduccion[[#All],[Placa]:[Puntuacion]],15,FALSE)),0)</f>
        <v>0</v>
      </c>
      <c r="AQ814" s="15" t="s">
        <v>1521</v>
      </c>
      <c r="AR814" s="15" t="s">
        <v>1522</v>
      </c>
      <c r="AS814" s="20">
        <v>2810</v>
      </c>
      <c r="AT814" s="21">
        <v>19364.4375</v>
      </c>
      <c r="AU814" s="21">
        <f>(Tabla13[[#This Row],[Cap Vh]]*$AX$2)*0.56</f>
        <v>0</v>
      </c>
      <c r="AV814" s="36" t="e">
        <f>(Tabla13[[#This Row],[Cap Util (kg)]]/(Tabla13[[#This Row],[Cap Inst (Kg)]]))</f>
        <v>#DIV/0!</v>
      </c>
    </row>
    <row r="815" spans="1:48" x14ac:dyDescent="0.25">
      <c r="A815" s="13" t="s">
        <v>1068</v>
      </c>
      <c r="B815" s="14" t="s">
        <v>1060</v>
      </c>
      <c r="C815" s="14" t="s">
        <v>749</v>
      </c>
      <c r="D815" s="14" t="s">
        <v>749</v>
      </c>
      <c r="E815" s="14" t="s">
        <v>900</v>
      </c>
      <c r="F815" s="14" t="s">
        <v>76</v>
      </c>
      <c r="G815" s="15" t="s">
        <v>89</v>
      </c>
      <c r="H815" s="16" t="s">
        <v>90</v>
      </c>
      <c r="I815" s="14" t="s">
        <v>49</v>
      </c>
      <c r="J815" s="24">
        <v>900335279</v>
      </c>
      <c r="K815" s="24" t="s">
        <v>77</v>
      </c>
      <c r="L815" s="24" t="s">
        <v>103</v>
      </c>
      <c r="M815" s="24" t="s">
        <v>347</v>
      </c>
      <c r="N815" s="24">
        <v>2008</v>
      </c>
      <c r="O815" s="24">
        <v>12</v>
      </c>
      <c r="P815" s="24" t="s">
        <v>173</v>
      </c>
      <c r="Q815" s="14">
        <v>0</v>
      </c>
      <c r="R815" s="14">
        <v>0</v>
      </c>
      <c r="S815" s="17" t="s">
        <v>54</v>
      </c>
      <c r="T815" s="18">
        <v>0</v>
      </c>
      <c r="U815" s="14">
        <v>30</v>
      </c>
      <c r="V815" s="19">
        <v>1</v>
      </c>
      <c r="W815" s="14">
        <v>0</v>
      </c>
      <c r="X815" s="14">
        <v>0</v>
      </c>
      <c r="Y815" s="14">
        <v>0</v>
      </c>
      <c r="Z815" s="14">
        <v>0</v>
      </c>
      <c r="AA815" s="14">
        <f>Tabla13[[#This Row],[CheckList App]]+Tabla13[[#This Row],[CheckList Fisc]]</f>
        <v>0</v>
      </c>
      <c r="AB815" s="19">
        <f t="shared" si="12"/>
        <v>0</v>
      </c>
      <c r="AC815" s="14">
        <v>0</v>
      </c>
      <c r="AD815" s="14" t="s">
        <v>70</v>
      </c>
      <c r="AE815" s="15" t="str">
        <f>IFERROR((VLOOKUP(Tabla13[[#This Row],[ID]],[1]!Mtto_Pesv[[#Headers],[#Data],[Placa]:[Rutina]],2,FALSE)),"-")</f>
        <v>-</v>
      </c>
      <c r="AF815" s="14">
        <v>1</v>
      </c>
      <c r="AG815" s="20">
        <f>IFERROR((VLOOKUP(Tabla13[[#This Row],[ID]],[1]!Mtto_Pesv[[#Headers],[#Data],[Placa]:[Rutina]],3,FALSE)),0)</f>
        <v>0</v>
      </c>
      <c r="AH815" s="20">
        <f>IFERROR((VLOOKUP(Tabla13[[#This Row],[ID]],[1]!Mtto_Pesv[[#Headers],[#Data],[Placa]:[Rutina]],7,FALSE)),0)</f>
        <v>0</v>
      </c>
      <c r="AI815" s="20">
        <f>IFERROR((VLOOKUP(Tabla13[[#This Row],[ID]],[1]!Mtto_Pesv[[#Headers],[#Data],[Placa]:[Rutina]],8,FALSE)),0)</f>
        <v>0</v>
      </c>
      <c r="AJ815" s="20" t="str">
        <f>IFERROR((VLOOKUP(Tabla13[[#This Row],[ID]],[1]!Mtto_Pesv[[#Headers],[#Data],[Placa]:[Rutina]],9,FALSE)),"-")</f>
        <v>-</v>
      </c>
      <c r="AK815" s="20">
        <f>IFERROR((VLOOKUP(Tabla13[[#This Row],[ID]],[1]!Mtto_Pesv[[#Headers],[#Data],[Placa]:[Rutina]],10,FALSE)),0)</f>
        <v>0</v>
      </c>
      <c r="AL815" s="20">
        <f>IF(Tabla13[[#This Row],[Km Anterior]]=0,0,Tabla13[[#This Row],[Km Ejecut]]-Tabla13[[#This Row],[Km Anterior]])</f>
        <v>0</v>
      </c>
      <c r="AM815" s="20">
        <f>IFERROR((VLOOKUP(Tabla13[[#This Row],[ID]],[1]!Mtto_Pesv[[#Headers],[#Data],[Placa]:[Rutina]],4,FALSE)),0)</f>
        <v>0</v>
      </c>
      <c r="AN815" s="21">
        <f>IFERROR((VLOOKUP(Tabla13[[#This Row],[ID]],[1]!Mtto_Pesv[[#Headers],[#Data],[Placa]:[Rutina]],5,FALSE)),0)</f>
        <v>0</v>
      </c>
      <c r="AO815" s="21">
        <f>+Tabla13[[#This Row],[Km Fin]]-Tabla13[[#This Row],[Km Ini]]</f>
        <v>0</v>
      </c>
      <c r="AP815" s="20">
        <f>IFERROR((VLOOKUP(Tabla13[[#This Row],[ID]],[1]!Estilo_Conduccion[[#All],[Placa]:[Puntuacion]],15,FALSE)),0)</f>
        <v>0</v>
      </c>
      <c r="AQ815" s="15" t="s">
        <v>1597</v>
      </c>
      <c r="AR815" s="15" t="s">
        <v>1598</v>
      </c>
      <c r="AS815" s="20">
        <v>1300</v>
      </c>
      <c r="AT815" s="21">
        <v>4482</v>
      </c>
      <c r="AU815" s="21">
        <f>(Tabla13[[#This Row],[Cap Vh]]*$AX$2)*0.56</f>
        <v>0</v>
      </c>
      <c r="AV815" s="36" t="e">
        <f>(Tabla13[[#This Row],[Cap Util (kg)]]/(Tabla13[[#This Row],[Cap Inst (Kg)]]))</f>
        <v>#DIV/0!</v>
      </c>
    </row>
    <row r="816" spans="1:48" x14ac:dyDescent="0.25">
      <c r="A816" s="13" t="s">
        <v>1068</v>
      </c>
      <c r="B816" s="14" t="s">
        <v>1061</v>
      </c>
      <c r="C816" s="14" t="s">
        <v>44</v>
      </c>
      <c r="D816" s="14" t="s">
        <v>44</v>
      </c>
      <c r="E816" s="14" t="s">
        <v>127</v>
      </c>
      <c r="F816" s="14" t="s">
        <v>64</v>
      </c>
      <c r="G816" s="15" t="s">
        <v>182</v>
      </c>
      <c r="H816" s="16" t="s">
        <v>183</v>
      </c>
      <c r="I816" s="14" t="s">
        <v>49</v>
      </c>
      <c r="J816" s="14">
        <v>901253015</v>
      </c>
      <c r="K816" s="14" t="s">
        <v>185</v>
      </c>
      <c r="L816" s="24" t="s">
        <v>103</v>
      </c>
      <c r="M816" s="24" t="s">
        <v>121</v>
      </c>
      <c r="N816" s="24">
        <v>2022</v>
      </c>
      <c r="O816" s="14">
        <v>1</v>
      </c>
      <c r="P816" s="14" t="s">
        <v>105</v>
      </c>
      <c r="Q816" s="14">
        <v>1</v>
      </c>
      <c r="R816" s="14">
        <v>1</v>
      </c>
      <c r="S816" s="17">
        <v>44834.151377314818</v>
      </c>
      <c r="T816" s="18">
        <v>303.23500000000001</v>
      </c>
      <c r="U816" s="37">
        <v>30</v>
      </c>
      <c r="V816" s="19">
        <v>1</v>
      </c>
      <c r="W816" s="14">
        <v>0</v>
      </c>
      <c r="X816" s="14">
        <v>27</v>
      </c>
      <c r="Y816" s="14">
        <v>27</v>
      </c>
      <c r="Z816" s="14">
        <v>0</v>
      </c>
      <c r="AA816" s="14">
        <f>Tabla13[[#This Row],[CheckList App]]+Tabla13[[#This Row],[CheckList Fisc]]</f>
        <v>27</v>
      </c>
      <c r="AB816" s="19">
        <f t="shared" si="12"/>
        <v>1</v>
      </c>
      <c r="AC816" s="14">
        <v>0</v>
      </c>
      <c r="AD816" s="14" t="s">
        <v>70</v>
      </c>
      <c r="AE816" s="15" t="str">
        <f>IFERROR((VLOOKUP(Tabla13[[#This Row],[ID]],[1]!Mtto_Pesv[[#Headers],[#Data],[Placa]:[Rutina]],2,FALSE)),"-")</f>
        <v>-</v>
      </c>
      <c r="AF816" s="14">
        <v>1</v>
      </c>
      <c r="AG816" s="20">
        <f>IFERROR((VLOOKUP(Tabla13[[#This Row],[ID]],[1]!Mtto_Pesv[[#Headers],[#Data],[Placa]:[Rutina]],3,FALSE)),0)</f>
        <v>0</v>
      </c>
      <c r="AH816" s="20">
        <f>IFERROR((VLOOKUP(Tabla13[[#This Row],[ID]],[1]!Mtto_Pesv[[#Headers],[#Data],[Placa]:[Rutina]],7,FALSE)),0)</f>
        <v>0</v>
      </c>
      <c r="AI816" s="20">
        <f>IFERROR((VLOOKUP(Tabla13[[#This Row],[ID]],[1]!Mtto_Pesv[[#Headers],[#Data],[Placa]:[Rutina]],8,FALSE)),0)</f>
        <v>0</v>
      </c>
      <c r="AJ816" s="20" t="str">
        <f>IFERROR((VLOOKUP(Tabla13[[#This Row],[ID]],[1]!Mtto_Pesv[[#Headers],[#Data],[Placa]:[Rutina]],9,FALSE)),"-")</f>
        <v>-</v>
      </c>
      <c r="AK816" s="20">
        <f>IFERROR((VLOOKUP(Tabla13[[#This Row],[ID]],[1]!Mtto_Pesv[[#Headers],[#Data],[Placa]:[Rutina]],10,FALSE)),0)</f>
        <v>0</v>
      </c>
      <c r="AL816" s="20">
        <f>IF(Tabla13[[#This Row],[Km Anterior]]=0,0,Tabla13[[#This Row],[Km Ejecut]]-Tabla13[[#This Row],[Km Anterior]])</f>
        <v>0</v>
      </c>
      <c r="AM816" s="20">
        <f>IFERROR((VLOOKUP(Tabla13[[#This Row],[ID]],[1]!Mtto_Pesv[[#Headers],[#Data],[Placa]:[Rutina]],4,FALSE)),0)</f>
        <v>0</v>
      </c>
      <c r="AN816" s="21">
        <f>IFERROR((VLOOKUP(Tabla13[[#This Row],[ID]],[1]!Mtto_Pesv[[#Headers],[#Data],[Placa]:[Rutina]],5,FALSE)),0)</f>
        <v>0</v>
      </c>
      <c r="AO816" s="21">
        <f>+Tabla13[[#This Row],[Km Fin]]-Tabla13[[#This Row],[Km Ini]]</f>
        <v>0</v>
      </c>
      <c r="AP816" s="20">
        <f>IFERROR((VLOOKUP(Tabla13[[#This Row],[ID]],[1]!Estilo_Conduccion[[#All],[Placa]:[Puntuacion]],15,FALSE)),0)</f>
        <v>6916.2000000000007</v>
      </c>
      <c r="AQ816" s="15" t="s">
        <v>54</v>
      </c>
      <c r="AR816" s="15" t="s">
        <v>54</v>
      </c>
      <c r="AS816" s="20">
        <v>2350</v>
      </c>
      <c r="AT816" s="21">
        <v>0</v>
      </c>
      <c r="AU816" s="21">
        <f>(Tabla13[[#This Row],[Cap Vh]]*$AX$2)*0.56</f>
        <v>0</v>
      </c>
      <c r="AV816" s="36" t="e">
        <f>(Tabla13[[#This Row],[Cap Util (kg)]]/(Tabla13[[#This Row],[Cap Inst (Kg)]]))</f>
        <v>#DIV/0!</v>
      </c>
    </row>
    <row r="817" spans="1:48" x14ac:dyDescent="0.25">
      <c r="A817" s="25" t="s">
        <v>1062</v>
      </c>
      <c r="B817" s="25"/>
      <c r="C817" s="25"/>
      <c r="D817" s="25"/>
      <c r="E817" s="25"/>
      <c r="F817" s="25"/>
      <c r="G817" s="25"/>
      <c r="H817" s="26"/>
      <c r="I817" s="25"/>
      <c r="J817" s="25"/>
      <c r="K817" s="25"/>
      <c r="L817" s="25"/>
      <c r="M817" s="25"/>
      <c r="N817" s="25"/>
      <c r="O817" s="25"/>
      <c r="P817" s="25"/>
      <c r="Q817" s="25">
        <f>SUBTOTAL(109,Tabla13[GPS])</f>
        <v>354</v>
      </c>
      <c r="R817" s="25">
        <f>SUBTOTAL(109,Tabla13[Combustible])</f>
        <v>142</v>
      </c>
      <c r="S817" s="25"/>
      <c r="T817" s="27">
        <f>SUBTOTAL(109,Tabla13[gal Mes])</f>
        <v>27376.512999999999</v>
      </c>
      <c r="U817" s="28"/>
      <c r="V817" s="29">
        <f>SUBTOTAL(101,Tabla13[% Operatividad])</f>
        <v>0.73006134969325109</v>
      </c>
      <c r="W817" s="25">
        <f>SUBTOTAL(109,Tabla13[Dias Gps])</f>
        <v>0</v>
      </c>
      <c r="X817" s="25">
        <f>SUBTOTAL(109,Tabla13[Dias Ruta])</f>
        <v>6106</v>
      </c>
      <c r="Y817" s="25">
        <f>SUBTOTAL(109,Tabla13[CheckList App])</f>
        <v>3546</v>
      </c>
      <c r="Z817" s="25">
        <f>SUBTOTAL(109,Tabla13[CheckList Fisc])</f>
        <v>1612</v>
      </c>
      <c r="AA817" s="25">
        <f>SUBTOTAL(109,Tabla13[Total Checklist])</f>
        <v>5158</v>
      </c>
      <c r="AB817" s="29">
        <f>Tabla13[[#Totals],[Total Checklist]]/Tabla13[[#Totals],[Dias Ruta]]</f>
        <v>0.84474287585981001</v>
      </c>
      <c r="AC817" s="25">
        <f>SUBTOTAL(109,Tabla13[Ticket´s Abiertos])</f>
        <v>4847</v>
      </c>
      <c r="AD817" s="25"/>
      <c r="AE817" s="25"/>
      <c r="AF817" s="25"/>
      <c r="AG817" s="29"/>
      <c r="AH817" s="30">
        <f>SUBTOTAL(109,Tabla13[Planeado])</f>
        <v>0</v>
      </c>
      <c r="AI817" s="30">
        <f>SUBTOTAL(109,Tabla13[Ejecutado])</f>
        <v>0</v>
      </c>
      <c r="AJ817" s="39" t="e">
        <f>Tabla13[[#Totals],[Ejecutado]]/Tabla13[[#Totals],[Planeado]]</f>
        <v>#DIV/0!</v>
      </c>
      <c r="AK817" s="30"/>
      <c r="AL817" s="28">
        <f>SUBTOTAL(109,Tabla13[Km Mtto])</f>
        <v>0</v>
      </c>
      <c r="AM817" s="28"/>
      <c r="AN817" s="28"/>
      <c r="AO817" s="28">
        <f>SUBTOTAL(109,Tabla13[Total Km])</f>
        <v>0</v>
      </c>
      <c r="AP817" s="28"/>
      <c r="AQ817" s="25"/>
      <c r="AR817" s="25"/>
      <c r="AS817" s="25"/>
      <c r="AT817" s="28">
        <f>SUBTOTAL(109,Tabla13[Cap Util (kg)])</f>
        <v>3687275.9999999981</v>
      </c>
      <c r="AU817" s="28">
        <f>SUBTOTAL(109,Tabla13[Cap Inst (Kg)])</f>
        <v>0</v>
      </c>
      <c r="AV817" s="25"/>
    </row>
    <row r="821" spans="1:48" x14ac:dyDescent="0.25">
      <c r="G821" s="31"/>
    </row>
    <row r="823" spans="1:48" x14ac:dyDescent="0.25">
      <c r="G823" s="31"/>
    </row>
  </sheetData>
  <conditionalFormatting sqref="B818:B1048576">
    <cfRule type="duplicateValues" dxfId="127" priority="19"/>
  </conditionalFormatting>
  <conditionalFormatting sqref="B797">
    <cfRule type="duplicateValues" dxfId="111" priority="4"/>
  </conditionalFormatting>
  <conditionalFormatting sqref="B798">
    <cfRule type="duplicateValues" dxfId="110" priority="5"/>
  </conditionalFormatting>
  <conditionalFormatting sqref="B799">
    <cfRule type="duplicateValues" dxfId="109" priority="6"/>
  </conditionalFormatting>
  <conditionalFormatting sqref="B800">
    <cfRule type="duplicateValues" dxfId="108" priority="7"/>
  </conditionalFormatting>
  <conditionalFormatting sqref="B801">
    <cfRule type="duplicateValues" dxfId="107" priority="8"/>
  </conditionalFormatting>
  <conditionalFormatting sqref="B802">
    <cfRule type="duplicateValues" dxfId="106" priority="9"/>
  </conditionalFormatting>
  <conditionalFormatting sqref="B803">
    <cfRule type="duplicateValues" dxfId="105" priority="10"/>
  </conditionalFormatting>
  <conditionalFormatting sqref="B804">
    <cfRule type="duplicateValues" dxfId="104" priority="11"/>
  </conditionalFormatting>
  <conditionalFormatting sqref="B805">
    <cfRule type="duplicateValues" dxfId="103" priority="12"/>
  </conditionalFormatting>
  <conditionalFormatting sqref="B806">
    <cfRule type="duplicateValues" dxfId="102" priority="13"/>
  </conditionalFormatting>
  <conditionalFormatting sqref="B807:B813">
    <cfRule type="duplicateValues" dxfId="101" priority="14"/>
  </conditionalFormatting>
  <conditionalFormatting sqref="B814">
    <cfRule type="duplicateValues" dxfId="100" priority="3"/>
  </conditionalFormatting>
  <conditionalFormatting sqref="B815">
    <cfRule type="duplicateValues" dxfId="99" priority="2"/>
  </conditionalFormatting>
  <conditionalFormatting sqref="B816">
    <cfRule type="duplicateValues" dxfId="98" priority="1"/>
  </conditionalFormatting>
  <conditionalFormatting sqref="B1:B796">
    <cfRule type="duplicateValues" dxfId="97" priority="1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DEF5E9-9710-43ED-80FD-5443C03B8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Rubiano</dc:creator>
  <cp:lastModifiedBy>Andres Mauricio Rubiano</cp:lastModifiedBy>
  <dcterms:created xsi:type="dcterms:W3CDTF">2022-09-21T22:46:33Z</dcterms:created>
  <dcterms:modified xsi:type="dcterms:W3CDTF">2022-10-24T14:34:20Z</dcterms:modified>
</cp:coreProperties>
</file>